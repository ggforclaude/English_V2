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fba985d2f8ef10c/1. NA/cluade/research/"/>
    </mc:Choice>
  </mc:AlternateContent>
  <xr:revisionPtr revIDLastSave="25" documentId="11_A500CD8F8C6E2C7F79C50455D194DAD818F732B2" xr6:coauthVersionLast="47" xr6:coauthVersionMax="47" xr10:uidLastSave="{847867B9-8E4B-4E02-8458-9AD395496C62}"/>
  <bookViews>
    <workbookView xWindow="-110" yWindow="-110" windowWidth="29020" windowHeight="17860" xr2:uid="{00000000-000D-0000-FFFF-FFFF00000000}"/>
  </bookViews>
  <sheets>
    <sheet name="거래내역" sheetId="1" r:id="rId1"/>
    <sheet name="배당금" sheetId="2" r:id="rId2"/>
    <sheet name="참고" sheetId="3" r:id="rId3"/>
    <sheet name="투자현황" sheetId="4" r:id="rId4"/>
    <sheet name="투자아이디어" sheetId="5" r:id="rId5"/>
    <sheet name="매도모니터링" sheetId="6" r:id="rId6"/>
    <sheet name="KRX종목마스터" sheetId="7" r:id="rId7"/>
  </sheets>
  <definedNames>
    <definedName name="_xlnm._FilterDatabase" localSheetId="6" hidden="1">KRX종목마스터!$A$3:$F$3</definedName>
    <definedName name="_xlnm._FilterDatabase" localSheetId="0" hidden="1">거래내역!$A$3:$M$3</definedName>
    <definedName name="_xlnm._FilterDatabase" localSheetId="5" hidden="1">매도모니터링!$A$3:$O$3</definedName>
    <definedName name="_xlnm._FilterDatabase" localSheetId="1" hidden="1">배당금!$A$3:$I$3</definedName>
    <definedName name="_xlnm._FilterDatabase" localSheetId="4" hidden="1">투자아이디어!$A$3:$P$3</definedName>
    <definedName name="_xlnm._FilterDatabase" localSheetId="3" hidden="1">투자현황!$A$3:$W$3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3" i="6" l="1"/>
  <c r="J303" i="6"/>
  <c r="I303" i="6"/>
  <c r="H303" i="6"/>
  <c r="B303" i="6"/>
  <c r="L302" i="6"/>
  <c r="J302" i="6"/>
  <c r="I302" i="6"/>
  <c r="H302" i="6"/>
  <c r="B302" i="6"/>
  <c r="L301" i="6"/>
  <c r="J301" i="6"/>
  <c r="I301" i="6"/>
  <c r="H301" i="6"/>
  <c r="B301" i="6"/>
  <c r="L300" i="6"/>
  <c r="J300" i="6"/>
  <c r="I300" i="6"/>
  <c r="H300" i="6"/>
  <c r="B300" i="6"/>
  <c r="L299" i="6"/>
  <c r="J299" i="6"/>
  <c r="I299" i="6"/>
  <c r="H299" i="6"/>
  <c r="B299" i="6"/>
  <c r="L298" i="6"/>
  <c r="J298" i="6"/>
  <c r="I298" i="6"/>
  <c r="H298" i="6"/>
  <c r="B298" i="6"/>
  <c r="L297" i="6"/>
  <c r="J297" i="6"/>
  <c r="I297" i="6"/>
  <c r="H297" i="6"/>
  <c r="B297" i="6"/>
  <c r="L296" i="6"/>
  <c r="J296" i="6"/>
  <c r="I296" i="6"/>
  <c r="H296" i="6"/>
  <c r="B296" i="6"/>
  <c r="L295" i="6"/>
  <c r="J295" i="6"/>
  <c r="I295" i="6"/>
  <c r="H295" i="6"/>
  <c r="B295" i="6"/>
  <c r="L294" i="6"/>
  <c r="J294" i="6"/>
  <c r="I294" i="6"/>
  <c r="H294" i="6"/>
  <c r="B294" i="6"/>
  <c r="L293" i="6"/>
  <c r="J293" i="6"/>
  <c r="I293" i="6"/>
  <c r="H293" i="6"/>
  <c r="B293" i="6"/>
  <c r="L292" i="6"/>
  <c r="J292" i="6"/>
  <c r="I292" i="6"/>
  <c r="H292" i="6"/>
  <c r="B292" i="6"/>
  <c r="L291" i="6"/>
  <c r="J291" i="6"/>
  <c r="I291" i="6"/>
  <c r="H291" i="6"/>
  <c r="B291" i="6"/>
  <c r="L290" i="6"/>
  <c r="J290" i="6"/>
  <c r="I290" i="6"/>
  <c r="H290" i="6"/>
  <c r="B290" i="6"/>
  <c r="L289" i="6"/>
  <c r="J289" i="6"/>
  <c r="I289" i="6"/>
  <c r="H289" i="6"/>
  <c r="B289" i="6"/>
  <c r="L288" i="6"/>
  <c r="J288" i="6"/>
  <c r="I288" i="6"/>
  <c r="H288" i="6"/>
  <c r="B288" i="6"/>
  <c r="L287" i="6"/>
  <c r="J287" i="6"/>
  <c r="I287" i="6"/>
  <c r="H287" i="6"/>
  <c r="B287" i="6"/>
  <c r="L286" i="6"/>
  <c r="J286" i="6"/>
  <c r="I286" i="6"/>
  <c r="H286" i="6"/>
  <c r="B286" i="6"/>
  <c r="L285" i="6"/>
  <c r="J285" i="6"/>
  <c r="I285" i="6"/>
  <c r="H285" i="6"/>
  <c r="B285" i="6"/>
  <c r="L284" i="6"/>
  <c r="J284" i="6"/>
  <c r="I284" i="6"/>
  <c r="H284" i="6"/>
  <c r="B284" i="6"/>
  <c r="L283" i="6"/>
  <c r="J283" i="6"/>
  <c r="I283" i="6"/>
  <c r="H283" i="6"/>
  <c r="B283" i="6"/>
  <c r="L282" i="6"/>
  <c r="J282" i="6"/>
  <c r="I282" i="6"/>
  <c r="H282" i="6"/>
  <c r="B282" i="6"/>
  <c r="L281" i="6"/>
  <c r="J281" i="6"/>
  <c r="I281" i="6"/>
  <c r="H281" i="6"/>
  <c r="B281" i="6"/>
  <c r="L280" i="6"/>
  <c r="J280" i="6"/>
  <c r="I280" i="6"/>
  <c r="H280" i="6"/>
  <c r="B280" i="6"/>
  <c r="L279" i="6"/>
  <c r="J279" i="6"/>
  <c r="I279" i="6"/>
  <c r="H279" i="6"/>
  <c r="B279" i="6"/>
  <c r="L278" i="6"/>
  <c r="J278" i="6"/>
  <c r="I278" i="6"/>
  <c r="H278" i="6"/>
  <c r="B278" i="6"/>
  <c r="L277" i="6"/>
  <c r="J277" i="6"/>
  <c r="I277" i="6"/>
  <c r="H277" i="6"/>
  <c r="B277" i="6"/>
  <c r="L276" i="6"/>
  <c r="J276" i="6"/>
  <c r="I276" i="6"/>
  <c r="H276" i="6"/>
  <c r="B276" i="6"/>
  <c r="L275" i="6"/>
  <c r="J275" i="6"/>
  <c r="I275" i="6"/>
  <c r="H275" i="6"/>
  <c r="B275" i="6"/>
  <c r="L274" i="6"/>
  <c r="J274" i="6"/>
  <c r="I274" i="6"/>
  <c r="H274" i="6"/>
  <c r="B274" i="6"/>
  <c r="L273" i="6"/>
  <c r="J273" i="6"/>
  <c r="I273" i="6"/>
  <c r="H273" i="6"/>
  <c r="B273" i="6"/>
  <c r="L272" i="6"/>
  <c r="J272" i="6"/>
  <c r="I272" i="6"/>
  <c r="H272" i="6"/>
  <c r="B272" i="6"/>
  <c r="L271" i="6"/>
  <c r="J271" i="6"/>
  <c r="I271" i="6"/>
  <c r="H271" i="6"/>
  <c r="B271" i="6"/>
  <c r="L270" i="6"/>
  <c r="J270" i="6"/>
  <c r="I270" i="6"/>
  <c r="H270" i="6"/>
  <c r="B270" i="6"/>
  <c r="L269" i="6"/>
  <c r="J269" i="6"/>
  <c r="I269" i="6"/>
  <c r="H269" i="6"/>
  <c r="B269" i="6"/>
  <c r="L268" i="6"/>
  <c r="J268" i="6"/>
  <c r="I268" i="6"/>
  <c r="H268" i="6"/>
  <c r="B268" i="6"/>
  <c r="L267" i="6"/>
  <c r="J267" i="6"/>
  <c r="I267" i="6"/>
  <c r="H267" i="6"/>
  <c r="B267" i="6"/>
  <c r="L266" i="6"/>
  <c r="J266" i="6"/>
  <c r="I266" i="6"/>
  <c r="H266" i="6"/>
  <c r="B266" i="6"/>
  <c r="L265" i="6"/>
  <c r="J265" i="6"/>
  <c r="I265" i="6"/>
  <c r="H265" i="6"/>
  <c r="B265" i="6"/>
  <c r="L264" i="6"/>
  <c r="J264" i="6"/>
  <c r="I264" i="6"/>
  <c r="H264" i="6"/>
  <c r="B264" i="6"/>
  <c r="L263" i="6"/>
  <c r="J263" i="6"/>
  <c r="I263" i="6"/>
  <c r="H263" i="6"/>
  <c r="B263" i="6"/>
  <c r="L262" i="6"/>
  <c r="J262" i="6"/>
  <c r="I262" i="6"/>
  <c r="H262" i="6"/>
  <c r="B262" i="6"/>
  <c r="L261" i="6"/>
  <c r="J261" i="6"/>
  <c r="I261" i="6"/>
  <c r="H261" i="6"/>
  <c r="B261" i="6"/>
  <c r="L260" i="6"/>
  <c r="J260" i="6"/>
  <c r="I260" i="6"/>
  <c r="H260" i="6"/>
  <c r="B260" i="6"/>
  <c r="L259" i="6"/>
  <c r="J259" i="6"/>
  <c r="I259" i="6"/>
  <c r="H259" i="6"/>
  <c r="B259" i="6"/>
  <c r="L258" i="6"/>
  <c r="J258" i="6"/>
  <c r="I258" i="6"/>
  <c r="H258" i="6"/>
  <c r="B258" i="6"/>
  <c r="L257" i="6"/>
  <c r="J257" i="6"/>
  <c r="I257" i="6"/>
  <c r="H257" i="6"/>
  <c r="B257" i="6"/>
  <c r="L256" i="6"/>
  <c r="J256" i="6"/>
  <c r="I256" i="6"/>
  <c r="H256" i="6"/>
  <c r="B256" i="6"/>
  <c r="L255" i="6"/>
  <c r="J255" i="6"/>
  <c r="I255" i="6"/>
  <c r="H255" i="6"/>
  <c r="B255" i="6"/>
  <c r="L254" i="6"/>
  <c r="J254" i="6"/>
  <c r="I254" i="6"/>
  <c r="H254" i="6"/>
  <c r="B254" i="6"/>
  <c r="L253" i="6"/>
  <c r="J253" i="6"/>
  <c r="I253" i="6"/>
  <c r="H253" i="6"/>
  <c r="B253" i="6"/>
  <c r="L252" i="6"/>
  <c r="J252" i="6"/>
  <c r="I252" i="6"/>
  <c r="H252" i="6"/>
  <c r="B252" i="6"/>
  <c r="L251" i="6"/>
  <c r="J251" i="6"/>
  <c r="I251" i="6"/>
  <c r="H251" i="6"/>
  <c r="B251" i="6"/>
  <c r="L250" i="6"/>
  <c r="J250" i="6"/>
  <c r="I250" i="6"/>
  <c r="H250" i="6"/>
  <c r="B250" i="6"/>
  <c r="L249" i="6"/>
  <c r="J249" i="6"/>
  <c r="I249" i="6"/>
  <c r="H249" i="6"/>
  <c r="B249" i="6"/>
  <c r="L248" i="6"/>
  <c r="J248" i="6"/>
  <c r="I248" i="6"/>
  <c r="H248" i="6"/>
  <c r="B248" i="6"/>
  <c r="L247" i="6"/>
  <c r="J247" i="6"/>
  <c r="I247" i="6"/>
  <c r="H247" i="6"/>
  <c r="B247" i="6"/>
  <c r="L246" i="6"/>
  <c r="J246" i="6"/>
  <c r="I246" i="6"/>
  <c r="H246" i="6"/>
  <c r="B246" i="6"/>
  <c r="L245" i="6"/>
  <c r="J245" i="6"/>
  <c r="I245" i="6"/>
  <c r="H245" i="6"/>
  <c r="B245" i="6"/>
  <c r="L244" i="6"/>
  <c r="J244" i="6"/>
  <c r="I244" i="6"/>
  <c r="H244" i="6"/>
  <c r="B244" i="6"/>
  <c r="L243" i="6"/>
  <c r="J243" i="6"/>
  <c r="I243" i="6"/>
  <c r="H243" i="6"/>
  <c r="B243" i="6"/>
  <c r="L242" i="6"/>
  <c r="J242" i="6"/>
  <c r="I242" i="6"/>
  <c r="H242" i="6"/>
  <c r="B242" i="6"/>
  <c r="L241" i="6"/>
  <c r="J241" i="6"/>
  <c r="I241" i="6"/>
  <c r="H241" i="6"/>
  <c r="B241" i="6"/>
  <c r="L240" i="6"/>
  <c r="J240" i="6"/>
  <c r="I240" i="6"/>
  <c r="H240" i="6"/>
  <c r="B240" i="6"/>
  <c r="L239" i="6"/>
  <c r="J239" i="6"/>
  <c r="I239" i="6"/>
  <c r="H239" i="6"/>
  <c r="B239" i="6"/>
  <c r="L238" i="6"/>
  <c r="J238" i="6"/>
  <c r="I238" i="6"/>
  <c r="H238" i="6"/>
  <c r="B238" i="6"/>
  <c r="L237" i="6"/>
  <c r="J237" i="6"/>
  <c r="I237" i="6"/>
  <c r="H237" i="6"/>
  <c r="B237" i="6"/>
  <c r="L236" i="6"/>
  <c r="J236" i="6"/>
  <c r="I236" i="6"/>
  <c r="H236" i="6"/>
  <c r="B236" i="6"/>
  <c r="L235" i="6"/>
  <c r="J235" i="6"/>
  <c r="I235" i="6"/>
  <c r="H235" i="6"/>
  <c r="B235" i="6"/>
  <c r="L234" i="6"/>
  <c r="J234" i="6"/>
  <c r="I234" i="6"/>
  <c r="H234" i="6"/>
  <c r="B234" i="6"/>
  <c r="L233" i="6"/>
  <c r="J233" i="6"/>
  <c r="I233" i="6"/>
  <c r="H233" i="6"/>
  <c r="B233" i="6"/>
  <c r="L232" i="6"/>
  <c r="J232" i="6"/>
  <c r="I232" i="6"/>
  <c r="H232" i="6"/>
  <c r="B232" i="6"/>
  <c r="L231" i="6"/>
  <c r="J231" i="6"/>
  <c r="I231" i="6"/>
  <c r="H231" i="6"/>
  <c r="B231" i="6"/>
  <c r="L230" i="6"/>
  <c r="J230" i="6"/>
  <c r="I230" i="6"/>
  <c r="H230" i="6"/>
  <c r="B230" i="6"/>
  <c r="L229" i="6"/>
  <c r="J229" i="6"/>
  <c r="I229" i="6"/>
  <c r="H229" i="6"/>
  <c r="B229" i="6"/>
  <c r="L228" i="6"/>
  <c r="J228" i="6"/>
  <c r="I228" i="6"/>
  <c r="H228" i="6"/>
  <c r="B228" i="6"/>
  <c r="L227" i="6"/>
  <c r="J227" i="6"/>
  <c r="I227" i="6"/>
  <c r="H227" i="6"/>
  <c r="B227" i="6"/>
  <c r="L226" i="6"/>
  <c r="J226" i="6"/>
  <c r="I226" i="6"/>
  <c r="H226" i="6"/>
  <c r="B226" i="6"/>
  <c r="L225" i="6"/>
  <c r="J225" i="6"/>
  <c r="I225" i="6"/>
  <c r="H225" i="6"/>
  <c r="B225" i="6"/>
  <c r="L224" i="6"/>
  <c r="J224" i="6"/>
  <c r="I224" i="6"/>
  <c r="H224" i="6"/>
  <c r="B224" i="6"/>
  <c r="L223" i="6"/>
  <c r="J223" i="6"/>
  <c r="I223" i="6"/>
  <c r="H223" i="6"/>
  <c r="B223" i="6"/>
  <c r="L222" i="6"/>
  <c r="J222" i="6"/>
  <c r="I222" i="6"/>
  <c r="H222" i="6"/>
  <c r="B222" i="6"/>
  <c r="L221" i="6"/>
  <c r="J221" i="6"/>
  <c r="I221" i="6"/>
  <c r="H221" i="6"/>
  <c r="B221" i="6"/>
  <c r="L220" i="6"/>
  <c r="J220" i="6"/>
  <c r="I220" i="6"/>
  <c r="H220" i="6"/>
  <c r="B220" i="6"/>
  <c r="L219" i="6"/>
  <c r="J219" i="6"/>
  <c r="I219" i="6"/>
  <c r="H219" i="6"/>
  <c r="B219" i="6"/>
  <c r="L218" i="6"/>
  <c r="J218" i="6"/>
  <c r="I218" i="6"/>
  <c r="H218" i="6"/>
  <c r="B218" i="6"/>
  <c r="L217" i="6"/>
  <c r="J217" i="6"/>
  <c r="I217" i="6"/>
  <c r="H217" i="6"/>
  <c r="B217" i="6"/>
  <c r="L216" i="6"/>
  <c r="J216" i="6"/>
  <c r="I216" i="6"/>
  <c r="H216" i="6"/>
  <c r="B216" i="6"/>
  <c r="L215" i="6"/>
  <c r="J215" i="6"/>
  <c r="I215" i="6"/>
  <c r="H215" i="6"/>
  <c r="B215" i="6"/>
  <c r="L214" i="6"/>
  <c r="J214" i="6"/>
  <c r="I214" i="6"/>
  <c r="H214" i="6"/>
  <c r="B214" i="6"/>
  <c r="L213" i="6"/>
  <c r="J213" i="6"/>
  <c r="I213" i="6"/>
  <c r="H213" i="6"/>
  <c r="B213" i="6"/>
  <c r="L212" i="6"/>
  <c r="J212" i="6"/>
  <c r="I212" i="6"/>
  <c r="H212" i="6"/>
  <c r="B212" i="6"/>
  <c r="L211" i="6"/>
  <c r="J211" i="6"/>
  <c r="I211" i="6"/>
  <c r="H211" i="6"/>
  <c r="B211" i="6"/>
  <c r="L210" i="6"/>
  <c r="J210" i="6"/>
  <c r="I210" i="6"/>
  <c r="H210" i="6"/>
  <c r="B210" i="6"/>
  <c r="L209" i="6"/>
  <c r="J209" i="6"/>
  <c r="I209" i="6"/>
  <c r="H209" i="6"/>
  <c r="B209" i="6"/>
  <c r="L208" i="6"/>
  <c r="J208" i="6"/>
  <c r="I208" i="6"/>
  <c r="H208" i="6"/>
  <c r="B208" i="6"/>
  <c r="L207" i="6"/>
  <c r="J207" i="6"/>
  <c r="I207" i="6"/>
  <c r="H207" i="6"/>
  <c r="B207" i="6"/>
  <c r="L206" i="6"/>
  <c r="J206" i="6"/>
  <c r="I206" i="6"/>
  <c r="H206" i="6"/>
  <c r="B206" i="6"/>
  <c r="L205" i="6"/>
  <c r="J205" i="6"/>
  <c r="I205" i="6"/>
  <c r="H205" i="6"/>
  <c r="B205" i="6"/>
  <c r="L204" i="6"/>
  <c r="J204" i="6"/>
  <c r="I204" i="6"/>
  <c r="H204" i="6"/>
  <c r="B204" i="6"/>
  <c r="L203" i="6"/>
  <c r="J203" i="6"/>
  <c r="I203" i="6"/>
  <c r="H203" i="6"/>
  <c r="B203" i="6"/>
  <c r="L202" i="6"/>
  <c r="J202" i="6"/>
  <c r="I202" i="6"/>
  <c r="H202" i="6"/>
  <c r="B202" i="6"/>
  <c r="L201" i="6"/>
  <c r="J201" i="6"/>
  <c r="I201" i="6"/>
  <c r="H201" i="6"/>
  <c r="B201" i="6"/>
  <c r="L200" i="6"/>
  <c r="J200" i="6"/>
  <c r="I200" i="6"/>
  <c r="H200" i="6"/>
  <c r="B200" i="6"/>
  <c r="L199" i="6"/>
  <c r="J199" i="6"/>
  <c r="I199" i="6"/>
  <c r="H199" i="6"/>
  <c r="B199" i="6"/>
  <c r="L198" i="6"/>
  <c r="J198" i="6"/>
  <c r="I198" i="6"/>
  <c r="H198" i="6"/>
  <c r="B198" i="6"/>
  <c r="L197" i="6"/>
  <c r="J197" i="6"/>
  <c r="I197" i="6"/>
  <c r="H197" i="6"/>
  <c r="B197" i="6"/>
  <c r="L196" i="6"/>
  <c r="J196" i="6"/>
  <c r="I196" i="6"/>
  <c r="H196" i="6"/>
  <c r="B196" i="6"/>
  <c r="L195" i="6"/>
  <c r="J195" i="6"/>
  <c r="I195" i="6"/>
  <c r="H195" i="6"/>
  <c r="B195" i="6"/>
  <c r="L194" i="6"/>
  <c r="J194" i="6"/>
  <c r="I194" i="6"/>
  <c r="H194" i="6"/>
  <c r="B194" i="6"/>
  <c r="L193" i="6"/>
  <c r="J193" i="6"/>
  <c r="I193" i="6"/>
  <c r="H193" i="6"/>
  <c r="B193" i="6"/>
  <c r="L192" i="6"/>
  <c r="J192" i="6"/>
  <c r="I192" i="6"/>
  <c r="H192" i="6"/>
  <c r="B192" i="6"/>
  <c r="L191" i="6"/>
  <c r="J191" i="6"/>
  <c r="I191" i="6"/>
  <c r="H191" i="6"/>
  <c r="B191" i="6"/>
  <c r="L190" i="6"/>
  <c r="J190" i="6"/>
  <c r="I190" i="6"/>
  <c r="H190" i="6"/>
  <c r="B190" i="6"/>
  <c r="L189" i="6"/>
  <c r="J189" i="6"/>
  <c r="I189" i="6"/>
  <c r="H189" i="6"/>
  <c r="B189" i="6"/>
  <c r="L188" i="6"/>
  <c r="J188" i="6"/>
  <c r="I188" i="6"/>
  <c r="H188" i="6"/>
  <c r="B188" i="6"/>
  <c r="L187" i="6"/>
  <c r="J187" i="6"/>
  <c r="I187" i="6"/>
  <c r="H187" i="6"/>
  <c r="B187" i="6"/>
  <c r="L186" i="6"/>
  <c r="J186" i="6"/>
  <c r="I186" i="6"/>
  <c r="H186" i="6"/>
  <c r="B186" i="6"/>
  <c r="L185" i="6"/>
  <c r="J185" i="6"/>
  <c r="I185" i="6"/>
  <c r="H185" i="6"/>
  <c r="B185" i="6"/>
  <c r="L184" i="6"/>
  <c r="J184" i="6"/>
  <c r="I184" i="6"/>
  <c r="H184" i="6"/>
  <c r="B184" i="6"/>
  <c r="L183" i="6"/>
  <c r="J183" i="6"/>
  <c r="I183" i="6"/>
  <c r="H183" i="6"/>
  <c r="B183" i="6"/>
  <c r="L182" i="6"/>
  <c r="J182" i="6"/>
  <c r="I182" i="6"/>
  <c r="H182" i="6"/>
  <c r="B182" i="6"/>
  <c r="L181" i="6"/>
  <c r="J181" i="6"/>
  <c r="I181" i="6"/>
  <c r="H181" i="6"/>
  <c r="B181" i="6"/>
  <c r="L180" i="6"/>
  <c r="J180" i="6"/>
  <c r="I180" i="6"/>
  <c r="H180" i="6"/>
  <c r="B180" i="6"/>
  <c r="L179" i="6"/>
  <c r="J179" i="6"/>
  <c r="I179" i="6"/>
  <c r="H179" i="6"/>
  <c r="B179" i="6"/>
  <c r="L178" i="6"/>
  <c r="J178" i="6"/>
  <c r="I178" i="6"/>
  <c r="H178" i="6"/>
  <c r="B178" i="6"/>
  <c r="L177" i="6"/>
  <c r="J177" i="6"/>
  <c r="I177" i="6"/>
  <c r="H177" i="6"/>
  <c r="B177" i="6"/>
  <c r="L176" i="6"/>
  <c r="J176" i="6"/>
  <c r="I176" i="6"/>
  <c r="H176" i="6"/>
  <c r="B176" i="6"/>
  <c r="L175" i="6"/>
  <c r="J175" i="6"/>
  <c r="I175" i="6"/>
  <c r="H175" i="6"/>
  <c r="B175" i="6"/>
  <c r="L174" i="6"/>
  <c r="J174" i="6"/>
  <c r="I174" i="6"/>
  <c r="H174" i="6"/>
  <c r="B174" i="6"/>
  <c r="L173" i="6"/>
  <c r="J173" i="6"/>
  <c r="I173" i="6"/>
  <c r="H173" i="6"/>
  <c r="B173" i="6"/>
  <c r="L172" i="6"/>
  <c r="J172" i="6"/>
  <c r="I172" i="6"/>
  <c r="H172" i="6"/>
  <c r="B172" i="6"/>
  <c r="L171" i="6"/>
  <c r="J171" i="6"/>
  <c r="I171" i="6"/>
  <c r="H171" i="6"/>
  <c r="B171" i="6"/>
  <c r="L170" i="6"/>
  <c r="J170" i="6"/>
  <c r="I170" i="6"/>
  <c r="H170" i="6"/>
  <c r="B170" i="6"/>
  <c r="L169" i="6"/>
  <c r="J169" i="6"/>
  <c r="I169" i="6"/>
  <c r="H169" i="6"/>
  <c r="B169" i="6"/>
  <c r="L168" i="6"/>
  <c r="J168" i="6"/>
  <c r="I168" i="6"/>
  <c r="H168" i="6"/>
  <c r="B168" i="6"/>
  <c r="L167" i="6"/>
  <c r="J167" i="6"/>
  <c r="I167" i="6"/>
  <c r="H167" i="6"/>
  <c r="B167" i="6"/>
  <c r="L166" i="6"/>
  <c r="J166" i="6"/>
  <c r="I166" i="6"/>
  <c r="H166" i="6"/>
  <c r="B166" i="6"/>
  <c r="L165" i="6"/>
  <c r="J165" i="6"/>
  <c r="I165" i="6"/>
  <c r="H165" i="6"/>
  <c r="B165" i="6"/>
  <c r="L164" i="6"/>
  <c r="J164" i="6"/>
  <c r="I164" i="6"/>
  <c r="H164" i="6"/>
  <c r="B164" i="6"/>
  <c r="L163" i="6"/>
  <c r="J163" i="6"/>
  <c r="I163" i="6"/>
  <c r="H163" i="6"/>
  <c r="B163" i="6"/>
  <c r="L162" i="6"/>
  <c r="J162" i="6"/>
  <c r="I162" i="6"/>
  <c r="H162" i="6"/>
  <c r="B162" i="6"/>
  <c r="L161" i="6"/>
  <c r="J161" i="6"/>
  <c r="I161" i="6"/>
  <c r="H161" i="6"/>
  <c r="B161" i="6"/>
  <c r="L160" i="6"/>
  <c r="J160" i="6"/>
  <c r="I160" i="6"/>
  <c r="H160" i="6"/>
  <c r="B160" i="6"/>
  <c r="L159" i="6"/>
  <c r="J159" i="6"/>
  <c r="I159" i="6"/>
  <c r="H159" i="6"/>
  <c r="B159" i="6"/>
  <c r="L158" i="6"/>
  <c r="J158" i="6"/>
  <c r="I158" i="6"/>
  <c r="H158" i="6"/>
  <c r="B158" i="6"/>
  <c r="L157" i="6"/>
  <c r="J157" i="6"/>
  <c r="I157" i="6"/>
  <c r="H157" i="6"/>
  <c r="B157" i="6"/>
  <c r="L156" i="6"/>
  <c r="J156" i="6"/>
  <c r="I156" i="6"/>
  <c r="H156" i="6"/>
  <c r="B156" i="6"/>
  <c r="L155" i="6"/>
  <c r="J155" i="6"/>
  <c r="I155" i="6"/>
  <c r="H155" i="6"/>
  <c r="B155" i="6"/>
  <c r="L154" i="6"/>
  <c r="J154" i="6"/>
  <c r="I154" i="6"/>
  <c r="H154" i="6"/>
  <c r="B154" i="6"/>
  <c r="L153" i="6"/>
  <c r="J153" i="6"/>
  <c r="I153" i="6"/>
  <c r="H153" i="6"/>
  <c r="B153" i="6"/>
  <c r="L152" i="6"/>
  <c r="J152" i="6"/>
  <c r="I152" i="6"/>
  <c r="H152" i="6"/>
  <c r="B152" i="6"/>
  <c r="L151" i="6"/>
  <c r="J151" i="6"/>
  <c r="I151" i="6"/>
  <c r="H151" i="6"/>
  <c r="B151" i="6"/>
  <c r="L150" i="6"/>
  <c r="J150" i="6"/>
  <c r="I150" i="6"/>
  <c r="H150" i="6"/>
  <c r="B150" i="6"/>
  <c r="L149" i="6"/>
  <c r="J149" i="6"/>
  <c r="I149" i="6"/>
  <c r="H149" i="6"/>
  <c r="B149" i="6"/>
  <c r="L148" i="6"/>
  <c r="J148" i="6"/>
  <c r="I148" i="6"/>
  <c r="H148" i="6"/>
  <c r="B148" i="6"/>
  <c r="L147" i="6"/>
  <c r="J147" i="6"/>
  <c r="I147" i="6"/>
  <c r="H147" i="6"/>
  <c r="B147" i="6"/>
  <c r="L146" i="6"/>
  <c r="J146" i="6"/>
  <c r="I146" i="6"/>
  <c r="H146" i="6"/>
  <c r="B146" i="6"/>
  <c r="L145" i="6"/>
  <c r="J145" i="6"/>
  <c r="I145" i="6"/>
  <c r="H145" i="6"/>
  <c r="B145" i="6"/>
  <c r="L144" i="6"/>
  <c r="J144" i="6"/>
  <c r="I144" i="6"/>
  <c r="H144" i="6"/>
  <c r="B144" i="6"/>
  <c r="L143" i="6"/>
  <c r="J143" i="6"/>
  <c r="I143" i="6"/>
  <c r="H143" i="6"/>
  <c r="B143" i="6"/>
  <c r="L142" i="6"/>
  <c r="J142" i="6"/>
  <c r="I142" i="6"/>
  <c r="H142" i="6"/>
  <c r="B142" i="6"/>
  <c r="L141" i="6"/>
  <c r="J141" i="6"/>
  <c r="I141" i="6"/>
  <c r="H141" i="6"/>
  <c r="B141" i="6"/>
  <c r="L140" i="6"/>
  <c r="J140" i="6"/>
  <c r="I140" i="6"/>
  <c r="H140" i="6"/>
  <c r="B140" i="6"/>
  <c r="L139" i="6"/>
  <c r="J139" i="6"/>
  <c r="I139" i="6"/>
  <c r="H139" i="6"/>
  <c r="B139" i="6"/>
  <c r="L138" i="6"/>
  <c r="J138" i="6"/>
  <c r="I138" i="6"/>
  <c r="H138" i="6"/>
  <c r="B138" i="6"/>
  <c r="L137" i="6"/>
  <c r="J137" i="6"/>
  <c r="I137" i="6"/>
  <c r="H137" i="6"/>
  <c r="B137" i="6"/>
  <c r="L136" i="6"/>
  <c r="J136" i="6"/>
  <c r="I136" i="6"/>
  <c r="H136" i="6"/>
  <c r="B136" i="6"/>
  <c r="L135" i="6"/>
  <c r="J135" i="6"/>
  <c r="I135" i="6"/>
  <c r="H135" i="6"/>
  <c r="B135" i="6"/>
  <c r="L134" i="6"/>
  <c r="J134" i="6"/>
  <c r="I134" i="6"/>
  <c r="H134" i="6"/>
  <c r="B134" i="6"/>
  <c r="L133" i="6"/>
  <c r="J133" i="6"/>
  <c r="I133" i="6"/>
  <c r="H133" i="6"/>
  <c r="B133" i="6"/>
  <c r="L132" i="6"/>
  <c r="J132" i="6"/>
  <c r="I132" i="6"/>
  <c r="H132" i="6"/>
  <c r="B132" i="6"/>
  <c r="L131" i="6"/>
  <c r="J131" i="6"/>
  <c r="I131" i="6"/>
  <c r="H131" i="6"/>
  <c r="B131" i="6"/>
  <c r="L130" i="6"/>
  <c r="J130" i="6"/>
  <c r="I130" i="6"/>
  <c r="H130" i="6"/>
  <c r="B130" i="6"/>
  <c r="L129" i="6"/>
  <c r="J129" i="6"/>
  <c r="I129" i="6"/>
  <c r="H129" i="6"/>
  <c r="B129" i="6"/>
  <c r="L128" i="6"/>
  <c r="J128" i="6"/>
  <c r="I128" i="6"/>
  <c r="H128" i="6"/>
  <c r="B128" i="6"/>
  <c r="L127" i="6"/>
  <c r="J127" i="6"/>
  <c r="I127" i="6"/>
  <c r="H127" i="6"/>
  <c r="B127" i="6"/>
  <c r="L126" i="6"/>
  <c r="J126" i="6"/>
  <c r="I126" i="6"/>
  <c r="H126" i="6"/>
  <c r="B126" i="6"/>
  <c r="L125" i="6"/>
  <c r="J125" i="6"/>
  <c r="I125" i="6"/>
  <c r="H125" i="6"/>
  <c r="B125" i="6"/>
  <c r="L124" i="6"/>
  <c r="J124" i="6"/>
  <c r="I124" i="6"/>
  <c r="H124" i="6"/>
  <c r="B124" i="6"/>
  <c r="L123" i="6"/>
  <c r="J123" i="6"/>
  <c r="I123" i="6"/>
  <c r="H123" i="6"/>
  <c r="B123" i="6"/>
  <c r="L122" i="6"/>
  <c r="J122" i="6"/>
  <c r="I122" i="6"/>
  <c r="H122" i="6"/>
  <c r="B122" i="6"/>
  <c r="L121" i="6"/>
  <c r="J121" i="6"/>
  <c r="I121" i="6"/>
  <c r="H121" i="6"/>
  <c r="B121" i="6"/>
  <c r="L120" i="6"/>
  <c r="J120" i="6"/>
  <c r="I120" i="6"/>
  <c r="H120" i="6"/>
  <c r="B120" i="6"/>
  <c r="L119" i="6"/>
  <c r="J119" i="6"/>
  <c r="I119" i="6"/>
  <c r="H119" i="6"/>
  <c r="B119" i="6"/>
  <c r="L118" i="6"/>
  <c r="J118" i="6"/>
  <c r="I118" i="6"/>
  <c r="H118" i="6"/>
  <c r="B118" i="6"/>
  <c r="L117" i="6"/>
  <c r="J117" i="6"/>
  <c r="I117" i="6"/>
  <c r="H117" i="6"/>
  <c r="B117" i="6"/>
  <c r="L116" i="6"/>
  <c r="J116" i="6"/>
  <c r="I116" i="6"/>
  <c r="H116" i="6"/>
  <c r="B116" i="6"/>
  <c r="L115" i="6"/>
  <c r="J115" i="6"/>
  <c r="I115" i="6"/>
  <c r="H115" i="6"/>
  <c r="B115" i="6"/>
  <c r="L114" i="6"/>
  <c r="J114" i="6"/>
  <c r="I114" i="6"/>
  <c r="H114" i="6"/>
  <c r="B114" i="6"/>
  <c r="L113" i="6"/>
  <c r="J113" i="6"/>
  <c r="I113" i="6"/>
  <c r="H113" i="6"/>
  <c r="B113" i="6"/>
  <c r="L112" i="6"/>
  <c r="J112" i="6"/>
  <c r="I112" i="6"/>
  <c r="H112" i="6"/>
  <c r="B112" i="6"/>
  <c r="L111" i="6"/>
  <c r="J111" i="6"/>
  <c r="I111" i="6"/>
  <c r="H111" i="6"/>
  <c r="B111" i="6"/>
  <c r="L110" i="6"/>
  <c r="J110" i="6"/>
  <c r="I110" i="6"/>
  <c r="H110" i="6"/>
  <c r="B110" i="6"/>
  <c r="L109" i="6"/>
  <c r="J109" i="6"/>
  <c r="I109" i="6"/>
  <c r="H109" i="6"/>
  <c r="B109" i="6"/>
  <c r="L108" i="6"/>
  <c r="J108" i="6"/>
  <c r="I108" i="6"/>
  <c r="H108" i="6"/>
  <c r="B108" i="6"/>
  <c r="L107" i="6"/>
  <c r="J107" i="6"/>
  <c r="I107" i="6"/>
  <c r="H107" i="6"/>
  <c r="B107" i="6"/>
  <c r="L106" i="6"/>
  <c r="J106" i="6"/>
  <c r="I106" i="6"/>
  <c r="H106" i="6"/>
  <c r="B106" i="6"/>
  <c r="L105" i="6"/>
  <c r="J105" i="6"/>
  <c r="I105" i="6"/>
  <c r="H105" i="6"/>
  <c r="B105" i="6"/>
  <c r="L104" i="6"/>
  <c r="J104" i="6"/>
  <c r="I104" i="6"/>
  <c r="H104" i="6"/>
  <c r="B104" i="6"/>
  <c r="L103" i="6"/>
  <c r="J103" i="6"/>
  <c r="I103" i="6"/>
  <c r="H103" i="6"/>
  <c r="B103" i="6"/>
  <c r="L102" i="6"/>
  <c r="J102" i="6"/>
  <c r="I102" i="6"/>
  <c r="H102" i="6"/>
  <c r="B102" i="6"/>
  <c r="L101" i="6"/>
  <c r="J101" i="6"/>
  <c r="I101" i="6"/>
  <c r="H101" i="6"/>
  <c r="B101" i="6"/>
  <c r="L100" i="6"/>
  <c r="J100" i="6"/>
  <c r="I100" i="6"/>
  <c r="H100" i="6"/>
  <c r="B100" i="6"/>
  <c r="L99" i="6"/>
  <c r="J99" i="6"/>
  <c r="I99" i="6"/>
  <c r="H99" i="6"/>
  <c r="B99" i="6"/>
  <c r="L98" i="6"/>
  <c r="J98" i="6"/>
  <c r="I98" i="6"/>
  <c r="H98" i="6"/>
  <c r="B98" i="6"/>
  <c r="L97" i="6"/>
  <c r="J97" i="6"/>
  <c r="I97" i="6"/>
  <c r="H97" i="6"/>
  <c r="B97" i="6"/>
  <c r="L96" i="6"/>
  <c r="J96" i="6"/>
  <c r="I96" i="6"/>
  <c r="H96" i="6"/>
  <c r="B96" i="6"/>
  <c r="L95" i="6"/>
  <c r="J95" i="6"/>
  <c r="I95" i="6"/>
  <c r="H95" i="6"/>
  <c r="B95" i="6"/>
  <c r="L94" i="6"/>
  <c r="J94" i="6"/>
  <c r="I94" i="6"/>
  <c r="H94" i="6"/>
  <c r="B94" i="6"/>
  <c r="L93" i="6"/>
  <c r="J93" i="6"/>
  <c r="I93" i="6"/>
  <c r="H93" i="6"/>
  <c r="B93" i="6"/>
  <c r="L92" i="6"/>
  <c r="J92" i="6"/>
  <c r="I92" i="6"/>
  <c r="H92" i="6"/>
  <c r="B92" i="6"/>
  <c r="L91" i="6"/>
  <c r="J91" i="6"/>
  <c r="I91" i="6"/>
  <c r="H91" i="6"/>
  <c r="B91" i="6"/>
  <c r="L90" i="6"/>
  <c r="J90" i="6"/>
  <c r="I90" i="6"/>
  <c r="H90" i="6"/>
  <c r="B90" i="6"/>
  <c r="L89" i="6"/>
  <c r="J89" i="6"/>
  <c r="I89" i="6"/>
  <c r="H89" i="6"/>
  <c r="B89" i="6"/>
  <c r="L88" i="6"/>
  <c r="J88" i="6"/>
  <c r="I88" i="6"/>
  <c r="H88" i="6"/>
  <c r="B88" i="6"/>
  <c r="L87" i="6"/>
  <c r="J87" i="6"/>
  <c r="I87" i="6"/>
  <c r="H87" i="6"/>
  <c r="B87" i="6"/>
  <c r="L86" i="6"/>
  <c r="J86" i="6"/>
  <c r="I86" i="6"/>
  <c r="H86" i="6"/>
  <c r="B86" i="6"/>
  <c r="L85" i="6"/>
  <c r="J85" i="6"/>
  <c r="I85" i="6"/>
  <c r="H85" i="6"/>
  <c r="B85" i="6"/>
  <c r="L84" i="6"/>
  <c r="J84" i="6"/>
  <c r="I84" i="6"/>
  <c r="H84" i="6"/>
  <c r="B84" i="6"/>
  <c r="L83" i="6"/>
  <c r="J83" i="6"/>
  <c r="I83" i="6"/>
  <c r="H83" i="6"/>
  <c r="B83" i="6"/>
  <c r="L82" i="6"/>
  <c r="J82" i="6"/>
  <c r="I82" i="6"/>
  <c r="H82" i="6"/>
  <c r="B82" i="6"/>
  <c r="L81" i="6"/>
  <c r="J81" i="6"/>
  <c r="I81" i="6"/>
  <c r="H81" i="6"/>
  <c r="B81" i="6"/>
  <c r="L80" i="6"/>
  <c r="J80" i="6"/>
  <c r="I80" i="6"/>
  <c r="H80" i="6"/>
  <c r="B80" i="6"/>
  <c r="L79" i="6"/>
  <c r="J79" i="6"/>
  <c r="I79" i="6"/>
  <c r="H79" i="6"/>
  <c r="B79" i="6"/>
  <c r="L78" i="6"/>
  <c r="J78" i="6"/>
  <c r="I78" i="6"/>
  <c r="H78" i="6"/>
  <c r="B78" i="6"/>
  <c r="L77" i="6"/>
  <c r="J77" i="6"/>
  <c r="I77" i="6"/>
  <c r="H77" i="6"/>
  <c r="B77" i="6"/>
  <c r="L76" i="6"/>
  <c r="J76" i="6"/>
  <c r="I76" i="6"/>
  <c r="H76" i="6"/>
  <c r="B76" i="6"/>
  <c r="L75" i="6"/>
  <c r="J75" i="6"/>
  <c r="I75" i="6"/>
  <c r="H75" i="6"/>
  <c r="B75" i="6"/>
  <c r="L74" i="6"/>
  <c r="J74" i="6"/>
  <c r="I74" i="6"/>
  <c r="H74" i="6"/>
  <c r="B74" i="6"/>
  <c r="L73" i="6"/>
  <c r="J73" i="6"/>
  <c r="I73" i="6"/>
  <c r="H73" i="6"/>
  <c r="B73" i="6"/>
  <c r="L72" i="6"/>
  <c r="J72" i="6"/>
  <c r="I72" i="6"/>
  <c r="H72" i="6"/>
  <c r="B72" i="6"/>
  <c r="L71" i="6"/>
  <c r="J71" i="6"/>
  <c r="I71" i="6"/>
  <c r="H71" i="6"/>
  <c r="B71" i="6"/>
  <c r="L70" i="6"/>
  <c r="J70" i="6"/>
  <c r="I70" i="6"/>
  <c r="H70" i="6"/>
  <c r="B70" i="6"/>
  <c r="L69" i="6"/>
  <c r="J69" i="6"/>
  <c r="I69" i="6"/>
  <c r="H69" i="6"/>
  <c r="B69" i="6"/>
  <c r="L68" i="6"/>
  <c r="J68" i="6"/>
  <c r="I68" i="6"/>
  <c r="H68" i="6"/>
  <c r="B68" i="6"/>
  <c r="L67" i="6"/>
  <c r="J67" i="6"/>
  <c r="I67" i="6"/>
  <c r="H67" i="6"/>
  <c r="B67" i="6"/>
  <c r="L66" i="6"/>
  <c r="J66" i="6"/>
  <c r="I66" i="6"/>
  <c r="H66" i="6"/>
  <c r="B66" i="6"/>
  <c r="L65" i="6"/>
  <c r="J65" i="6"/>
  <c r="I65" i="6"/>
  <c r="H65" i="6"/>
  <c r="B65" i="6"/>
  <c r="L64" i="6"/>
  <c r="J64" i="6"/>
  <c r="I64" i="6"/>
  <c r="H64" i="6"/>
  <c r="B64" i="6"/>
  <c r="L63" i="6"/>
  <c r="J63" i="6"/>
  <c r="I63" i="6"/>
  <c r="H63" i="6"/>
  <c r="B63" i="6"/>
  <c r="L62" i="6"/>
  <c r="J62" i="6"/>
  <c r="I62" i="6"/>
  <c r="H62" i="6"/>
  <c r="B62" i="6"/>
  <c r="L61" i="6"/>
  <c r="J61" i="6"/>
  <c r="I61" i="6"/>
  <c r="H61" i="6"/>
  <c r="B61" i="6"/>
  <c r="L60" i="6"/>
  <c r="J60" i="6"/>
  <c r="I60" i="6"/>
  <c r="H60" i="6"/>
  <c r="B60" i="6"/>
  <c r="L59" i="6"/>
  <c r="J59" i="6"/>
  <c r="I59" i="6"/>
  <c r="H59" i="6"/>
  <c r="B59" i="6"/>
  <c r="L58" i="6"/>
  <c r="J58" i="6"/>
  <c r="I58" i="6"/>
  <c r="H58" i="6"/>
  <c r="B58" i="6"/>
  <c r="L57" i="6"/>
  <c r="J57" i="6"/>
  <c r="I57" i="6"/>
  <c r="H57" i="6"/>
  <c r="B57" i="6"/>
  <c r="L56" i="6"/>
  <c r="J56" i="6"/>
  <c r="I56" i="6"/>
  <c r="H56" i="6"/>
  <c r="B56" i="6"/>
  <c r="L55" i="6"/>
  <c r="J55" i="6"/>
  <c r="I55" i="6"/>
  <c r="H55" i="6"/>
  <c r="B55" i="6"/>
  <c r="L54" i="6"/>
  <c r="J54" i="6"/>
  <c r="I54" i="6"/>
  <c r="H54" i="6"/>
  <c r="B54" i="6"/>
  <c r="L53" i="6"/>
  <c r="J53" i="6"/>
  <c r="I53" i="6"/>
  <c r="H53" i="6"/>
  <c r="B53" i="6"/>
  <c r="L52" i="6"/>
  <c r="J52" i="6"/>
  <c r="I52" i="6"/>
  <c r="H52" i="6"/>
  <c r="B52" i="6"/>
  <c r="L51" i="6"/>
  <c r="J51" i="6"/>
  <c r="I51" i="6"/>
  <c r="H51" i="6"/>
  <c r="B51" i="6"/>
  <c r="L50" i="6"/>
  <c r="J50" i="6"/>
  <c r="I50" i="6"/>
  <c r="H50" i="6"/>
  <c r="B50" i="6"/>
  <c r="L49" i="6"/>
  <c r="J49" i="6"/>
  <c r="I49" i="6"/>
  <c r="H49" i="6"/>
  <c r="B49" i="6"/>
  <c r="L48" i="6"/>
  <c r="J48" i="6"/>
  <c r="I48" i="6"/>
  <c r="H48" i="6"/>
  <c r="B48" i="6"/>
  <c r="L47" i="6"/>
  <c r="J47" i="6"/>
  <c r="I47" i="6"/>
  <c r="H47" i="6"/>
  <c r="B47" i="6"/>
  <c r="L46" i="6"/>
  <c r="J46" i="6"/>
  <c r="I46" i="6"/>
  <c r="H46" i="6"/>
  <c r="B46" i="6"/>
  <c r="L45" i="6"/>
  <c r="J45" i="6"/>
  <c r="I45" i="6"/>
  <c r="H45" i="6"/>
  <c r="B45" i="6"/>
  <c r="L44" i="6"/>
  <c r="J44" i="6"/>
  <c r="I44" i="6"/>
  <c r="H44" i="6"/>
  <c r="B44" i="6"/>
  <c r="L43" i="6"/>
  <c r="J43" i="6"/>
  <c r="I43" i="6"/>
  <c r="H43" i="6"/>
  <c r="B43" i="6"/>
  <c r="L42" i="6"/>
  <c r="J42" i="6"/>
  <c r="I42" i="6"/>
  <c r="H42" i="6"/>
  <c r="B42" i="6"/>
  <c r="L41" i="6"/>
  <c r="J41" i="6"/>
  <c r="I41" i="6"/>
  <c r="H41" i="6"/>
  <c r="B41" i="6"/>
  <c r="L40" i="6"/>
  <c r="J40" i="6"/>
  <c r="I40" i="6"/>
  <c r="H40" i="6"/>
  <c r="B40" i="6"/>
  <c r="L39" i="6"/>
  <c r="J39" i="6"/>
  <c r="I39" i="6"/>
  <c r="H39" i="6"/>
  <c r="B39" i="6"/>
  <c r="L38" i="6"/>
  <c r="J38" i="6"/>
  <c r="I38" i="6"/>
  <c r="H38" i="6"/>
  <c r="B38" i="6"/>
  <c r="L37" i="6"/>
  <c r="J37" i="6"/>
  <c r="I37" i="6"/>
  <c r="H37" i="6"/>
  <c r="B37" i="6"/>
  <c r="L36" i="6"/>
  <c r="J36" i="6"/>
  <c r="I36" i="6"/>
  <c r="H36" i="6"/>
  <c r="B36" i="6"/>
  <c r="L35" i="6"/>
  <c r="J35" i="6"/>
  <c r="I35" i="6"/>
  <c r="H35" i="6"/>
  <c r="B35" i="6"/>
  <c r="L34" i="6"/>
  <c r="J34" i="6"/>
  <c r="I34" i="6"/>
  <c r="H34" i="6"/>
  <c r="B34" i="6"/>
  <c r="L33" i="6"/>
  <c r="J33" i="6"/>
  <c r="I33" i="6"/>
  <c r="H33" i="6"/>
  <c r="B33" i="6"/>
  <c r="L32" i="6"/>
  <c r="J32" i="6"/>
  <c r="I32" i="6"/>
  <c r="H32" i="6"/>
  <c r="B32" i="6"/>
  <c r="L31" i="6"/>
  <c r="J31" i="6"/>
  <c r="I31" i="6"/>
  <c r="H31" i="6"/>
  <c r="B31" i="6"/>
  <c r="L30" i="6"/>
  <c r="J30" i="6"/>
  <c r="I30" i="6"/>
  <c r="H30" i="6"/>
  <c r="B30" i="6"/>
  <c r="L29" i="6"/>
  <c r="J29" i="6"/>
  <c r="I29" i="6"/>
  <c r="H29" i="6"/>
  <c r="B29" i="6"/>
  <c r="L28" i="6"/>
  <c r="J28" i="6"/>
  <c r="I28" i="6"/>
  <c r="H28" i="6"/>
  <c r="B28" i="6"/>
  <c r="L27" i="6"/>
  <c r="J27" i="6"/>
  <c r="I27" i="6"/>
  <c r="H27" i="6"/>
  <c r="B27" i="6"/>
  <c r="L26" i="6"/>
  <c r="J26" i="6"/>
  <c r="I26" i="6"/>
  <c r="H26" i="6"/>
  <c r="B26" i="6"/>
  <c r="L25" i="6"/>
  <c r="J25" i="6"/>
  <c r="I25" i="6"/>
  <c r="H25" i="6"/>
  <c r="B25" i="6"/>
  <c r="L24" i="6"/>
  <c r="J24" i="6"/>
  <c r="I24" i="6"/>
  <c r="H24" i="6"/>
  <c r="B24" i="6"/>
  <c r="L23" i="6"/>
  <c r="J23" i="6"/>
  <c r="I23" i="6"/>
  <c r="H23" i="6"/>
  <c r="B23" i="6"/>
  <c r="L22" i="6"/>
  <c r="J22" i="6"/>
  <c r="I22" i="6"/>
  <c r="H22" i="6"/>
  <c r="B22" i="6"/>
  <c r="L21" i="6"/>
  <c r="J21" i="6"/>
  <c r="I21" i="6"/>
  <c r="H21" i="6"/>
  <c r="B21" i="6"/>
  <c r="L20" i="6"/>
  <c r="J20" i="6"/>
  <c r="I20" i="6"/>
  <c r="H20" i="6"/>
  <c r="B20" i="6"/>
  <c r="L19" i="6"/>
  <c r="J19" i="6"/>
  <c r="I19" i="6"/>
  <c r="H19" i="6"/>
  <c r="B19" i="6"/>
  <c r="L18" i="6"/>
  <c r="J18" i="6"/>
  <c r="I18" i="6"/>
  <c r="H18" i="6"/>
  <c r="B18" i="6"/>
  <c r="L17" i="6"/>
  <c r="J17" i="6"/>
  <c r="I17" i="6"/>
  <c r="H17" i="6"/>
  <c r="B17" i="6"/>
  <c r="L16" i="6"/>
  <c r="J16" i="6"/>
  <c r="I16" i="6"/>
  <c r="H16" i="6"/>
  <c r="B16" i="6"/>
  <c r="L15" i="6"/>
  <c r="J15" i="6"/>
  <c r="I15" i="6"/>
  <c r="H15" i="6"/>
  <c r="B15" i="6"/>
  <c r="L14" i="6"/>
  <c r="J14" i="6"/>
  <c r="I14" i="6"/>
  <c r="H14" i="6"/>
  <c r="B14" i="6"/>
  <c r="L13" i="6"/>
  <c r="J13" i="6"/>
  <c r="I13" i="6"/>
  <c r="H13" i="6"/>
  <c r="B13" i="6"/>
  <c r="L12" i="6"/>
  <c r="J12" i="6"/>
  <c r="I12" i="6"/>
  <c r="H12" i="6"/>
  <c r="B12" i="6"/>
  <c r="L11" i="6"/>
  <c r="J11" i="6"/>
  <c r="I11" i="6"/>
  <c r="H11" i="6"/>
  <c r="B11" i="6"/>
  <c r="L10" i="6"/>
  <c r="J10" i="6"/>
  <c r="I10" i="6"/>
  <c r="H10" i="6"/>
  <c r="B10" i="6"/>
  <c r="L9" i="6"/>
  <c r="J9" i="6"/>
  <c r="I9" i="6"/>
  <c r="H9" i="6"/>
  <c r="B9" i="6"/>
  <c r="L8" i="6"/>
  <c r="J8" i="6"/>
  <c r="I8" i="6"/>
  <c r="H8" i="6"/>
  <c r="B8" i="6"/>
  <c r="L7" i="6"/>
  <c r="J7" i="6"/>
  <c r="I7" i="6"/>
  <c r="H7" i="6"/>
  <c r="B7" i="6"/>
  <c r="L6" i="6"/>
  <c r="J6" i="6"/>
  <c r="I6" i="6"/>
  <c r="H6" i="6"/>
  <c r="B6" i="6"/>
  <c r="L5" i="6"/>
  <c r="J5" i="6"/>
  <c r="I5" i="6"/>
  <c r="H5" i="6"/>
  <c r="B5" i="6"/>
  <c r="L4" i="6"/>
  <c r="J4" i="6"/>
  <c r="I4" i="6"/>
  <c r="H4" i="6"/>
  <c r="B4" i="6"/>
  <c r="E203" i="5"/>
  <c r="D203" i="5"/>
  <c r="E202" i="5"/>
  <c r="D202" i="5"/>
  <c r="E201" i="5"/>
  <c r="D201" i="5"/>
  <c r="E200" i="5"/>
  <c r="D200" i="5"/>
  <c r="E199" i="5"/>
  <c r="D199" i="5"/>
  <c r="E198" i="5"/>
  <c r="D198" i="5"/>
  <c r="E197" i="5"/>
  <c r="D197" i="5"/>
  <c r="E196" i="5"/>
  <c r="D196" i="5"/>
  <c r="E195" i="5"/>
  <c r="D195" i="5"/>
  <c r="E194" i="5"/>
  <c r="D194" i="5"/>
  <c r="E193" i="5"/>
  <c r="D193" i="5"/>
  <c r="E192" i="5"/>
  <c r="D192" i="5"/>
  <c r="E191" i="5"/>
  <c r="D191" i="5"/>
  <c r="E190" i="5"/>
  <c r="D190" i="5"/>
  <c r="E189" i="5"/>
  <c r="D189" i="5"/>
  <c r="E188" i="5"/>
  <c r="D188" i="5"/>
  <c r="E187" i="5"/>
  <c r="D187" i="5"/>
  <c r="E186" i="5"/>
  <c r="D186" i="5"/>
  <c r="E185" i="5"/>
  <c r="D185" i="5"/>
  <c r="E184" i="5"/>
  <c r="D184" i="5"/>
  <c r="E183" i="5"/>
  <c r="D183" i="5"/>
  <c r="E182" i="5"/>
  <c r="D182" i="5"/>
  <c r="E181" i="5"/>
  <c r="D181" i="5"/>
  <c r="E180" i="5"/>
  <c r="D180" i="5"/>
  <c r="E179" i="5"/>
  <c r="D179" i="5"/>
  <c r="E178" i="5"/>
  <c r="D178" i="5"/>
  <c r="E177" i="5"/>
  <c r="D177" i="5"/>
  <c r="E176" i="5"/>
  <c r="D176" i="5"/>
  <c r="E175" i="5"/>
  <c r="D175" i="5"/>
  <c r="E174" i="5"/>
  <c r="D174" i="5"/>
  <c r="E173" i="5"/>
  <c r="D173" i="5"/>
  <c r="E172" i="5"/>
  <c r="D172" i="5"/>
  <c r="E171" i="5"/>
  <c r="D171" i="5"/>
  <c r="E170" i="5"/>
  <c r="D170" i="5"/>
  <c r="E169" i="5"/>
  <c r="D169" i="5"/>
  <c r="E168" i="5"/>
  <c r="D168" i="5"/>
  <c r="E167" i="5"/>
  <c r="D167" i="5"/>
  <c r="E166" i="5"/>
  <c r="D166" i="5"/>
  <c r="E165" i="5"/>
  <c r="D165" i="5"/>
  <c r="E164" i="5"/>
  <c r="D164" i="5"/>
  <c r="E163" i="5"/>
  <c r="D163" i="5"/>
  <c r="E162" i="5"/>
  <c r="D162" i="5"/>
  <c r="E161" i="5"/>
  <c r="D161" i="5"/>
  <c r="E160" i="5"/>
  <c r="D160" i="5"/>
  <c r="E159" i="5"/>
  <c r="D159" i="5"/>
  <c r="E158" i="5"/>
  <c r="D158" i="5"/>
  <c r="E157" i="5"/>
  <c r="D157" i="5"/>
  <c r="E156" i="5"/>
  <c r="D156" i="5"/>
  <c r="E155" i="5"/>
  <c r="D155" i="5"/>
  <c r="E154" i="5"/>
  <c r="D154" i="5"/>
  <c r="E153" i="5"/>
  <c r="D153" i="5"/>
  <c r="E152" i="5"/>
  <c r="D152" i="5"/>
  <c r="E151" i="5"/>
  <c r="D151" i="5"/>
  <c r="E150" i="5"/>
  <c r="D150" i="5"/>
  <c r="E149" i="5"/>
  <c r="D149" i="5"/>
  <c r="E148" i="5"/>
  <c r="D148" i="5"/>
  <c r="E147" i="5"/>
  <c r="D147" i="5"/>
  <c r="E146" i="5"/>
  <c r="D146" i="5"/>
  <c r="E145" i="5"/>
  <c r="D145" i="5"/>
  <c r="E144" i="5"/>
  <c r="D144" i="5"/>
  <c r="E143" i="5"/>
  <c r="D143" i="5"/>
  <c r="E142" i="5"/>
  <c r="D142" i="5"/>
  <c r="E141" i="5"/>
  <c r="D141" i="5"/>
  <c r="E140" i="5"/>
  <c r="D140" i="5"/>
  <c r="E139" i="5"/>
  <c r="D139" i="5"/>
  <c r="E138" i="5"/>
  <c r="D138" i="5"/>
  <c r="E137" i="5"/>
  <c r="D137" i="5"/>
  <c r="E136" i="5"/>
  <c r="D136" i="5"/>
  <c r="E135" i="5"/>
  <c r="D135" i="5"/>
  <c r="E134" i="5"/>
  <c r="D134" i="5"/>
  <c r="E133" i="5"/>
  <c r="D133" i="5"/>
  <c r="E132" i="5"/>
  <c r="D132" i="5"/>
  <c r="E131" i="5"/>
  <c r="D131" i="5"/>
  <c r="E130" i="5"/>
  <c r="D130" i="5"/>
  <c r="E129" i="5"/>
  <c r="D129" i="5"/>
  <c r="E128" i="5"/>
  <c r="D128" i="5"/>
  <c r="E127" i="5"/>
  <c r="D127" i="5"/>
  <c r="E126" i="5"/>
  <c r="D126" i="5"/>
  <c r="E125" i="5"/>
  <c r="D125" i="5"/>
  <c r="E124" i="5"/>
  <c r="D124" i="5"/>
  <c r="E123" i="5"/>
  <c r="D123" i="5"/>
  <c r="E122" i="5"/>
  <c r="D122" i="5"/>
  <c r="E121" i="5"/>
  <c r="D121" i="5"/>
  <c r="E120" i="5"/>
  <c r="D120" i="5"/>
  <c r="E119" i="5"/>
  <c r="D119" i="5"/>
  <c r="E118" i="5"/>
  <c r="D118" i="5"/>
  <c r="E117" i="5"/>
  <c r="D117" i="5"/>
  <c r="E116" i="5"/>
  <c r="D116" i="5"/>
  <c r="E115" i="5"/>
  <c r="D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R7" i="4"/>
  <c r="Q7" i="4"/>
  <c r="O7" i="4"/>
  <c r="C7" i="4"/>
  <c r="R6" i="4"/>
  <c r="Q6" i="4"/>
  <c r="O6" i="4"/>
  <c r="C6" i="4"/>
  <c r="R5" i="4"/>
  <c r="Q5" i="4"/>
  <c r="O5" i="4"/>
  <c r="C5" i="4"/>
  <c r="H504" i="2"/>
  <c r="G504" i="2"/>
  <c r="C504" i="2"/>
  <c r="H503" i="2"/>
  <c r="G503" i="2"/>
  <c r="C503" i="2"/>
  <c r="H502" i="2"/>
  <c r="G502" i="2"/>
  <c r="C502" i="2"/>
  <c r="H501" i="2"/>
  <c r="G501" i="2"/>
  <c r="C501" i="2"/>
  <c r="H500" i="2"/>
  <c r="G500" i="2"/>
  <c r="C500" i="2"/>
  <c r="H499" i="2"/>
  <c r="G499" i="2"/>
  <c r="C499" i="2"/>
  <c r="H498" i="2"/>
  <c r="G498" i="2"/>
  <c r="C498" i="2"/>
  <c r="H497" i="2"/>
  <c r="G497" i="2"/>
  <c r="C497" i="2"/>
  <c r="H496" i="2"/>
  <c r="G496" i="2"/>
  <c r="C496" i="2"/>
  <c r="H495" i="2"/>
  <c r="G495" i="2"/>
  <c r="C495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5" i="2"/>
  <c r="G485" i="2"/>
  <c r="C485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5" i="2"/>
  <c r="G475" i="2"/>
  <c r="C475" i="2"/>
  <c r="H474" i="2"/>
  <c r="G474" i="2"/>
  <c r="C474" i="2"/>
  <c r="H473" i="2"/>
  <c r="G473" i="2"/>
  <c r="C473" i="2"/>
  <c r="H472" i="2"/>
  <c r="G472" i="2"/>
  <c r="C472" i="2"/>
  <c r="H471" i="2"/>
  <c r="G471" i="2"/>
  <c r="C471" i="2"/>
  <c r="H470" i="2"/>
  <c r="G470" i="2"/>
  <c r="C470" i="2"/>
  <c r="H469" i="2"/>
  <c r="G469" i="2"/>
  <c r="C469" i="2"/>
  <c r="H468" i="2"/>
  <c r="G468" i="2"/>
  <c r="C468" i="2"/>
  <c r="H467" i="2"/>
  <c r="G467" i="2"/>
  <c r="C467" i="2"/>
  <c r="H466" i="2"/>
  <c r="G466" i="2"/>
  <c r="C466" i="2"/>
  <c r="H465" i="2"/>
  <c r="G465" i="2"/>
  <c r="C465" i="2"/>
  <c r="H464" i="2"/>
  <c r="G464" i="2"/>
  <c r="C464" i="2"/>
  <c r="H463" i="2"/>
  <c r="G463" i="2"/>
  <c r="C463" i="2"/>
  <c r="H462" i="2"/>
  <c r="G462" i="2"/>
  <c r="C462" i="2"/>
  <c r="H461" i="2"/>
  <c r="G461" i="2"/>
  <c r="C461" i="2"/>
  <c r="H460" i="2"/>
  <c r="G460" i="2"/>
  <c r="C460" i="2"/>
  <c r="H459" i="2"/>
  <c r="G459" i="2"/>
  <c r="C459" i="2"/>
  <c r="H458" i="2"/>
  <c r="G458" i="2"/>
  <c r="C458" i="2"/>
  <c r="H457" i="2"/>
  <c r="G457" i="2"/>
  <c r="C457" i="2"/>
  <c r="H456" i="2"/>
  <c r="G456" i="2"/>
  <c r="C456" i="2"/>
  <c r="H455" i="2"/>
  <c r="G455" i="2"/>
  <c r="C455" i="2"/>
  <c r="H454" i="2"/>
  <c r="G454" i="2"/>
  <c r="C454" i="2"/>
  <c r="H453" i="2"/>
  <c r="G453" i="2"/>
  <c r="C453" i="2"/>
  <c r="H452" i="2"/>
  <c r="G452" i="2"/>
  <c r="C452" i="2"/>
  <c r="H451" i="2"/>
  <c r="G451" i="2"/>
  <c r="C451" i="2"/>
  <c r="H450" i="2"/>
  <c r="G450" i="2"/>
  <c r="C450" i="2"/>
  <c r="H449" i="2"/>
  <c r="G449" i="2"/>
  <c r="C449" i="2"/>
  <c r="H448" i="2"/>
  <c r="G448" i="2"/>
  <c r="C448" i="2"/>
  <c r="H447" i="2"/>
  <c r="G447" i="2"/>
  <c r="C447" i="2"/>
  <c r="H446" i="2"/>
  <c r="G446" i="2"/>
  <c r="C446" i="2"/>
  <c r="H445" i="2"/>
  <c r="G445" i="2"/>
  <c r="C445" i="2"/>
  <c r="H444" i="2"/>
  <c r="G444" i="2"/>
  <c r="C444" i="2"/>
  <c r="H443" i="2"/>
  <c r="G443" i="2"/>
  <c r="C443" i="2"/>
  <c r="H442" i="2"/>
  <c r="G442" i="2"/>
  <c r="C442" i="2"/>
  <c r="H441" i="2"/>
  <c r="G441" i="2"/>
  <c r="C441" i="2"/>
  <c r="H440" i="2"/>
  <c r="G440" i="2"/>
  <c r="C440" i="2"/>
  <c r="H439" i="2"/>
  <c r="G439" i="2"/>
  <c r="C439" i="2"/>
  <c r="H438" i="2"/>
  <c r="G438" i="2"/>
  <c r="C438" i="2"/>
  <c r="H437" i="2"/>
  <c r="G437" i="2"/>
  <c r="C437" i="2"/>
  <c r="H436" i="2"/>
  <c r="G436" i="2"/>
  <c r="C436" i="2"/>
  <c r="H435" i="2"/>
  <c r="G435" i="2"/>
  <c r="C435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5" i="2"/>
  <c r="G425" i="2"/>
  <c r="C425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5" i="2"/>
  <c r="G415" i="2"/>
  <c r="C415" i="2"/>
  <c r="H414" i="2"/>
  <c r="G414" i="2"/>
  <c r="C414" i="2"/>
  <c r="H413" i="2"/>
  <c r="G413" i="2"/>
  <c r="C413" i="2"/>
  <c r="H412" i="2"/>
  <c r="G412" i="2"/>
  <c r="C412" i="2"/>
  <c r="H411" i="2"/>
  <c r="G411" i="2"/>
  <c r="C411" i="2"/>
  <c r="H410" i="2"/>
  <c r="G410" i="2"/>
  <c r="C410" i="2"/>
  <c r="H409" i="2"/>
  <c r="G409" i="2"/>
  <c r="C409" i="2"/>
  <c r="H408" i="2"/>
  <c r="G408" i="2"/>
  <c r="C408" i="2"/>
  <c r="H407" i="2"/>
  <c r="G407" i="2"/>
  <c r="C407" i="2"/>
  <c r="H406" i="2"/>
  <c r="G406" i="2"/>
  <c r="C406" i="2"/>
  <c r="H405" i="2"/>
  <c r="G405" i="2"/>
  <c r="C405" i="2"/>
  <c r="H404" i="2"/>
  <c r="G404" i="2"/>
  <c r="C404" i="2"/>
  <c r="H403" i="2"/>
  <c r="G403" i="2"/>
  <c r="C403" i="2"/>
  <c r="H402" i="2"/>
  <c r="G402" i="2"/>
  <c r="C402" i="2"/>
  <c r="H401" i="2"/>
  <c r="G401" i="2"/>
  <c r="C401" i="2"/>
  <c r="H400" i="2"/>
  <c r="G400" i="2"/>
  <c r="C400" i="2"/>
  <c r="H399" i="2"/>
  <c r="G399" i="2"/>
  <c r="C399" i="2"/>
  <c r="H398" i="2"/>
  <c r="G398" i="2"/>
  <c r="C398" i="2"/>
  <c r="H397" i="2"/>
  <c r="G397" i="2"/>
  <c r="C397" i="2"/>
  <c r="H396" i="2"/>
  <c r="G396" i="2"/>
  <c r="C396" i="2"/>
  <c r="H395" i="2"/>
  <c r="G395" i="2"/>
  <c r="C395" i="2"/>
  <c r="H394" i="2"/>
  <c r="G394" i="2"/>
  <c r="C394" i="2"/>
  <c r="H393" i="2"/>
  <c r="G393" i="2"/>
  <c r="C393" i="2"/>
  <c r="H392" i="2"/>
  <c r="G392" i="2"/>
  <c r="C392" i="2"/>
  <c r="H391" i="2"/>
  <c r="G391" i="2"/>
  <c r="C391" i="2"/>
  <c r="H390" i="2"/>
  <c r="G390" i="2"/>
  <c r="C390" i="2"/>
  <c r="H389" i="2"/>
  <c r="G389" i="2"/>
  <c r="C389" i="2"/>
  <c r="H388" i="2"/>
  <c r="G388" i="2"/>
  <c r="C388" i="2"/>
  <c r="H387" i="2"/>
  <c r="G387" i="2"/>
  <c r="C387" i="2"/>
  <c r="H386" i="2"/>
  <c r="G386" i="2"/>
  <c r="C386" i="2"/>
  <c r="H385" i="2"/>
  <c r="G385" i="2"/>
  <c r="C385" i="2"/>
  <c r="H384" i="2"/>
  <c r="G384" i="2"/>
  <c r="C384" i="2"/>
  <c r="H383" i="2"/>
  <c r="G383" i="2"/>
  <c r="C383" i="2"/>
  <c r="H382" i="2"/>
  <c r="G382" i="2"/>
  <c r="C382" i="2"/>
  <c r="H381" i="2"/>
  <c r="G381" i="2"/>
  <c r="C381" i="2"/>
  <c r="H380" i="2"/>
  <c r="G380" i="2"/>
  <c r="C380" i="2"/>
  <c r="H379" i="2"/>
  <c r="G379" i="2"/>
  <c r="C379" i="2"/>
  <c r="H378" i="2"/>
  <c r="G378" i="2"/>
  <c r="C378" i="2"/>
  <c r="H377" i="2"/>
  <c r="G377" i="2"/>
  <c r="C377" i="2"/>
  <c r="H376" i="2"/>
  <c r="G376" i="2"/>
  <c r="C376" i="2"/>
  <c r="H375" i="2"/>
  <c r="G375" i="2"/>
  <c r="C375" i="2"/>
  <c r="H374" i="2"/>
  <c r="G374" i="2"/>
  <c r="C374" i="2"/>
  <c r="H373" i="2"/>
  <c r="G373" i="2"/>
  <c r="C373" i="2"/>
  <c r="H372" i="2"/>
  <c r="G372" i="2"/>
  <c r="C372" i="2"/>
  <c r="H371" i="2"/>
  <c r="G371" i="2"/>
  <c r="C371" i="2"/>
  <c r="H370" i="2"/>
  <c r="G370" i="2"/>
  <c r="C370" i="2"/>
  <c r="H369" i="2"/>
  <c r="G369" i="2"/>
  <c r="C369" i="2"/>
  <c r="H368" i="2"/>
  <c r="G368" i="2"/>
  <c r="C368" i="2"/>
  <c r="H367" i="2"/>
  <c r="G367" i="2"/>
  <c r="C367" i="2"/>
  <c r="H366" i="2"/>
  <c r="G366" i="2"/>
  <c r="C366" i="2"/>
  <c r="H365" i="2"/>
  <c r="G365" i="2"/>
  <c r="C365" i="2"/>
  <c r="H364" i="2"/>
  <c r="G364" i="2"/>
  <c r="C364" i="2"/>
  <c r="H363" i="2"/>
  <c r="G363" i="2"/>
  <c r="C363" i="2"/>
  <c r="H362" i="2"/>
  <c r="G362" i="2"/>
  <c r="C362" i="2"/>
  <c r="H361" i="2"/>
  <c r="G361" i="2"/>
  <c r="C361" i="2"/>
  <c r="H360" i="2"/>
  <c r="G360" i="2"/>
  <c r="C360" i="2"/>
  <c r="H359" i="2"/>
  <c r="G359" i="2"/>
  <c r="C359" i="2"/>
  <c r="H358" i="2"/>
  <c r="G358" i="2"/>
  <c r="C358" i="2"/>
  <c r="H357" i="2"/>
  <c r="G357" i="2"/>
  <c r="C357" i="2"/>
  <c r="H356" i="2"/>
  <c r="G356" i="2"/>
  <c r="C356" i="2"/>
  <c r="H355" i="2"/>
  <c r="G355" i="2"/>
  <c r="C355" i="2"/>
  <c r="H354" i="2"/>
  <c r="G354" i="2"/>
  <c r="C354" i="2"/>
  <c r="H353" i="2"/>
  <c r="G353" i="2"/>
  <c r="C353" i="2"/>
  <c r="H352" i="2"/>
  <c r="G352" i="2"/>
  <c r="C352" i="2"/>
  <c r="H351" i="2"/>
  <c r="G351" i="2"/>
  <c r="C351" i="2"/>
  <c r="H350" i="2"/>
  <c r="G350" i="2"/>
  <c r="C350" i="2"/>
  <c r="H349" i="2"/>
  <c r="G349" i="2"/>
  <c r="C349" i="2"/>
  <c r="H348" i="2"/>
  <c r="G348" i="2"/>
  <c r="C348" i="2"/>
  <c r="H347" i="2"/>
  <c r="G347" i="2"/>
  <c r="C347" i="2"/>
  <c r="H346" i="2"/>
  <c r="G346" i="2"/>
  <c r="C346" i="2"/>
  <c r="H345" i="2"/>
  <c r="G345" i="2"/>
  <c r="C345" i="2"/>
  <c r="H344" i="2"/>
  <c r="G344" i="2"/>
  <c r="C344" i="2"/>
  <c r="H343" i="2"/>
  <c r="G343" i="2"/>
  <c r="C343" i="2"/>
  <c r="H342" i="2"/>
  <c r="G342" i="2"/>
  <c r="C342" i="2"/>
  <c r="H341" i="2"/>
  <c r="G341" i="2"/>
  <c r="C341" i="2"/>
  <c r="H340" i="2"/>
  <c r="G340" i="2"/>
  <c r="C340" i="2"/>
  <c r="H339" i="2"/>
  <c r="G339" i="2"/>
  <c r="C339" i="2"/>
  <c r="H338" i="2"/>
  <c r="G338" i="2"/>
  <c r="C338" i="2"/>
  <c r="H337" i="2"/>
  <c r="G337" i="2"/>
  <c r="C337" i="2"/>
  <c r="H336" i="2"/>
  <c r="G336" i="2"/>
  <c r="C336" i="2"/>
  <c r="H335" i="2"/>
  <c r="G335" i="2"/>
  <c r="C335" i="2"/>
  <c r="H334" i="2"/>
  <c r="G334" i="2"/>
  <c r="C334" i="2"/>
  <c r="H333" i="2"/>
  <c r="G333" i="2"/>
  <c r="C333" i="2"/>
  <c r="H332" i="2"/>
  <c r="G332" i="2"/>
  <c r="C332" i="2"/>
  <c r="H331" i="2"/>
  <c r="G331" i="2"/>
  <c r="C331" i="2"/>
  <c r="H330" i="2"/>
  <c r="G330" i="2"/>
  <c r="C330" i="2"/>
  <c r="H329" i="2"/>
  <c r="G329" i="2"/>
  <c r="C329" i="2"/>
  <c r="H328" i="2"/>
  <c r="G328" i="2"/>
  <c r="C328" i="2"/>
  <c r="H327" i="2"/>
  <c r="G327" i="2"/>
  <c r="C327" i="2"/>
  <c r="H326" i="2"/>
  <c r="G326" i="2"/>
  <c r="C326" i="2"/>
  <c r="H325" i="2"/>
  <c r="G325" i="2"/>
  <c r="C325" i="2"/>
  <c r="H324" i="2"/>
  <c r="G324" i="2"/>
  <c r="C324" i="2"/>
  <c r="H323" i="2"/>
  <c r="G323" i="2"/>
  <c r="C323" i="2"/>
  <c r="H322" i="2"/>
  <c r="G322" i="2"/>
  <c r="C322" i="2"/>
  <c r="H321" i="2"/>
  <c r="G321" i="2"/>
  <c r="C321" i="2"/>
  <c r="H320" i="2"/>
  <c r="G320" i="2"/>
  <c r="C320" i="2"/>
  <c r="H319" i="2"/>
  <c r="G319" i="2"/>
  <c r="C319" i="2"/>
  <c r="H318" i="2"/>
  <c r="G318" i="2"/>
  <c r="C318" i="2"/>
  <c r="H317" i="2"/>
  <c r="G317" i="2"/>
  <c r="C317" i="2"/>
  <c r="H316" i="2"/>
  <c r="G316" i="2"/>
  <c r="C316" i="2"/>
  <c r="H315" i="2"/>
  <c r="G315" i="2"/>
  <c r="C315" i="2"/>
  <c r="H314" i="2"/>
  <c r="G314" i="2"/>
  <c r="C314" i="2"/>
  <c r="H313" i="2"/>
  <c r="G313" i="2"/>
  <c r="C313" i="2"/>
  <c r="H312" i="2"/>
  <c r="G312" i="2"/>
  <c r="C312" i="2"/>
  <c r="H311" i="2"/>
  <c r="G311" i="2"/>
  <c r="C311" i="2"/>
  <c r="H310" i="2"/>
  <c r="G310" i="2"/>
  <c r="C310" i="2"/>
  <c r="H309" i="2"/>
  <c r="G309" i="2"/>
  <c r="C309" i="2"/>
  <c r="H308" i="2"/>
  <c r="G308" i="2"/>
  <c r="C308" i="2"/>
  <c r="H307" i="2"/>
  <c r="G307" i="2"/>
  <c r="C307" i="2"/>
  <c r="H306" i="2"/>
  <c r="G306" i="2"/>
  <c r="C306" i="2"/>
  <c r="H305" i="2"/>
  <c r="G305" i="2"/>
  <c r="C305" i="2"/>
  <c r="H304" i="2"/>
  <c r="G304" i="2"/>
  <c r="C304" i="2"/>
  <c r="H303" i="2"/>
  <c r="G303" i="2"/>
  <c r="C303" i="2"/>
  <c r="H302" i="2"/>
  <c r="G302" i="2"/>
  <c r="C302" i="2"/>
  <c r="H301" i="2"/>
  <c r="G301" i="2"/>
  <c r="C301" i="2"/>
  <c r="H300" i="2"/>
  <c r="G300" i="2"/>
  <c r="C300" i="2"/>
  <c r="H299" i="2"/>
  <c r="G299" i="2"/>
  <c r="C299" i="2"/>
  <c r="H298" i="2"/>
  <c r="G298" i="2"/>
  <c r="C298" i="2"/>
  <c r="H297" i="2"/>
  <c r="G297" i="2"/>
  <c r="C297" i="2"/>
  <c r="H296" i="2"/>
  <c r="G296" i="2"/>
  <c r="C296" i="2"/>
  <c r="H295" i="2"/>
  <c r="G295" i="2"/>
  <c r="C295" i="2"/>
  <c r="H294" i="2"/>
  <c r="G294" i="2"/>
  <c r="C294" i="2"/>
  <c r="H293" i="2"/>
  <c r="G293" i="2"/>
  <c r="C293" i="2"/>
  <c r="H292" i="2"/>
  <c r="G292" i="2"/>
  <c r="C292" i="2"/>
  <c r="H291" i="2"/>
  <c r="G291" i="2"/>
  <c r="C291" i="2"/>
  <c r="H290" i="2"/>
  <c r="G290" i="2"/>
  <c r="C290" i="2"/>
  <c r="H289" i="2"/>
  <c r="G289" i="2"/>
  <c r="C289" i="2"/>
  <c r="H288" i="2"/>
  <c r="G288" i="2"/>
  <c r="C288" i="2"/>
  <c r="H287" i="2"/>
  <c r="G287" i="2"/>
  <c r="C287" i="2"/>
  <c r="H286" i="2"/>
  <c r="G286" i="2"/>
  <c r="C286" i="2"/>
  <c r="H285" i="2"/>
  <c r="G285" i="2"/>
  <c r="C285" i="2"/>
  <c r="H284" i="2"/>
  <c r="G284" i="2"/>
  <c r="C284" i="2"/>
  <c r="H283" i="2"/>
  <c r="G283" i="2"/>
  <c r="C283" i="2"/>
  <c r="H282" i="2"/>
  <c r="G282" i="2"/>
  <c r="C282" i="2"/>
  <c r="H281" i="2"/>
  <c r="G281" i="2"/>
  <c r="C281" i="2"/>
  <c r="H280" i="2"/>
  <c r="G280" i="2"/>
  <c r="C280" i="2"/>
  <c r="H279" i="2"/>
  <c r="G279" i="2"/>
  <c r="C279" i="2"/>
  <c r="H278" i="2"/>
  <c r="G278" i="2"/>
  <c r="C278" i="2"/>
  <c r="H277" i="2"/>
  <c r="G277" i="2"/>
  <c r="C277" i="2"/>
  <c r="H276" i="2"/>
  <c r="G276" i="2"/>
  <c r="C276" i="2"/>
  <c r="H275" i="2"/>
  <c r="G275" i="2"/>
  <c r="C275" i="2"/>
  <c r="H274" i="2"/>
  <c r="G274" i="2"/>
  <c r="C274" i="2"/>
  <c r="H273" i="2"/>
  <c r="G273" i="2"/>
  <c r="C273" i="2"/>
  <c r="H272" i="2"/>
  <c r="G272" i="2"/>
  <c r="C272" i="2"/>
  <c r="H271" i="2"/>
  <c r="G271" i="2"/>
  <c r="C271" i="2"/>
  <c r="H270" i="2"/>
  <c r="G270" i="2"/>
  <c r="C270" i="2"/>
  <c r="H269" i="2"/>
  <c r="G269" i="2"/>
  <c r="C269" i="2"/>
  <c r="H268" i="2"/>
  <c r="G268" i="2"/>
  <c r="C268" i="2"/>
  <c r="H267" i="2"/>
  <c r="G267" i="2"/>
  <c r="C267" i="2"/>
  <c r="H266" i="2"/>
  <c r="G266" i="2"/>
  <c r="C266" i="2"/>
  <c r="H265" i="2"/>
  <c r="G265" i="2"/>
  <c r="C265" i="2"/>
  <c r="H264" i="2"/>
  <c r="G264" i="2"/>
  <c r="C264" i="2"/>
  <c r="H263" i="2"/>
  <c r="G263" i="2"/>
  <c r="C263" i="2"/>
  <c r="H262" i="2"/>
  <c r="G262" i="2"/>
  <c r="C262" i="2"/>
  <c r="H261" i="2"/>
  <c r="G261" i="2"/>
  <c r="C261" i="2"/>
  <c r="H260" i="2"/>
  <c r="G260" i="2"/>
  <c r="C260" i="2"/>
  <c r="H259" i="2"/>
  <c r="G259" i="2"/>
  <c r="C259" i="2"/>
  <c r="H258" i="2"/>
  <c r="G258" i="2"/>
  <c r="C258" i="2"/>
  <c r="H257" i="2"/>
  <c r="G257" i="2"/>
  <c r="C257" i="2"/>
  <c r="H256" i="2"/>
  <c r="G256" i="2"/>
  <c r="C256" i="2"/>
  <c r="H255" i="2"/>
  <c r="G255" i="2"/>
  <c r="C255" i="2"/>
  <c r="H254" i="2"/>
  <c r="G254" i="2"/>
  <c r="C254" i="2"/>
  <c r="H253" i="2"/>
  <c r="G253" i="2"/>
  <c r="C253" i="2"/>
  <c r="H252" i="2"/>
  <c r="G252" i="2"/>
  <c r="C252" i="2"/>
  <c r="H251" i="2"/>
  <c r="G251" i="2"/>
  <c r="C251" i="2"/>
  <c r="H250" i="2"/>
  <c r="G250" i="2"/>
  <c r="C250" i="2"/>
  <c r="H249" i="2"/>
  <c r="G249" i="2"/>
  <c r="C249" i="2"/>
  <c r="H248" i="2"/>
  <c r="G248" i="2"/>
  <c r="C248" i="2"/>
  <c r="H247" i="2"/>
  <c r="G247" i="2"/>
  <c r="C247" i="2"/>
  <c r="H246" i="2"/>
  <c r="G246" i="2"/>
  <c r="C246" i="2"/>
  <c r="H245" i="2"/>
  <c r="G245" i="2"/>
  <c r="C245" i="2"/>
  <c r="H244" i="2"/>
  <c r="G244" i="2"/>
  <c r="C244" i="2"/>
  <c r="H243" i="2"/>
  <c r="G243" i="2"/>
  <c r="C243" i="2"/>
  <c r="H242" i="2"/>
  <c r="G242" i="2"/>
  <c r="C242" i="2"/>
  <c r="H241" i="2"/>
  <c r="G241" i="2"/>
  <c r="C241" i="2"/>
  <c r="H240" i="2"/>
  <c r="G240" i="2"/>
  <c r="C240" i="2"/>
  <c r="H239" i="2"/>
  <c r="G239" i="2"/>
  <c r="C239" i="2"/>
  <c r="H238" i="2"/>
  <c r="G238" i="2"/>
  <c r="C238" i="2"/>
  <c r="H237" i="2"/>
  <c r="G237" i="2"/>
  <c r="C237" i="2"/>
  <c r="H236" i="2"/>
  <c r="G236" i="2"/>
  <c r="C236" i="2"/>
  <c r="H235" i="2"/>
  <c r="G235" i="2"/>
  <c r="C235" i="2"/>
  <c r="H234" i="2"/>
  <c r="G234" i="2"/>
  <c r="C234" i="2"/>
  <c r="H233" i="2"/>
  <c r="G233" i="2"/>
  <c r="C233" i="2"/>
  <c r="H232" i="2"/>
  <c r="G232" i="2"/>
  <c r="C232" i="2"/>
  <c r="H231" i="2"/>
  <c r="G231" i="2"/>
  <c r="C231" i="2"/>
  <c r="H230" i="2"/>
  <c r="G230" i="2"/>
  <c r="C230" i="2"/>
  <c r="H229" i="2"/>
  <c r="G229" i="2"/>
  <c r="C229" i="2"/>
  <c r="H228" i="2"/>
  <c r="G228" i="2"/>
  <c r="C228" i="2"/>
  <c r="H227" i="2"/>
  <c r="G227" i="2"/>
  <c r="C227" i="2"/>
  <c r="H226" i="2"/>
  <c r="G226" i="2"/>
  <c r="C226" i="2"/>
  <c r="H225" i="2"/>
  <c r="G225" i="2"/>
  <c r="C225" i="2"/>
  <c r="H224" i="2"/>
  <c r="G224" i="2"/>
  <c r="C224" i="2"/>
  <c r="H223" i="2"/>
  <c r="G223" i="2"/>
  <c r="C223" i="2"/>
  <c r="H222" i="2"/>
  <c r="G222" i="2"/>
  <c r="C222" i="2"/>
  <c r="H221" i="2"/>
  <c r="G221" i="2"/>
  <c r="C221" i="2"/>
  <c r="H220" i="2"/>
  <c r="G220" i="2"/>
  <c r="C220" i="2"/>
  <c r="H219" i="2"/>
  <c r="G219" i="2"/>
  <c r="C219" i="2"/>
  <c r="H218" i="2"/>
  <c r="G218" i="2"/>
  <c r="C218" i="2"/>
  <c r="H217" i="2"/>
  <c r="G217" i="2"/>
  <c r="C217" i="2"/>
  <c r="H216" i="2"/>
  <c r="G216" i="2"/>
  <c r="C216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6" i="2"/>
  <c r="G206" i="2"/>
  <c r="C206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6" i="2"/>
  <c r="G196" i="2"/>
  <c r="C196" i="2"/>
  <c r="H195" i="2"/>
  <c r="G195" i="2"/>
  <c r="C195" i="2"/>
  <c r="H194" i="2"/>
  <c r="G194" i="2"/>
  <c r="C194" i="2"/>
  <c r="H193" i="2"/>
  <c r="G193" i="2"/>
  <c r="C193" i="2"/>
  <c r="H192" i="2"/>
  <c r="G192" i="2"/>
  <c r="C192" i="2"/>
  <c r="H191" i="2"/>
  <c r="G191" i="2"/>
  <c r="C191" i="2"/>
  <c r="H190" i="2"/>
  <c r="G190" i="2"/>
  <c r="C190" i="2"/>
  <c r="H189" i="2"/>
  <c r="G189" i="2"/>
  <c r="C189" i="2"/>
  <c r="H188" i="2"/>
  <c r="G188" i="2"/>
  <c r="C188" i="2"/>
  <c r="H187" i="2"/>
  <c r="G187" i="2"/>
  <c r="C187" i="2"/>
  <c r="H186" i="2"/>
  <c r="G186" i="2"/>
  <c r="C186" i="2"/>
  <c r="H185" i="2"/>
  <c r="G185" i="2"/>
  <c r="C185" i="2"/>
  <c r="H184" i="2"/>
  <c r="G184" i="2"/>
  <c r="C184" i="2"/>
  <c r="H183" i="2"/>
  <c r="G183" i="2"/>
  <c r="C183" i="2"/>
  <c r="H182" i="2"/>
  <c r="G182" i="2"/>
  <c r="C182" i="2"/>
  <c r="H181" i="2"/>
  <c r="G181" i="2"/>
  <c r="C181" i="2"/>
  <c r="H180" i="2"/>
  <c r="G180" i="2"/>
  <c r="C180" i="2"/>
  <c r="H179" i="2"/>
  <c r="G179" i="2"/>
  <c r="C179" i="2"/>
  <c r="H178" i="2"/>
  <c r="G178" i="2"/>
  <c r="C178" i="2"/>
  <c r="H177" i="2"/>
  <c r="G177" i="2"/>
  <c r="C177" i="2"/>
  <c r="H176" i="2"/>
  <c r="G176" i="2"/>
  <c r="C176" i="2"/>
  <c r="H175" i="2"/>
  <c r="G175" i="2"/>
  <c r="C175" i="2"/>
  <c r="H174" i="2"/>
  <c r="G174" i="2"/>
  <c r="C174" i="2"/>
  <c r="H173" i="2"/>
  <c r="G173" i="2"/>
  <c r="C173" i="2"/>
  <c r="H172" i="2"/>
  <c r="G172" i="2"/>
  <c r="C172" i="2"/>
  <c r="H171" i="2"/>
  <c r="G171" i="2"/>
  <c r="C171" i="2"/>
  <c r="H170" i="2"/>
  <c r="G170" i="2"/>
  <c r="C170" i="2"/>
  <c r="H169" i="2"/>
  <c r="G169" i="2"/>
  <c r="C169" i="2"/>
  <c r="H168" i="2"/>
  <c r="G168" i="2"/>
  <c r="C168" i="2"/>
  <c r="H167" i="2"/>
  <c r="G167" i="2"/>
  <c r="C167" i="2"/>
  <c r="H166" i="2"/>
  <c r="G166" i="2"/>
  <c r="C166" i="2"/>
  <c r="H165" i="2"/>
  <c r="G165" i="2"/>
  <c r="C165" i="2"/>
  <c r="H164" i="2"/>
  <c r="G164" i="2"/>
  <c r="C164" i="2"/>
  <c r="H163" i="2"/>
  <c r="G163" i="2"/>
  <c r="C163" i="2"/>
  <c r="H162" i="2"/>
  <c r="G162" i="2"/>
  <c r="C162" i="2"/>
  <c r="H161" i="2"/>
  <c r="G161" i="2"/>
  <c r="C161" i="2"/>
  <c r="H160" i="2"/>
  <c r="G160" i="2"/>
  <c r="C160" i="2"/>
  <c r="H159" i="2"/>
  <c r="G159" i="2"/>
  <c r="C159" i="2"/>
  <c r="H158" i="2"/>
  <c r="G158" i="2"/>
  <c r="C158" i="2"/>
  <c r="H157" i="2"/>
  <c r="G157" i="2"/>
  <c r="C157" i="2"/>
  <c r="H156" i="2"/>
  <c r="G156" i="2"/>
  <c r="C156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6" i="2"/>
  <c r="G146" i="2"/>
  <c r="C146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6" i="2"/>
  <c r="G136" i="2"/>
  <c r="C136" i="2"/>
  <c r="H135" i="2"/>
  <c r="G135" i="2"/>
  <c r="C135" i="2"/>
  <c r="H134" i="2"/>
  <c r="G134" i="2"/>
  <c r="C134" i="2"/>
  <c r="H133" i="2"/>
  <c r="G133" i="2"/>
  <c r="C133" i="2"/>
  <c r="H132" i="2"/>
  <c r="G132" i="2"/>
  <c r="C132" i="2"/>
  <c r="H131" i="2"/>
  <c r="G131" i="2"/>
  <c r="C131" i="2"/>
  <c r="H130" i="2"/>
  <c r="G130" i="2"/>
  <c r="C130" i="2"/>
  <c r="H129" i="2"/>
  <c r="G129" i="2"/>
  <c r="C129" i="2"/>
  <c r="H128" i="2"/>
  <c r="G128" i="2"/>
  <c r="C128" i="2"/>
  <c r="H127" i="2"/>
  <c r="G127" i="2"/>
  <c r="C127" i="2"/>
  <c r="H126" i="2"/>
  <c r="G126" i="2"/>
  <c r="C126" i="2"/>
  <c r="H125" i="2"/>
  <c r="G125" i="2"/>
  <c r="C125" i="2"/>
  <c r="H124" i="2"/>
  <c r="G124" i="2"/>
  <c r="C124" i="2"/>
  <c r="H123" i="2"/>
  <c r="G123" i="2"/>
  <c r="C123" i="2"/>
  <c r="H122" i="2"/>
  <c r="G122" i="2"/>
  <c r="C122" i="2"/>
  <c r="H121" i="2"/>
  <c r="G121" i="2"/>
  <c r="C121" i="2"/>
  <c r="H120" i="2"/>
  <c r="G120" i="2"/>
  <c r="C120" i="2"/>
  <c r="H119" i="2"/>
  <c r="G119" i="2"/>
  <c r="C119" i="2"/>
  <c r="H118" i="2"/>
  <c r="G118" i="2"/>
  <c r="C118" i="2"/>
  <c r="H117" i="2"/>
  <c r="G117" i="2"/>
  <c r="C117" i="2"/>
  <c r="H116" i="2"/>
  <c r="G116" i="2"/>
  <c r="C116" i="2"/>
  <c r="H115" i="2"/>
  <c r="G115" i="2"/>
  <c r="C115" i="2"/>
  <c r="H114" i="2"/>
  <c r="G114" i="2"/>
  <c r="C114" i="2"/>
  <c r="H113" i="2"/>
  <c r="G113" i="2"/>
  <c r="C113" i="2"/>
  <c r="H112" i="2"/>
  <c r="G112" i="2"/>
  <c r="C112" i="2"/>
  <c r="H111" i="2"/>
  <c r="G111" i="2"/>
  <c r="C111" i="2"/>
  <c r="H110" i="2"/>
  <c r="G110" i="2"/>
  <c r="C110" i="2"/>
  <c r="H109" i="2"/>
  <c r="G109" i="2"/>
  <c r="C109" i="2"/>
  <c r="H108" i="2"/>
  <c r="G108" i="2"/>
  <c r="C108" i="2"/>
  <c r="H107" i="2"/>
  <c r="G107" i="2"/>
  <c r="C107" i="2"/>
  <c r="H106" i="2"/>
  <c r="G106" i="2"/>
  <c r="C106" i="2"/>
  <c r="H105" i="2"/>
  <c r="G105" i="2"/>
  <c r="C105" i="2"/>
  <c r="H104" i="2"/>
  <c r="G104" i="2"/>
  <c r="C104" i="2"/>
  <c r="H103" i="2"/>
  <c r="G103" i="2"/>
  <c r="C103" i="2"/>
  <c r="H102" i="2"/>
  <c r="G102" i="2"/>
  <c r="C102" i="2"/>
  <c r="H101" i="2"/>
  <c r="G101" i="2"/>
  <c r="C101" i="2"/>
  <c r="H100" i="2"/>
  <c r="G100" i="2"/>
  <c r="C100" i="2"/>
  <c r="H99" i="2"/>
  <c r="G99" i="2"/>
  <c r="C99" i="2"/>
  <c r="H98" i="2"/>
  <c r="G98" i="2"/>
  <c r="C98" i="2"/>
  <c r="H97" i="2"/>
  <c r="G97" i="2"/>
  <c r="C97" i="2"/>
  <c r="H96" i="2"/>
  <c r="G96" i="2"/>
  <c r="C96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6" i="2"/>
  <c r="G86" i="2"/>
  <c r="C86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6" i="2"/>
  <c r="G76" i="2"/>
  <c r="C76" i="2"/>
  <c r="H75" i="2"/>
  <c r="G75" i="2"/>
  <c r="C75" i="2"/>
  <c r="H74" i="2"/>
  <c r="G74" i="2"/>
  <c r="C74" i="2"/>
  <c r="H73" i="2"/>
  <c r="G73" i="2"/>
  <c r="C73" i="2"/>
  <c r="H72" i="2"/>
  <c r="G72" i="2"/>
  <c r="C72" i="2"/>
  <c r="H71" i="2"/>
  <c r="G71" i="2"/>
  <c r="C71" i="2"/>
  <c r="H70" i="2"/>
  <c r="G70" i="2"/>
  <c r="C70" i="2"/>
  <c r="H69" i="2"/>
  <c r="G69" i="2"/>
  <c r="C69" i="2"/>
  <c r="H68" i="2"/>
  <c r="G68" i="2"/>
  <c r="C68" i="2"/>
  <c r="H67" i="2"/>
  <c r="G67" i="2"/>
  <c r="C67" i="2"/>
  <c r="H66" i="2"/>
  <c r="G66" i="2"/>
  <c r="C66" i="2"/>
  <c r="H65" i="2"/>
  <c r="G65" i="2"/>
  <c r="C65" i="2"/>
  <c r="H64" i="2"/>
  <c r="G64" i="2"/>
  <c r="C64" i="2"/>
  <c r="H63" i="2"/>
  <c r="G63" i="2"/>
  <c r="C63" i="2"/>
  <c r="H62" i="2"/>
  <c r="G62" i="2"/>
  <c r="C62" i="2"/>
  <c r="H61" i="2"/>
  <c r="G61" i="2"/>
  <c r="C61" i="2"/>
  <c r="H60" i="2"/>
  <c r="G60" i="2"/>
  <c r="C60" i="2"/>
  <c r="H59" i="2"/>
  <c r="G59" i="2"/>
  <c r="C59" i="2"/>
  <c r="H58" i="2"/>
  <c r="G58" i="2"/>
  <c r="C58" i="2"/>
  <c r="H57" i="2"/>
  <c r="G57" i="2"/>
  <c r="C57" i="2"/>
  <c r="H56" i="2"/>
  <c r="G56" i="2"/>
  <c r="C56" i="2"/>
  <c r="H55" i="2"/>
  <c r="G55" i="2"/>
  <c r="C55" i="2"/>
  <c r="H54" i="2"/>
  <c r="G54" i="2"/>
  <c r="C54" i="2"/>
  <c r="H53" i="2"/>
  <c r="G53" i="2"/>
  <c r="C53" i="2"/>
  <c r="H52" i="2"/>
  <c r="G52" i="2"/>
  <c r="C52" i="2"/>
  <c r="H51" i="2"/>
  <c r="G51" i="2"/>
  <c r="C51" i="2"/>
  <c r="H50" i="2"/>
  <c r="G50" i="2"/>
  <c r="C50" i="2"/>
  <c r="H49" i="2"/>
  <c r="G49" i="2"/>
  <c r="C49" i="2"/>
  <c r="H48" i="2"/>
  <c r="G48" i="2"/>
  <c r="C48" i="2"/>
  <c r="H47" i="2"/>
  <c r="G47" i="2"/>
  <c r="C47" i="2"/>
  <c r="H46" i="2"/>
  <c r="G46" i="2"/>
  <c r="C46" i="2"/>
  <c r="H45" i="2"/>
  <c r="G45" i="2"/>
  <c r="C45" i="2"/>
  <c r="H44" i="2"/>
  <c r="G44" i="2"/>
  <c r="C44" i="2"/>
  <c r="H43" i="2"/>
  <c r="G43" i="2"/>
  <c r="C43" i="2"/>
  <c r="H42" i="2"/>
  <c r="G42" i="2"/>
  <c r="C42" i="2"/>
  <c r="H41" i="2"/>
  <c r="G41" i="2"/>
  <c r="C41" i="2"/>
  <c r="H40" i="2"/>
  <c r="G40" i="2"/>
  <c r="C40" i="2"/>
  <c r="H39" i="2"/>
  <c r="G39" i="2"/>
  <c r="C39" i="2"/>
  <c r="H38" i="2"/>
  <c r="G38" i="2"/>
  <c r="C38" i="2"/>
  <c r="H37" i="2"/>
  <c r="G37" i="2"/>
  <c r="C37" i="2"/>
  <c r="H36" i="2"/>
  <c r="G36" i="2"/>
  <c r="C36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6" i="2"/>
  <c r="G26" i="2"/>
  <c r="C26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6" i="2"/>
  <c r="G16" i="2"/>
  <c r="C16" i="2"/>
  <c r="H15" i="2"/>
  <c r="G15" i="2"/>
  <c r="C15" i="2"/>
  <c r="H14" i="2"/>
  <c r="G14" i="2"/>
  <c r="C14" i="2"/>
  <c r="H13" i="2"/>
  <c r="G13" i="2"/>
  <c r="C13" i="2"/>
  <c r="H12" i="2"/>
  <c r="G12" i="2"/>
  <c r="C12" i="2"/>
  <c r="H11" i="2"/>
  <c r="G11" i="2"/>
  <c r="C11" i="2"/>
  <c r="H10" i="2"/>
  <c r="G10" i="2"/>
  <c r="C10" i="2"/>
  <c r="H9" i="2"/>
  <c r="G9" i="2"/>
  <c r="C9" i="2"/>
  <c r="H8" i="2"/>
  <c r="G8" i="2"/>
  <c r="C8" i="2"/>
  <c r="H7" i="2"/>
  <c r="G7" i="2"/>
  <c r="C7" i="2"/>
  <c r="H6" i="2"/>
  <c r="G6" i="2"/>
  <c r="C6" i="2"/>
  <c r="H5" i="2"/>
  <c r="G5" i="2"/>
  <c r="C5" i="2"/>
  <c r="K2004" i="1"/>
  <c r="I2004" i="1"/>
  <c r="H2004" i="1"/>
  <c r="E2004" i="1"/>
  <c r="K2003" i="1"/>
  <c r="I2003" i="1"/>
  <c r="H2003" i="1"/>
  <c r="E2003" i="1"/>
  <c r="K2002" i="1"/>
  <c r="I2002" i="1"/>
  <c r="H2002" i="1"/>
  <c r="E2002" i="1"/>
  <c r="K2001" i="1"/>
  <c r="I2001" i="1"/>
  <c r="H2001" i="1"/>
  <c r="E2001" i="1"/>
  <c r="K2000" i="1"/>
  <c r="I2000" i="1"/>
  <c r="H2000" i="1"/>
  <c r="E2000" i="1"/>
  <c r="K1999" i="1"/>
  <c r="I1999" i="1"/>
  <c r="H1999" i="1"/>
  <c r="E1999" i="1"/>
  <c r="K1998" i="1"/>
  <c r="I1998" i="1"/>
  <c r="H1998" i="1"/>
  <c r="E1998" i="1"/>
  <c r="K1997" i="1"/>
  <c r="I1997" i="1"/>
  <c r="H1997" i="1"/>
  <c r="E1997" i="1"/>
  <c r="K1996" i="1"/>
  <c r="I1996" i="1"/>
  <c r="H1996" i="1"/>
  <c r="E1996" i="1"/>
  <c r="K1995" i="1"/>
  <c r="I1995" i="1"/>
  <c r="H1995" i="1"/>
  <c r="E1995" i="1"/>
  <c r="K1994" i="1"/>
  <c r="I1994" i="1"/>
  <c r="H1994" i="1"/>
  <c r="E1994" i="1"/>
  <c r="K1993" i="1"/>
  <c r="I1993" i="1"/>
  <c r="H1993" i="1"/>
  <c r="E1993" i="1"/>
  <c r="K1992" i="1"/>
  <c r="I1992" i="1"/>
  <c r="H1992" i="1"/>
  <c r="E1992" i="1"/>
  <c r="K1991" i="1"/>
  <c r="I1991" i="1"/>
  <c r="H1991" i="1"/>
  <c r="E1991" i="1"/>
  <c r="K1990" i="1"/>
  <c r="I1990" i="1"/>
  <c r="H1990" i="1"/>
  <c r="E1990" i="1"/>
  <c r="K1989" i="1"/>
  <c r="I1989" i="1"/>
  <c r="H1989" i="1"/>
  <c r="E1989" i="1"/>
  <c r="K1988" i="1"/>
  <c r="I1988" i="1"/>
  <c r="H1988" i="1"/>
  <c r="E1988" i="1"/>
  <c r="K1987" i="1"/>
  <c r="I1987" i="1"/>
  <c r="H1987" i="1"/>
  <c r="E1987" i="1"/>
  <c r="K1986" i="1"/>
  <c r="I1986" i="1"/>
  <c r="H1986" i="1"/>
  <c r="E1986" i="1"/>
  <c r="K1985" i="1"/>
  <c r="I1985" i="1"/>
  <c r="H1985" i="1"/>
  <c r="E1985" i="1"/>
  <c r="K1984" i="1"/>
  <c r="I1984" i="1"/>
  <c r="H1984" i="1"/>
  <c r="E1984" i="1"/>
  <c r="K1983" i="1"/>
  <c r="I1983" i="1"/>
  <c r="H1983" i="1"/>
  <c r="E1983" i="1"/>
  <c r="K1982" i="1"/>
  <c r="I1982" i="1"/>
  <c r="H1982" i="1"/>
  <c r="E1982" i="1"/>
  <c r="K1981" i="1"/>
  <c r="I1981" i="1"/>
  <c r="H1981" i="1"/>
  <c r="E1981" i="1"/>
  <c r="K1980" i="1"/>
  <c r="I1980" i="1"/>
  <c r="H1980" i="1"/>
  <c r="E1980" i="1"/>
  <c r="K1979" i="1"/>
  <c r="I1979" i="1"/>
  <c r="H1979" i="1"/>
  <c r="E1979" i="1"/>
  <c r="K1978" i="1"/>
  <c r="I1978" i="1"/>
  <c r="H1978" i="1"/>
  <c r="E1978" i="1"/>
  <c r="K1977" i="1"/>
  <c r="I1977" i="1"/>
  <c r="H1977" i="1"/>
  <c r="E1977" i="1"/>
  <c r="K1976" i="1"/>
  <c r="I1976" i="1"/>
  <c r="H1976" i="1"/>
  <c r="E1976" i="1"/>
  <c r="K1975" i="1"/>
  <c r="I1975" i="1"/>
  <c r="H1975" i="1"/>
  <c r="E1975" i="1"/>
  <c r="K1974" i="1"/>
  <c r="I1974" i="1"/>
  <c r="H1974" i="1"/>
  <c r="E1974" i="1"/>
  <c r="K1973" i="1"/>
  <c r="I1973" i="1"/>
  <c r="H1973" i="1"/>
  <c r="E1973" i="1"/>
  <c r="K1972" i="1"/>
  <c r="I1972" i="1"/>
  <c r="H1972" i="1"/>
  <c r="E1972" i="1"/>
  <c r="K1971" i="1"/>
  <c r="I1971" i="1"/>
  <c r="H1971" i="1"/>
  <c r="E1971" i="1"/>
  <c r="K1970" i="1"/>
  <c r="I1970" i="1"/>
  <c r="H1970" i="1"/>
  <c r="E1970" i="1"/>
  <c r="K1969" i="1"/>
  <c r="I1969" i="1"/>
  <c r="H1969" i="1"/>
  <c r="E1969" i="1"/>
  <c r="K1968" i="1"/>
  <c r="I1968" i="1"/>
  <c r="H1968" i="1"/>
  <c r="E1968" i="1"/>
  <c r="K1967" i="1"/>
  <c r="I1967" i="1"/>
  <c r="H1967" i="1"/>
  <c r="E1967" i="1"/>
  <c r="K1966" i="1"/>
  <c r="I1966" i="1"/>
  <c r="H1966" i="1"/>
  <c r="E1966" i="1"/>
  <c r="K1965" i="1"/>
  <c r="I1965" i="1"/>
  <c r="H1965" i="1"/>
  <c r="E1965" i="1"/>
  <c r="K1964" i="1"/>
  <c r="I1964" i="1"/>
  <c r="H1964" i="1"/>
  <c r="E1964" i="1"/>
  <c r="K1963" i="1"/>
  <c r="I1963" i="1"/>
  <c r="H1963" i="1"/>
  <c r="E1963" i="1"/>
  <c r="K1962" i="1"/>
  <c r="I1962" i="1"/>
  <c r="H1962" i="1"/>
  <c r="E1962" i="1"/>
  <c r="K1961" i="1"/>
  <c r="I1961" i="1"/>
  <c r="H1961" i="1"/>
  <c r="E1961" i="1"/>
  <c r="K1960" i="1"/>
  <c r="I1960" i="1"/>
  <c r="H1960" i="1"/>
  <c r="E1960" i="1"/>
  <c r="K1959" i="1"/>
  <c r="I1959" i="1"/>
  <c r="H1959" i="1"/>
  <c r="E1959" i="1"/>
  <c r="K1958" i="1"/>
  <c r="I1958" i="1"/>
  <c r="H1958" i="1"/>
  <c r="E1958" i="1"/>
  <c r="K1957" i="1"/>
  <c r="I1957" i="1"/>
  <c r="H1957" i="1"/>
  <c r="E1957" i="1"/>
  <c r="K1956" i="1"/>
  <c r="I1956" i="1"/>
  <c r="H1956" i="1"/>
  <c r="E1956" i="1"/>
  <c r="K1955" i="1"/>
  <c r="I1955" i="1"/>
  <c r="H1955" i="1"/>
  <c r="E1955" i="1"/>
  <c r="K1954" i="1"/>
  <c r="I1954" i="1"/>
  <c r="H1954" i="1"/>
  <c r="E1954" i="1"/>
  <c r="K1953" i="1"/>
  <c r="I1953" i="1"/>
  <c r="H1953" i="1"/>
  <c r="E1953" i="1"/>
  <c r="K1952" i="1"/>
  <c r="I1952" i="1"/>
  <c r="H1952" i="1"/>
  <c r="E1952" i="1"/>
  <c r="K1951" i="1"/>
  <c r="I1951" i="1"/>
  <c r="H1951" i="1"/>
  <c r="E1951" i="1"/>
  <c r="K1950" i="1"/>
  <c r="I1950" i="1"/>
  <c r="H1950" i="1"/>
  <c r="E1950" i="1"/>
  <c r="K1949" i="1"/>
  <c r="I1949" i="1"/>
  <c r="H1949" i="1"/>
  <c r="E1949" i="1"/>
  <c r="K1948" i="1"/>
  <c r="I1948" i="1"/>
  <c r="H1948" i="1"/>
  <c r="E1948" i="1"/>
  <c r="K1947" i="1"/>
  <c r="I1947" i="1"/>
  <c r="H1947" i="1"/>
  <c r="E1947" i="1"/>
  <c r="K1946" i="1"/>
  <c r="I1946" i="1"/>
  <c r="H1946" i="1"/>
  <c r="E1946" i="1"/>
  <c r="K1945" i="1"/>
  <c r="I1945" i="1"/>
  <c r="H1945" i="1"/>
  <c r="E1945" i="1"/>
  <c r="K1944" i="1"/>
  <c r="I1944" i="1"/>
  <c r="H1944" i="1"/>
  <c r="E1944" i="1"/>
  <c r="K1943" i="1"/>
  <c r="I1943" i="1"/>
  <c r="H1943" i="1"/>
  <c r="E1943" i="1"/>
  <c r="K1942" i="1"/>
  <c r="I1942" i="1"/>
  <c r="H1942" i="1"/>
  <c r="E1942" i="1"/>
  <c r="K1941" i="1"/>
  <c r="I1941" i="1"/>
  <c r="H1941" i="1"/>
  <c r="E1941" i="1"/>
  <c r="K1940" i="1"/>
  <c r="I1940" i="1"/>
  <c r="H1940" i="1"/>
  <c r="E1940" i="1"/>
  <c r="K1939" i="1"/>
  <c r="I1939" i="1"/>
  <c r="H1939" i="1"/>
  <c r="E1939" i="1"/>
  <c r="K1938" i="1"/>
  <c r="I1938" i="1"/>
  <c r="H1938" i="1"/>
  <c r="E1938" i="1"/>
  <c r="K1937" i="1"/>
  <c r="I1937" i="1"/>
  <c r="H1937" i="1"/>
  <c r="E1937" i="1"/>
  <c r="K1936" i="1"/>
  <c r="I1936" i="1"/>
  <c r="H1936" i="1"/>
  <c r="E1936" i="1"/>
  <c r="K1935" i="1"/>
  <c r="I1935" i="1"/>
  <c r="H1935" i="1"/>
  <c r="E1935" i="1"/>
  <c r="K1934" i="1"/>
  <c r="I1934" i="1"/>
  <c r="H1934" i="1"/>
  <c r="E1934" i="1"/>
  <c r="K1933" i="1"/>
  <c r="I1933" i="1"/>
  <c r="H1933" i="1"/>
  <c r="E1933" i="1"/>
  <c r="K1932" i="1"/>
  <c r="I1932" i="1"/>
  <c r="H1932" i="1"/>
  <c r="E1932" i="1"/>
  <c r="K1931" i="1"/>
  <c r="I1931" i="1"/>
  <c r="H1931" i="1"/>
  <c r="E1931" i="1"/>
  <c r="K1930" i="1"/>
  <c r="I1930" i="1"/>
  <c r="H1930" i="1"/>
  <c r="E1930" i="1"/>
  <c r="K1929" i="1"/>
  <c r="I1929" i="1"/>
  <c r="H1929" i="1"/>
  <c r="E1929" i="1"/>
  <c r="K1928" i="1"/>
  <c r="I1928" i="1"/>
  <c r="H1928" i="1"/>
  <c r="E1928" i="1"/>
  <c r="K1927" i="1"/>
  <c r="I1927" i="1"/>
  <c r="H1927" i="1"/>
  <c r="E1927" i="1"/>
  <c r="K1926" i="1"/>
  <c r="I1926" i="1"/>
  <c r="H1926" i="1"/>
  <c r="E1926" i="1"/>
  <c r="K1925" i="1"/>
  <c r="I1925" i="1"/>
  <c r="H1925" i="1"/>
  <c r="E1925" i="1"/>
  <c r="K1924" i="1"/>
  <c r="I1924" i="1"/>
  <c r="H1924" i="1"/>
  <c r="E1924" i="1"/>
  <c r="K1923" i="1"/>
  <c r="I1923" i="1"/>
  <c r="H1923" i="1"/>
  <c r="E1923" i="1"/>
  <c r="K1922" i="1"/>
  <c r="I1922" i="1"/>
  <c r="H1922" i="1"/>
  <c r="E1922" i="1"/>
  <c r="K1921" i="1"/>
  <c r="I1921" i="1"/>
  <c r="H1921" i="1"/>
  <c r="E1921" i="1"/>
  <c r="K1920" i="1"/>
  <c r="I1920" i="1"/>
  <c r="H1920" i="1"/>
  <c r="E1920" i="1"/>
  <c r="K1919" i="1"/>
  <c r="I1919" i="1"/>
  <c r="H1919" i="1"/>
  <c r="E1919" i="1"/>
  <c r="K1918" i="1"/>
  <c r="I1918" i="1"/>
  <c r="H1918" i="1"/>
  <c r="E1918" i="1"/>
  <c r="K1917" i="1"/>
  <c r="I1917" i="1"/>
  <c r="H1917" i="1"/>
  <c r="E1917" i="1"/>
  <c r="K1916" i="1"/>
  <c r="I1916" i="1"/>
  <c r="H1916" i="1"/>
  <c r="E1916" i="1"/>
  <c r="K1915" i="1"/>
  <c r="I1915" i="1"/>
  <c r="H1915" i="1"/>
  <c r="E1915" i="1"/>
  <c r="K1914" i="1"/>
  <c r="I1914" i="1"/>
  <c r="H1914" i="1"/>
  <c r="E1914" i="1"/>
  <c r="K1913" i="1"/>
  <c r="I1913" i="1"/>
  <c r="H1913" i="1"/>
  <c r="E1913" i="1"/>
  <c r="K1912" i="1"/>
  <c r="I1912" i="1"/>
  <c r="H1912" i="1"/>
  <c r="E1912" i="1"/>
  <c r="K1911" i="1"/>
  <c r="I1911" i="1"/>
  <c r="H1911" i="1"/>
  <c r="E1911" i="1"/>
  <c r="K1910" i="1"/>
  <c r="I1910" i="1"/>
  <c r="H1910" i="1"/>
  <c r="E1910" i="1"/>
  <c r="K1909" i="1"/>
  <c r="I1909" i="1"/>
  <c r="H1909" i="1"/>
  <c r="E1909" i="1"/>
  <c r="K1908" i="1"/>
  <c r="I1908" i="1"/>
  <c r="H1908" i="1"/>
  <c r="E1908" i="1"/>
  <c r="K1907" i="1"/>
  <c r="I1907" i="1"/>
  <c r="H1907" i="1"/>
  <c r="E1907" i="1"/>
  <c r="K1906" i="1"/>
  <c r="I1906" i="1"/>
  <c r="H1906" i="1"/>
  <c r="E1906" i="1"/>
  <c r="K1905" i="1"/>
  <c r="I1905" i="1"/>
  <c r="H1905" i="1"/>
  <c r="E1905" i="1"/>
  <c r="K1904" i="1"/>
  <c r="I1904" i="1"/>
  <c r="H1904" i="1"/>
  <c r="E1904" i="1"/>
  <c r="K1903" i="1"/>
  <c r="I1903" i="1"/>
  <c r="H1903" i="1"/>
  <c r="E1903" i="1"/>
  <c r="K1902" i="1"/>
  <c r="I1902" i="1"/>
  <c r="H1902" i="1"/>
  <c r="E1902" i="1"/>
  <c r="K1901" i="1"/>
  <c r="I1901" i="1"/>
  <c r="H1901" i="1"/>
  <c r="E1901" i="1"/>
  <c r="K1900" i="1"/>
  <c r="I1900" i="1"/>
  <c r="H1900" i="1"/>
  <c r="E1900" i="1"/>
  <c r="K1899" i="1"/>
  <c r="I1899" i="1"/>
  <c r="H1899" i="1"/>
  <c r="E1899" i="1"/>
  <c r="K1898" i="1"/>
  <c r="I1898" i="1"/>
  <c r="H1898" i="1"/>
  <c r="E1898" i="1"/>
  <c r="K1897" i="1"/>
  <c r="I1897" i="1"/>
  <c r="H1897" i="1"/>
  <c r="E1897" i="1"/>
  <c r="K1896" i="1"/>
  <c r="I1896" i="1"/>
  <c r="H1896" i="1"/>
  <c r="E1896" i="1"/>
  <c r="K1895" i="1"/>
  <c r="I1895" i="1"/>
  <c r="H1895" i="1"/>
  <c r="E1895" i="1"/>
  <c r="K1894" i="1"/>
  <c r="I1894" i="1"/>
  <c r="H1894" i="1"/>
  <c r="E1894" i="1"/>
  <c r="K1893" i="1"/>
  <c r="I1893" i="1"/>
  <c r="H1893" i="1"/>
  <c r="E1893" i="1"/>
  <c r="K1892" i="1"/>
  <c r="I1892" i="1"/>
  <c r="H1892" i="1"/>
  <c r="E1892" i="1"/>
  <c r="K1891" i="1"/>
  <c r="I1891" i="1"/>
  <c r="H1891" i="1"/>
  <c r="E1891" i="1"/>
  <c r="K1890" i="1"/>
  <c r="I1890" i="1"/>
  <c r="H1890" i="1"/>
  <c r="E1890" i="1"/>
  <c r="K1889" i="1"/>
  <c r="I1889" i="1"/>
  <c r="H1889" i="1"/>
  <c r="E1889" i="1"/>
  <c r="K1888" i="1"/>
  <c r="I1888" i="1"/>
  <c r="H1888" i="1"/>
  <c r="E1888" i="1"/>
  <c r="K1887" i="1"/>
  <c r="I1887" i="1"/>
  <c r="H1887" i="1"/>
  <c r="E1887" i="1"/>
  <c r="K1886" i="1"/>
  <c r="I1886" i="1"/>
  <c r="H1886" i="1"/>
  <c r="E1886" i="1"/>
  <c r="K1885" i="1"/>
  <c r="I1885" i="1"/>
  <c r="H1885" i="1"/>
  <c r="E1885" i="1"/>
  <c r="K1884" i="1"/>
  <c r="I1884" i="1"/>
  <c r="H1884" i="1"/>
  <c r="E1884" i="1"/>
  <c r="K1883" i="1"/>
  <c r="I1883" i="1"/>
  <c r="H1883" i="1"/>
  <c r="E1883" i="1"/>
  <c r="K1882" i="1"/>
  <c r="I1882" i="1"/>
  <c r="H1882" i="1"/>
  <c r="E1882" i="1"/>
  <c r="K1881" i="1"/>
  <c r="I1881" i="1"/>
  <c r="H1881" i="1"/>
  <c r="E1881" i="1"/>
  <c r="K1880" i="1"/>
  <c r="I1880" i="1"/>
  <c r="H1880" i="1"/>
  <c r="E1880" i="1"/>
  <c r="K1879" i="1"/>
  <c r="I1879" i="1"/>
  <c r="H1879" i="1"/>
  <c r="E1879" i="1"/>
  <c r="K1878" i="1"/>
  <c r="I1878" i="1"/>
  <c r="H1878" i="1"/>
  <c r="E1878" i="1"/>
  <c r="K1877" i="1"/>
  <c r="I1877" i="1"/>
  <c r="H1877" i="1"/>
  <c r="E1877" i="1"/>
  <c r="K1876" i="1"/>
  <c r="I1876" i="1"/>
  <c r="H1876" i="1"/>
  <c r="E1876" i="1"/>
  <c r="K1875" i="1"/>
  <c r="I1875" i="1"/>
  <c r="H1875" i="1"/>
  <c r="E1875" i="1"/>
  <c r="K1874" i="1"/>
  <c r="I1874" i="1"/>
  <c r="H1874" i="1"/>
  <c r="E1874" i="1"/>
  <c r="K1873" i="1"/>
  <c r="I1873" i="1"/>
  <c r="H1873" i="1"/>
  <c r="E1873" i="1"/>
  <c r="K1872" i="1"/>
  <c r="I1872" i="1"/>
  <c r="H1872" i="1"/>
  <c r="E1872" i="1"/>
  <c r="K1871" i="1"/>
  <c r="I1871" i="1"/>
  <c r="H1871" i="1"/>
  <c r="E1871" i="1"/>
  <c r="K1870" i="1"/>
  <c r="I1870" i="1"/>
  <c r="H1870" i="1"/>
  <c r="E1870" i="1"/>
  <c r="K1869" i="1"/>
  <c r="I1869" i="1"/>
  <c r="H1869" i="1"/>
  <c r="E1869" i="1"/>
  <c r="K1868" i="1"/>
  <c r="I1868" i="1"/>
  <c r="H1868" i="1"/>
  <c r="E1868" i="1"/>
  <c r="K1867" i="1"/>
  <c r="I1867" i="1"/>
  <c r="H1867" i="1"/>
  <c r="E1867" i="1"/>
  <c r="K1866" i="1"/>
  <c r="I1866" i="1"/>
  <c r="H1866" i="1"/>
  <c r="E1866" i="1"/>
  <c r="K1865" i="1"/>
  <c r="I1865" i="1"/>
  <c r="H1865" i="1"/>
  <c r="E1865" i="1"/>
  <c r="K1864" i="1"/>
  <c r="I1864" i="1"/>
  <c r="H1864" i="1"/>
  <c r="E1864" i="1"/>
  <c r="K1863" i="1"/>
  <c r="I1863" i="1"/>
  <c r="H1863" i="1"/>
  <c r="E1863" i="1"/>
  <c r="K1862" i="1"/>
  <c r="I1862" i="1"/>
  <c r="H1862" i="1"/>
  <c r="E1862" i="1"/>
  <c r="K1861" i="1"/>
  <c r="I1861" i="1"/>
  <c r="H1861" i="1"/>
  <c r="E1861" i="1"/>
  <c r="K1860" i="1"/>
  <c r="I1860" i="1"/>
  <c r="H1860" i="1"/>
  <c r="E1860" i="1"/>
  <c r="K1859" i="1"/>
  <c r="I1859" i="1"/>
  <c r="H1859" i="1"/>
  <c r="E1859" i="1"/>
  <c r="K1858" i="1"/>
  <c r="I1858" i="1"/>
  <c r="H1858" i="1"/>
  <c r="E1858" i="1"/>
  <c r="K1857" i="1"/>
  <c r="I1857" i="1"/>
  <c r="H1857" i="1"/>
  <c r="E1857" i="1"/>
  <c r="K1856" i="1"/>
  <c r="I1856" i="1"/>
  <c r="H1856" i="1"/>
  <c r="E1856" i="1"/>
  <c r="K1855" i="1"/>
  <c r="I1855" i="1"/>
  <c r="H1855" i="1"/>
  <c r="E1855" i="1"/>
  <c r="K1854" i="1"/>
  <c r="I1854" i="1"/>
  <c r="H1854" i="1"/>
  <c r="E1854" i="1"/>
  <c r="K1853" i="1"/>
  <c r="I1853" i="1"/>
  <c r="H1853" i="1"/>
  <c r="E1853" i="1"/>
  <c r="K1852" i="1"/>
  <c r="I1852" i="1"/>
  <c r="H1852" i="1"/>
  <c r="E1852" i="1"/>
  <c r="K1851" i="1"/>
  <c r="I1851" i="1"/>
  <c r="H1851" i="1"/>
  <c r="E1851" i="1"/>
  <c r="K1850" i="1"/>
  <c r="I1850" i="1"/>
  <c r="H1850" i="1"/>
  <c r="E1850" i="1"/>
  <c r="K1849" i="1"/>
  <c r="I1849" i="1"/>
  <c r="H1849" i="1"/>
  <c r="E1849" i="1"/>
  <c r="K1848" i="1"/>
  <c r="I1848" i="1"/>
  <c r="H1848" i="1"/>
  <c r="E1848" i="1"/>
  <c r="K1847" i="1"/>
  <c r="I1847" i="1"/>
  <c r="H1847" i="1"/>
  <c r="E1847" i="1"/>
  <c r="K1846" i="1"/>
  <c r="I1846" i="1"/>
  <c r="H1846" i="1"/>
  <c r="E1846" i="1"/>
  <c r="K1845" i="1"/>
  <c r="I1845" i="1"/>
  <c r="H1845" i="1"/>
  <c r="E1845" i="1"/>
  <c r="K1844" i="1"/>
  <c r="I1844" i="1"/>
  <c r="H1844" i="1"/>
  <c r="E1844" i="1"/>
  <c r="K1843" i="1"/>
  <c r="I1843" i="1"/>
  <c r="H1843" i="1"/>
  <c r="E1843" i="1"/>
  <c r="K1842" i="1"/>
  <c r="I1842" i="1"/>
  <c r="H1842" i="1"/>
  <c r="E1842" i="1"/>
  <c r="K1841" i="1"/>
  <c r="I1841" i="1"/>
  <c r="H1841" i="1"/>
  <c r="E1841" i="1"/>
  <c r="K1840" i="1"/>
  <c r="I1840" i="1"/>
  <c r="H1840" i="1"/>
  <c r="E1840" i="1"/>
  <c r="K1839" i="1"/>
  <c r="I1839" i="1"/>
  <c r="H1839" i="1"/>
  <c r="E1839" i="1"/>
  <c r="K1838" i="1"/>
  <c r="I1838" i="1"/>
  <c r="H1838" i="1"/>
  <c r="E1838" i="1"/>
  <c r="K1837" i="1"/>
  <c r="I1837" i="1"/>
  <c r="H1837" i="1"/>
  <c r="E1837" i="1"/>
  <c r="K1836" i="1"/>
  <c r="I1836" i="1"/>
  <c r="H1836" i="1"/>
  <c r="E1836" i="1"/>
  <c r="K1835" i="1"/>
  <c r="I1835" i="1"/>
  <c r="H1835" i="1"/>
  <c r="E1835" i="1"/>
  <c r="K1834" i="1"/>
  <c r="I1834" i="1"/>
  <c r="H1834" i="1"/>
  <c r="E1834" i="1"/>
  <c r="K1833" i="1"/>
  <c r="I1833" i="1"/>
  <c r="H1833" i="1"/>
  <c r="E1833" i="1"/>
  <c r="K1832" i="1"/>
  <c r="I1832" i="1"/>
  <c r="H1832" i="1"/>
  <c r="E1832" i="1"/>
  <c r="K1831" i="1"/>
  <c r="I1831" i="1"/>
  <c r="H1831" i="1"/>
  <c r="E1831" i="1"/>
  <c r="K1830" i="1"/>
  <c r="I1830" i="1"/>
  <c r="H1830" i="1"/>
  <c r="E1830" i="1"/>
  <c r="K1829" i="1"/>
  <c r="I1829" i="1"/>
  <c r="H1829" i="1"/>
  <c r="E1829" i="1"/>
  <c r="K1828" i="1"/>
  <c r="I1828" i="1"/>
  <c r="H1828" i="1"/>
  <c r="E1828" i="1"/>
  <c r="K1827" i="1"/>
  <c r="I1827" i="1"/>
  <c r="H1827" i="1"/>
  <c r="E1827" i="1"/>
  <c r="K1826" i="1"/>
  <c r="I1826" i="1"/>
  <c r="H1826" i="1"/>
  <c r="E1826" i="1"/>
  <c r="K1825" i="1"/>
  <c r="I1825" i="1"/>
  <c r="H1825" i="1"/>
  <c r="E1825" i="1"/>
  <c r="K1824" i="1"/>
  <c r="I1824" i="1"/>
  <c r="H1824" i="1"/>
  <c r="E1824" i="1"/>
  <c r="K1823" i="1"/>
  <c r="I1823" i="1"/>
  <c r="H1823" i="1"/>
  <c r="E1823" i="1"/>
  <c r="K1822" i="1"/>
  <c r="I1822" i="1"/>
  <c r="H1822" i="1"/>
  <c r="E1822" i="1"/>
  <c r="K1821" i="1"/>
  <c r="I1821" i="1"/>
  <c r="H1821" i="1"/>
  <c r="E1821" i="1"/>
  <c r="K1820" i="1"/>
  <c r="I1820" i="1"/>
  <c r="H1820" i="1"/>
  <c r="E1820" i="1"/>
  <c r="K1819" i="1"/>
  <c r="I1819" i="1"/>
  <c r="H1819" i="1"/>
  <c r="E1819" i="1"/>
  <c r="K1818" i="1"/>
  <c r="I1818" i="1"/>
  <c r="H1818" i="1"/>
  <c r="E1818" i="1"/>
  <c r="K1817" i="1"/>
  <c r="I1817" i="1"/>
  <c r="H1817" i="1"/>
  <c r="E1817" i="1"/>
  <c r="K1816" i="1"/>
  <c r="I1816" i="1"/>
  <c r="H1816" i="1"/>
  <c r="E1816" i="1"/>
  <c r="K1815" i="1"/>
  <c r="I1815" i="1"/>
  <c r="H1815" i="1"/>
  <c r="E1815" i="1"/>
  <c r="K1814" i="1"/>
  <c r="I1814" i="1"/>
  <c r="H1814" i="1"/>
  <c r="E1814" i="1"/>
  <c r="K1813" i="1"/>
  <c r="I1813" i="1"/>
  <c r="H1813" i="1"/>
  <c r="E1813" i="1"/>
  <c r="K1812" i="1"/>
  <c r="I1812" i="1"/>
  <c r="H1812" i="1"/>
  <c r="E1812" i="1"/>
  <c r="K1811" i="1"/>
  <c r="I1811" i="1"/>
  <c r="H1811" i="1"/>
  <c r="E1811" i="1"/>
  <c r="K1810" i="1"/>
  <c r="I1810" i="1"/>
  <c r="H1810" i="1"/>
  <c r="E1810" i="1"/>
  <c r="K1809" i="1"/>
  <c r="I1809" i="1"/>
  <c r="H1809" i="1"/>
  <c r="E1809" i="1"/>
  <c r="K1808" i="1"/>
  <c r="I1808" i="1"/>
  <c r="H1808" i="1"/>
  <c r="E1808" i="1"/>
  <c r="K1807" i="1"/>
  <c r="I1807" i="1"/>
  <c r="H1807" i="1"/>
  <c r="E1807" i="1"/>
  <c r="K1806" i="1"/>
  <c r="I1806" i="1"/>
  <c r="H1806" i="1"/>
  <c r="E1806" i="1"/>
  <c r="K1805" i="1"/>
  <c r="I1805" i="1"/>
  <c r="H1805" i="1"/>
  <c r="E1805" i="1"/>
  <c r="K1804" i="1"/>
  <c r="I1804" i="1"/>
  <c r="H1804" i="1"/>
  <c r="E1804" i="1"/>
  <c r="K1803" i="1"/>
  <c r="I1803" i="1"/>
  <c r="H1803" i="1"/>
  <c r="E1803" i="1"/>
  <c r="K1802" i="1"/>
  <c r="I1802" i="1"/>
  <c r="H1802" i="1"/>
  <c r="E1802" i="1"/>
  <c r="K1801" i="1"/>
  <c r="I1801" i="1"/>
  <c r="H1801" i="1"/>
  <c r="E1801" i="1"/>
  <c r="K1800" i="1"/>
  <c r="I1800" i="1"/>
  <c r="H1800" i="1"/>
  <c r="E1800" i="1"/>
  <c r="K1799" i="1"/>
  <c r="I1799" i="1"/>
  <c r="H1799" i="1"/>
  <c r="E1799" i="1"/>
  <c r="K1798" i="1"/>
  <c r="I1798" i="1"/>
  <c r="H1798" i="1"/>
  <c r="E1798" i="1"/>
  <c r="K1797" i="1"/>
  <c r="I1797" i="1"/>
  <c r="H1797" i="1"/>
  <c r="E1797" i="1"/>
  <c r="K1796" i="1"/>
  <c r="I1796" i="1"/>
  <c r="H1796" i="1"/>
  <c r="E1796" i="1"/>
  <c r="K1795" i="1"/>
  <c r="I1795" i="1"/>
  <c r="H1795" i="1"/>
  <c r="E1795" i="1"/>
  <c r="K1794" i="1"/>
  <c r="I1794" i="1"/>
  <c r="H1794" i="1"/>
  <c r="E1794" i="1"/>
  <c r="K1793" i="1"/>
  <c r="I1793" i="1"/>
  <c r="H1793" i="1"/>
  <c r="E1793" i="1"/>
  <c r="K1792" i="1"/>
  <c r="I1792" i="1"/>
  <c r="H1792" i="1"/>
  <c r="E1792" i="1"/>
  <c r="K1791" i="1"/>
  <c r="I1791" i="1"/>
  <c r="H1791" i="1"/>
  <c r="E1791" i="1"/>
  <c r="K1790" i="1"/>
  <c r="I1790" i="1"/>
  <c r="H1790" i="1"/>
  <c r="E1790" i="1"/>
  <c r="K1789" i="1"/>
  <c r="I1789" i="1"/>
  <c r="H1789" i="1"/>
  <c r="E1789" i="1"/>
  <c r="K1788" i="1"/>
  <c r="I1788" i="1"/>
  <c r="H1788" i="1"/>
  <c r="E1788" i="1"/>
  <c r="K1787" i="1"/>
  <c r="I1787" i="1"/>
  <c r="H1787" i="1"/>
  <c r="E1787" i="1"/>
  <c r="K1786" i="1"/>
  <c r="I1786" i="1"/>
  <c r="H1786" i="1"/>
  <c r="E1786" i="1"/>
  <c r="K1785" i="1"/>
  <c r="I1785" i="1"/>
  <c r="H1785" i="1"/>
  <c r="E1785" i="1"/>
  <c r="K1784" i="1"/>
  <c r="I1784" i="1"/>
  <c r="H1784" i="1"/>
  <c r="E1784" i="1"/>
  <c r="K1783" i="1"/>
  <c r="I1783" i="1"/>
  <c r="H1783" i="1"/>
  <c r="E1783" i="1"/>
  <c r="K1782" i="1"/>
  <c r="I1782" i="1"/>
  <c r="H1782" i="1"/>
  <c r="E1782" i="1"/>
  <c r="K1781" i="1"/>
  <c r="I1781" i="1"/>
  <c r="H1781" i="1"/>
  <c r="E1781" i="1"/>
  <c r="K1780" i="1"/>
  <c r="I1780" i="1"/>
  <c r="H1780" i="1"/>
  <c r="E1780" i="1"/>
  <c r="K1779" i="1"/>
  <c r="I1779" i="1"/>
  <c r="H1779" i="1"/>
  <c r="E1779" i="1"/>
  <c r="K1778" i="1"/>
  <c r="I1778" i="1"/>
  <c r="H1778" i="1"/>
  <c r="E1778" i="1"/>
  <c r="K1777" i="1"/>
  <c r="I1777" i="1"/>
  <c r="H1777" i="1"/>
  <c r="E1777" i="1"/>
  <c r="K1776" i="1"/>
  <c r="I1776" i="1"/>
  <c r="H1776" i="1"/>
  <c r="E1776" i="1"/>
  <c r="K1775" i="1"/>
  <c r="I1775" i="1"/>
  <c r="H1775" i="1"/>
  <c r="E1775" i="1"/>
  <c r="K1774" i="1"/>
  <c r="I1774" i="1"/>
  <c r="H1774" i="1"/>
  <c r="E1774" i="1"/>
  <c r="K1773" i="1"/>
  <c r="I1773" i="1"/>
  <c r="H1773" i="1"/>
  <c r="E1773" i="1"/>
  <c r="K1772" i="1"/>
  <c r="I1772" i="1"/>
  <c r="H1772" i="1"/>
  <c r="E1772" i="1"/>
  <c r="K1771" i="1"/>
  <c r="I1771" i="1"/>
  <c r="H1771" i="1"/>
  <c r="E1771" i="1"/>
  <c r="K1770" i="1"/>
  <c r="I1770" i="1"/>
  <c r="H1770" i="1"/>
  <c r="E1770" i="1"/>
  <c r="K1769" i="1"/>
  <c r="I1769" i="1"/>
  <c r="H1769" i="1"/>
  <c r="E1769" i="1"/>
  <c r="K1768" i="1"/>
  <c r="I1768" i="1"/>
  <c r="H1768" i="1"/>
  <c r="E1768" i="1"/>
  <c r="K1767" i="1"/>
  <c r="I1767" i="1"/>
  <c r="H1767" i="1"/>
  <c r="E1767" i="1"/>
  <c r="K1766" i="1"/>
  <c r="I1766" i="1"/>
  <c r="H1766" i="1"/>
  <c r="E1766" i="1"/>
  <c r="K1765" i="1"/>
  <c r="I1765" i="1"/>
  <c r="H1765" i="1"/>
  <c r="E1765" i="1"/>
  <c r="K1764" i="1"/>
  <c r="I1764" i="1"/>
  <c r="H1764" i="1"/>
  <c r="E1764" i="1"/>
  <c r="K1763" i="1"/>
  <c r="I1763" i="1"/>
  <c r="H1763" i="1"/>
  <c r="E1763" i="1"/>
  <c r="K1762" i="1"/>
  <c r="I1762" i="1"/>
  <c r="H1762" i="1"/>
  <c r="E1762" i="1"/>
  <c r="K1761" i="1"/>
  <c r="I1761" i="1"/>
  <c r="H1761" i="1"/>
  <c r="E1761" i="1"/>
  <c r="K1760" i="1"/>
  <c r="I1760" i="1"/>
  <c r="H1760" i="1"/>
  <c r="E1760" i="1"/>
  <c r="K1759" i="1"/>
  <c r="I1759" i="1"/>
  <c r="H1759" i="1"/>
  <c r="E1759" i="1"/>
  <c r="K1758" i="1"/>
  <c r="I1758" i="1"/>
  <c r="H1758" i="1"/>
  <c r="E1758" i="1"/>
  <c r="K1757" i="1"/>
  <c r="I1757" i="1"/>
  <c r="H1757" i="1"/>
  <c r="E1757" i="1"/>
  <c r="K1756" i="1"/>
  <c r="I1756" i="1"/>
  <c r="H1756" i="1"/>
  <c r="E1756" i="1"/>
  <c r="K1755" i="1"/>
  <c r="I1755" i="1"/>
  <c r="H1755" i="1"/>
  <c r="E1755" i="1"/>
  <c r="K1754" i="1"/>
  <c r="I1754" i="1"/>
  <c r="H1754" i="1"/>
  <c r="E1754" i="1"/>
  <c r="K1753" i="1"/>
  <c r="I1753" i="1"/>
  <c r="H1753" i="1"/>
  <c r="E1753" i="1"/>
  <c r="K1752" i="1"/>
  <c r="I1752" i="1"/>
  <c r="H1752" i="1"/>
  <c r="E1752" i="1"/>
  <c r="K1751" i="1"/>
  <c r="I1751" i="1"/>
  <c r="H1751" i="1"/>
  <c r="E1751" i="1"/>
  <c r="K1750" i="1"/>
  <c r="I1750" i="1"/>
  <c r="H1750" i="1"/>
  <c r="E1750" i="1"/>
  <c r="K1749" i="1"/>
  <c r="I1749" i="1"/>
  <c r="H1749" i="1"/>
  <c r="E1749" i="1"/>
  <c r="K1748" i="1"/>
  <c r="I1748" i="1"/>
  <c r="H1748" i="1"/>
  <c r="E1748" i="1"/>
  <c r="K1747" i="1"/>
  <c r="I1747" i="1"/>
  <c r="H1747" i="1"/>
  <c r="E1747" i="1"/>
  <c r="K1746" i="1"/>
  <c r="I1746" i="1"/>
  <c r="H1746" i="1"/>
  <c r="E1746" i="1"/>
  <c r="K1745" i="1"/>
  <c r="I1745" i="1"/>
  <c r="H1745" i="1"/>
  <c r="E1745" i="1"/>
  <c r="K1744" i="1"/>
  <c r="I1744" i="1"/>
  <c r="H1744" i="1"/>
  <c r="E1744" i="1"/>
  <c r="K1743" i="1"/>
  <c r="I1743" i="1"/>
  <c r="H1743" i="1"/>
  <c r="E1743" i="1"/>
  <c r="K1742" i="1"/>
  <c r="I1742" i="1"/>
  <c r="H1742" i="1"/>
  <c r="E1742" i="1"/>
  <c r="K1741" i="1"/>
  <c r="I1741" i="1"/>
  <c r="H1741" i="1"/>
  <c r="E1741" i="1"/>
  <c r="K1740" i="1"/>
  <c r="I1740" i="1"/>
  <c r="H1740" i="1"/>
  <c r="E1740" i="1"/>
  <c r="K1739" i="1"/>
  <c r="I1739" i="1"/>
  <c r="H1739" i="1"/>
  <c r="E1739" i="1"/>
  <c r="K1738" i="1"/>
  <c r="I1738" i="1"/>
  <c r="H1738" i="1"/>
  <c r="E1738" i="1"/>
  <c r="K1737" i="1"/>
  <c r="I1737" i="1"/>
  <c r="H1737" i="1"/>
  <c r="E1737" i="1"/>
  <c r="K1736" i="1"/>
  <c r="I1736" i="1"/>
  <c r="H1736" i="1"/>
  <c r="E1736" i="1"/>
  <c r="K1735" i="1"/>
  <c r="I1735" i="1"/>
  <c r="H1735" i="1"/>
  <c r="E1735" i="1"/>
  <c r="K1734" i="1"/>
  <c r="I1734" i="1"/>
  <c r="H1734" i="1"/>
  <c r="E1734" i="1"/>
  <c r="K1733" i="1"/>
  <c r="I1733" i="1"/>
  <c r="H1733" i="1"/>
  <c r="E1733" i="1"/>
  <c r="K1732" i="1"/>
  <c r="I1732" i="1"/>
  <c r="H1732" i="1"/>
  <c r="E1732" i="1"/>
  <c r="K1731" i="1"/>
  <c r="I1731" i="1"/>
  <c r="H1731" i="1"/>
  <c r="E1731" i="1"/>
  <c r="K1730" i="1"/>
  <c r="I1730" i="1"/>
  <c r="H1730" i="1"/>
  <c r="E1730" i="1"/>
  <c r="K1729" i="1"/>
  <c r="I1729" i="1"/>
  <c r="H1729" i="1"/>
  <c r="E1729" i="1"/>
  <c r="K1728" i="1"/>
  <c r="I1728" i="1"/>
  <c r="H1728" i="1"/>
  <c r="E1728" i="1"/>
  <c r="K1727" i="1"/>
  <c r="I1727" i="1"/>
  <c r="H1727" i="1"/>
  <c r="E1727" i="1"/>
  <c r="K1726" i="1"/>
  <c r="I1726" i="1"/>
  <c r="H1726" i="1"/>
  <c r="E1726" i="1"/>
  <c r="K1725" i="1"/>
  <c r="I1725" i="1"/>
  <c r="H1725" i="1"/>
  <c r="E1725" i="1"/>
  <c r="K1724" i="1"/>
  <c r="I1724" i="1"/>
  <c r="H1724" i="1"/>
  <c r="E1724" i="1"/>
  <c r="K1723" i="1"/>
  <c r="I1723" i="1"/>
  <c r="H1723" i="1"/>
  <c r="E1723" i="1"/>
  <c r="K1722" i="1"/>
  <c r="I1722" i="1"/>
  <c r="H1722" i="1"/>
  <c r="E1722" i="1"/>
  <c r="K1721" i="1"/>
  <c r="I1721" i="1"/>
  <c r="H1721" i="1"/>
  <c r="E1721" i="1"/>
  <c r="K1720" i="1"/>
  <c r="I1720" i="1"/>
  <c r="H1720" i="1"/>
  <c r="E1720" i="1"/>
  <c r="K1719" i="1"/>
  <c r="I1719" i="1"/>
  <c r="H1719" i="1"/>
  <c r="E1719" i="1"/>
  <c r="K1718" i="1"/>
  <c r="I1718" i="1"/>
  <c r="H1718" i="1"/>
  <c r="E1718" i="1"/>
  <c r="K1717" i="1"/>
  <c r="I1717" i="1"/>
  <c r="H1717" i="1"/>
  <c r="E1717" i="1"/>
  <c r="K1716" i="1"/>
  <c r="I1716" i="1"/>
  <c r="H1716" i="1"/>
  <c r="E1716" i="1"/>
  <c r="K1715" i="1"/>
  <c r="I1715" i="1"/>
  <c r="H1715" i="1"/>
  <c r="E1715" i="1"/>
  <c r="K1714" i="1"/>
  <c r="I1714" i="1"/>
  <c r="H1714" i="1"/>
  <c r="E1714" i="1"/>
  <c r="K1713" i="1"/>
  <c r="I1713" i="1"/>
  <c r="H1713" i="1"/>
  <c r="E1713" i="1"/>
  <c r="K1712" i="1"/>
  <c r="I1712" i="1"/>
  <c r="H1712" i="1"/>
  <c r="E1712" i="1"/>
  <c r="K1711" i="1"/>
  <c r="I1711" i="1"/>
  <c r="H1711" i="1"/>
  <c r="E1711" i="1"/>
  <c r="K1710" i="1"/>
  <c r="I1710" i="1"/>
  <c r="H1710" i="1"/>
  <c r="E1710" i="1"/>
  <c r="K1709" i="1"/>
  <c r="I1709" i="1"/>
  <c r="H1709" i="1"/>
  <c r="E1709" i="1"/>
  <c r="K1708" i="1"/>
  <c r="I1708" i="1"/>
  <c r="H1708" i="1"/>
  <c r="E1708" i="1"/>
  <c r="K1707" i="1"/>
  <c r="I1707" i="1"/>
  <c r="H1707" i="1"/>
  <c r="E1707" i="1"/>
  <c r="K1706" i="1"/>
  <c r="I1706" i="1"/>
  <c r="H1706" i="1"/>
  <c r="E1706" i="1"/>
  <c r="K1705" i="1"/>
  <c r="I1705" i="1"/>
  <c r="H1705" i="1"/>
  <c r="E1705" i="1"/>
  <c r="K1704" i="1"/>
  <c r="I1704" i="1"/>
  <c r="H1704" i="1"/>
  <c r="E1704" i="1"/>
  <c r="K1703" i="1"/>
  <c r="I1703" i="1"/>
  <c r="H1703" i="1"/>
  <c r="E1703" i="1"/>
  <c r="K1702" i="1"/>
  <c r="I1702" i="1"/>
  <c r="H1702" i="1"/>
  <c r="E1702" i="1"/>
  <c r="K1701" i="1"/>
  <c r="I1701" i="1"/>
  <c r="H1701" i="1"/>
  <c r="E1701" i="1"/>
  <c r="K1700" i="1"/>
  <c r="I1700" i="1"/>
  <c r="H1700" i="1"/>
  <c r="E1700" i="1"/>
  <c r="K1699" i="1"/>
  <c r="I1699" i="1"/>
  <c r="H1699" i="1"/>
  <c r="E1699" i="1"/>
  <c r="K1698" i="1"/>
  <c r="I1698" i="1"/>
  <c r="H1698" i="1"/>
  <c r="E1698" i="1"/>
  <c r="K1697" i="1"/>
  <c r="I1697" i="1"/>
  <c r="H1697" i="1"/>
  <c r="E1697" i="1"/>
  <c r="K1696" i="1"/>
  <c r="I1696" i="1"/>
  <c r="H1696" i="1"/>
  <c r="E1696" i="1"/>
  <c r="K1695" i="1"/>
  <c r="I1695" i="1"/>
  <c r="H1695" i="1"/>
  <c r="E1695" i="1"/>
  <c r="K1694" i="1"/>
  <c r="I1694" i="1"/>
  <c r="H1694" i="1"/>
  <c r="E1694" i="1"/>
  <c r="K1693" i="1"/>
  <c r="I1693" i="1"/>
  <c r="H1693" i="1"/>
  <c r="E1693" i="1"/>
  <c r="K1692" i="1"/>
  <c r="I1692" i="1"/>
  <c r="H1692" i="1"/>
  <c r="E1692" i="1"/>
  <c r="K1691" i="1"/>
  <c r="I1691" i="1"/>
  <c r="H1691" i="1"/>
  <c r="E1691" i="1"/>
  <c r="K1690" i="1"/>
  <c r="I1690" i="1"/>
  <c r="H1690" i="1"/>
  <c r="E1690" i="1"/>
  <c r="K1689" i="1"/>
  <c r="I1689" i="1"/>
  <c r="H1689" i="1"/>
  <c r="E1689" i="1"/>
  <c r="K1688" i="1"/>
  <c r="I1688" i="1"/>
  <c r="H1688" i="1"/>
  <c r="E1688" i="1"/>
  <c r="K1687" i="1"/>
  <c r="I1687" i="1"/>
  <c r="H1687" i="1"/>
  <c r="E1687" i="1"/>
  <c r="K1686" i="1"/>
  <c r="I1686" i="1"/>
  <c r="H1686" i="1"/>
  <c r="E1686" i="1"/>
  <c r="K1685" i="1"/>
  <c r="I1685" i="1"/>
  <c r="H1685" i="1"/>
  <c r="E1685" i="1"/>
  <c r="K1684" i="1"/>
  <c r="I1684" i="1"/>
  <c r="H1684" i="1"/>
  <c r="E1684" i="1"/>
  <c r="K1683" i="1"/>
  <c r="I1683" i="1"/>
  <c r="H1683" i="1"/>
  <c r="E1683" i="1"/>
  <c r="K1682" i="1"/>
  <c r="I1682" i="1"/>
  <c r="H1682" i="1"/>
  <c r="E1682" i="1"/>
  <c r="K1681" i="1"/>
  <c r="I1681" i="1"/>
  <c r="H1681" i="1"/>
  <c r="E1681" i="1"/>
  <c r="K1680" i="1"/>
  <c r="I1680" i="1"/>
  <c r="H1680" i="1"/>
  <c r="E1680" i="1"/>
  <c r="K1679" i="1"/>
  <c r="I1679" i="1"/>
  <c r="H1679" i="1"/>
  <c r="E1679" i="1"/>
  <c r="K1678" i="1"/>
  <c r="I1678" i="1"/>
  <c r="H1678" i="1"/>
  <c r="E1678" i="1"/>
  <c r="K1677" i="1"/>
  <c r="I1677" i="1"/>
  <c r="H1677" i="1"/>
  <c r="E1677" i="1"/>
  <c r="K1676" i="1"/>
  <c r="I1676" i="1"/>
  <c r="H1676" i="1"/>
  <c r="E1676" i="1"/>
  <c r="K1675" i="1"/>
  <c r="I1675" i="1"/>
  <c r="H1675" i="1"/>
  <c r="E1675" i="1"/>
  <c r="K1674" i="1"/>
  <c r="I1674" i="1"/>
  <c r="H1674" i="1"/>
  <c r="E1674" i="1"/>
  <c r="K1673" i="1"/>
  <c r="I1673" i="1"/>
  <c r="H1673" i="1"/>
  <c r="E1673" i="1"/>
  <c r="K1672" i="1"/>
  <c r="I1672" i="1"/>
  <c r="H1672" i="1"/>
  <c r="E1672" i="1"/>
  <c r="K1671" i="1"/>
  <c r="I1671" i="1"/>
  <c r="H1671" i="1"/>
  <c r="E1671" i="1"/>
  <c r="K1670" i="1"/>
  <c r="I1670" i="1"/>
  <c r="H1670" i="1"/>
  <c r="E1670" i="1"/>
  <c r="K1669" i="1"/>
  <c r="I1669" i="1"/>
  <c r="H1669" i="1"/>
  <c r="E1669" i="1"/>
  <c r="K1668" i="1"/>
  <c r="I1668" i="1"/>
  <c r="H1668" i="1"/>
  <c r="E1668" i="1"/>
  <c r="K1667" i="1"/>
  <c r="I1667" i="1"/>
  <c r="H1667" i="1"/>
  <c r="E1667" i="1"/>
  <c r="K1666" i="1"/>
  <c r="I1666" i="1"/>
  <c r="H1666" i="1"/>
  <c r="E1666" i="1"/>
  <c r="K1665" i="1"/>
  <c r="I1665" i="1"/>
  <c r="H1665" i="1"/>
  <c r="E1665" i="1"/>
  <c r="K1664" i="1"/>
  <c r="I1664" i="1"/>
  <c r="H1664" i="1"/>
  <c r="E1664" i="1"/>
  <c r="K1663" i="1"/>
  <c r="I1663" i="1"/>
  <c r="H1663" i="1"/>
  <c r="E1663" i="1"/>
  <c r="K1662" i="1"/>
  <c r="I1662" i="1"/>
  <c r="H1662" i="1"/>
  <c r="E1662" i="1"/>
  <c r="K1661" i="1"/>
  <c r="I1661" i="1"/>
  <c r="H1661" i="1"/>
  <c r="E1661" i="1"/>
  <c r="K1660" i="1"/>
  <c r="I1660" i="1"/>
  <c r="H1660" i="1"/>
  <c r="E1660" i="1"/>
  <c r="K1659" i="1"/>
  <c r="I1659" i="1"/>
  <c r="H1659" i="1"/>
  <c r="E1659" i="1"/>
  <c r="K1658" i="1"/>
  <c r="I1658" i="1"/>
  <c r="H1658" i="1"/>
  <c r="E1658" i="1"/>
  <c r="K1657" i="1"/>
  <c r="I1657" i="1"/>
  <c r="H1657" i="1"/>
  <c r="E1657" i="1"/>
  <c r="K1656" i="1"/>
  <c r="I1656" i="1"/>
  <c r="H1656" i="1"/>
  <c r="E1656" i="1"/>
  <c r="K1655" i="1"/>
  <c r="I1655" i="1"/>
  <c r="H1655" i="1"/>
  <c r="E1655" i="1"/>
  <c r="K1654" i="1"/>
  <c r="I1654" i="1"/>
  <c r="H1654" i="1"/>
  <c r="E1654" i="1"/>
  <c r="K1653" i="1"/>
  <c r="I1653" i="1"/>
  <c r="H1653" i="1"/>
  <c r="E1653" i="1"/>
  <c r="K1652" i="1"/>
  <c r="I1652" i="1"/>
  <c r="H1652" i="1"/>
  <c r="E1652" i="1"/>
  <c r="K1651" i="1"/>
  <c r="I1651" i="1"/>
  <c r="H1651" i="1"/>
  <c r="E1651" i="1"/>
  <c r="K1650" i="1"/>
  <c r="I1650" i="1"/>
  <c r="H1650" i="1"/>
  <c r="E1650" i="1"/>
  <c r="K1649" i="1"/>
  <c r="I1649" i="1"/>
  <c r="H1649" i="1"/>
  <c r="E1649" i="1"/>
  <c r="K1648" i="1"/>
  <c r="I1648" i="1"/>
  <c r="H1648" i="1"/>
  <c r="E1648" i="1"/>
  <c r="K1647" i="1"/>
  <c r="I1647" i="1"/>
  <c r="H1647" i="1"/>
  <c r="E1647" i="1"/>
  <c r="K1646" i="1"/>
  <c r="I1646" i="1"/>
  <c r="H1646" i="1"/>
  <c r="E1646" i="1"/>
  <c r="K1645" i="1"/>
  <c r="I1645" i="1"/>
  <c r="H1645" i="1"/>
  <c r="E1645" i="1"/>
  <c r="K1644" i="1"/>
  <c r="I1644" i="1"/>
  <c r="H1644" i="1"/>
  <c r="E1644" i="1"/>
  <c r="K1643" i="1"/>
  <c r="I1643" i="1"/>
  <c r="H1643" i="1"/>
  <c r="E1643" i="1"/>
  <c r="K1642" i="1"/>
  <c r="I1642" i="1"/>
  <c r="H1642" i="1"/>
  <c r="E1642" i="1"/>
  <c r="K1641" i="1"/>
  <c r="I1641" i="1"/>
  <c r="H1641" i="1"/>
  <c r="E1641" i="1"/>
  <c r="K1640" i="1"/>
  <c r="I1640" i="1"/>
  <c r="H1640" i="1"/>
  <c r="E1640" i="1"/>
  <c r="K1639" i="1"/>
  <c r="I1639" i="1"/>
  <c r="H1639" i="1"/>
  <c r="E1639" i="1"/>
  <c r="K1638" i="1"/>
  <c r="I1638" i="1"/>
  <c r="H1638" i="1"/>
  <c r="E1638" i="1"/>
  <c r="K1637" i="1"/>
  <c r="I1637" i="1"/>
  <c r="H1637" i="1"/>
  <c r="E1637" i="1"/>
  <c r="K1636" i="1"/>
  <c r="I1636" i="1"/>
  <c r="H1636" i="1"/>
  <c r="E1636" i="1"/>
  <c r="K1635" i="1"/>
  <c r="I1635" i="1"/>
  <c r="H1635" i="1"/>
  <c r="E1635" i="1"/>
  <c r="K1634" i="1"/>
  <c r="I1634" i="1"/>
  <c r="H1634" i="1"/>
  <c r="E1634" i="1"/>
  <c r="K1633" i="1"/>
  <c r="I1633" i="1"/>
  <c r="H1633" i="1"/>
  <c r="E1633" i="1"/>
  <c r="K1632" i="1"/>
  <c r="I1632" i="1"/>
  <c r="H1632" i="1"/>
  <c r="E1632" i="1"/>
  <c r="K1631" i="1"/>
  <c r="I1631" i="1"/>
  <c r="H1631" i="1"/>
  <c r="E1631" i="1"/>
  <c r="K1630" i="1"/>
  <c r="I1630" i="1"/>
  <c r="H1630" i="1"/>
  <c r="E1630" i="1"/>
  <c r="K1629" i="1"/>
  <c r="I1629" i="1"/>
  <c r="H1629" i="1"/>
  <c r="E1629" i="1"/>
  <c r="K1628" i="1"/>
  <c r="I1628" i="1"/>
  <c r="H1628" i="1"/>
  <c r="E1628" i="1"/>
  <c r="K1627" i="1"/>
  <c r="I1627" i="1"/>
  <c r="H1627" i="1"/>
  <c r="E1627" i="1"/>
  <c r="K1626" i="1"/>
  <c r="I1626" i="1"/>
  <c r="H1626" i="1"/>
  <c r="E1626" i="1"/>
  <c r="K1625" i="1"/>
  <c r="I1625" i="1"/>
  <c r="H1625" i="1"/>
  <c r="E1625" i="1"/>
  <c r="K1624" i="1"/>
  <c r="I1624" i="1"/>
  <c r="H1624" i="1"/>
  <c r="E1624" i="1"/>
  <c r="K1623" i="1"/>
  <c r="I1623" i="1"/>
  <c r="H1623" i="1"/>
  <c r="E1623" i="1"/>
  <c r="K1622" i="1"/>
  <c r="I1622" i="1"/>
  <c r="H1622" i="1"/>
  <c r="E1622" i="1"/>
  <c r="K1621" i="1"/>
  <c r="I1621" i="1"/>
  <c r="H1621" i="1"/>
  <c r="E1621" i="1"/>
  <c r="K1620" i="1"/>
  <c r="I1620" i="1"/>
  <c r="H1620" i="1"/>
  <c r="E1620" i="1"/>
  <c r="K1619" i="1"/>
  <c r="I1619" i="1"/>
  <c r="H1619" i="1"/>
  <c r="E1619" i="1"/>
  <c r="K1618" i="1"/>
  <c r="I1618" i="1"/>
  <c r="H1618" i="1"/>
  <c r="E1618" i="1"/>
  <c r="K1617" i="1"/>
  <c r="I1617" i="1"/>
  <c r="H1617" i="1"/>
  <c r="E1617" i="1"/>
  <c r="K1616" i="1"/>
  <c r="I1616" i="1"/>
  <c r="H1616" i="1"/>
  <c r="E1616" i="1"/>
  <c r="K1615" i="1"/>
  <c r="I1615" i="1"/>
  <c r="H1615" i="1"/>
  <c r="E1615" i="1"/>
  <c r="K1614" i="1"/>
  <c r="I1614" i="1"/>
  <c r="H1614" i="1"/>
  <c r="E1614" i="1"/>
  <c r="K1613" i="1"/>
  <c r="I1613" i="1"/>
  <c r="H1613" i="1"/>
  <c r="E1613" i="1"/>
  <c r="K1612" i="1"/>
  <c r="I1612" i="1"/>
  <c r="H1612" i="1"/>
  <c r="E1612" i="1"/>
  <c r="K1611" i="1"/>
  <c r="I1611" i="1"/>
  <c r="H1611" i="1"/>
  <c r="E1611" i="1"/>
  <c r="K1610" i="1"/>
  <c r="I1610" i="1"/>
  <c r="H1610" i="1"/>
  <c r="E1610" i="1"/>
  <c r="K1609" i="1"/>
  <c r="I1609" i="1"/>
  <c r="H1609" i="1"/>
  <c r="E1609" i="1"/>
  <c r="K1608" i="1"/>
  <c r="I1608" i="1"/>
  <c r="H1608" i="1"/>
  <c r="E1608" i="1"/>
  <c r="K1607" i="1"/>
  <c r="I1607" i="1"/>
  <c r="H1607" i="1"/>
  <c r="E1607" i="1"/>
  <c r="K1606" i="1"/>
  <c r="I1606" i="1"/>
  <c r="H1606" i="1"/>
  <c r="E1606" i="1"/>
  <c r="K1605" i="1"/>
  <c r="I1605" i="1"/>
  <c r="H1605" i="1"/>
  <c r="E1605" i="1"/>
  <c r="K1604" i="1"/>
  <c r="I1604" i="1"/>
  <c r="H1604" i="1"/>
  <c r="E1604" i="1"/>
  <c r="K1603" i="1"/>
  <c r="I1603" i="1"/>
  <c r="H1603" i="1"/>
  <c r="E1603" i="1"/>
  <c r="K1602" i="1"/>
  <c r="I1602" i="1"/>
  <c r="H1602" i="1"/>
  <c r="E1602" i="1"/>
  <c r="K1601" i="1"/>
  <c r="I1601" i="1"/>
  <c r="H1601" i="1"/>
  <c r="E1601" i="1"/>
  <c r="K1600" i="1"/>
  <c r="I1600" i="1"/>
  <c r="H1600" i="1"/>
  <c r="E1600" i="1"/>
  <c r="K1599" i="1"/>
  <c r="I1599" i="1"/>
  <c r="H1599" i="1"/>
  <c r="E1599" i="1"/>
  <c r="K1598" i="1"/>
  <c r="I1598" i="1"/>
  <c r="H1598" i="1"/>
  <c r="E1598" i="1"/>
  <c r="K1597" i="1"/>
  <c r="I1597" i="1"/>
  <c r="H1597" i="1"/>
  <c r="E1597" i="1"/>
  <c r="K1596" i="1"/>
  <c r="I1596" i="1"/>
  <c r="H1596" i="1"/>
  <c r="E1596" i="1"/>
  <c r="K1595" i="1"/>
  <c r="I1595" i="1"/>
  <c r="H1595" i="1"/>
  <c r="E1595" i="1"/>
  <c r="K1594" i="1"/>
  <c r="I1594" i="1"/>
  <c r="H1594" i="1"/>
  <c r="E1594" i="1"/>
  <c r="K1593" i="1"/>
  <c r="I1593" i="1"/>
  <c r="H1593" i="1"/>
  <c r="E1593" i="1"/>
  <c r="K1592" i="1"/>
  <c r="I1592" i="1"/>
  <c r="H1592" i="1"/>
  <c r="E1592" i="1"/>
  <c r="K1591" i="1"/>
  <c r="I1591" i="1"/>
  <c r="H1591" i="1"/>
  <c r="E1591" i="1"/>
  <c r="K1590" i="1"/>
  <c r="I1590" i="1"/>
  <c r="H1590" i="1"/>
  <c r="E1590" i="1"/>
  <c r="K1589" i="1"/>
  <c r="I1589" i="1"/>
  <c r="H1589" i="1"/>
  <c r="E1589" i="1"/>
  <c r="K1588" i="1"/>
  <c r="I1588" i="1"/>
  <c r="H1588" i="1"/>
  <c r="E1588" i="1"/>
  <c r="K1587" i="1"/>
  <c r="I1587" i="1"/>
  <c r="H1587" i="1"/>
  <c r="E1587" i="1"/>
  <c r="K1586" i="1"/>
  <c r="I1586" i="1"/>
  <c r="H1586" i="1"/>
  <c r="E1586" i="1"/>
  <c r="K1585" i="1"/>
  <c r="I1585" i="1"/>
  <c r="H1585" i="1"/>
  <c r="E1585" i="1"/>
  <c r="K1584" i="1"/>
  <c r="I1584" i="1"/>
  <c r="H1584" i="1"/>
  <c r="E1584" i="1"/>
  <c r="K1583" i="1"/>
  <c r="I1583" i="1"/>
  <c r="H1583" i="1"/>
  <c r="E1583" i="1"/>
  <c r="K1582" i="1"/>
  <c r="I1582" i="1"/>
  <c r="H1582" i="1"/>
  <c r="E1582" i="1"/>
  <c r="K1581" i="1"/>
  <c r="I1581" i="1"/>
  <c r="H1581" i="1"/>
  <c r="E1581" i="1"/>
  <c r="K1580" i="1"/>
  <c r="I1580" i="1"/>
  <c r="H1580" i="1"/>
  <c r="E1580" i="1"/>
  <c r="K1579" i="1"/>
  <c r="I1579" i="1"/>
  <c r="H1579" i="1"/>
  <c r="E1579" i="1"/>
  <c r="K1578" i="1"/>
  <c r="I1578" i="1"/>
  <c r="H1578" i="1"/>
  <c r="E1578" i="1"/>
  <c r="K1577" i="1"/>
  <c r="I1577" i="1"/>
  <c r="H1577" i="1"/>
  <c r="E1577" i="1"/>
  <c r="K1576" i="1"/>
  <c r="I1576" i="1"/>
  <c r="H1576" i="1"/>
  <c r="E1576" i="1"/>
  <c r="K1575" i="1"/>
  <c r="I1575" i="1"/>
  <c r="H1575" i="1"/>
  <c r="E1575" i="1"/>
  <c r="K1574" i="1"/>
  <c r="I1574" i="1"/>
  <c r="H1574" i="1"/>
  <c r="E1574" i="1"/>
  <c r="K1573" i="1"/>
  <c r="I1573" i="1"/>
  <c r="H1573" i="1"/>
  <c r="E1573" i="1"/>
  <c r="K1572" i="1"/>
  <c r="I1572" i="1"/>
  <c r="H1572" i="1"/>
  <c r="E1572" i="1"/>
  <c r="K1571" i="1"/>
  <c r="I1571" i="1"/>
  <c r="H1571" i="1"/>
  <c r="E1571" i="1"/>
  <c r="K1570" i="1"/>
  <c r="I1570" i="1"/>
  <c r="H1570" i="1"/>
  <c r="E1570" i="1"/>
  <c r="K1569" i="1"/>
  <c r="I1569" i="1"/>
  <c r="H1569" i="1"/>
  <c r="E1569" i="1"/>
  <c r="K1568" i="1"/>
  <c r="I1568" i="1"/>
  <c r="H1568" i="1"/>
  <c r="E1568" i="1"/>
  <c r="K1567" i="1"/>
  <c r="I1567" i="1"/>
  <c r="H1567" i="1"/>
  <c r="E1567" i="1"/>
  <c r="K1566" i="1"/>
  <c r="I1566" i="1"/>
  <c r="H1566" i="1"/>
  <c r="E1566" i="1"/>
  <c r="K1565" i="1"/>
  <c r="I1565" i="1"/>
  <c r="H1565" i="1"/>
  <c r="E1565" i="1"/>
  <c r="K1564" i="1"/>
  <c r="I1564" i="1"/>
  <c r="H1564" i="1"/>
  <c r="E1564" i="1"/>
  <c r="K1563" i="1"/>
  <c r="I1563" i="1"/>
  <c r="H1563" i="1"/>
  <c r="E1563" i="1"/>
  <c r="K1562" i="1"/>
  <c r="I1562" i="1"/>
  <c r="H1562" i="1"/>
  <c r="E1562" i="1"/>
  <c r="K1561" i="1"/>
  <c r="I1561" i="1"/>
  <c r="H1561" i="1"/>
  <c r="E1561" i="1"/>
  <c r="K1560" i="1"/>
  <c r="I1560" i="1"/>
  <c r="H1560" i="1"/>
  <c r="E1560" i="1"/>
  <c r="K1559" i="1"/>
  <c r="I1559" i="1"/>
  <c r="H1559" i="1"/>
  <c r="E1559" i="1"/>
  <c r="K1558" i="1"/>
  <c r="I1558" i="1"/>
  <c r="H1558" i="1"/>
  <c r="E1558" i="1"/>
  <c r="K1557" i="1"/>
  <c r="I1557" i="1"/>
  <c r="H1557" i="1"/>
  <c r="E1557" i="1"/>
  <c r="K1556" i="1"/>
  <c r="I1556" i="1"/>
  <c r="H1556" i="1"/>
  <c r="E1556" i="1"/>
  <c r="K1555" i="1"/>
  <c r="I1555" i="1"/>
  <c r="H1555" i="1"/>
  <c r="E1555" i="1"/>
  <c r="K1554" i="1"/>
  <c r="I1554" i="1"/>
  <c r="H1554" i="1"/>
  <c r="E1554" i="1"/>
  <c r="K1553" i="1"/>
  <c r="I1553" i="1"/>
  <c r="H1553" i="1"/>
  <c r="E1553" i="1"/>
  <c r="K1552" i="1"/>
  <c r="I1552" i="1"/>
  <c r="H1552" i="1"/>
  <c r="E1552" i="1"/>
  <c r="K1551" i="1"/>
  <c r="I1551" i="1"/>
  <c r="H1551" i="1"/>
  <c r="E1551" i="1"/>
  <c r="K1550" i="1"/>
  <c r="I1550" i="1"/>
  <c r="H1550" i="1"/>
  <c r="E1550" i="1"/>
  <c r="K1549" i="1"/>
  <c r="I1549" i="1"/>
  <c r="H1549" i="1"/>
  <c r="E1549" i="1"/>
  <c r="K1548" i="1"/>
  <c r="I1548" i="1"/>
  <c r="H1548" i="1"/>
  <c r="E1548" i="1"/>
  <c r="K1547" i="1"/>
  <c r="I1547" i="1"/>
  <c r="H1547" i="1"/>
  <c r="E1547" i="1"/>
  <c r="K1546" i="1"/>
  <c r="I1546" i="1"/>
  <c r="H1546" i="1"/>
  <c r="E1546" i="1"/>
  <c r="K1545" i="1"/>
  <c r="I1545" i="1"/>
  <c r="H1545" i="1"/>
  <c r="E1545" i="1"/>
  <c r="K1544" i="1"/>
  <c r="I1544" i="1"/>
  <c r="H1544" i="1"/>
  <c r="E1544" i="1"/>
  <c r="K1543" i="1"/>
  <c r="I1543" i="1"/>
  <c r="H1543" i="1"/>
  <c r="E1543" i="1"/>
  <c r="K1542" i="1"/>
  <c r="I1542" i="1"/>
  <c r="H1542" i="1"/>
  <c r="E1542" i="1"/>
  <c r="K1541" i="1"/>
  <c r="I1541" i="1"/>
  <c r="H1541" i="1"/>
  <c r="E1541" i="1"/>
  <c r="K1540" i="1"/>
  <c r="I1540" i="1"/>
  <c r="H1540" i="1"/>
  <c r="E1540" i="1"/>
  <c r="K1539" i="1"/>
  <c r="I1539" i="1"/>
  <c r="H1539" i="1"/>
  <c r="E1539" i="1"/>
  <c r="K1538" i="1"/>
  <c r="I1538" i="1"/>
  <c r="H1538" i="1"/>
  <c r="E1538" i="1"/>
  <c r="K1537" i="1"/>
  <c r="I1537" i="1"/>
  <c r="H1537" i="1"/>
  <c r="E1537" i="1"/>
  <c r="K1536" i="1"/>
  <c r="I1536" i="1"/>
  <c r="H1536" i="1"/>
  <c r="E1536" i="1"/>
  <c r="K1535" i="1"/>
  <c r="I1535" i="1"/>
  <c r="H1535" i="1"/>
  <c r="E1535" i="1"/>
  <c r="K1534" i="1"/>
  <c r="I1534" i="1"/>
  <c r="H1534" i="1"/>
  <c r="E1534" i="1"/>
  <c r="K1533" i="1"/>
  <c r="I1533" i="1"/>
  <c r="H1533" i="1"/>
  <c r="E1533" i="1"/>
  <c r="K1532" i="1"/>
  <c r="I1532" i="1"/>
  <c r="H1532" i="1"/>
  <c r="E1532" i="1"/>
  <c r="K1531" i="1"/>
  <c r="I1531" i="1"/>
  <c r="H1531" i="1"/>
  <c r="E1531" i="1"/>
  <c r="K1530" i="1"/>
  <c r="I1530" i="1"/>
  <c r="H1530" i="1"/>
  <c r="E1530" i="1"/>
  <c r="K1529" i="1"/>
  <c r="I1529" i="1"/>
  <c r="H1529" i="1"/>
  <c r="E1529" i="1"/>
  <c r="K1528" i="1"/>
  <c r="I1528" i="1"/>
  <c r="H1528" i="1"/>
  <c r="E1528" i="1"/>
  <c r="K1527" i="1"/>
  <c r="I1527" i="1"/>
  <c r="H1527" i="1"/>
  <c r="E1527" i="1"/>
  <c r="K1526" i="1"/>
  <c r="I1526" i="1"/>
  <c r="H1526" i="1"/>
  <c r="E1526" i="1"/>
  <c r="K1525" i="1"/>
  <c r="I1525" i="1"/>
  <c r="H1525" i="1"/>
  <c r="E1525" i="1"/>
  <c r="K1524" i="1"/>
  <c r="I1524" i="1"/>
  <c r="H1524" i="1"/>
  <c r="E1524" i="1"/>
  <c r="K1523" i="1"/>
  <c r="I1523" i="1"/>
  <c r="H1523" i="1"/>
  <c r="E1523" i="1"/>
  <c r="K1522" i="1"/>
  <c r="I1522" i="1"/>
  <c r="H1522" i="1"/>
  <c r="E1522" i="1"/>
  <c r="K1521" i="1"/>
  <c r="I1521" i="1"/>
  <c r="H1521" i="1"/>
  <c r="E1521" i="1"/>
  <c r="K1520" i="1"/>
  <c r="I1520" i="1"/>
  <c r="H1520" i="1"/>
  <c r="E1520" i="1"/>
  <c r="K1519" i="1"/>
  <c r="I1519" i="1"/>
  <c r="H1519" i="1"/>
  <c r="E1519" i="1"/>
  <c r="K1518" i="1"/>
  <c r="I1518" i="1"/>
  <c r="H1518" i="1"/>
  <c r="E1518" i="1"/>
  <c r="K1517" i="1"/>
  <c r="I1517" i="1"/>
  <c r="H1517" i="1"/>
  <c r="E1517" i="1"/>
  <c r="K1516" i="1"/>
  <c r="I1516" i="1"/>
  <c r="H1516" i="1"/>
  <c r="E1516" i="1"/>
  <c r="K1515" i="1"/>
  <c r="I1515" i="1"/>
  <c r="H1515" i="1"/>
  <c r="E1515" i="1"/>
  <c r="K1514" i="1"/>
  <c r="I1514" i="1"/>
  <c r="H1514" i="1"/>
  <c r="E1514" i="1"/>
  <c r="K1513" i="1"/>
  <c r="I1513" i="1"/>
  <c r="H1513" i="1"/>
  <c r="E1513" i="1"/>
  <c r="K1512" i="1"/>
  <c r="I1512" i="1"/>
  <c r="H1512" i="1"/>
  <c r="E1512" i="1"/>
  <c r="K1511" i="1"/>
  <c r="I1511" i="1"/>
  <c r="H1511" i="1"/>
  <c r="E1511" i="1"/>
  <c r="K1510" i="1"/>
  <c r="I1510" i="1"/>
  <c r="H1510" i="1"/>
  <c r="E1510" i="1"/>
  <c r="K1509" i="1"/>
  <c r="I1509" i="1"/>
  <c r="H1509" i="1"/>
  <c r="E1509" i="1"/>
  <c r="K1508" i="1"/>
  <c r="I1508" i="1"/>
  <c r="H1508" i="1"/>
  <c r="E1508" i="1"/>
  <c r="K1507" i="1"/>
  <c r="I1507" i="1"/>
  <c r="H1507" i="1"/>
  <c r="E1507" i="1"/>
  <c r="K1506" i="1"/>
  <c r="I1506" i="1"/>
  <c r="H1506" i="1"/>
  <c r="E1506" i="1"/>
  <c r="K1505" i="1"/>
  <c r="I1505" i="1"/>
  <c r="H1505" i="1"/>
  <c r="E1505" i="1"/>
  <c r="K1504" i="1"/>
  <c r="I1504" i="1"/>
  <c r="H1504" i="1"/>
  <c r="E1504" i="1"/>
  <c r="K1503" i="1"/>
  <c r="I1503" i="1"/>
  <c r="H1503" i="1"/>
  <c r="E1503" i="1"/>
  <c r="K1502" i="1"/>
  <c r="I1502" i="1"/>
  <c r="H1502" i="1"/>
  <c r="E1502" i="1"/>
  <c r="K1501" i="1"/>
  <c r="I1501" i="1"/>
  <c r="H1501" i="1"/>
  <c r="E1501" i="1"/>
  <c r="K1500" i="1"/>
  <c r="I1500" i="1"/>
  <c r="H1500" i="1"/>
  <c r="E1500" i="1"/>
  <c r="K1499" i="1"/>
  <c r="I1499" i="1"/>
  <c r="H1499" i="1"/>
  <c r="E1499" i="1"/>
  <c r="K1498" i="1"/>
  <c r="I1498" i="1"/>
  <c r="H1498" i="1"/>
  <c r="E1498" i="1"/>
  <c r="K1497" i="1"/>
  <c r="I1497" i="1"/>
  <c r="H1497" i="1"/>
  <c r="E1497" i="1"/>
  <c r="K1496" i="1"/>
  <c r="I1496" i="1"/>
  <c r="H1496" i="1"/>
  <c r="E1496" i="1"/>
  <c r="K1495" i="1"/>
  <c r="I1495" i="1"/>
  <c r="H1495" i="1"/>
  <c r="E1495" i="1"/>
  <c r="K1494" i="1"/>
  <c r="I1494" i="1"/>
  <c r="H1494" i="1"/>
  <c r="E1494" i="1"/>
  <c r="K1493" i="1"/>
  <c r="I1493" i="1"/>
  <c r="H1493" i="1"/>
  <c r="E1493" i="1"/>
  <c r="K1492" i="1"/>
  <c r="I1492" i="1"/>
  <c r="H1492" i="1"/>
  <c r="E1492" i="1"/>
  <c r="K1491" i="1"/>
  <c r="I1491" i="1"/>
  <c r="H1491" i="1"/>
  <c r="E1491" i="1"/>
  <c r="K1490" i="1"/>
  <c r="I1490" i="1"/>
  <c r="H1490" i="1"/>
  <c r="E1490" i="1"/>
  <c r="K1489" i="1"/>
  <c r="I1489" i="1"/>
  <c r="H1489" i="1"/>
  <c r="E1489" i="1"/>
  <c r="K1488" i="1"/>
  <c r="I1488" i="1"/>
  <c r="H1488" i="1"/>
  <c r="E1488" i="1"/>
  <c r="K1487" i="1"/>
  <c r="I1487" i="1"/>
  <c r="H1487" i="1"/>
  <c r="E1487" i="1"/>
  <c r="K1486" i="1"/>
  <c r="I1486" i="1"/>
  <c r="H1486" i="1"/>
  <c r="E1486" i="1"/>
  <c r="K1485" i="1"/>
  <c r="I1485" i="1"/>
  <c r="H1485" i="1"/>
  <c r="E1485" i="1"/>
  <c r="K1484" i="1"/>
  <c r="I1484" i="1"/>
  <c r="H1484" i="1"/>
  <c r="E1484" i="1"/>
  <c r="K1483" i="1"/>
  <c r="I1483" i="1"/>
  <c r="H1483" i="1"/>
  <c r="E1483" i="1"/>
  <c r="K1482" i="1"/>
  <c r="I1482" i="1"/>
  <c r="H1482" i="1"/>
  <c r="E1482" i="1"/>
  <c r="K1481" i="1"/>
  <c r="I1481" i="1"/>
  <c r="H1481" i="1"/>
  <c r="E1481" i="1"/>
  <c r="K1480" i="1"/>
  <c r="I1480" i="1"/>
  <c r="H1480" i="1"/>
  <c r="E1480" i="1"/>
  <c r="K1479" i="1"/>
  <c r="I1479" i="1"/>
  <c r="H1479" i="1"/>
  <c r="E1479" i="1"/>
  <c r="K1478" i="1"/>
  <c r="I1478" i="1"/>
  <c r="H1478" i="1"/>
  <c r="E1478" i="1"/>
  <c r="K1477" i="1"/>
  <c r="I1477" i="1"/>
  <c r="H1477" i="1"/>
  <c r="E1477" i="1"/>
  <c r="K1476" i="1"/>
  <c r="I1476" i="1"/>
  <c r="H1476" i="1"/>
  <c r="E1476" i="1"/>
  <c r="K1475" i="1"/>
  <c r="I1475" i="1"/>
  <c r="H1475" i="1"/>
  <c r="E1475" i="1"/>
  <c r="K1474" i="1"/>
  <c r="I1474" i="1"/>
  <c r="H1474" i="1"/>
  <c r="E1474" i="1"/>
  <c r="K1473" i="1"/>
  <c r="I1473" i="1"/>
  <c r="H1473" i="1"/>
  <c r="E1473" i="1"/>
  <c r="K1472" i="1"/>
  <c r="I1472" i="1"/>
  <c r="H1472" i="1"/>
  <c r="E1472" i="1"/>
  <c r="K1471" i="1"/>
  <c r="I1471" i="1"/>
  <c r="H1471" i="1"/>
  <c r="E1471" i="1"/>
  <c r="K1470" i="1"/>
  <c r="I1470" i="1"/>
  <c r="H1470" i="1"/>
  <c r="E1470" i="1"/>
  <c r="K1469" i="1"/>
  <c r="I1469" i="1"/>
  <c r="H1469" i="1"/>
  <c r="E1469" i="1"/>
  <c r="K1468" i="1"/>
  <c r="I1468" i="1"/>
  <c r="H1468" i="1"/>
  <c r="E1468" i="1"/>
  <c r="K1467" i="1"/>
  <c r="I1467" i="1"/>
  <c r="H1467" i="1"/>
  <c r="E1467" i="1"/>
  <c r="K1466" i="1"/>
  <c r="I1466" i="1"/>
  <c r="H1466" i="1"/>
  <c r="E1466" i="1"/>
  <c r="K1465" i="1"/>
  <c r="I1465" i="1"/>
  <c r="H1465" i="1"/>
  <c r="E1465" i="1"/>
  <c r="K1464" i="1"/>
  <c r="I1464" i="1"/>
  <c r="H1464" i="1"/>
  <c r="E1464" i="1"/>
  <c r="K1463" i="1"/>
  <c r="I1463" i="1"/>
  <c r="H1463" i="1"/>
  <c r="E1463" i="1"/>
  <c r="K1462" i="1"/>
  <c r="I1462" i="1"/>
  <c r="H1462" i="1"/>
  <c r="E1462" i="1"/>
  <c r="K1461" i="1"/>
  <c r="I1461" i="1"/>
  <c r="H1461" i="1"/>
  <c r="E1461" i="1"/>
  <c r="K1460" i="1"/>
  <c r="I1460" i="1"/>
  <c r="H1460" i="1"/>
  <c r="E1460" i="1"/>
  <c r="K1459" i="1"/>
  <c r="I1459" i="1"/>
  <c r="H1459" i="1"/>
  <c r="E1459" i="1"/>
  <c r="K1458" i="1"/>
  <c r="I1458" i="1"/>
  <c r="H1458" i="1"/>
  <c r="E1458" i="1"/>
  <c r="K1457" i="1"/>
  <c r="I1457" i="1"/>
  <c r="H1457" i="1"/>
  <c r="E1457" i="1"/>
  <c r="K1456" i="1"/>
  <c r="I1456" i="1"/>
  <c r="H1456" i="1"/>
  <c r="E1456" i="1"/>
  <c r="K1455" i="1"/>
  <c r="I1455" i="1"/>
  <c r="H1455" i="1"/>
  <c r="E1455" i="1"/>
  <c r="K1454" i="1"/>
  <c r="I1454" i="1"/>
  <c r="H1454" i="1"/>
  <c r="E1454" i="1"/>
  <c r="K1453" i="1"/>
  <c r="I1453" i="1"/>
  <c r="H1453" i="1"/>
  <c r="E1453" i="1"/>
  <c r="K1452" i="1"/>
  <c r="I1452" i="1"/>
  <c r="H1452" i="1"/>
  <c r="E1452" i="1"/>
  <c r="K1451" i="1"/>
  <c r="I1451" i="1"/>
  <c r="H1451" i="1"/>
  <c r="E1451" i="1"/>
  <c r="K1450" i="1"/>
  <c r="I1450" i="1"/>
  <c r="H1450" i="1"/>
  <c r="E1450" i="1"/>
  <c r="K1449" i="1"/>
  <c r="I1449" i="1"/>
  <c r="H1449" i="1"/>
  <c r="E1449" i="1"/>
  <c r="K1448" i="1"/>
  <c r="I1448" i="1"/>
  <c r="H1448" i="1"/>
  <c r="E1448" i="1"/>
  <c r="K1447" i="1"/>
  <c r="I1447" i="1"/>
  <c r="H1447" i="1"/>
  <c r="E1447" i="1"/>
  <c r="K1446" i="1"/>
  <c r="I1446" i="1"/>
  <c r="H1446" i="1"/>
  <c r="E1446" i="1"/>
  <c r="K1445" i="1"/>
  <c r="I1445" i="1"/>
  <c r="H1445" i="1"/>
  <c r="E1445" i="1"/>
  <c r="K1444" i="1"/>
  <c r="I1444" i="1"/>
  <c r="H1444" i="1"/>
  <c r="E1444" i="1"/>
  <c r="K1443" i="1"/>
  <c r="I1443" i="1"/>
  <c r="H1443" i="1"/>
  <c r="E1443" i="1"/>
  <c r="K1442" i="1"/>
  <c r="I1442" i="1"/>
  <c r="H1442" i="1"/>
  <c r="E1442" i="1"/>
  <c r="K1441" i="1"/>
  <c r="I1441" i="1"/>
  <c r="H1441" i="1"/>
  <c r="E1441" i="1"/>
  <c r="K1440" i="1"/>
  <c r="I1440" i="1"/>
  <c r="H1440" i="1"/>
  <c r="E1440" i="1"/>
  <c r="K1439" i="1"/>
  <c r="I1439" i="1"/>
  <c r="H1439" i="1"/>
  <c r="E1439" i="1"/>
  <c r="K1438" i="1"/>
  <c r="I1438" i="1"/>
  <c r="H1438" i="1"/>
  <c r="E1438" i="1"/>
  <c r="K1437" i="1"/>
  <c r="I1437" i="1"/>
  <c r="H1437" i="1"/>
  <c r="E1437" i="1"/>
  <c r="K1436" i="1"/>
  <c r="I1436" i="1"/>
  <c r="H1436" i="1"/>
  <c r="E1436" i="1"/>
  <c r="K1435" i="1"/>
  <c r="I1435" i="1"/>
  <c r="H1435" i="1"/>
  <c r="E1435" i="1"/>
  <c r="K1434" i="1"/>
  <c r="I1434" i="1"/>
  <c r="H1434" i="1"/>
  <c r="E1434" i="1"/>
  <c r="K1433" i="1"/>
  <c r="I1433" i="1"/>
  <c r="H1433" i="1"/>
  <c r="E1433" i="1"/>
  <c r="K1432" i="1"/>
  <c r="I1432" i="1"/>
  <c r="H1432" i="1"/>
  <c r="E1432" i="1"/>
  <c r="K1431" i="1"/>
  <c r="I1431" i="1"/>
  <c r="H1431" i="1"/>
  <c r="E1431" i="1"/>
  <c r="K1430" i="1"/>
  <c r="I1430" i="1"/>
  <c r="H1430" i="1"/>
  <c r="E1430" i="1"/>
  <c r="K1429" i="1"/>
  <c r="I1429" i="1"/>
  <c r="H1429" i="1"/>
  <c r="E1429" i="1"/>
  <c r="K1428" i="1"/>
  <c r="I1428" i="1"/>
  <c r="H1428" i="1"/>
  <c r="E1428" i="1"/>
  <c r="K1427" i="1"/>
  <c r="I1427" i="1"/>
  <c r="H1427" i="1"/>
  <c r="E1427" i="1"/>
  <c r="K1426" i="1"/>
  <c r="I1426" i="1"/>
  <c r="H1426" i="1"/>
  <c r="E1426" i="1"/>
  <c r="K1425" i="1"/>
  <c r="I1425" i="1"/>
  <c r="H1425" i="1"/>
  <c r="E1425" i="1"/>
  <c r="K1424" i="1"/>
  <c r="I1424" i="1"/>
  <c r="H1424" i="1"/>
  <c r="E1424" i="1"/>
  <c r="K1423" i="1"/>
  <c r="I1423" i="1"/>
  <c r="H1423" i="1"/>
  <c r="E1423" i="1"/>
  <c r="K1422" i="1"/>
  <c r="I1422" i="1"/>
  <c r="H1422" i="1"/>
  <c r="E1422" i="1"/>
  <c r="K1421" i="1"/>
  <c r="I1421" i="1"/>
  <c r="H1421" i="1"/>
  <c r="E1421" i="1"/>
  <c r="K1420" i="1"/>
  <c r="I1420" i="1"/>
  <c r="H1420" i="1"/>
  <c r="E1420" i="1"/>
  <c r="K1419" i="1"/>
  <c r="I1419" i="1"/>
  <c r="H1419" i="1"/>
  <c r="E1419" i="1"/>
  <c r="K1418" i="1"/>
  <c r="I1418" i="1"/>
  <c r="H1418" i="1"/>
  <c r="E1418" i="1"/>
  <c r="K1417" i="1"/>
  <c r="I1417" i="1"/>
  <c r="H1417" i="1"/>
  <c r="E1417" i="1"/>
  <c r="K1416" i="1"/>
  <c r="I1416" i="1"/>
  <c r="H1416" i="1"/>
  <c r="E1416" i="1"/>
  <c r="K1415" i="1"/>
  <c r="I1415" i="1"/>
  <c r="H1415" i="1"/>
  <c r="E1415" i="1"/>
  <c r="K1414" i="1"/>
  <c r="I1414" i="1"/>
  <c r="H1414" i="1"/>
  <c r="E1414" i="1"/>
  <c r="K1413" i="1"/>
  <c r="I1413" i="1"/>
  <c r="H1413" i="1"/>
  <c r="E1413" i="1"/>
  <c r="K1412" i="1"/>
  <c r="I1412" i="1"/>
  <c r="H1412" i="1"/>
  <c r="E1412" i="1"/>
  <c r="K1411" i="1"/>
  <c r="I1411" i="1"/>
  <c r="H1411" i="1"/>
  <c r="E1411" i="1"/>
  <c r="K1410" i="1"/>
  <c r="I1410" i="1"/>
  <c r="H1410" i="1"/>
  <c r="E1410" i="1"/>
  <c r="K1409" i="1"/>
  <c r="I1409" i="1"/>
  <c r="H1409" i="1"/>
  <c r="E1409" i="1"/>
  <c r="K1408" i="1"/>
  <c r="I1408" i="1"/>
  <c r="H1408" i="1"/>
  <c r="E1408" i="1"/>
  <c r="K1407" i="1"/>
  <c r="I1407" i="1"/>
  <c r="H1407" i="1"/>
  <c r="E1407" i="1"/>
  <c r="K1406" i="1"/>
  <c r="I1406" i="1"/>
  <c r="H1406" i="1"/>
  <c r="E1406" i="1"/>
  <c r="K1405" i="1"/>
  <c r="I1405" i="1"/>
  <c r="H1405" i="1"/>
  <c r="E1405" i="1"/>
  <c r="K1404" i="1"/>
  <c r="I1404" i="1"/>
  <c r="H1404" i="1"/>
  <c r="E1404" i="1"/>
  <c r="K1403" i="1"/>
  <c r="I1403" i="1"/>
  <c r="H1403" i="1"/>
  <c r="E1403" i="1"/>
  <c r="K1402" i="1"/>
  <c r="I1402" i="1"/>
  <c r="H1402" i="1"/>
  <c r="E1402" i="1"/>
  <c r="K1401" i="1"/>
  <c r="I1401" i="1"/>
  <c r="H1401" i="1"/>
  <c r="E1401" i="1"/>
  <c r="K1400" i="1"/>
  <c r="I1400" i="1"/>
  <c r="H1400" i="1"/>
  <c r="E1400" i="1"/>
  <c r="K1399" i="1"/>
  <c r="I1399" i="1"/>
  <c r="H1399" i="1"/>
  <c r="E1399" i="1"/>
  <c r="K1398" i="1"/>
  <c r="I1398" i="1"/>
  <c r="H1398" i="1"/>
  <c r="E1398" i="1"/>
  <c r="K1397" i="1"/>
  <c r="I1397" i="1"/>
  <c r="H1397" i="1"/>
  <c r="E1397" i="1"/>
  <c r="K1396" i="1"/>
  <c r="I1396" i="1"/>
  <c r="H1396" i="1"/>
  <c r="E1396" i="1"/>
  <c r="K1395" i="1"/>
  <c r="I1395" i="1"/>
  <c r="H1395" i="1"/>
  <c r="E1395" i="1"/>
  <c r="K1394" i="1"/>
  <c r="I1394" i="1"/>
  <c r="H1394" i="1"/>
  <c r="E1394" i="1"/>
  <c r="K1393" i="1"/>
  <c r="I1393" i="1"/>
  <c r="H1393" i="1"/>
  <c r="E1393" i="1"/>
  <c r="K1392" i="1"/>
  <c r="I1392" i="1"/>
  <c r="H1392" i="1"/>
  <c r="E1392" i="1"/>
  <c r="K1391" i="1"/>
  <c r="I1391" i="1"/>
  <c r="H1391" i="1"/>
  <c r="E1391" i="1"/>
  <c r="K1390" i="1"/>
  <c r="I1390" i="1"/>
  <c r="H1390" i="1"/>
  <c r="E1390" i="1"/>
  <c r="K1389" i="1"/>
  <c r="I1389" i="1"/>
  <c r="H1389" i="1"/>
  <c r="E1389" i="1"/>
  <c r="K1388" i="1"/>
  <c r="I1388" i="1"/>
  <c r="H1388" i="1"/>
  <c r="E1388" i="1"/>
  <c r="K1387" i="1"/>
  <c r="I1387" i="1"/>
  <c r="H1387" i="1"/>
  <c r="E1387" i="1"/>
  <c r="K1386" i="1"/>
  <c r="I1386" i="1"/>
  <c r="H1386" i="1"/>
  <c r="E1386" i="1"/>
  <c r="K1385" i="1"/>
  <c r="I1385" i="1"/>
  <c r="H1385" i="1"/>
  <c r="E1385" i="1"/>
  <c r="K1384" i="1"/>
  <c r="I1384" i="1"/>
  <c r="H1384" i="1"/>
  <c r="E1384" i="1"/>
  <c r="K1383" i="1"/>
  <c r="I1383" i="1"/>
  <c r="H1383" i="1"/>
  <c r="E1383" i="1"/>
  <c r="K1382" i="1"/>
  <c r="I1382" i="1"/>
  <c r="H1382" i="1"/>
  <c r="E1382" i="1"/>
  <c r="K1381" i="1"/>
  <c r="I1381" i="1"/>
  <c r="H1381" i="1"/>
  <c r="E1381" i="1"/>
  <c r="K1380" i="1"/>
  <c r="I1380" i="1"/>
  <c r="H1380" i="1"/>
  <c r="E1380" i="1"/>
  <c r="K1379" i="1"/>
  <c r="I1379" i="1"/>
  <c r="H1379" i="1"/>
  <c r="E1379" i="1"/>
  <c r="K1378" i="1"/>
  <c r="I1378" i="1"/>
  <c r="H1378" i="1"/>
  <c r="E1378" i="1"/>
  <c r="K1377" i="1"/>
  <c r="I1377" i="1"/>
  <c r="H1377" i="1"/>
  <c r="E1377" i="1"/>
  <c r="K1376" i="1"/>
  <c r="I1376" i="1"/>
  <c r="H1376" i="1"/>
  <c r="E1376" i="1"/>
  <c r="K1375" i="1"/>
  <c r="I1375" i="1"/>
  <c r="H1375" i="1"/>
  <c r="E1375" i="1"/>
  <c r="K1374" i="1"/>
  <c r="I1374" i="1"/>
  <c r="H1374" i="1"/>
  <c r="E1374" i="1"/>
  <c r="K1373" i="1"/>
  <c r="I1373" i="1"/>
  <c r="H1373" i="1"/>
  <c r="E1373" i="1"/>
  <c r="K1372" i="1"/>
  <c r="I1372" i="1"/>
  <c r="H1372" i="1"/>
  <c r="E1372" i="1"/>
  <c r="K1371" i="1"/>
  <c r="I1371" i="1"/>
  <c r="H1371" i="1"/>
  <c r="E1371" i="1"/>
  <c r="K1370" i="1"/>
  <c r="I1370" i="1"/>
  <c r="H1370" i="1"/>
  <c r="E1370" i="1"/>
  <c r="K1369" i="1"/>
  <c r="I1369" i="1"/>
  <c r="H1369" i="1"/>
  <c r="E1369" i="1"/>
  <c r="K1368" i="1"/>
  <c r="I1368" i="1"/>
  <c r="H1368" i="1"/>
  <c r="E1368" i="1"/>
  <c r="K1367" i="1"/>
  <c r="I1367" i="1"/>
  <c r="H1367" i="1"/>
  <c r="E1367" i="1"/>
  <c r="K1366" i="1"/>
  <c r="I1366" i="1"/>
  <c r="H1366" i="1"/>
  <c r="E1366" i="1"/>
  <c r="K1365" i="1"/>
  <c r="I1365" i="1"/>
  <c r="H1365" i="1"/>
  <c r="E1365" i="1"/>
  <c r="K1364" i="1"/>
  <c r="I1364" i="1"/>
  <c r="H1364" i="1"/>
  <c r="E1364" i="1"/>
  <c r="K1363" i="1"/>
  <c r="I1363" i="1"/>
  <c r="H1363" i="1"/>
  <c r="E1363" i="1"/>
  <c r="K1362" i="1"/>
  <c r="I1362" i="1"/>
  <c r="H1362" i="1"/>
  <c r="E1362" i="1"/>
  <c r="K1361" i="1"/>
  <c r="I1361" i="1"/>
  <c r="H1361" i="1"/>
  <c r="E1361" i="1"/>
  <c r="K1360" i="1"/>
  <c r="I1360" i="1"/>
  <c r="H1360" i="1"/>
  <c r="E1360" i="1"/>
  <c r="K1359" i="1"/>
  <c r="I1359" i="1"/>
  <c r="H1359" i="1"/>
  <c r="E1359" i="1"/>
  <c r="K1358" i="1"/>
  <c r="I1358" i="1"/>
  <c r="H1358" i="1"/>
  <c r="E1358" i="1"/>
  <c r="K1357" i="1"/>
  <c r="I1357" i="1"/>
  <c r="H1357" i="1"/>
  <c r="E1357" i="1"/>
  <c r="K1356" i="1"/>
  <c r="I1356" i="1"/>
  <c r="H1356" i="1"/>
  <c r="E1356" i="1"/>
  <c r="K1355" i="1"/>
  <c r="I1355" i="1"/>
  <c r="H1355" i="1"/>
  <c r="E1355" i="1"/>
  <c r="K1354" i="1"/>
  <c r="I1354" i="1"/>
  <c r="H1354" i="1"/>
  <c r="E1354" i="1"/>
  <c r="K1353" i="1"/>
  <c r="I1353" i="1"/>
  <c r="H1353" i="1"/>
  <c r="E1353" i="1"/>
  <c r="K1352" i="1"/>
  <c r="I1352" i="1"/>
  <c r="H1352" i="1"/>
  <c r="E1352" i="1"/>
  <c r="K1351" i="1"/>
  <c r="I1351" i="1"/>
  <c r="H1351" i="1"/>
  <c r="E1351" i="1"/>
  <c r="K1350" i="1"/>
  <c r="I1350" i="1"/>
  <c r="H1350" i="1"/>
  <c r="E1350" i="1"/>
  <c r="K1349" i="1"/>
  <c r="I1349" i="1"/>
  <c r="H1349" i="1"/>
  <c r="E1349" i="1"/>
  <c r="K1348" i="1"/>
  <c r="I1348" i="1"/>
  <c r="H1348" i="1"/>
  <c r="E1348" i="1"/>
  <c r="K1347" i="1"/>
  <c r="I1347" i="1"/>
  <c r="H1347" i="1"/>
  <c r="E1347" i="1"/>
  <c r="K1346" i="1"/>
  <c r="I1346" i="1"/>
  <c r="H1346" i="1"/>
  <c r="E1346" i="1"/>
  <c r="K1345" i="1"/>
  <c r="I1345" i="1"/>
  <c r="H1345" i="1"/>
  <c r="E1345" i="1"/>
  <c r="K1344" i="1"/>
  <c r="I1344" i="1"/>
  <c r="H1344" i="1"/>
  <c r="E1344" i="1"/>
  <c r="K1343" i="1"/>
  <c r="I1343" i="1"/>
  <c r="H1343" i="1"/>
  <c r="E1343" i="1"/>
  <c r="K1342" i="1"/>
  <c r="I1342" i="1"/>
  <c r="H1342" i="1"/>
  <c r="E1342" i="1"/>
  <c r="K1341" i="1"/>
  <c r="I1341" i="1"/>
  <c r="H1341" i="1"/>
  <c r="E1341" i="1"/>
  <c r="K1340" i="1"/>
  <c r="I1340" i="1"/>
  <c r="H1340" i="1"/>
  <c r="E1340" i="1"/>
  <c r="K1339" i="1"/>
  <c r="I1339" i="1"/>
  <c r="H1339" i="1"/>
  <c r="E1339" i="1"/>
  <c r="K1338" i="1"/>
  <c r="I1338" i="1"/>
  <c r="H1338" i="1"/>
  <c r="E1338" i="1"/>
  <c r="K1337" i="1"/>
  <c r="I1337" i="1"/>
  <c r="H1337" i="1"/>
  <c r="E1337" i="1"/>
  <c r="K1336" i="1"/>
  <c r="I1336" i="1"/>
  <c r="H1336" i="1"/>
  <c r="E1336" i="1"/>
  <c r="K1335" i="1"/>
  <c r="I1335" i="1"/>
  <c r="H1335" i="1"/>
  <c r="E1335" i="1"/>
  <c r="K1334" i="1"/>
  <c r="I1334" i="1"/>
  <c r="H1334" i="1"/>
  <c r="E1334" i="1"/>
  <c r="K1333" i="1"/>
  <c r="I1333" i="1"/>
  <c r="H1333" i="1"/>
  <c r="E1333" i="1"/>
  <c r="K1332" i="1"/>
  <c r="I1332" i="1"/>
  <c r="H1332" i="1"/>
  <c r="E1332" i="1"/>
  <c r="K1331" i="1"/>
  <c r="I1331" i="1"/>
  <c r="H1331" i="1"/>
  <c r="E1331" i="1"/>
  <c r="K1330" i="1"/>
  <c r="I1330" i="1"/>
  <c r="H1330" i="1"/>
  <c r="E1330" i="1"/>
  <c r="K1329" i="1"/>
  <c r="I1329" i="1"/>
  <c r="H1329" i="1"/>
  <c r="E1329" i="1"/>
  <c r="K1328" i="1"/>
  <c r="I1328" i="1"/>
  <c r="H1328" i="1"/>
  <c r="E1328" i="1"/>
  <c r="K1327" i="1"/>
  <c r="I1327" i="1"/>
  <c r="H1327" i="1"/>
  <c r="E1327" i="1"/>
  <c r="K1326" i="1"/>
  <c r="I1326" i="1"/>
  <c r="H1326" i="1"/>
  <c r="E1326" i="1"/>
  <c r="K1325" i="1"/>
  <c r="I1325" i="1"/>
  <c r="H1325" i="1"/>
  <c r="E1325" i="1"/>
  <c r="K1324" i="1"/>
  <c r="I1324" i="1"/>
  <c r="H1324" i="1"/>
  <c r="E1324" i="1"/>
  <c r="K1323" i="1"/>
  <c r="I1323" i="1"/>
  <c r="H1323" i="1"/>
  <c r="E1323" i="1"/>
  <c r="K1322" i="1"/>
  <c r="I1322" i="1"/>
  <c r="H1322" i="1"/>
  <c r="E1322" i="1"/>
  <c r="K1321" i="1"/>
  <c r="I1321" i="1"/>
  <c r="H1321" i="1"/>
  <c r="E1321" i="1"/>
  <c r="K1320" i="1"/>
  <c r="I1320" i="1"/>
  <c r="H1320" i="1"/>
  <c r="E1320" i="1"/>
  <c r="K1319" i="1"/>
  <c r="I1319" i="1"/>
  <c r="H1319" i="1"/>
  <c r="E1319" i="1"/>
  <c r="K1318" i="1"/>
  <c r="I1318" i="1"/>
  <c r="H1318" i="1"/>
  <c r="E1318" i="1"/>
  <c r="K1317" i="1"/>
  <c r="I1317" i="1"/>
  <c r="H1317" i="1"/>
  <c r="E1317" i="1"/>
  <c r="K1316" i="1"/>
  <c r="I1316" i="1"/>
  <c r="H1316" i="1"/>
  <c r="E1316" i="1"/>
  <c r="K1315" i="1"/>
  <c r="I1315" i="1"/>
  <c r="H1315" i="1"/>
  <c r="E1315" i="1"/>
  <c r="K1314" i="1"/>
  <c r="I1314" i="1"/>
  <c r="H1314" i="1"/>
  <c r="E1314" i="1"/>
  <c r="K1313" i="1"/>
  <c r="I1313" i="1"/>
  <c r="H1313" i="1"/>
  <c r="E1313" i="1"/>
  <c r="K1312" i="1"/>
  <c r="I1312" i="1"/>
  <c r="H1312" i="1"/>
  <c r="E1312" i="1"/>
  <c r="K1311" i="1"/>
  <c r="I1311" i="1"/>
  <c r="H1311" i="1"/>
  <c r="E1311" i="1"/>
  <c r="K1310" i="1"/>
  <c r="I1310" i="1"/>
  <c r="H1310" i="1"/>
  <c r="E1310" i="1"/>
  <c r="K1309" i="1"/>
  <c r="I1309" i="1"/>
  <c r="H1309" i="1"/>
  <c r="E1309" i="1"/>
  <c r="K1308" i="1"/>
  <c r="I1308" i="1"/>
  <c r="H1308" i="1"/>
  <c r="E1308" i="1"/>
  <c r="K1307" i="1"/>
  <c r="I1307" i="1"/>
  <c r="H1307" i="1"/>
  <c r="E1307" i="1"/>
  <c r="K1306" i="1"/>
  <c r="I1306" i="1"/>
  <c r="H1306" i="1"/>
  <c r="E1306" i="1"/>
  <c r="K1305" i="1"/>
  <c r="I1305" i="1"/>
  <c r="H1305" i="1"/>
  <c r="E1305" i="1"/>
  <c r="K1304" i="1"/>
  <c r="I1304" i="1"/>
  <c r="H1304" i="1"/>
  <c r="E1304" i="1"/>
  <c r="K1303" i="1"/>
  <c r="I1303" i="1"/>
  <c r="H1303" i="1"/>
  <c r="E1303" i="1"/>
  <c r="K1302" i="1"/>
  <c r="I1302" i="1"/>
  <c r="H1302" i="1"/>
  <c r="E1302" i="1"/>
  <c r="K1301" i="1"/>
  <c r="I1301" i="1"/>
  <c r="H1301" i="1"/>
  <c r="E1301" i="1"/>
  <c r="K1300" i="1"/>
  <c r="I1300" i="1"/>
  <c r="H1300" i="1"/>
  <c r="E1300" i="1"/>
  <c r="K1299" i="1"/>
  <c r="I1299" i="1"/>
  <c r="H1299" i="1"/>
  <c r="E1299" i="1"/>
  <c r="K1298" i="1"/>
  <c r="I1298" i="1"/>
  <c r="H1298" i="1"/>
  <c r="E1298" i="1"/>
  <c r="K1297" i="1"/>
  <c r="I1297" i="1"/>
  <c r="H1297" i="1"/>
  <c r="E1297" i="1"/>
  <c r="K1296" i="1"/>
  <c r="I1296" i="1"/>
  <c r="H1296" i="1"/>
  <c r="E1296" i="1"/>
  <c r="K1295" i="1"/>
  <c r="I1295" i="1"/>
  <c r="H1295" i="1"/>
  <c r="E1295" i="1"/>
  <c r="K1294" i="1"/>
  <c r="I1294" i="1"/>
  <c r="H1294" i="1"/>
  <c r="E1294" i="1"/>
  <c r="K1293" i="1"/>
  <c r="I1293" i="1"/>
  <c r="H1293" i="1"/>
  <c r="E1293" i="1"/>
  <c r="K1292" i="1"/>
  <c r="I1292" i="1"/>
  <c r="H1292" i="1"/>
  <c r="E1292" i="1"/>
  <c r="K1291" i="1"/>
  <c r="I1291" i="1"/>
  <c r="H1291" i="1"/>
  <c r="E1291" i="1"/>
  <c r="K1290" i="1"/>
  <c r="I1290" i="1"/>
  <c r="H1290" i="1"/>
  <c r="E1290" i="1"/>
  <c r="K1289" i="1"/>
  <c r="I1289" i="1"/>
  <c r="H1289" i="1"/>
  <c r="E1289" i="1"/>
  <c r="K1288" i="1"/>
  <c r="I1288" i="1"/>
  <c r="H1288" i="1"/>
  <c r="E1288" i="1"/>
  <c r="K1287" i="1"/>
  <c r="I1287" i="1"/>
  <c r="H1287" i="1"/>
  <c r="E1287" i="1"/>
  <c r="K1286" i="1"/>
  <c r="I1286" i="1"/>
  <c r="H1286" i="1"/>
  <c r="E1286" i="1"/>
  <c r="K1285" i="1"/>
  <c r="I1285" i="1"/>
  <c r="H1285" i="1"/>
  <c r="E1285" i="1"/>
  <c r="K1284" i="1"/>
  <c r="I1284" i="1"/>
  <c r="H1284" i="1"/>
  <c r="E1284" i="1"/>
  <c r="K1283" i="1"/>
  <c r="I1283" i="1"/>
  <c r="H1283" i="1"/>
  <c r="E1283" i="1"/>
  <c r="K1282" i="1"/>
  <c r="I1282" i="1"/>
  <c r="H1282" i="1"/>
  <c r="E1282" i="1"/>
  <c r="K1281" i="1"/>
  <c r="I1281" i="1"/>
  <c r="H1281" i="1"/>
  <c r="E1281" i="1"/>
  <c r="K1280" i="1"/>
  <c r="I1280" i="1"/>
  <c r="H1280" i="1"/>
  <c r="E1280" i="1"/>
  <c r="K1279" i="1"/>
  <c r="I1279" i="1"/>
  <c r="H1279" i="1"/>
  <c r="E1279" i="1"/>
  <c r="K1278" i="1"/>
  <c r="I1278" i="1"/>
  <c r="H1278" i="1"/>
  <c r="E1278" i="1"/>
  <c r="K1277" i="1"/>
  <c r="I1277" i="1"/>
  <c r="H1277" i="1"/>
  <c r="E1277" i="1"/>
  <c r="K1276" i="1"/>
  <c r="I1276" i="1"/>
  <c r="H1276" i="1"/>
  <c r="E1276" i="1"/>
  <c r="K1275" i="1"/>
  <c r="I1275" i="1"/>
  <c r="H1275" i="1"/>
  <c r="E1275" i="1"/>
  <c r="K1274" i="1"/>
  <c r="I1274" i="1"/>
  <c r="H1274" i="1"/>
  <c r="E1274" i="1"/>
  <c r="K1273" i="1"/>
  <c r="I1273" i="1"/>
  <c r="H1273" i="1"/>
  <c r="E1273" i="1"/>
  <c r="K1272" i="1"/>
  <c r="I1272" i="1"/>
  <c r="H1272" i="1"/>
  <c r="E1272" i="1"/>
  <c r="K1271" i="1"/>
  <c r="I1271" i="1"/>
  <c r="H1271" i="1"/>
  <c r="E1271" i="1"/>
  <c r="K1270" i="1"/>
  <c r="I1270" i="1"/>
  <c r="H1270" i="1"/>
  <c r="E1270" i="1"/>
  <c r="K1269" i="1"/>
  <c r="I1269" i="1"/>
  <c r="H1269" i="1"/>
  <c r="E1269" i="1"/>
  <c r="K1268" i="1"/>
  <c r="I1268" i="1"/>
  <c r="H1268" i="1"/>
  <c r="E1268" i="1"/>
  <c r="K1267" i="1"/>
  <c r="I1267" i="1"/>
  <c r="H1267" i="1"/>
  <c r="E1267" i="1"/>
  <c r="K1266" i="1"/>
  <c r="I1266" i="1"/>
  <c r="H1266" i="1"/>
  <c r="E1266" i="1"/>
  <c r="K1265" i="1"/>
  <c r="I1265" i="1"/>
  <c r="H1265" i="1"/>
  <c r="E1265" i="1"/>
  <c r="K1264" i="1"/>
  <c r="I1264" i="1"/>
  <c r="H1264" i="1"/>
  <c r="E1264" i="1"/>
  <c r="K1263" i="1"/>
  <c r="I1263" i="1"/>
  <c r="H1263" i="1"/>
  <c r="E1263" i="1"/>
  <c r="K1262" i="1"/>
  <c r="I1262" i="1"/>
  <c r="H1262" i="1"/>
  <c r="E1262" i="1"/>
  <c r="K1261" i="1"/>
  <c r="I1261" i="1"/>
  <c r="H1261" i="1"/>
  <c r="E1261" i="1"/>
  <c r="K1260" i="1"/>
  <c r="I1260" i="1"/>
  <c r="H1260" i="1"/>
  <c r="E1260" i="1"/>
  <c r="K1259" i="1"/>
  <c r="I1259" i="1"/>
  <c r="H1259" i="1"/>
  <c r="E1259" i="1"/>
  <c r="K1258" i="1"/>
  <c r="I1258" i="1"/>
  <c r="H1258" i="1"/>
  <c r="E1258" i="1"/>
  <c r="K1257" i="1"/>
  <c r="I1257" i="1"/>
  <c r="H1257" i="1"/>
  <c r="E1257" i="1"/>
  <c r="K1256" i="1"/>
  <c r="I1256" i="1"/>
  <c r="H1256" i="1"/>
  <c r="E1256" i="1"/>
  <c r="K1255" i="1"/>
  <c r="I1255" i="1"/>
  <c r="H1255" i="1"/>
  <c r="E1255" i="1"/>
  <c r="K1254" i="1"/>
  <c r="I1254" i="1"/>
  <c r="H1254" i="1"/>
  <c r="E1254" i="1"/>
  <c r="K1253" i="1"/>
  <c r="I1253" i="1"/>
  <c r="H1253" i="1"/>
  <c r="E1253" i="1"/>
  <c r="K1252" i="1"/>
  <c r="I1252" i="1"/>
  <c r="H1252" i="1"/>
  <c r="E1252" i="1"/>
  <c r="K1251" i="1"/>
  <c r="I1251" i="1"/>
  <c r="H1251" i="1"/>
  <c r="E1251" i="1"/>
  <c r="K1250" i="1"/>
  <c r="I1250" i="1"/>
  <c r="H1250" i="1"/>
  <c r="E1250" i="1"/>
  <c r="K1249" i="1"/>
  <c r="I1249" i="1"/>
  <c r="H1249" i="1"/>
  <c r="E1249" i="1"/>
  <c r="K1248" i="1"/>
  <c r="I1248" i="1"/>
  <c r="H1248" i="1"/>
  <c r="E1248" i="1"/>
  <c r="K1247" i="1"/>
  <c r="I1247" i="1"/>
  <c r="H1247" i="1"/>
  <c r="E1247" i="1"/>
  <c r="K1246" i="1"/>
  <c r="I1246" i="1"/>
  <c r="H1246" i="1"/>
  <c r="E1246" i="1"/>
  <c r="K1245" i="1"/>
  <c r="I1245" i="1"/>
  <c r="H1245" i="1"/>
  <c r="E1245" i="1"/>
  <c r="K1244" i="1"/>
  <c r="I1244" i="1"/>
  <c r="H1244" i="1"/>
  <c r="E1244" i="1"/>
  <c r="K1243" i="1"/>
  <c r="I1243" i="1"/>
  <c r="H1243" i="1"/>
  <c r="E1243" i="1"/>
  <c r="K1242" i="1"/>
  <c r="I1242" i="1"/>
  <c r="H1242" i="1"/>
  <c r="E1242" i="1"/>
  <c r="K1241" i="1"/>
  <c r="I1241" i="1"/>
  <c r="H1241" i="1"/>
  <c r="E1241" i="1"/>
  <c r="K1240" i="1"/>
  <c r="I1240" i="1"/>
  <c r="H1240" i="1"/>
  <c r="E1240" i="1"/>
  <c r="K1239" i="1"/>
  <c r="I1239" i="1"/>
  <c r="H1239" i="1"/>
  <c r="E1239" i="1"/>
  <c r="K1238" i="1"/>
  <c r="I1238" i="1"/>
  <c r="H1238" i="1"/>
  <c r="E1238" i="1"/>
  <c r="K1237" i="1"/>
  <c r="I1237" i="1"/>
  <c r="H1237" i="1"/>
  <c r="E1237" i="1"/>
  <c r="K1236" i="1"/>
  <c r="I1236" i="1"/>
  <c r="H1236" i="1"/>
  <c r="E1236" i="1"/>
  <c r="K1235" i="1"/>
  <c r="I1235" i="1"/>
  <c r="H1235" i="1"/>
  <c r="E1235" i="1"/>
  <c r="K1234" i="1"/>
  <c r="I1234" i="1"/>
  <c r="H1234" i="1"/>
  <c r="E1234" i="1"/>
  <c r="K1233" i="1"/>
  <c r="I1233" i="1"/>
  <c r="H1233" i="1"/>
  <c r="E1233" i="1"/>
  <c r="K1232" i="1"/>
  <c r="I1232" i="1"/>
  <c r="H1232" i="1"/>
  <c r="E1232" i="1"/>
  <c r="K1231" i="1"/>
  <c r="I1231" i="1"/>
  <c r="H1231" i="1"/>
  <c r="E1231" i="1"/>
  <c r="K1230" i="1"/>
  <c r="I1230" i="1"/>
  <c r="H1230" i="1"/>
  <c r="E1230" i="1"/>
  <c r="K1229" i="1"/>
  <c r="I1229" i="1"/>
  <c r="H1229" i="1"/>
  <c r="E1229" i="1"/>
  <c r="K1228" i="1"/>
  <c r="I1228" i="1"/>
  <c r="H1228" i="1"/>
  <c r="E1228" i="1"/>
  <c r="K1227" i="1"/>
  <c r="I1227" i="1"/>
  <c r="H1227" i="1"/>
  <c r="E1227" i="1"/>
  <c r="K1226" i="1"/>
  <c r="I1226" i="1"/>
  <c r="H1226" i="1"/>
  <c r="E1226" i="1"/>
  <c r="K1225" i="1"/>
  <c r="I1225" i="1"/>
  <c r="H1225" i="1"/>
  <c r="E1225" i="1"/>
  <c r="K1224" i="1"/>
  <c r="I1224" i="1"/>
  <c r="H1224" i="1"/>
  <c r="E1224" i="1"/>
  <c r="K1223" i="1"/>
  <c r="I1223" i="1"/>
  <c r="H1223" i="1"/>
  <c r="E1223" i="1"/>
  <c r="K1222" i="1"/>
  <c r="I1222" i="1"/>
  <c r="H1222" i="1"/>
  <c r="E1222" i="1"/>
  <c r="K1221" i="1"/>
  <c r="I1221" i="1"/>
  <c r="H1221" i="1"/>
  <c r="E1221" i="1"/>
  <c r="K1220" i="1"/>
  <c r="I1220" i="1"/>
  <c r="H1220" i="1"/>
  <c r="E1220" i="1"/>
  <c r="K1219" i="1"/>
  <c r="I1219" i="1"/>
  <c r="H1219" i="1"/>
  <c r="E1219" i="1"/>
  <c r="K1218" i="1"/>
  <c r="I1218" i="1"/>
  <c r="H1218" i="1"/>
  <c r="E1218" i="1"/>
  <c r="K1217" i="1"/>
  <c r="I1217" i="1"/>
  <c r="H1217" i="1"/>
  <c r="E1217" i="1"/>
  <c r="K1216" i="1"/>
  <c r="I1216" i="1"/>
  <c r="H1216" i="1"/>
  <c r="E1216" i="1"/>
  <c r="K1215" i="1"/>
  <c r="I1215" i="1"/>
  <c r="H1215" i="1"/>
  <c r="E1215" i="1"/>
  <c r="K1214" i="1"/>
  <c r="I1214" i="1"/>
  <c r="H1214" i="1"/>
  <c r="E1214" i="1"/>
  <c r="K1213" i="1"/>
  <c r="I1213" i="1"/>
  <c r="H1213" i="1"/>
  <c r="E1213" i="1"/>
  <c r="K1212" i="1"/>
  <c r="I1212" i="1"/>
  <c r="H1212" i="1"/>
  <c r="E1212" i="1"/>
  <c r="K1211" i="1"/>
  <c r="I1211" i="1"/>
  <c r="H1211" i="1"/>
  <c r="E1211" i="1"/>
  <c r="K1210" i="1"/>
  <c r="I1210" i="1"/>
  <c r="H1210" i="1"/>
  <c r="E1210" i="1"/>
  <c r="K1209" i="1"/>
  <c r="I1209" i="1"/>
  <c r="H1209" i="1"/>
  <c r="E1209" i="1"/>
  <c r="K1208" i="1"/>
  <c r="I1208" i="1"/>
  <c r="H1208" i="1"/>
  <c r="E1208" i="1"/>
  <c r="K1207" i="1"/>
  <c r="I1207" i="1"/>
  <c r="H1207" i="1"/>
  <c r="E1207" i="1"/>
  <c r="K1206" i="1"/>
  <c r="I1206" i="1"/>
  <c r="H1206" i="1"/>
  <c r="E1206" i="1"/>
  <c r="K1205" i="1"/>
  <c r="I1205" i="1"/>
  <c r="H1205" i="1"/>
  <c r="E1205" i="1"/>
  <c r="K1204" i="1"/>
  <c r="I1204" i="1"/>
  <c r="H1204" i="1"/>
  <c r="E1204" i="1"/>
  <c r="K1203" i="1"/>
  <c r="I1203" i="1"/>
  <c r="H1203" i="1"/>
  <c r="E1203" i="1"/>
  <c r="K1202" i="1"/>
  <c r="I1202" i="1"/>
  <c r="H1202" i="1"/>
  <c r="E1202" i="1"/>
  <c r="K1201" i="1"/>
  <c r="I1201" i="1"/>
  <c r="H1201" i="1"/>
  <c r="E1201" i="1"/>
  <c r="K1200" i="1"/>
  <c r="I1200" i="1"/>
  <c r="H1200" i="1"/>
  <c r="E1200" i="1"/>
  <c r="K1199" i="1"/>
  <c r="I1199" i="1"/>
  <c r="H1199" i="1"/>
  <c r="E1199" i="1"/>
  <c r="K1198" i="1"/>
  <c r="I1198" i="1"/>
  <c r="H1198" i="1"/>
  <c r="E1198" i="1"/>
  <c r="K1197" i="1"/>
  <c r="I1197" i="1"/>
  <c r="H1197" i="1"/>
  <c r="E1197" i="1"/>
  <c r="K1196" i="1"/>
  <c r="I1196" i="1"/>
  <c r="H1196" i="1"/>
  <c r="E1196" i="1"/>
  <c r="K1195" i="1"/>
  <c r="I1195" i="1"/>
  <c r="H1195" i="1"/>
  <c r="E1195" i="1"/>
  <c r="K1194" i="1"/>
  <c r="I1194" i="1"/>
  <c r="H1194" i="1"/>
  <c r="E1194" i="1"/>
  <c r="K1193" i="1"/>
  <c r="I1193" i="1"/>
  <c r="H1193" i="1"/>
  <c r="E1193" i="1"/>
  <c r="K1192" i="1"/>
  <c r="I1192" i="1"/>
  <c r="H1192" i="1"/>
  <c r="E1192" i="1"/>
  <c r="K1191" i="1"/>
  <c r="I1191" i="1"/>
  <c r="H1191" i="1"/>
  <c r="E1191" i="1"/>
  <c r="K1190" i="1"/>
  <c r="I1190" i="1"/>
  <c r="H1190" i="1"/>
  <c r="E1190" i="1"/>
  <c r="K1189" i="1"/>
  <c r="I1189" i="1"/>
  <c r="H1189" i="1"/>
  <c r="E1189" i="1"/>
  <c r="K1188" i="1"/>
  <c r="I1188" i="1"/>
  <c r="H1188" i="1"/>
  <c r="E1188" i="1"/>
  <c r="K1187" i="1"/>
  <c r="I1187" i="1"/>
  <c r="H1187" i="1"/>
  <c r="E1187" i="1"/>
  <c r="K1186" i="1"/>
  <c r="I1186" i="1"/>
  <c r="H1186" i="1"/>
  <c r="E1186" i="1"/>
  <c r="K1185" i="1"/>
  <c r="I1185" i="1"/>
  <c r="H1185" i="1"/>
  <c r="E1185" i="1"/>
  <c r="K1184" i="1"/>
  <c r="I1184" i="1"/>
  <c r="H1184" i="1"/>
  <c r="E1184" i="1"/>
  <c r="K1183" i="1"/>
  <c r="I1183" i="1"/>
  <c r="H1183" i="1"/>
  <c r="E1183" i="1"/>
  <c r="K1182" i="1"/>
  <c r="I1182" i="1"/>
  <c r="H1182" i="1"/>
  <c r="E1182" i="1"/>
  <c r="K1181" i="1"/>
  <c r="I1181" i="1"/>
  <c r="H1181" i="1"/>
  <c r="E1181" i="1"/>
  <c r="K1180" i="1"/>
  <c r="I1180" i="1"/>
  <c r="H1180" i="1"/>
  <c r="E1180" i="1"/>
  <c r="K1179" i="1"/>
  <c r="I1179" i="1"/>
  <c r="H1179" i="1"/>
  <c r="E1179" i="1"/>
  <c r="K1178" i="1"/>
  <c r="I1178" i="1"/>
  <c r="H1178" i="1"/>
  <c r="E1178" i="1"/>
  <c r="K1177" i="1"/>
  <c r="I1177" i="1"/>
  <c r="H1177" i="1"/>
  <c r="E1177" i="1"/>
  <c r="K1176" i="1"/>
  <c r="I1176" i="1"/>
  <c r="H1176" i="1"/>
  <c r="E1176" i="1"/>
  <c r="K1175" i="1"/>
  <c r="I1175" i="1"/>
  <c r="H1175" i="1"/>
  <c r="E1175" i="1"/>
  <c r="K1174" i="1"/>
  <c r="I1174" i="1"/>
  <c r="H1174" i="1"/>
  <c r="E1174" i="1"/>
  <c r="K1173" i="1"/>
  <c r="I1173" i="1"/>
  <c r="H1173" i="1"/>
  <c r="E1173" i="1"/>
  <c r="K1172" i="1"/>
  <c r="I1172" i="1"/>
  <c r="H1172" i="1"/>
  <c r="E1172" i="1"/>
  <c r="K1171" i="1"/>
  <c r="I1171" i="1"/>
  <c r="H1171" i="1"/>
  <c r="E1171" i="1"/>
  <c r="K1170" i="1"/>
  <c r="I1170" i="1"/>
  <c r="H1170" i="1"/>
  <c r="E1170" i="1"/>
  <c r="K1169" i="1"/>
  <c r="I1169" i="1"/>
  <c r="H1169" i="1"/>
  <c r="E1169" i="1"/>
  <c r="K1168" i="1"/>
  <c r="I1168" i="1"/>
  <c r="H1168" i="1"/>
  <c r="E1168" i="1"/>
  <c r="K1167" i="1"/>
  <c r="I1167" i="1"/>
  <c r="H1167" i="1"/>
  <c r="E1167" i="1"/>
  <c r="K1166" i="1"/>
  <c r="I1166" i="1"/>
  <c r="H1166" i="1"/>
  <c r="E1166" i="1"/>
  <c r="K1165" i="1"/>
  <c r="I1165" i="1"/>
  <c r="H1165" i="1"/>
  <c r="E1165" i="1"/>
  <c r="K1164" i="1"/>
  <c r="I1164" i="1"/>
  <c r="H1164" i="1"/>
  <c r="E1164" i="1"/>
  <c r="K1163" i="1"/>
  <c r="I1163" i="1"/>
  <c r="H1163" i="1"/>
  <c r="E1163" i="1"/>
  <c r="K1162" i="1"/>
  <c r="I1162" i="1"/>
  <c r="H1162" i="1"/>
  <c r="E1162" i="1"/>
  <c r="K1161" i="1"/>
  <c r="I1161" i="1"/>
  <c r="H1161" i="1"/>
  <c r="E1161" i="1"/>
  <c r="K1160" i="1"/>
  <c r="I1160" i="1"/>
  <c r="H1160" i="1"/>
  <c r="E1160" i="1"/>
  <c r="K1159" i="1"/>
  <c r="I1159" i="1"/>
  <c r="H1159" i="1"/>
  <c r="E1159" i="1"/>
  <c r="K1158" i="1"/>
  <c r="I1158" i="1"/>
  <c r="H1158" i="1"/>
  <c r="E1158" i="1"/>
  <c r="K1157" i="1"/>
  <c r="I1157" i="1"/>
  <c r="H1157" i="1"/>
  <c r="E1157" i="1"/>
  <c r="K1156" i="1"/>
  <c r="I1156" i="1"/>
  <c r="H1156" i="1"/>
  <c r="E1156" i="1"/>
  <c r="K1155" i="1"/>
  <c r="I1155" i="1"/>
  <c r="H1155" i="1"/>
  <c r="E1155" i="1"/>
  <c r="K1154" i="1"/>
  <c r="I1154" i="1"/>
  <c r="H1154" i="1"/>
  <c r="E1154" i="1"/>
  <c r="K1153" i="1"/>
  <c r="I1153" i="1"/>
  <c r="H1153" i="1"/>
  <c r="E1153" i="1"/>
  <c r="K1152" i="1"/>
  <c r="I1152" i="1"/>
  <c r="H1152" i="1"/>
  <c r="E1152" i="1"/>
  <c r="K1151" i="1"/>
  <c r="I1151" i="1"/>
  <c r="H1151" i="1"/>
  <c r="E1151" i="1"/>
  <c r="K1150" i="1"/>
  <c r="I1150" i="1"/>
  <c r="H1150" i="1"/>
  <c r="E1150" i="1"/>
  <c r="K1149" i="1"/>
  <c r="I1149" i="1"/>
  <c r="H1149" i="1"/>
  <c r="E1149" i="1"/>
  <c r="K1148" i="1"/>
  <c r="I1148" i="1"/>
  <c r="H1148" i="1"/>
  <c r="E1148" i="1"/>
  <c r="K1147" i="1"/>
  <c r="I1147" i="1"/>
  <c r="H1147" i="1"/>
  <c r="E1147" i="1"/>
  <c r="K1146" i="1"/>
  <c r="I1146" i="1"/>
  <c r="H1146" i="1"/>
  <c r="E1146" i="1"/>
  <c r="K1145" i="1"/>
  <c r="I1145" i="1"/>
  <c r="H1145" i="1"/>
  <c r="E1145" i="1"/>
  <c r="K1144" i="1"/>
  <c r="I1144" i="1"/>
  <c r="H1144" i="1"/>
  <c r="E1144" i="1"/>
  <c r="K1143" i="1"/>
  <c r="I1143" i="1"/>
  <c r="H1143" i="1"/>
  <c r="E1143" i="1"/>
  <c r="K1142" i="1"/>
  <c r="I1142" i="1"/>
  <c r="H1142" i="1"/>
  <c r="E1142" i="1"/>
  <c r="K1141" i="1"/>
  <c r="I1141" i="1"/>
  <c r="H1141" i="1"/>
  <c r="E1141" i="1"/>
  <c r="K1140" i="1"/>
  <c r="I1140" i="1"/>
  <c r="H1140" i="1"/>
  <c r="E1140" i="1"/>
  <c r="K1139" i="1"/>
  <c r="I1139" i="1"/>
  <c r="H1139" i="1"/>
  <c r="E1139" i="1"/>
  <c r="K1138" i="1"/>
  <c r="I1138" i="1"/>
  <c r="H1138" i="1"/>
  <c r="E1138" i="1"/>
  <c r="K1137" i="1"/>
  <c r="I1137" i="1"/>
  <c r="H1137" i="1"/>
  <c r="E1137" i="1"/>
  <c r="K1136" i="1"/>
  <c r="I1136" i="1"/>
  <c r="H1136" i="1"/>
  <c r="E1136" i="1"/>
  <c r="K1135" i="1"/>
  <c r="I1135" i="1"/>
  <c r="H1135" i="1"/>
  <c r="E1135" i="1"/>
  <c r="K1134" i="1"/>
  <c r="I1134" i="1"/>
  <c r="H1134" i="1"/>
  <c r="E1134" i="1"/>
  <c r="K1133" i="1"/>
  <c r="I1133" i="1"/>
  <c r="H1133" i="1"/>
  <c r="E1133" i="1"/>
  <c r="K1132" i="1"/>
  <c r="I1132" i="1"/>
  <c r="H1132" i="1"/>
  <c r="E1132" i="1"/>
  <c r="K1131" i="1"/>
  <c r="I1131" i="1"/>
  <c r="H1131" i="1"/>
  <c r="E1131" i="1"/>
  <c r="K1130" i="1"/>
  <c r="I1130" i="1"/>
  <c r="H1130" i="1"/>
  <c r="E1130" i="1"/>
  <c r="K1129" i="1"/>
  <c r="I1129" i="1"/>
  <c r="H1129" i="1"/>
  <c r="E1129" i="1"/>
  <c r="K1128" i="1"/>
  <c r="I1128" i="1"/>
  <c r="H1128" i="1"/>
  <c r="E1128" i="1"/>
  <c r="K1127" i="1"/>
  <c r="I1127" i="1"/>
  <c r="H1127" i="1"/>
  <c r="E1127" i="1"/>
  <c r="K1126" i="1"/>
  <c r="I1126" i="1"/>
  <c r="H1126" i="1"/>
  <c r="E1126" i="1"/>
  <c r="K1125" i="1"/>
  <c r="I1125" i="1"/>
  <c r="H1125" i="1"/>
  <c r="E1125" i="1"/>
  <c r="K1124" i="1"/>
  <c r="I1124" i="1"/>
  <c r="H1124" i="1"/>
  <c r="E1124" i="1"/>
  <c r="K1123" i="1"/>
  <c r="I1123" i="1"/>
  <c r="H1123" i="1"/>
  <c r="E1123" i="1"/>
  <c r="K1122" i="1"/>
  <c r="I1122" i="1"/>
  <c r="H1122" i="1"/>
  <c r="E1122" i="1"/>
  <c r="K1121" i="1"/>
  <c r="I1121" i="1"/>
  <c r="H1121" i="1"/>
  <c r="E1121" i="1"/>
  <c r="K1120" i="1"/>
  <c r="I1120" i="1"/>
  <c r="H1120" i="1"/>
  <c r="E1120" i="1"/>
  <c r="K1119" i="1"/>
  <c r="I1119" i="1"/>
  <c r="H1119" i="1"/>
  <c r="E1119" i="1"/>
  <c r="K1118" i="1"/>
  <c r="I1118" i="1"/>
  <c r="H1118" i="1"/>
  <c r="E1118" i="1"/>
  <c r="K1117" i="1"/>
  <c r="I1117" i="1"/>
  <c r="H1117" i="1"/>
  <c r="E1117" i="1"/>
  <c r="K1116" i="1"/>
  <c r="I1116" i="1"/>
  <c r="H1116" i="1"/>
  <c r="E1116" i="1"/>
  <c r="K1115" i="1"/>
  <c r="I1115" i="1"/>
  <c r="H1115" i="1"/>
  <c r="E1115" i="1"/>
  <c r="K1114" i="1"/>
  <c r="I1114" i="1"/>
  <c r="H1114" i="1"/>
  <c r="E1114" i="1"/>
  <c r="K1113" i="1"/>
  <c r="I1113" i="1"/>
  <c r="H1113" i="1"/>
  <c r="E1113" i="1"/>
  <c r="K1112" i="1"/>
  <c r="I1112" i="1"/>
  <c r="H1112" i="1"/>
  <c r="E1112" i="1"/>
  <c r="K1111" i="1"/>
  <c r="I1111" i="1"/>
  <c r="H1111" i="1"/>
  <c r="E1111" i="1"/>
  <c r="K1110" i="1"/>
  <c r="I1110" i="1"/>
  <c r="H1110" i="1"/>
  <c r="E1110" i="1"/>
  <c r="K1109" i="1"/>
  <c r="I1109" i="1"/>
  <c r="H1109" i="1"/>
  <c r="E1109" i="1"/>
  <c r="K1108" i="1"/>
  <c r="I1108" i="1"/>
  <c r="H1108" i="1"/>
  <c r="E1108" i="1"/>
  <c r="K1107" i="1"/>
  <c r="I1107" i="1"/>
  <c r="H1107" i="1"/>
  <c r="E1107" i="1"/>
  <c r="K1106" i="1"/>
  <c r="I1106" i="1"/>
  <c r="H1106" i="1"/>
  <c r="E1106" i="1"/>
  <c r="K1105" i="1"/>
  <c r="I1105" i="1"/>
  <c r="H1105" i="1"/>
  <c r="E1105" i="1"/>
  <c r="K1104" i="1"/>
  <c r="I1104" i="1"/>
  <c r="H1104" i="1"/>
  <c r="E1104" i="1"/>
  <c r="K1103" i="1"/>
  <c r="I1103" i="1"/>
  <c r="H1103" i="1"/>
  <c r="E1103" i="1"/>
  <c r="K1102" i="1"/>
  <c r="I1102" i="1"/>
  <c r="H1102" i="1"/>
  <c r="E1102" i="1"/>
  <c r="K1101" i="1"/>
  <c r="I1101" i="1"/>
  <c r="H1101" i="1"/>
  <c r="E1101" i="1"/>
  <c r="K1100" i="1"/>
  <c r="I1100" i="1"/>
  <c r="H1100" i="1"/>
  <c r="E1100" i="1"/>
  <c r="K1099" i="1"/>
  <c r="I1099" i="1"/>
  <c r="H1099" i="1"/>
  <c r="E1099" i="1"/>
  <c r="K1098" i="1"/>
  <c r="I1098" i="1"/>
  <c r="H1098" i="1"/>
  <c r="E1098" i="1"/>
  <c r="K1097" i="1"/>
  <c r="I1097" i="1"/>
  <c r="H1097" i="1"/>
  <c r="E1097" i="1"/>
  <c r="K1096" i="1"/>
  <c r="I1096" i="1"/>
  <c r="H1096" i="1"/>
  <c r="E1096" i="1"/>
  <c r="K1095" i="1"/>
  <c r="I1095" i="1"/>
  <c r="H1095" i="1"/>
  <c r="E1095" i="1"/>
  <c r="K1094" i="1"/>
  <c r="I1094" i="1"/>
  <c r="H1094" i="1"/>
  <c r="E1094" i="1"/>
  <c r="K1093" i="1"/>
  <c r="I1093" i="1"/>
  <c r="H1093" i="1"/>
  <c r="E1093" i="1"/>
  <c r="K1092" i="1"/>
  <c r="I1092" i="1"/>
  <c r="H1092" i="1"/>
  <c r="E1092" i="1"/>
  <c r="K1091" i="1"/>
  <c r="I1091" i="1"/>
  <c r="H1091" i="1"/>
  <c r="E1091" i="1"/>
  <c r="K1090" i="1"/>
  <c r="I1090" i="1"/>
  <c r="H1090" i="1"/>
  <c r="E1090" i="1"/>
  <c r="K1089" i="1"/>
  <c r="I1089" i="1"/>
  <c r="H1089" i="1"/>
  <c r="E1089" i="1"/>
  <c r="K1088" i="1"/>
  <c r="I1088" i="1"/>
  <c r="H1088" i="1"/>
  <c r="E1088" i="1"/>
  <c r="K1087" i="1"/>
  <c r="I1087" i="1"/>
  <c r="H1087" i="1"/>
  <c r="E1087" i="1"/>
  <c r="K1086" i="1"/>
  <c r="I1086" i="1"/>
  <c r="H1086" i="1"/>
  <c r="E1086" i="1"/>
  <c r="K1085" i="1"/>
  <c r="I1085" i="1"/>
  <c r="H1085" i="1"/>
  <c r="E1085" i="1"/>
  <c r="K1084" i="1"/>
  <c r="I1084" i="1"/>
  <c r="H1084" i="1"/>
  <c r="E1084" i="1"/>
  <c r="K1083" i="1"/>
  <c r="I1083" i="1"/>
  <c r="H1083" i="1"/>
  <c r="E1083" i="1"/>
  <c r="K1082" i="1"/>
  <c r="I1082" i="1"/>
  <c r="H1082" i="1"/>
  <c r="E1082" i="1"/>
  <c r="K1081" i="1"/>
  <c r="I1081" i="1"/>
  <c r="H1081" i="1"/>
  <c r="E1081" i="1"/>
  <c r="K1080" i="1"/>
  <c r="I1080" i="1"/>
  <c r="H1080" i="1"/>
  <c r="E1080" i="1"/>
  <c r="K1079" i="1"/>
  <c r="I1079" i="1"/>
  <c r="H1079" i="1"/>
  <c r="E1079" i="1"/>
  <c r="K1078" i="1"/>
  <c r="I1078" i="1"/>
  <c r="H1078" i="1"/>
  <c r="E1078" i="1"/>
  <c r="K1077" i="1"/>
  <c r="I1077" i="1"/>
  <c r="H1077" i="1"/>
  <c r="E1077" i="1"/>
  <c r="K1076" i="1"/>
  <c r="I1076" i="1"/>
  <c r="H1076" i="1"/>
  <c r="E1076" i="1"/>
  <c r="K1075" i="1"/>
  <c r="I1075" i="1"/>
  <c r="H1075" i="1"/>
  <c r="E1075" i="1"/>
  <c r="K1074" i="1"/>
  <c r="I1074" i="1"/>
  <c r="H1074" i="1"/>
  <c r="E1074" i="1"/>
  <c r="K1073" i="1"/>
  <c r="I1073" i="1"/>
  <c r="H1073" i="1"/>
  <c r="E1073" i="1"/>
  <c r="K1072" i="1"/>
  <c r="I1072" i="1"/>
  <c r="H1072" i="1"/>
  <c r="E1072" i="1"/>
  <c r="K1071" i="1"/>
  <c r="I1071" i="1"/>
  <c r="H1071" i="1"/>
  <c r="E1071" i="1"/>
  <c r="K1070" i="1"/>
  <c r="I1070" i="1"/>
  <c r="H1070" i="1"/>
  <c r="E1070" i="1"/>
  <c r="K1069" i="1"/>
  <c r="I1069" i="1"/>
  <c r="H1069" i="1"/>
  <c r="E1069" i="1"/>
  <c r="K1068" i="1"/>
  <c r="I1068" i="1"/>
  <c r="H1068" i="1"/>
  <c r="E1068" i="1"/>
  <c r="K1067" i="1"/>
  <c r="I1067" i="1"/>
  <c r="H1067" i="1"/>
  <c r="E1067" i="1"/>
  <c r="K1066" i="1"/>
  <c r="I1066" i="1"/>
  <c r="H1066" i="1"/>
  <c r="E1066" i="1"/>
  <c r="K1065" i="1"/>
  <c r="I1065" i="1"/>
  <c r="H1065" i="1"/>
  <c r="E1065" i="1"/>
  <c r="K1064" i="1"/>
  <c r="I1064" i="1"/>
  <c r="H1064" i="1"/>
  <c r="E1064" i="1"/>
  <c r="K1063" i="1"/>
  <c r="I1063" i="1"/>
  <c r="H1063" i="1"/>
  <c r="E1063" i="1"/>
  <c r="K1062" i="1"/>
  <c r="I1062" i="1"/>
  <c r="H1062" i="1"/>
  <c r="E1062" i="1"/>
  <c r="K1061" i="1"/>
  <c r="I1061" i="1"/>
  <c r="H1061" i="1"/>
  <c r="E1061" i="1"/>
  <c r="K1060" i="1"/>
  <c r="I1060" i="1"/>
  <c r="H1060" i="1"/>
  <c r="E1060" i="1"/>
  <c r="K1059" i="1"/>
  <c r="I1059" i="1"/>
  <c r="H1059" i="1"/>
  <c r="E1059" i="1"/>
  <c r="K1058" i="1"/>
  <c r="I1058" i="1"/>
  <c r="H1058" i="1"/>
  <c r="E1058" i="1"/>
  <c r="K1057" i="1"/>
  <c r="I1057" i="1"/>
  <c r="H1057" i="1"/>
  <c r="E1057" i="1"/>
  <c r="K1056" i="1"/>
  <c r="I1056" i="1"/>
  <c r="H1056" i="1"/>
  <c r="E1056" i="1"/>
  <c r="K1055" i="1"/>
  <c r="I1055" i="1"/>
  <c r="H1055" i="1"/>
  <c r="E1055" i="1"/>
  <c r="K1054" i="1"/>
  <c r="I1054" i="1"/>
  <c r="H1054" i="1"/>
  <c r="E1054" i="1"/>
  <c r="K1053" i="1"/>
  <c r="I1053" i="1"/>
  <c r="H1053" i="1"/>
  <c r="E1053" i="1"/>
  <c r="K1052" i="1"/>
  <c r="I1052" i="1"/>
  <c r="H1052" i="1"/>
  <c r="E1052" i="1"/>
  <c r="K1051" i="1"/>
  <c r="I1051" i="1"/>
  <c r="H1051" i="1"/>
  <c r="E1051" i="1"/>
  <c r="K1050" i="1"/>
  <c r="I1050" i="1"/>
  <c r="H1050" i="1"/>
  <c r="E1050" i="1"/>
  <c r="K1049" i="1"/>
  <c r="I1049" i="1"/>
  <c r="H1049" i="1"/>
  <c r="E1049" i="1"/>
  <c r="K1048" i="1"/>
  <c r="I1048" i="1"/>
  <c r="H1048" i="1"/>
  <c r="E1048" i="1"/>
  <c r="K1047" i="1"/>
  <c r="I1047" i="1"/>
  <c r="H1047" i="1"/>
  <c r="E1047" i="1"/>
  <c r="K1046" i="1"/>
  <c r="I1046" i="1"/>
  <c r="H1046" i="1"/>
  <c r="E1046" i="1"/>
  <c r="K1045" i="1"/>
  <c r="I1045" i="1"/>
  <c r="H1045" i="1"/>
  <c r="E1045" i="1"/>
  <c r="K1044" i="1"/>
  <c r="I1044" i="1"/>
  <c r="H1044" i="1"/>
  <c r="E1044" i="1"/>
  <c r="K1043" i="1"/>
  <c r="I1043" i="1"/>
  <c r="H1043" i="1"/>
  <c r="E1043" i="1"/>
  <c r="K1042" i="1"/>
  <c r="I1042" i="1"/>
  <c r="H1042" i="1"/>
  <c r="E1042" i="1"/>
  <c r="K1041" i="1"/>
  <c r="I1041" i="1"/>
  <c r="H1041" i="1"/>
  <c r="E1041" i="1"/>
  <c r="K1040" i="1"/>
  <c r="I1040" i="1"/>
  <c r="H1040" i="1"/>
  <c r="E1040" i="1"/>
  <c r="K1039" i="1"/>
  <c r="I1039" i="1"/>
  <c r="H1039" i="1"/>
  <c r="E1039" i="1"/>
  <c r="K1038" i="1"/>
  <c r="I1038" i="1"/>
  <c r="H1038" i="1"/>
  <c r="E1038" i="1"/>
  <c r="K1037" i="1"/>
  <c r="I1037" i="1"/>
  <c r="H1037" i="1"/>
  <c r="E1037" i="1"/>
  <c r="K1036" i="1"/>
  <c r="I1036" i="1"/>
  <c r="H1036" i="1"/>
  <c r="E1036" i="1"/>
  <c r="K1035" i="1"/>
  <c r="I1035" i="1"/>
  <c r="H1035" i="1"/>
  <c r="E1035" i="1"/>
  <c r="K1034" i="1"/>
  <c r="I1034" i="1"/>
  <c r="H1034" i="1"/>
  <c r="E1034" i="1"/>
  <c r="K1033" i="1"/>
  <c r="I1033" i="1"/>
  <c r="H1033" i="1"/>
  <c r="E1033" i="1"/>
  <c r="K1032" i="1"/>
  <c r="I1032" i="1"/>
  <c r="H1032" i="1"/>
  <c r="E1032" i="1"/>
  <c r="K1031" i="1"/>
  <c r="I1031" i="1"/>
  <c r="H1031" i="1"/>
  <c r="E1031" i="1"/>
  <c r="K1030" i="1"/>
  <c r="I1030" i="1"/>
  <c r="H1030" i="1"/>
  <c r="E1030" i="1"/>
  <c r="K1029" i="1"/>
  <c r="I1029" i="1"/>
  <c r="H1029" i="1"/>
  <c r="E1029" i="1"/>
  <c r="K1028" i="1"/>
  <c r="I1028" i="1"/>
  <c r="H1028" i="1"/>
  <c r="E1028" i="1"/>
  <c r="K1027" i="1"/>
  <c r="I1027" i="1"/>
  <c r="H1027" i="1"/>
  <c r="E1027" i="1"/>
  <c r="K1026" i="1"/>
  <c r="I1026" i="1"/>
  <c r="H1026" i="1"/>
  <c r="E1026" i="1"/>
  <c r="K1025" i="1"/>
  <c r="I1025" i="1"/>
  <c r="H1025" i="1"/>
  <c r="E1025" i="1"/>
  <c r="K1024" i="1"/>
  <c r="I1024" i="1"/>
  <c r="H1024" i="1"/>
  <c r="E1024" i="1"/>
  <c r="K1023" i="1"/>
  <c r="I1023" i="1"/>
  <c r="H1023" i="1"/>
  <c r="E1023" i="1"/>
  <c r="K1022" i="1"/>
  <c r="I1022" i="1"/>
  <c r="H1022" i="1"/>
  <c r="E1022" i="1"/>
  <c r="K1021" i="1"/>
  <c r="I1021" i="1"/>
  <c r="H1021" i="1"/>
  <c r="E1021" i="1"/>
  <c r="K1020" i="1"/>
  <c r="I1020" i="1"/>
  <c r="H1020" i="1"/>
  <c r="E1020" i="1"/>
  <c r="K1019" i="1"/>
  <c r="I1019" i="1"/>
  <c r="H1019" i="1"/>
  <c r="E1019" i="1"/>
  <c r="K1018" i="1"/>
  <c r="I1018" i="1"/>
  <c r="H1018" i="1"/>
  <c r="E1018" i="1"/>
  <c r="K1017" i="1"/>
  <c r="I1017" i="1"/>
  <c r="H1017" i="1"/>
  <c r="E1017" i="1"/>
  <c r="K1016" i="1"/>
  <c r="I1016" i="1"/>
  <c r="H1016" i="1"/>
  <c r="E1016" i="1"/>
  <c r="K1015" i="1"/>
  <c r="I1015" i="1"/>
  <c r="H1015" i="1"/>
  <c r="E1015" i="1"/>
  <c r="K1014" i="1"/>
  <c r="I1014" i="1"/>
  <c r="H1014" i="1"/>
  <c r="E1014" i="1"/>
  <c r="K1013" i="1"/>
  <c r="I1013" i="1"/>
  <c r="H1013" i="1"/>
  <c r="E1013" i="1"/>
  <c r="K1012" i="1"/>
  <c r="I1012" i="1"/>
  <c r="H1012" i="1"/>
  <c r="E1012" i="1"/>
  <c r="K1011" i="1"/>
  <c r="I1011" i="1"/>
  <c r="H1011" i="1"/>
  <c r="E1011" i="1"/>
  <c r="K1010" i="1"/>
  <c r="I1010" i="1"/>
  <c r="H1010" i="1"/>
  <c r="E1010" i="1"/>
  <c r="K1009" i="1"/>
  <c r="I1009" i="1"/>
  <c r="H1009" i="1"/>
  <c r="E1009" i="1"/>
  <c r="K1008" i="1"/>
  <c r="I1008" i="1"/>
  <c r="H1008" i="1"/>
  <c r="E1008" i="1"/>
  <c r="K1007" i="1"/>
  <c r="I1007" i="1"/>
  <c r="H1007" i="1"/>
  <c r="E1007" i="1"/>
  <c r="K1006" i="1"/>
  <c r="I1006" i="1"/>
  <c r="H1006" i="1"/>
  <c r="E1006" i="1"/>
  <c r="K1005" i="1"/>
  <c r="I1005" i="1"/>
  <c r="H1005" i="1"/>
  <c r="E1005" i="1"/>
  <c r="K1004" i="1"/>
  <c r="I1004" i="1"/>
  <c r="H1004" i="1"/>
  <c r="E1004" i="1"/>
  <c r="K1003" i="1"/>
  <c r="I1003" i="1"/>
  <c r="H1003" i="1"/>
  <c r="E1003" i="1"/>
  <c r="K1002" i="1"/>
  <c r="I1002" i="1"/>
  <c r="H1002" i="1"/>
  <c r="E1002" i="1"/>
  <c r="K1001" i="1"/>
  <c r="I1001" i="1"/>
  <c r="H1001" i="1"/>
  <c r="E1001" i="1"/>
  <c r="K1000" i="1"/>
  <c r="I1000" i="1"/>
  <c r="H1000" i="1"/>
  <c r="E1000" i="1"/>
  <c r="K999" i="1"/>
  <c r="I999" i="1"/>
  <c r="H999" i="1"/>
  <c r="E999" i="1"/>
  <c r="K998" i="1"/>
  <c r="I998" i="1"/>
  <c r="H998" i="1"/>
  <c r="E998" i="1"/>
  <c r="K997" i="1"/>
  <c r="I997" i="1"/>
  <c r="H997" i="1"/>
  <c r="E997" i="1"/>
  <c r="K996" i="1"/>
  <c r="I996" i="1"/>
  <c r="H996" i="1"/>
  <c r="E996" i="1"/>
  <c r="K995" i="1"/>
  <c r="I995" i="1"/>
  <c r="H995" i="1"/>
  <c r="E995" i="1"/>
  <c r="K994" i="1"/>
  <c r="I994" i="1"/>
  <c r="H994" i="1"/>
  <c r="E994" i="1"/>
  <c r="K993" i="1"/>
  <c r="I993" i="1"/>
  <c r="H993" i="1"/>
  <c r="E993" i="1"/>
  <c r="K992" i="1"/>
  <c r="I992" i="1"/>
  <c r="H992" i="1"/>
  <c r="E992" i="1"/>
  <c r="K991" i="1"/>
  <c r="I991" i="1"/>
  <c r="H991" i="1"/>
  <c r="E991" i="1"/>
  <c r="K990" i="1"/>
  <c r="I990" i="1"/>
  <c r="H990" i="1"/>
  <c r="E990" i="1"/>
  <c r="K989" i="1"/>
  <c r="I989" i="1"/>
  <c r="H989" i="1"/>
  <c r="E989" i="1"/>
  <c r="K988" i="1"/>
  <c r="I988" i="1"/>
  <c r="H988" i="1"/>
  <c r="E988" i="1"/>
  <c r="K987" i="1"/>
  <c r="I987" i="1"/>
  <c r="H987" i="1"/>
  <c r="E987" i="1"/>
  <c r="K986" i="1"/>
  <c r="I986" i="1"/>
  <c r="H986" i="1"/>
  <c r="E986" i="1"/>
  <c r="K985" i="1"/>
  <c r="I985" i="1"/>
  <c r="H985" i="1"/>
  <c r="E985" i="1"/>
  <c r="K984" i="1"/>
  <c r="I984" i="1"/>
  <c r="H984" i="1"/>
  <c r="E984" i="1"/>
  <c r="K983" i="1"/>
  <c r="I983" i="1"/>
  <c r="H983" i="1"/>
  <c r="E983" i="1"/>
  <c r="K982" i="1"/>
  <c r="I982" i="1"/>
  <c r="H982" i="1"/>
  <c r="E982" i="1"/>
  <c r="K981" i="1"/>
  <c r="I981" i="1"/>
  <c r="H981" i="1"/>
  <c r="E981" i="1"/>
  <c r="K980" i="1"/>
  <c r="I980" i="1"/>
  <c r="H980" i="1"/>
  <c r="E980" i="1"/>
  <c r="K979" i="1"/>
  <c r="I979" i="1"/>
  <c r="H979" i="1"/>
  <c r="E979" i="1"/>
  <c r="K978" i="1"/>
  <c r="I978" i="1"/>
  <c r="H978" i="1"/>
  <c r="E978" i="1"/>
  <c r="K977" i="1"/>
  <c r="I977" i="1"/>
  <c r="H977" i="1"/>
  <c r="E977" i="1"/>
  <c r="K976" i="1"/>
  <c r="I976" i="1"/>
  <c r="H976" i="1"/>
  <c r="E976" i="1"/>
  <c r="K975" i="1"/>
  <c r="I975" i="1"/>
  <c r="H975" i="1"/>
  <c r="E975" i="1"/>
  <c r="K974" i="1"/>
  <c r="I974" i="1"/>
  <c r="H974" i="1"/>
  <c r="E974" i="1"/>
  <c r="K973" i="1"/>
  <c r="I973" i="1"/>
  <c r="H973" i="1"/>
  <c r="E973" i="1"/>
  <c r="K972" i="1"/>
  <c r="I972" i="1"/>
  <c r="H972" i="1"/>
  <c r="E972" i="1"/>
  <c r="K971" i="1"/>
  <c r="I971" i="1"/>
  <c r="H971" i="1"/>
  <c r="E971" i="1"/>
  <c r="K970" i="1"/>
  <c r="I970" i="1"/>
  <c r="H970" i="1"/>
  <c r="E970" i="1"/>
  <c r="K969" i="1"/>
  <c r="I969" i="1"/>
  <c r="H969" i="1"/>
  <c r="E969" i="1"/>
  <c r="K968" i="1"/>
  <c r="I968" i="1"/>
  <c r="H968" i="1"/>
  <c r="E968" i="1"/>
  <c r="K967" i="1"/>
  <c r="I967" i="1"/>
  <c r="H967" i="1"/>
  <c r="E967" i="1"/>
  <c r="K966" i="1"/>
  <c r="I966" i="1"/>
  <c r="H966" i="1"/>
  <c r="E966" i="1"/>
  <c r="K965" i="1"/>
  <c r="I965" i="1"/>
  <c r="H965" i="1"/>
  <c r="E965" i="1"/>
  <c r="K964" i="1"/>
  <c r="I964" i="1"/>
  <c r="H964" i="1"/>
  <c r="E964" i="1"/>
  <c r="K963" i="1"/>
  <c r="I963" i="1"/>
  <c r="H963" i="1"/>
  <c r="E963" i="1"/>
  <c r="K962" i="1"/>
  <c r="I962" i="1"/>
  <c r="H962" i="1"/>
  <c r="E962" i="1"/>
  <c r="K961" i="1"/>
  <c r="I961" i="1"/>
  <c r="H961" i="1"/>
  <c r="E961" i="1"/>
  <c r="K960" i="1"/>
  <c r="I960" i="1"/>
  <c r="H960" i="1"/>
  <c r="E960" i="1"/>
  <c r="K959" i="1"/>
  <c r="I959" i="1"/>
  <c r="H959" i="1"/>
  <c r="E959" i="1"/>
  <c r="K958" i="1"/>
  <c r="I958" i="1"/>
  <c r="H958" i="1"/>
  <c r="E958" i="1"/>
  <c r="K957" i="1"/>
  <c r="I957" i="1"/>
  <c r="H957" i="1"/>
  <c r="E957" i="1"/>
  <c r="K956" i="1"/>
  <c r="I956" i="1"/>
  <c r="H956" i="1"/>
  <c r="E956" i="1"/>
  <c r="K955" i="1"/>
  <c r="I955" i="1"/>
  <c r="H955" i="1"/>
  <c r="E955" i="1"/>
  <c r="K954" i="1"/>
  <c r="I954" i="1"/>
  <c r="H954" i="1"/>
  <c r="E954" i="1"/>
  <c r="K953" i="1"/>
  <c r="I953" i="1"/>
  <c r="H953" i="1"/>
  <c r="E953" i="1"/>
  <c r="K952" i="1"/>
  <c r="I952" i="1"/>
  <c r="H952" i="1"/>
  <c r="E952" i="1"/>
  <c r="K951" i="1"/>
  <c r="I951" i="1"/>
  <c r="H951" i="1"/>
  <c r="E951" i="1"/>
  <c r="K950" i="1"/>
  <c r="I950" i="1"/>
  <c r="H950" i="1"/>
  <c r="E950" i="1"/>
  <c r="K949" i="1"/>
  <c r="I949" i="1"/>
  <c r="H949" i="1"/>
  <c r="E949" i="1"/>
  <c r="K948" i="1"/>
  <c r="I948" i="1"/>
  <c r="H948" i="1"/>
  <c r="E948" i="1"/>
  <c r="K947" i="1"/>
  <c r="I947" i="1"/>
  <c r="H947" i="1"/>
  <c r="E947" i="1"/>
  <c r="K946" i="1"/>
  <c r="I946" i="1"/>
  <c r="H946" i="1"/>
  <c r="E946" i="1"/>
  <c r="K945" i="1"/>
  <c r="I945" i="1"/>
  <c r="H945" i="1"/>
  <c r="E945" i="1"/>
  <c r="K944" i="1"/>
  <c r="I944" i="1"/>
  <c r="H944" i="1"/>
  <c r="E944" i="1"/>
  <c r="K943" i="1"/>
  <c r="I943" i="1"/>
  <c r="H943" i="1"/>
  <c r="E943" i="1"/>
  <c r="K942" i="1"/>
  <c r="I942" i="1"/>
  <c r="H942" i="1"/>
  <c r="E942" i="1"/>
  <c r="K941" i="1"/>
  <c r="I941" i="1"/>
  <c r="H941" i="1"/>
  <c r="E941" i="1"/>
  <c r="K940" i="1"/>
  <c r="I940" i="1"/>
  <c r="H940" i="1"/>
  <c r="E940" i="1"/>
  <c r="K939" i="1"/>
  <c r="I939" i="1"/>
  <c r="H939" i="1"/>
  <c r="E939" i="1"/>
  <c r="K938" i="1"/>
  <c r="I938" i="1"/>
  <c r="H938" i="1"/>
  <c r="E938" i="1"/>
  <c r="K937" i="1"/>
  <c r="I937" i="1"/>
  <c r="H937" i="1"/>
  <c r="E937" i="1"/>
  <c r="K936" i="1"/>
  <c r="I936" i="1"/>
  <c r="H936" i="1"/>
  <c r="E936" i="1"/>
  <c r="K935" i="1"/>
  <c r="I935" i="1"/>
  <c r="H935" i="1"/>
  <c r="E935" i="1"/>
  <c r="K934" i="1"/>
  <c r="I934" i="1"/>
  <c r="H934" i="1"/>
  <c r="E934" i="1"/>
  <c r="K933" i="1"/>
  <c r="I933" i="1"/>
  <c r="H933" i="1"/>
  <c r="E933" i="1"/>
  <c r="K932" i="1"/>
  <c r="I932" i="1"/>
  <c r="H932" i="1"/>
  <c r="E932" i="1"/>
  <c r="K931" i="1"/>
  <c r="I931" i="1"/>
  <c r="H931" i="1"/>
  <c r="E931" i="1"/>
  <c r="K930" i="1"/>
  <c r="I930" i="1"/>
  <c r="H930" i="1"/>
  <c r="E930" i="1"/>
  <c r="K929" i="1"/>
  <c r="I929" i="1"/>
  <c r="H929" i="1"/>
  <c r="E929" i="1"/>
  <c r="K928" i="1"/>
  <c r="I928" i="1"/>
  <c r="H928" i="1"/>
  <c r="E928" i="1"/>
  <c r="K927" i="1"/>
  <c r="I927" i="1"/>
  <c r="H927" i="1"/>
  <c r="E927" i="1"/>
  <c r="K926" i="1"/>
  <c r="I926" i="1"/>
  <c r="H926" i="1"/>
  <c r="E926" i="1"/>
  <c r="K925" i="1"/>
  <c r="I925" i="1"/>
  <c r="H925" i="1"/>
  <c r="E925" i="1"/>
  <c r="K924" i="1"/>
  <c r="I924" i="1"/>
  <c r="H924" i="1"/>
  <c r="E924" i="1"/>
  <c r="K923" i="1"/>
  <c r="I923" i="1"/>
  <c r="H923" i="1"/>
  <c r="E923" i="1"/>
  <c r="K922" i="1"/>
  <c r="I922" i="1"/>
  <c r="H922" i="1"/>
  <c r="E922" i="1"/>
  <c r="K921" i="1"/>
  <c r="I921" i="1"/>
  <c r="H921" i="1"/>
  <c r="E921" i="1"/>
  <c r="K920" i="1"/>
  <c r="I920" i="1"/>
  <c r="H920" i="1"/>
  <c r="E920" i="1"/>
  <c r="K919" i="1"/>
  <c r="I919" i="1"/>
  <c r="H919" i="1"/>
  <c r="E919" i="1"/>
  <c r="K918" i="1"/>
  <c r="I918" i="1"/>
  <c r="H918" i="1"/>
  <c r="E918" i="1"/>
  <c r="K917" i="1"/>
  <c r="I917" i="1"/>
  <c r="H917" i="1"/>
  <c r="E917" i="1"/>
  <c r="K916" i="1"/>
  <c r="I916" i="1"/>
  <c r="H916" i="1"/>
  <c r="E916" i="1"/>
  <c r="K915" i="1"/>
  <c r="I915" i="1"/>
  <c r="H915" i="1"/>
  <c r="E915" i="1"/>
  <c r="K914" i="1"/>
  <c r="I914" i="1"/>
  <c r="H914" i="1"/>
  <c r="E914" i="1"/>
  <c r="K913" i="1"/>
  <c r="I913" i="1"/>
  <c r="H913" i="1"/>
  <c r="E913" i="1"/>
  <c r="K912" i="1"/>
  <c r="I912" i="1"/>
  <c r="H912" i="1"/>
  <c r="E912" i="1"/>
  <c r="K911" i="1"/>
  <c r="I911" i="1"/>
  <c r="H911" i="1"/>
  <c r="E911" i="1"/>
  <c r="K910" i="1"/>
  <c r="I910" i="1"/>
  <c r="H910" i="1"/>
  <c r="E910" i="1"/>
  <c r="K909" i="1"/>
  <c r="I909" i="1"/>
  <c r="H909" i="1"/>
  <c r="E909" i="1"/>
  <c r="K908" i="1"/>
  <c r="I908" i="1"/>
  <c r="H908" i="1"/>
  <c r="E908" i="1"/>
  <c r="K907" i="1"/>
  <c r="I907" i="1"/>
  <c r="H907" i="1"/>
  <c r="E907" i="1"/>
  <c r="K906" i="1"/>
  <c r="I906" i="1"/>
  <c r="H906" i="1"/>
  <c r="E906" i="1"/>
  <c r="K905" i="1"/>
  <c r="I905" i="1"/>
  <c r="H905" i="1"/>
  <c r="E905" i="1"/>
  <c r="K904" i="1"/>
  <c r="I904" i="1"/>
  <c r="H904" i="1"/>
  <c r="E904" i="1"/>
  <c r="K903" i="1"/>
  <c r="I903" i="1"/>
  <c r="H903" i="1"/>
  <c r="E903" i="1"/>
  <c r="K902" i="1"/>
  <c r="I902" i="1"/>
  <c r="H902" i="1"/>
  <c r="E902" i="1"/>
  <c r="K901" i="1"/>
  <c r="I901" i="1"/>
  <c r="H901" i="1"/>
  <c r="E901" i="1"/>
  <c r="K900" i="1"/>
  <c r="I900" i="1"/>
  <c r="H900" i="1"/>
  <c r="E900" i="1"/>
  <c r="K899" i="1"/>
  <c r="I899" i="1"/>
  <c r="H899" i="1"/>
  <c r="E899" i="1"/>
  <c r="K898" i="1"/>
  <c r="I898" i="1"/>
  <c r="H898" i="1"/>
  <c r="E898" i="1"/>
  <c r="K897" i="1"/>
  <c r="I897" i="1"/>
  <c r="H897" i="1"/>
  <c r="E897" i="1"/>
  <c r="K896" i="1"/>
  <c r="I896" i="1"/>
  <c r="H896" i="1"/>
  <c r="E896" i="1"/>
  <c r="K895" i="1"/>
  <c r="I895" i="1"/>
  <c r="H895" i="1"/>
  <c r="E895" i="1"/>
  <c r="K894" i="1"/>
  <c r="I894" i="1"/>
  <c r="H894" i="1"/>
  <c r="E894" i="1"/>
  <c r="K893" i="1"/>
  <c r="I893" i="1"/>
  <c r="H893" i="1"/>
  <c r="E893" i="1"/>
  <c r="K892" i="1"/>
  <c r="I892" i="1"/>
  <c r="H892" i="1"/>
  <c r="E892" i="1"/>
  <c r="K891" i="1"/>
  <c r="I891" i="1"/>
  <c r="H891" i="1"/>
  <c r="E891" i="1"/>
  <c r="K890" i="1"/>
  <c r="I890" i="1"/>
  <c r="H890" i="1"/>
  <c r="E890" i="1"/>
  <c r="K889" i="1"/>
  <c r="I889" i="1"/>
  <c r="H889" i="1"/>
  <c r="E889" i="1"/>
  <c r="K888" i="1"/>
  <c r="I888" i="1"/>
  <c r="H888" i="1"/>
  <c r="E888" i="1"/>
  <c r="K887" i="1"/>
  <c r="I887" i="1"/>
  <c r="H887" i="1"/>
  <c r="E887" i="1"/>
  <c r="K886" i="1"/>
  <c r="I886" i="1"/>
  <c r="H886" i="1"/>
  <c r="E886" i="1"/>
  <c r="K885" i="1"/>
  <c r="I885" i="1"/>
  <c r="H885" i="1"/>
  <c r="E885" i="1"/>
  <c r="K884" i="1"/>
  <c r="I884" i="1"/>
  <c r="H884" i="1"/>
  <c r="E884" i="1"/>
  <c r="K883" i="1"/>
  <c r="I883" i="1"/>
  <c r="H883" i="1"/>
  <c r="E883" i="1"/>
  <c r="K882" i="1"/>
  <c r="I882" i="1"/>
  <c r="H882" i="1"/>
  <c r="E882" i="1"/>
  <c r="K881" i="1"/>
  <c r="I881" i="1"/>
  <c r="H881" i="1"/>
  <c r="E881" i="1"/>
  <c r="K880" i="1"/>
  <c r="I880" i="1"/>
  <c r="H880" i="1"/>
  <c r="E880" i="1"/>
  <c r="K879" i="1"/>
  <c r="I879" i="1"/>
  <c r="H879" i="1"/>
  <c r="E879" i="1"/>
  <c r="K878" i="1"/>
  <c r="I878" i="1"/>
  <c r="H878" i="1"/>
  <c r="E878" i="1"/>
  <c r="K877" i="1"/>
  <c r="I877" i="1"/>
  <c r="H877" i="1"/>
  <c r="E877" i="1"/>
  <c r="K876" i="1"/>
  <c r="I876" i="1"/>
  <c r="H876" i="1"/>
  <c r="E876" i="1"/>
  <c r="K875" i="1"/>
  <c r="I875" i="1"/>
  <c r="H875" i="1"/>
  <c r="E875" i="1"/>
  <c r="K874" i="1"/>
  <c r="I874" i="1"/>
  <c r="H874" i="1"/>
  <c r="E874" i="1"/>
  <c r="K873" i="1"/>
  <c r="I873" i="1"/>
  <c r="H873" i="1"/>
  <c r="E873" i="1"/>
  <c r="K872" i="1"/>
  <c r="I872" i="1"/>
  <c r="H872" i="1"/>
  <c r="E872" i="1"/>
  <c r="K871" i="1"/>
  <c r="I871" i="1"/>
  <c r="H871" i="1"/>
  <c r="E871" i="1"/>
  <c r="K870" i="1"/>
  <c r="I870" i="1"/>
  <c r="H870" i="1"/>
  <c r="E870" i="1"/>
  <c r="K869" i="1"/>
  <c r="I869" i="1"/>
  <c r="H869" i="1"/>
  <c r="E869" i="1"/>
  <c r="K868" i="1"/>
  <c r="I868" i="1"/>
  <c r="H868" i="1"/>
  <c r="E868" i="1"/>
  <c r="K867" i="1"/>
  <c r="I867" i="1"/>
  <c r="H867" i="1"/>
  <c r="E867" i="1"/>
  <c r="K866" i="1"/>
  <c r="I866" i="1"/>
  <c r="H866" i="1"/>
  <c r="E866" i="1"/>
  <c r="K865" i="1"/>
  <c r="I865" i="1"/>
  <c r="H865" i="1"/>
  <c r="E865" i="1"/>
  <c r="K864" i="1"/>
  <c r="I864" i="1"/>
  <c r="H864" i="1"/>
  <c r="E864" i="1"/>
  <c r="K863" i="1"/>
  <c r="I863" i="1"/>
  <c r="H863" i="1"/>
  <c r="E863" i="1"/>
  <c r="K862" i="1"/>
  <c r="I862" i="1"/>
  <c r="H862" i="1"/>
  <c r="E862" i="1"/>
  <c r="K861" i="1"/>
  <c r="I861" i="1"/>
  <c r="H861" i="1"/>
  <c r="E861" i="1"/>
  <c r="K860" i="1"/>
  <c r="I860" i="1"/>
  <c r="H860" i="1"/>
  <c r="E860" i="1"/>
  <c r="K859" i="1"/>
  <c r="I859" i="1"/>
  <c r="H859" i="1"/>
  <c r="E859" i="1"/>
  <c r="K858" i="1"/>
  <c r="I858" i="1"/>
  <c r="H858" i="1"/>
  <c r="E858" i="1"/>
  <c r="K857" i="1"/>
  <c r="I857" i="1"/>
  <c r="H857" i="1"/>
  <c r="E857" i="1"/>
  <c r="K856" i="1"/>
  <c r="I856" i="1"/>
  <c r="H856" i="1"/>
  <c r="E856" i="1"/>
  <c r="K855" i="1"/>
  <c r="I855" i="1"/>
  <c r="H855" i="1"/>
  <c r="E855" i="1"/>
  <c r="K854" i="1"/>
  <c r="I854" i="1"/>
  <c r="H854" i="1"/>
  <c r="E854" i="1"/>
  <c r="K853" i="1"/>
  <c r="I853" i="1"/>
  <c r="H853" i="1"/>
  <c r="E853" i="1"/>
  <c r="K852" i="1"/>
  <c r="I852" i="1"/>
  <c r="H852" i="1"/>
  <c r="E852" i="1"/>
  <c r="K851" i="1"/>
  <c r="I851" i="1"/>
  <c r="H851" i="1"/>
  <c r="E851" i="1"/>
  <c r="K850" i="1"/>
  <c r="I850" i="1"/>
  <c r="H850" i="1"/>
  <c r="E850" i="1"/>
  <c r="K849" i="1"/>
  <c r="I849" i="1"/>
  <c r="H849" i="1"/>
  <c r="E849" i="1"/>
  <c r="K848" i="1"/>
  <c r="I848" i="1"/>
  <c r="H848" i="1"/>
  <c r="E848" i="1"/>
  <c r="K847" i="1"/>
  <c r="I847" i="1"/>
  <c r="H847" i="1"/>
  <c r="E847" i="1"/>
  <c r="K846" i="1"/>
  <c r="I846" i="1"/>
  <c r="H846" i="1"/>
  <c r="E846" i="1"/>
  <c r="K845" i="1"/>
  <c r="I845" i="1"/>
  <c r="H845" i="1"/>
  <c r="E845" i="1"/>
  <c r="K844" i="1"/>
  <c r="I844" i="1"/>
  <c r="H844" i="1"/>
  <c r="E844" i="1"/>
  <c r="K843" i="1"/>
  <c r="I843" i="1"/>
  <c r="H843" i="1"/>
  <c r="E843" i="1"/>
  <c r="K842" i="1"/>
  <c r="I842" i="1"/>
  <c r="H842" i="1"/>
  <c r="E842" i="1"/>
  <c r="K841" i="1"/>
  <c r="I841" i="1"/>
  <c r="H841" i="1"/>
  <c r="E841" i="1"/>
  <c r="K840" i="1"/>
  <c r="I840" i="1"/>
  <c r="H840" i="1"/>
  <c r="E840" i="1"/>
  <c r="K839" i="1"/>
  <c r="I839" i="1"/>
  <c r="H839" i="1"/>
  <c r="E839" i="1"/>
  <c r="K838" i="1"/>
  <c r="I838" i="1"/>
  <c r="H838" i="1"/>
  <c r="E838" i="1"/>
  <c r="K837" i="1"/>
  <c r="I837" i="1"/>
  <c r="H837" i="1"/>
  <c r="E837" i="1"/>
  <c r="K836" i="1"/>
  <c r="I836" i="1"/>
  <c r="H836" i="1"/>
  <c r="E836" i="1"/>
  <c r="K835" i="1"/>
  <c r="I835" i="1"/>
  <c r="H835" i="1"/>
  <c r="E835" i="1"/>
  <c r="K834" i="1"/>
  <c r="I834" i="1"/>
  <c r="H834" i="1"/>
  <c r="E834" i="1"/>
  <c r="K833" i="1"/>
  <c r="I833" i="1"/>
  <c r="H833" i="1"/>
  <c r="E833" i="1"/>
  <c r="K832" i="1"/>
  <c r="I832" i="1"/>
  <c r="H832" i="1"/>
  <c r="E832" i="1"/>
  <c r="K831" i="1"/>
  <c r="I831" i="1"/>
  <c r="H831" i="1"/>
  <c r="E831" i="1"/>
  <c r="K830" i="1"/>
  <c r="I830" i="1"/>
  <c r="H830" i="1"/>
  <c r="E830" i="1"/>
  <c r="K829" i="1"/>
  <c r="I829" i="1"/>
  <c r="H829" i="1"/>
  <c r="E829" i="1"/>
  <c r="K828" i="1"/>
  <c r="I828" i="1"/>
  <c r="H828" i="1"/>
  <c r="E828" i="1"/>
  <c r="K827" i="1"/>
  <c r="I827" i="1"/>
  <c r="H827" i="1"/>
  <c r="E827" i="1"/>
  <c r="K826" i="1"/>
  <c r="I826" i="1"/>
  <c r="H826" i="1"/>
  <c r="E826" i="1"/>
  <c r="K825" i="1"/>
  <c r="I825" i="1"/>
  <c r="H825" i="1"/>
  <c r="E825" i="1"/>
  <c r="K824" i="1"/>
  <c r="I824" i="1"/>
  <c r="H824" i="1"/>
  <c r="E824" i="1"/>
  <c r="K823" i="1"/>
  <c r="I823" i="1"/>
  <c r="H823" i="1"/>
  <c r="E823" i="1"/>
  <c r="K822" i="1"/>
  <c r="I822" i="1"/>
  <c r="H822" i="1"/>
  <c r="E822" i="1"/>
  <c r="K821" i="1"/>
  <c r="I821" i="1"/>
  <c r="H821" i="1"/>
  <c r="E821" i="1"/>
  <c r="K820" i="1"/>
  <c r="I820" i="1"/>
  <c r="H820" i="1"/>
  <c r="E820" i="1"/>
  <c r="K819" i="1"/>
  <c r="I819" i="1"/>
  <c r="H819" i="1"/>
  <c r="E819" i="1"/>
  <c r="K818" i="1"/>
  <c r="I818" i="1"/>
  <c r="H818" i="1"/>
  <c r="E818" i="1"/>
  <c r="K817" i="1"/>
  <c r="I817" i="1"/>
  <c r="H817" i="1"/>
  <c r="E817" i="1"/>
  <c r="K816" i="1"/>
  <c r="I816" i="1"/>
  <c r="H816" i="1"/>
  <c r="E816" i="1"/>
  <c r="K815" i="1"/>
  <c r="I815" i="1"/>
  <c r="H815" i="1"/>
  <c r="E815" i="1"/>
  <c r="K814" i="1"/>
  <c r="I814" i="1"/>
  <c r="H814" i="1"/>
  <c r="E814" i="1"/>
  <c r="K813" i="1"/>
  <c r="I813" i="1"/>
  <c r="H813" i="1"/>
  <c r="E813" i="1"/>
  <c r="K812" i="1"/>
  <c r="I812" i="1"/>
  <c r="H812" i="1"/>
  <c r="E812" i="1"/>
  <c r="K811" i="1"/>
  <c r="I811" i="1"/>
  <c r="H811" i="1"/>
  <c r="E811" i="1"/>
  <c r="K810" i="1"/>
  <c r="I810" i="1"/>
  <c r="H810" i="1"/>
  <c r="E810" i="1"/>
  <c r="K809" i="1"/>
  <c r="I809" i="1"/>
  <c r="H809" i="1"/>
  <c r="E809" i="1"/>
  <c r="K808" i="1"/>
  <c r="I808" i="1"/>
  <c r="H808" i="1"/>
  <c r="E808" i="1"/>
  <c r="K807" i="1"/>
  <c r="I807" i="1"/>
  <c r="H807" i="1"/>
  <c r="E807" i="1"/>
  <c r="K806" i="1"/>
  <c r="I806" i="1"/>
  <c r="H806" i="1"/>
  <c r="E806" i="1"/>
  <c r="K805" i="1"/>
  <c r="I805" i="1"/>
  <c r="H805" i="1"/>
  <c r="E805" i="1"/>
  <c r="K804" i="1"/>
  <c r="I804" i="1"/>
  <c r="H804" i="1"/>
  <c r="E804" i="1"/>
  <c r="K803" i="1"/>
  <c r="I803" i="1"/>
  <c r="H803" i="1"/>
  <c r="E803" i="1"/>
  <c r="K802" i="1"/>
  <c r="I802" i="1"/>
  <c r="H802" i="1"/>
  <c r="E802" i="1"/>
  <c r="K801" i="1"/>
  <c r="I801" i="1"/>
  <c r="H801" i="1"/>
  <c r="E801" i="1"/>
  <c r="K800" i="1"/>
  <c r="I800" i="1"/>
  <c r="H800" i="1"/>
  <c r="E800" i="1"/>
  <c r="K799" i="1"/>
  <c r="I799" i="1"/>
  <c r="H799" i="1"/>
  <c r="E799" i="1"/>
  <c r="K798" i="1"/>
  <c r="I798" i="1"/>
  <c r="H798" i="1"/>
  <c r="E798" i="1"/>
  <c r="K797" i="1"/>
  <c r="I797" i="1"/>
  <c r="H797" i="1"/>
  <c r="E797" i="1"/>
  <c r="K796" i="1"/>
  <c r="I796" i="1"/>
  <c r="H796" i="1"/>
  <c r="E796" i="1"/>
  <c r="K795" i="1"/>
  <c r="I795" i="1"/>
  <c r="H795" i="1"/>
  <c r="E795" i="1"/>
  <c r="K794" i="1"/>
  <c r="I794" i="1"/>
  <c r="H794" i="1"/>
  <c r="E794" i="1"/>
  <c r="K793" i="1"/>
  <c r="I793" i="1"/>
  <c r="H793" i="1"/>
  <c r="E793" i="1"/>
  <c r="K792" i="1"/>
  <c r="I792" i="1"/>
  <c r="H792" i="1"/>
  <c r="E792" i="1"/>
  <c r="K791" i="1"/>
  <c r="I791" i="1"/>
  <c r="H791" i="1"/>
  <c r="E791" i="1"/>
  <c r="K790" i="1"/>
  <c r="I790" i="1"/>
  <c r="H790" i="1"/>
  <c r="E790" i="1"/>
  <c r="K789" i="1"/>
  <c r="I789" i="1"/>
  <c r="H789" i="1"/>
  <c r="E789" i="1"/>
  <c r="K788" i="1"/>
  <c r="I788" i="1"/>
  <c r="H788" i="1"/>
  <c r="E788" i="1"/>
  <c r="K787" i="1"/>
  <c r="I787" i="1"/>
  <c r="H787" i="1"/>
  <c r="E787" i="1"/>
  <c r="K786" i="1"/>
  <c r="I786" i="1"/>
  <c r="H786" i="1"/>
  <c r="E786" i="1"/>
  <c r="K785" i="1"/>
  <c r="I785" i="1"/>
  <c r="H785" i="1"/>
  <c r="E785" i="1"/>
  <c r="K784" i="1"/>
  <c r="I784" i="1"/>
  <c r="H784" i="1"/>
  <c r="E784" i="1"/>
  <c r="K783" i="1"/>
  <c r="I783" i="1"/>
  <c r="H783" i="1"/>
  <c r="E783" i="1"/>
  <c r="K782" i="1"/>
  <c r="I782" i="1"/>
  <c r="H782" i="1"/>
  <c r="E782" i="1"/>
  <c r="K781" i="1"/>
  <c r="I781" i="1"/>
  <c r="H781" i="1"/>
  <c r="E781" i="1"/>
  <c r="K780" i="1"/>
  <c r="I780" i="1"/>
  <c r="H780" i="1"/>
  <c r="E780" i="1"/>
  <c r="K779" i="1"/>
  <c r="I779" i="1"/>
  <c r="H779" i="1"/>
  <c r="E779" i="1"/>
  <c r="K778" i="1"/>
  <c r="I778" i="1"/>
  <c r="H778" i="1"/>
  <c r="E778" i="1"/>
  <c r="K777" i="1"/>
  <c r="I777" i="1"/>
  <c r="H777" i="1"/>
  <c r="E777" i="1"/>
  <c r="K776" i="1"/>
  <c r="I776" i="1"/>
  <c r="H776" i="1"/>
  <c r="E776" i="1"/>
  <c r="K775" i="1"/>
  <c r="I775" i="1"/>
  <c r="H775" i="1"/>
  <c r="E775" i="1"/>
  <c r="K774" i="1"/>
  <c r="I774" i="1"/>
  <c r="H774" i="1"/>
  <c r="E774" i="1"/>
  <c r="K773" i="1"/>
  <c r="I773" i="1"/>
  <c r="H773" i="1"/>
  <c r="E773" i="1"/>
  <c r="K772" i="1"/>
  <c r="I772" i="1"/>
  <c r="H772" i="1"/>
  <c r="E772" i="1"/>
  <c r="K771" i="1"/>
  <c r="I771" i="1"/>
  <c r="H771" i="1"/>
  <c r="E771" i="1"/>
  <c r="K770" i="1"/>
  <c r="I770" i="1"/>
  <c r="H770" i="1"/>
  <c r="E770" i="1"/>
  <c r="K769" i="1"/>
  <c r="I769" i="1"/>
  <c r="H769" i="1"/>
  <c r="E769" i="1"/>
  <c r="K768" i="1"/>
  <c r="I768" i="1"/>
  <c r="H768" i="1"/>
  <c r="E768" i="1"/>
  <c r="K767" i="1"/>
  <c r="I767" i="1"/>
  <c r="H767" i="1"/>
  <c r="E767" i="1"/>
  <c r="K766" i="1"/>
  <c r="I766" i="1"/>
  <c r="H766" i="1"/>
  <c r="E766" i="1"/>
  <c r="K765" i="1"/>
  <c r="I765" i="1"/>
  <c r="H765" i="1"/>
  <c r="E765" i="1"/>
  <c r="K764" i="1"/>
  <c r="I764" i="1"/>
  <c r="H764" i="1"/>
  <c r="E764" i="1"/>
  <c r="K763" i="1"/>
  <c r="I763" i="1"/>
  <c r="H763" i="1"/>
  <c r="E763" i="1"/>
  <c r="K762" i="1"/>
  <c r="I762" i="1"/>
  <c r="H762" i="1"/>
  <c r="E762" i="1"/>
  <c r="K761" i="1"/>
  <c r="I761" i="1"/>
  <c r="H761" i="1"/>
  <c r="E761" i="1"/>
  <c r="K760" i="1"/>
  <c r="I760" i="1"/>
  <c r="H760" i="1"/>
  <c r="E760" i="1"/>
  <c r="K759" i="1"/>
  <c r="I759" i="1"/>
  <c r="H759" i="1"/>
  <c r="E759" i="1"/>
  <c r="K758" i="1"/>
  <c r="I758" i="1"/>
  <c r="H758" i="1"/>
  <c r="E758" i="1"/>
  <c r="K757" i="1"/>
  <c r="I757" i="1"/>
  <c r="H757" i="1"/>
  <c r="E757" i="1"/>
  <c r="K756" i="1"/>
  <c r="I756" i="1"/>
  <c r="H756" i="1"/>
  <c r="E756" i="1"/>
  <c r="K755" i="1"/>
  <c r="I755" i="1"/>
  <c r="H755" i="1"/>
  <c r="E755" i="1"/>
  <c r="K754" i="1"/>
  <c r="I754" i="1"/>
  <c r="H754" i="1"/>
  <c r="E754" i="1"/>
  <c r="K753" i="1"/>
  <c r="I753" i="1"/>
  <c r="H753" i="1"/>
  <c r="E753" i="1"/>
  <c r="K752" i="1"/>
  <c r="I752" i="1"/>
  <c r="H752" i="1"/>
  <c r="E752" i="1"/>
  <c r="K751" i="1"/>
  <c r="I751" i="1"/>
  <c r="H751" i="1"/>
  <c r="E751" i="1"/>
  <c r="K750" i="1"/>
  <c r="I750" i="1"/>
  <c r="H750" i="1"/>
  <c r="E750" i="1"/>
  <c r="K749" i="1"/>
  <c r="I749" i="1"/>
  <c r="H749" i="1"/>
  <c r="E749" i="1"/>
  <c r="K748" i="1"/>
  <c r="I748" i="1"/>
  <c r="H748" i="1"/>
  <c r="E748" i="1"/>
  <c r="K747" i="1"/>
  <c r="I747" i="1"/>
  <c r="H747" i="1"/>
  <c r="E747" i="1"/>
  <c r="K746" i="1"/>
  <c r="I746" i="1"/>
  <c r="H746" i="1"/>
  <c r="E746" i="1"/>
  <c r="K745" i="1"/>
  <c r="I745" i="1"/>
  <c r="H745" i="1"/>
  <c r="E745" i="1"/>
  <c r="K744" i="1"/>
  <c r="I744" i="1"/>
  <c r="H744" i="1"/>
  <c r="E744" i="1"/>
  <c r="K743" i="1"/>
  <c r="I743" i="1"/>
  <c r="H743" i="1"/>
  <c r="E743" i="1"/>
  <c r="K742" i="1"/>
  <c r="I742" i="1"/>
  <c r="H742" i="1"/>
  <c r="E742" i="1"/>
  <c r="K741" i="1"/>
  <c r="I741" i="1"/>
  <c r="H741" i="1"/>
  <c r="E741" i="1"/>
  <c r="K740" i="1"/>
  <c r="I740" i="1"/>
  <c r="H740" i="1"/>
  <c r="E740" i="1"/>
  <c r="K739" i="1"/>
  <c r="I739" i="1"/>
  <c r="H739" i="1"/>
  <c r="E739" i="1"/>
  <c r="K738" i="1"/>
  <c r="I738" i="1"/>
  <c r="H738" i="1"/>
  <c r="E738" i="1"/>
  <c r="K737" i="1"/>
  <c r="I737" i="1"/>
  <c r="H737" i="1"/>
  <c r="E737" i="1"/>
  <c r="K736" i="1"/>
  <c r="I736" i="1"/>
  <c r="H736" i="1"/>
  <c r="E736" i="1"/>
  <c r="K735" i="1"/>
  <c r="I735" i="1"/>
  <c r="H735" i="1"/>
  <c r="E735" i="1"/>
  <c r="K734" i="1"/>
  <c r="I734" i="1"/>
  <c r="H734" i="1"/>
  <c r="E734" i="1"/>
  <c r="K733" i="1"/>
  <c r="I733" i="1"/>
  <c r="H733" i="1"/>
  <c r="E733" i="1"/>
  <c r="K732" i="1"/>
  <c r="I732" i="1"/>
  <c r="H732" i="1"/>
  <c r="E732" i="1"/>
  <c r="K731" i="1"/>
  <c r="I731" i="1"/>
  <c r="H731" i="1"/>
  <c r="E731" i="1"/>
  <c r="K730" i="1"/>
  <c r="I730" i="1"/>
  <c r="H730" i="1"/>
  <c r="E730" i="1"/>
  <c r="K729" i="1"/>
  <c r="I729" i="1"/>
  <c r="H729" i="1"/>
  <c r="E729" i="1"/>
  <c r="K728" i="1"/>
  <c r="I728" i="1"/>
  <c r="H728" i="1"/>
  <c r="E728" i="1"/>
  <c r="K727" i="1"/>
  <c r="I727" i="1"/>
  <c r="H727" i="1"/>
  <c r="E727" i="1"/>
  <c r="K726" i="1"/>
  <c r="I726" i="1"/>
  <c r="H726" i="1"/>
  <c r="E726" i="1"/>
  <c r="K725" i="1"/>
  <c r="I725" i="1"/>
  <c r="H725" i="1"/>
  <c r="E725" i="1"/>
  <c r="K724" i="1"/>
  <c r="I724" i="1"/>
  <c r="H724" i="1"/>
  <c r="E724" i="1"/>
  <c r="K723" i="1"/>
  <c r="I723" i="1"/>
  <c r="H723" i="1"/>
  <c r="E723" i="1"/>
  <c r="K722" i="1"/>
  <c r="I722" i="1"/>
  <c r="H722" i="1"/>
  <c r="E722" i="1"/>
  <c r="K721" i="1"/>
  <c r="I721" i="1"/>
  <c r="H721" i="1"/>
  <c r="E721" i="1"/>
  <c r="K720" i="1"/>
  <c r="I720" i="1"/>
  <c r="H720" i="1"/>
  <c r="E720" i="1"/>
  <c r="K719" i="1"/>
  <c r="I719" i="1"/>
  <c r="H719" i="1"/>
  <c r="E719" i="1"/>
  <c r="K718" i="1"/>
  <c r="I718" i="1"/>
  <c r="H718" i="1"/>
  <c r="E718" i="1"/>
  <c r="K717" i="1"/>
  <c r="I717" i="1"/>
  <c r="H717" i="1"/>
  <c r="E717" i="1"/>
  <c r="K716" i="1"/>
  <c r="I716" i="1"/>
  <c r="H716" i="1"/>
  <c r="E716" i="1"/>
  <c r="K715" i="1"/>
  <c r="I715" i="1"/>
  <c r="H715" i="1"/>
  <c r="E715" i="1"/>
  <c r="K714" i="1"/>
  <c r="I714" i="1"/>
  <c r="H714" i="1"/>
  <c r="E714" i="1"/>
  <c r="K713" i="1"/>
  <c r="I713" i="1"/>
  <c r="H713" i="1"/>
  <c r="E713" i="1"/>
  <c r="K712" i="1"/>
  <c r="I712" i="1"/>
  <c r="H712" i="1"/>
  <c r="E712" i="1"/>
  <c r="K711" i="1"/>
  <c r="I711" i="1"/>
  <c r="H711" i="1"/>
  <c r="E711" i="1"/>
  <c r="K710" i="1"/>
  <c r="I710" i="1"/>
  <c r="H710" i="1"/>
  <c r="E710" i="1"/>
  <c r="K709" i="1"/>
  <c r="I709" i="1"/>
  <c r="H709" i="1"/>
  <c r="E709" i="1"/>
  <c r="K708" i="1"/>
  <c r="I708" i="1"/>
  <c r="H708" i="1"/>
  <c r="E708" i="1"/>
  <c r="K707" i="1"/>
  <c r="I707" i="1"/>
  <c r="H707" i="1"/>
  <c r="E707" i="1"/>
  <c r="K706" i="1"/>
  <c r="I706" i="1"/>
  <c r="H706" i="1"/>
  <c r="E706" i="1"/>
  <c r="K705" i="1"/>
  <c r="I705" i="1"/>
  <c r="H705" i="1"/>
  <c r="E705" i="1"/>
  <c r="K704" i="1"/>
  <c r="I704" i="1"/>
  <c r="H704" i="1"/>
  <c r="E704" i="1"/>
  <c r="K703" i="1"/>
  <c r="I703" i="1"/>
  <c r="H703" i="1"/>
  <c r="E703" i="1"/>
  <c r="K702" i="1"/>
  <c r="I702" i="1"/>
  <c r="H702" i="1"/>
  <c r="E702" i="1"/>
  <c r="K701" i="1"/>
  <c r="I701" i="1"/>
  <c r="H701" i="1"/>
  <c r="E701" i="1"/>
  <c r="K700" i="1"/>
  <c r="I700" i="1"/>
  <c r="H700" i="1"/>
  <c r="E700" i="1"/>
  <c r="K699" i="1"/>
  <c r="I699" i="1"/>
  <c r="H699" i="1"/>
  <c r="E699" i="1"/>
  <c r="K698" i="1"/>
  <c r="I698" i="1"/>
  <c r="H698" i="1"/>
  <c r="E698" i="1"/>
  <c r="K697" i="1"/>
  <c r="I697" i="1"/>
  <c r="H697" i="1"/>
  <c r="E697" i="1"/>
  <c r="K696" i="1"/>
  <c r="I696" i="1"/>
  <c r="H696" i="1"/>
  <c r="E696" i="1"/>
  <c r="K695" i="1"/>
  <c r="I695" i="1"/>
  <c r="H695" i="1"/>
  <c r="E695" i="1"/>
  <c r="K694" i="1"/>
  <c r="I694" i="1"/>
  <c r="H694" i="1"/>
  <c r="E694" i="1"/>
  <c r="K693" i="1"/>
  <c r="I693" i="1"/>
  <c r="H693" i="1"/>
  <c r="E693" i="1"/>
  <c r="K692" i="1"/>
  <c r="I692" i="1"/>
  <c r="H692" i="1"/>
  <c r="E692" i="1"/>
  <c r="K691" i="1"/>
  <c r="I691" i="1"/>
  <c r="H691" i="1"/>
  <c r="E691" i="1"/>
  <c r="K690" i="1"/>
  <c r="I690" i="1"/>
  <c r="H690" i="1"/>
  <c r="E690" i="1"/>
  <c r="K689" i="1"/>
  <c r="I689" i="1"/>
  <c r="H689" i="1"/>
  <c r="E689" i="1"/>
  <c r="K688" i="1"/>
  <c r="I688" i="1"/>
  <c r="H688" i="1"/>
  <c r="E688" i="1"/>
  <c r="K687" i="1"/>
  <c r="I687" i="1"/>
  <c r="H687" i="1"/>
  <c r="E687" i="1"/>
  <c r="K686" i="1"/>
  <c r="I686" i="1"/>
  <c r="H686" i="1"/>
  <c r="E686" i="1"/>
  <c r="K685" i="1"/>
  <c r="I685" i="1"/>
  <c r="H685" i="1"/>
  <c r="E685" i="1"/>
  <c r="K684" i="1"/>
  <c r="I684" i="1"/>
  <c r="H684" i="1"/>
  <c r="E684" i="1"/>
  <c r="K683" i="1"/>
  <c r="I683" i="1"/>
  <c r="H683" i="1"/>
  <c r="E683" i="1"/>
  <c r="K682" i="1"/>
  <c r="I682" i="1"/>
  <c r="H682" i="1"/>
  <c r="E682" i="1"/>
  <c r="K681" i="1"/>
  <c r="I681" i="1"/>
  <c r="H681" i="1"/>
  <c r="E681" i="1"/>
  <c r="K680" i="1"/>
  <c r="I680" i="1"/>
  <c r="H680" i="1"/>
  <c r="E680" i="1"/>
  <c r="K679" i="1"/>
  <c r="I679" i="1"/>
  <c r="H679" i="1"/>
  <c r="E679" i="1"/>
  <c r="K678" i="1"/>
  <c r="I678" i="1"/>
  <c r="H678" i="1"/>
  <c r="E678" i="1"/>
  <c r="K677" i="1"/>
  <c r="I677" i="1"/>
  <c r="H677" i="1"/>
  <c r="E677" i="1"/>
  <c r="K676" i="1"/>
  <c r="I676" i="1"/>
  <c r="H676" i="1"/>
  <c r="E676" i="1"/>
  <c r="K675" i="1"/>
  <c r="I675" i="1"/>
  <c r="H675" i="1"/>
  <c r="E675" i="1"/>
  <c r="K674" i="1"/>
  <c r="I674" i="1"/>
  <c r="H674" i="1"/>
  <c r="E674" i="1"/>
  <c r="K673" i="1"/>
  <c r="I673" i="1"/>
  <c r="H673" i="1"/>
  <c r="E673" i="1"/>
  <c r="K672" i="1"/>
  <c r="I672" i="1"/>
  <c r="H672" i="1"/>
  <c r="E672" i="1"/>
  <c r="K671" i="1"/>
  <c r="I671" i="1"/>
  <c r="H671" i="1"/>
  <c r="E671" i="1"/>
  <c r="K670" i="1"/>
  <c r="I670" i="1"/>
  <c r="H670" i="1"/>
  <c r="E670" i="1"/>
  <c r="K669" i="1"/>
  <c r="I669" i="1"/>
  <c r="H669" i="1"/>
  <c r="E669" i="1"/>
  <c r="K668" i="1"/>
  <c r="I668" i="1"/>
  <c r="H668" i="1"/>
  <c r="E668" i="1"/>
  <c r="K667" i="1"/>
  <c r="I667" i="1"/>
  <c r="H667" i="1"/>
  <c r="E667" i="1"/>
  <c r="K666" i="1"/>
  <c r="I666" i="1"/>
  <c r="H666" i="1"/>
  <c r="E666" i="1"/>
  <c r="K665" i="1"/>
  <c r="I665" i="1"/>
  <c r="H665" i="1"/>
  <c r="E665" i="1"/>
  <c r="K664" i="1"/>
  <c r="I664" i="1"/>
  <c r="H664" i="1"/>
  <c r="E664" i="1"/>
  <c r="K663" i="1"/>
  <c r="I663" i="1"/>
  <c r="H663" i="1"/>
  <c r="E663" i="1"/>
  <c r="K662" i="1"/>
  <c r="I662" i="1"/>
  <c r="H662" i="1"/>
  <c r="E662" i="1"/>
  <c r="K661" i="1"/>
  <c r="I661" i="1"/>
  <c r="H661" i="1"/>
  <c r="E661" i="1"/>
  <c r="K660" i="1"/>
  <c r="I660" i="1"/>
  <c r="H660" i="1"/>
  <c r="E660" i="1"/>
  <c r="K659" i="1"/>
  <c r="I659" i="1"/>
  <c r="H659" i="1"/>
  <c r="E659" i="1"/>
  <c r="K658" i="1"/>
  <c r="I658" i="1"/>
  <c r="H658" i="1"/>
  <c r="E658" i="1"/>
  <c r="K657" i="1"/>
  <c r="I657" i="1"/>
  <c r="H657" i="1"/>
  <c r="E657" i="1"/>
  <c r="K656" i="1"/>
  <c r="I656" i="1"/>
  <c r="H656" i="1"/>
  <c r="E656" i="1"/>
  <c r="K655" i="1"/>
  <c r="I655" i="1"/>
  <c r="H655" i="1"/>
  <c r="E655" i="1"/>
  <c r="K654" i="1"/>
  <c r="I654" i="1"/>
  <c r="H654" i="1"/>
  <c r="E654" i="1"/>
  <c r="K653" i="1"/>
  <c r="I653" i="1"/>
  <c r="H653" i="1"/>
  <c r="E653" i="1"/>
  <c r="K652" i="1"/>
  <c r="I652" i="1"/>
  <c r="H652" i="1"/>
  <c r="E652" i="1"/>
  <c r="K651" i="1"/>
  <c r="I651" i="1"/>
  <c r="H651" i="1"/>
  <c r="E651" i="1"/>
  <c r="K650" i="1"/>
  <c r="I650" i="1"/>
  <c r="H650" i="1"/>
  <c r="E650" i="1"/>
  <c r="K649" i="1"/>
  <c r="I649" i="1"/>
  <c r="H649" i="1"/>
  <c r="E649" i="1"/>
  <c r="K648" i="1"/>
  <c r="I648" i="1"/>
  <c r="H648" i="1"/>
  <c r="E648" i="1"/>
  <c r="K647" i="1"/>
  <c r="I647" i="1"/>
  <c r="H647" i="1"/>
  <c r="E647" i="1"/>
  <c r="K646" i="1"/>
  <c r="I646" i="1"/>
  <c r="H646" i="1"/>
  <c r="E646" i="1"/>
  <c r="K645" i="1"/>
  <c r="I645" i="1"/>
  <c r="H645" i="1"/>
  <c r="E645" i="1"/>
  <c r="K644" i="1"/>
  <c r="I644" i="1"/>
  <c r="H644" i="1"/>
  <c r="E644" i="1"/>
  <c r="K643" i="1"/>
  <c r="I643" i="1"/>
  <c r="H643" i="1"/>
  <c r="E643" i="1"/>
  <c r="K642" i="1"/>
  <c r="I642" i="1"/>
  <c r="H642" i="1"/>
  <c r="E642" i="1"/>
  <c r="K641" i="1"/>
  <c r="I641" i="1"/>
  <c r="H641" i="1"/>
  <c r="E641" i="1"/>
  <c r="K640" i="1"/>
  <c r="I640" i="1"/>
  <c r="H640" i="1"/>
  <c r="E640" i="1"/>
  <c r="K639" i="1"/>
  <c r="I639" i="1"/>
  <c r="H639" i="1"/>
  <c r="E639" i="1"/>
  <c r="K638" i="1"/>
  <c r="I638" i="1"/>
  <c r="H638" i="1"/>
  <c r="E638" i="1"/>
  <c r="K637" i="1"/>
  <c r="I637" i="1"/>
  <c r="H637" i="1"/>
  <c r="E637" i="1"/>
  <c r="K636" i="1"/>
  <c r="I636" i="1"/>
  <c r="H636" i="1"/>
  <c r="E636" i="1"/>
  <c r="K635" i="1"/>
  <c r="I635" i="1"/>
  <c r="H635" i="1"/>
  <c r="E635" i="1"/>
  <c r="K634" i="1"/>
  <c r="I634" i="1"/>
  <c r="H634" i="1"/>
  <c r="E634" i="1"/>
  <c r="K633" i="1"/>
  <c r="I633" i="1"/>
  <c r="H633" i="1"/>
  <c r="E633" i="1"/>
  <c r="K632" i="1"/>
  <c r="I632" i="1"/>
  <c r="H632" i="1"/>
  <c r="E632" i="1"/>
  <c r="K631" i="1"/>
  <c r="I631" i="1"/>
  <c r="H631" i="1"/>
  <c r="E631" i="1"/>
  <c r="K630" i="1"/>
  <c r="I630" i="1"/>
  <c r="H630" i="1"/>
  <c r="E630" i="1"/>
  <c r="K629" i="1"/>
  <c r="I629" i="1"/>
  <c r="H629" i="1"/>
  <c r="E629" i="1"/>
  <c r="K628" i="1"/>
  <c r="I628" i="1"/>
  <c r="H628" i="1"/>
  <c r="E628" i="1"/>
  <c r="K627" i="1"/>
  <c r="I627" i="1"/>
  <c r="H627" i="1"/>
  <c r="E627" i="1"/>
  <c r="K626" i="1"/>
  <c r="I626" i="1"/>
  <c r="H626" i="1"/>
  <c r="E626" i="1"/>
  <c r="K625" i="1"/>
  <c r="I625" i="1"/>
  <c r="H625" i="1"/>
  <c r="E625" i="1"/>
  <c r="K624" i="1"/>
  <c r="I624" i="1"/>
  <c r="H624" i="1"/>
  <c r="E624" i="1"/>
  <c r="K623" i="1"/>
  <c r="I623" i="1"/>
  <c r="H623" i="1"/>
  <c r="E623" i="1"/>
  <c r="K622" i="1"/>
  <c r="I622" i="1"/>
  <c r="H622" i="1"/>
  <c r="E622" i="1"/>
  <c r="K621" i="1"/>
  <c r="I621" i="1"/>
  <c r="H621" i="1"/>
  <c r="E621" i="1"/>
  <c r="K620" i="1"/>
  <c r="I620" i="1"/>
  <c r="H620" i="1"/>
  <c r="E620" i="1"/>
  <c r="K619" i="1"/>
  <c r="I619" i="1"/>
  <c r="H619" i="1"/>
  <c r="E619" i="1"/>
  <c r="K618" i="1"/>
  <c r="I618" i="1"/>
  <c r="H618" i="1"/>
  <c r="E618" i="1"/>
  <c r="K617" i="1"/>
  <c r="I617" i="1"/>
  <c r="H617" i="1"/>
  <c r="E617" i="1"/>
  <c r="K616" i="1"/>
  <c r="I616" i="1"/>
  <c r="H616" i="1"/>
  <c r="E616" i="1"/>
  <c r="K615" i="1"/>
  <c r="I615" i="1"/>
  <c r="H615" i="1"/>
  <c r="E615" i="1"/>
  <c r="K614" i="1"/>
  <c r="I614" i="1"/>
  <c r="H614" i="1"/>
  <c r="E614" i="1"/>
  <c r="K613" i="1"/>
  <c r="I613" i="1"/>
  <c r="H613" i="1"/>
  <c r="E613" i="1"/>
  <c r="K612" i="1"/>
  <c r="I612" i="1"/>
  <c r="H612" i="1"/>
  <c r="E612" i="1"/>
  <c r="K611" i="1"/>
  <c r="I611" i="1"/>
  <c r="H611" i="1"/>
  <c r="E611" i="1"/>
  <c r="K610" i="1"/>
  <c r="I610" i="1"/>
  <c r="H610" i="1"/>
  <c r="E610" i="1"/>
  <c r="K609" i="1"/>
  <c r="I609" i="1"/>
  <c r="H609" i="1"/>
  <c r="E609" i="1"/>
  <c r="K608" i="1"/>
  <c r="I608" i="1"/>
  <c r="H608" i="1"/>
  <c r="E608" i="1"/>
  <c r="K607" i="1"/>
  <c r="I607" i="1"/>
  <c r="H607" i="1"/>
  <c r="E607" i="1"/>
  <c r="K606" i="1"/>
  <c r="I606" i="1"/>
  <c r="H606" i="1"/>
  <c r="E606" i="1"/>
  <c r="K605" i="1"/>
  <c r="I605" i="1"/>
  <c r="H605" i="1"/>
  <c r="E605" i="1"/>
  <c r="K604" i="1"/>
  <c r="I604" i="1"/>
  <c r="H604" i="1"/>
  <c r="E604" i="1"/>
  <c r="K603" i="1"/>
  <c r="I603" i="1"/>
  <c r="H603" i="1"/>
  <c r="E603" i="1"/>
  <c r="K602" i="1"/>
  <c r="I602" i="1"/>
  <c r="H602" i="1"/>
  <c r="E602" i="1"/>
  <c r="K601" i="1"/>
  <c r="I601" i="1"/>
  <c r="H601" i="1"/>
  <c r="E601" i="1"/>
  <c r="K600" i="1"/>
  <c r="I600" i="1"/>
  <c r="H600" i="1"/>
  <c r="E600" i="1"/>
  <c r="K599" i="1"/>
  <c r="I599" i="1"/>
  <c r="H599" i="1"/>
  <c r="E599" i="1"/>
  <c r="K598" i="1"/>
  <c r="I598" i="1"/>
  <c r="H598" i="1"/>
  <c r="E598" i="1"/>
  <c r="K597" i="1"/>
  <c r="I597" i="1"/>
  <c r="H597" i="1"/>
  <c r="E597" i="1"/>
  <c r="K596" i="1"/>
  <c r="I596" i="1"/>
  <c r="H596" i="1"/>
  <c r="E596" i="1"/>
  <c r="K595" i="1"/>
  <c r="I595" i="1"/>
  <c r="H595" i="1"/>
  <c r="E595" i="1"/>
  <c r="K594" i="1"/>
  <c r="I594" i="1"/>
  <c r="H594" i="1"/>
  <c r="E594" i="1"/>
  <c r="K593" i="1"/>
  <c r="I593" i="1"/>
  <c r="H593" i="1"/>
  <c r="E593" i="1"/>
  <c r="K592" i="1"/>
  <c r="I592" i="1"/>
  <c r="H592" i="1"/>
  <c r="E592" i="1"/>
  <c r="K591" i="1"/>
  <c r="I591" i="1"/>
  <c r="H591" i="1"/>
  <c r="E591" i="1"/>
  <c r="K590" i="1"/>
  <c r="I590" i="1"/>
  <c r="H590" i="1"/>
  <c r="E590" i="1"/>
  <c r="K589" i="1"/>
  <c r="I589" i="1"/>
  <c r="H589" i="1"/>
  <c r="E589" i="1"/>
  <c r="K588" i="1"/>
  <c r="I588" i="1"/>
  <c r="H588" i="1"/>
  <c r="E588" i="1"/>
  <c r="K587" i="1"/>
  <c r="I587" i="1"/>
  <c r="H587" i="1"/>
  <c r="E587" i="1"/>
  <c r="K586" i="1"/>
  <c r="I586" i="1"/>
  <c r="H586" i="1"/>
  <c r="E586" i="1"/>
  <c r="K585" i="1"/>
  <c r="I585" i="1"/>
  <c r="H585" i="1"/>
  <c r="E585" i="1"/>
  <c r="K584" i="1"/>
  <c r="I584" i="1"/>
  <c r="H584" i="1"/>
  <c r="E584" i="1"/>
  <c r="K583" i="1"/>
  <c r="I583" i="1"/>
  <c r="H583" i="1"/>
  <c r="E583" i="1"/>
  <c r="K582" i="1"/>
  <c r="I582" i="1"/>
  <c r="H582" i="1"/>
  <c r="E582" i="1"/>
  <c r="K581" i="1"/>
  <c r="I581" i="1"/>
  <c r="H581" i="1"/>
  <c r="E581" i="1"/>
  <c r="K580" i="1"/>
  <c r="I580" i="1"/>
  <c r="H580" i="1"/>
  <c r="E580" i="1"/>
  <c r="K579" i="1"/>
  <c r="I579" i="1"/>
  <c r="H579" i="1"/>
  <c r="E579" i="1"/>
  <c r="K578" i="1"/>
  <c r="I578" i="1"/>
  <c r="H578" i="1"/>
  <c r="E578" i="1"/>
  <c r="K577" i="1"/>
  <c r="I577" i="1"/>
  <c r="H577" i="1"/>
  <c r="E577" i="1"/>
  <c r="K576" i="1"/>
  <c r="I576" i="1"/>
  <c r="H576" i="1"/>
  <c r="E576" i="1"/>
  <c r="K575" i="1"/>
  <c r="I575" i="1"/>
  <c r="H575" i="1"/>
  <c r="E575" i="1"/>
  <c r="K574" i="1"/>
  <c r="I574" i="1"/>
  <c r="H574" i="1"/>
  <c r="E574" i="1"/>
  <c r="K573" i="1"/>
  <c r="I573" i="1"/>
  <c r="H573" i="1"/>
  <c r="E573" i="1"/>
  <c r="K572" i="1"/>
  <c r="I572" i="1"/>
  <c r="H572" i="1"/>
  <c r="E572" i="1"/>
  <c r="K571" i="1"/>
  <c r="I571" i="1"/>
  <c r="H571" i="1"/>
  <c r="E571" i="1"/>
  <c r="K570" i="1"/>
  <c r="I570" i="1"/>
  <c r="H570" i="1"/>
  <c r="E570" i="1"/>
  <c r="K569" i="1"/>
  <c r="I569" i="1"/>
  <c r="H569" i="1"/>
  <c r="E569" i="1"/>
  <c r="K568" i="1"/>
  <c r="I568" i="1"/>
  <c r="H568" i="1"/>
  <c r="E568" i="1"/>
  <c r="K567" i="1"/>
  <c r="I567" i="1"/>
  <c r="H567" i="1"/>
  <c r="E567" i="1"/>
  <c r="K566" i="1"/>
  <c r="I566" i="1"/>
  <c r="H566" i="1"/>
  <c r="E566" i="1"/>
  <c r="K565" i="1"/>
  <c r="I565" i="1"/>
  <c r="H565" i="1"/>
  <c r="E565" i="1"/>
  <c r="K564" i="1"/>
  <c r="I564" i="1"/>
  <c r="H564" i="1"/>
  <c r="E564" i="1"/>
  <c r="K563" i="1"/>
  <c r="I563" i="1"/>
  <c r="H563" i="1"/>
  <c r="E563" i="1"/>
  <c r="K562" i="1"/>
  <c r="I562" i="1"/>
  <c r="H562" i="1"/>
  <c r="E562" i="1"/>
  <c r="K561" i="1"/>
  <c r="I561" i="1"/>
  <c r="H561" i="1"/>
  <c r="E561" i="1"/>
  <c r="K560" i="1"/>
  <c r="I560" i="1"/>
  <c r="H560" i="1"/>
  <c r="E560" i="1"/>
  <c r="K559" i="1"/>
  <c r="I559" i="1"/>
  <c r="H559" i="1"/>
  <c r="E559" i="1"/>
  <c r="K558" i="1"/>
  <c r="I558" i="1"/>
  <c r="H558" i="1"/>
  <c r="E558" i="1"/>
  <c r="K557" i="1"/>
  <c r="I557" i="1"/>
  <c r="H557" i="1"/>
  <c r="E557" i="1"/>
  <c r="K556" i="1"/>
  <c r="I556" i="1"/>
  <c r="H556" i="1"/>
  <c r="E556" i="1"/>
  <c r="K555" i="1"/>
  <c r="I555" i="1"/>
  <c r="H555" i="1"/>
  <c r="E555" i="1"/>
  <c r="K554" i="1"/>
  <c r="I554" i="1"/>
  <c r="H554" i="1"/>
  <c r="E554" i="1"/>
  <c r="K553" i="1"/>
  <c r="I553" i="1"/>
  <c r="H553" i="1"/>
  <c r="E553" i="1"/>
  <c r="K552" i="1"/>
  <c r="I552" i="1"/>
  <c r="H552" i="1"/>
  <c r="E552" i="1"/>
  <c r="K551" i="1"/>
  <c r="I551" i="1"/>
  <c r="H551" i="1"/>
  <c r="E551" i="1"/>
  <c r="K550" i="1"/>
  <c r="I550" i="1"/>
  <c r="H550" i="1"/>
  <c r="E550" i="1"/>
  <c r="K549" i="1"/>
  <c r="I549" i="1"/>
  <c r="H549" i="1"/>
  <c r="E549" i="1"/>
  <c r="K548" i="1"/>
  <c r="I548" i="1"/>
  <c r="H548" i="1"/>
  <c r="E548" i="1"/>
  <c r="K547" i="1"/>
  <c r="I547" i="1"/>
  <c r="H547" i="1"/>
  <c r="E547" i="1"/>
  <c r="K546" i="1"/>
  <c r="I546" i="1"/>
  <c r="H546" i="1"/>
  <c r="E546" i="1"/>
  <c r="K545" i="1"/>
  <c r="I545" i="1"/>
  <c r="H545" i="1"/>
  <c r="E545" i="1"/>
  <c r="K544" i="1"/>
  <c r="I544" i="1"/>
  <c r="H544" i="1"/>
  <c r="E544" i="1"/>
  <c r="K543" i="1"/>
  <c r="I543" i="1"/>
  <c r="H543" i="1"/>
  <c r="E543" i="1"/>
  <c r="K542" i="1"/>
  <c r="I542" i="1"/>
  <c r="H542" i="1"/>
  <c r="E542" i="1"/>
  <c r="K541" i="1"/>
  <c r="I541" i="1"/>
  <c r="H541" i="1"/>
  <c r="E541" i="1"/>
  <c r="K540" i="1"/>
  <c r="I540" i="1"/>
  <c r="H540" i="1"/>
  <c r="E540" i="1"/>
  <c r="K539" i="1"/>
  <c r="I539" i="1"/>
  <c r="H539" i="1"/>
  <c r="E539" i="1"/>
  <c r="K538" i="1"/>
  <c r="I538" i="1"/>
  <c r="H538" i="1"/>
  <c r="E538" i="1"/>
  <c r="K537" i="1"/>
  <c r="I537" i="1"/>
  <c r="H537" i="1"/>
  <c r="E537" i="1"/>
  <c r="K536" i="1"/>
  <c r="I536" i="1"/>
  <c r="H536" i="1"/>
  <c r="E536" i="1"/>
  <c r="K535" i="1"/>
  <c r="I535" i="1"/>
  <c r="H535" i="1"/>
  <c r="E535" i="1"/>
  <c r="K534" i="1"/>
  <c r="I534" i="1"/>
  <c r="H534" i="1"/>
  <c r="E534" i="1"/>
  <c r="K533" i="1"/>
  <c r="I533" i="1"/>
  <c r="H533" i="1"/>
  <c r="E533" i="1"/>
  <c r="K532" i="1"/>
  <c r="I532" i="1"/>
  <c r="H532" i="1"/>
  <c r="E532" i="1"/>
  <c r="K531" i="1"/>
  <c r="I531" i="1"/>
  <c r="H531" i="1"/>
  <c r="E531" i="1"/>
  <c r="K530" i="1"/>
  <c r="I530" i="1"/>
  <c r="H530" i="1"/>
  <c r="E530" i="1"/>
  <c r="K529" i="1"/>
  <c r="I529" i="1"/>
  <c r="H529" i="1"/>
  <c r="E529" i="1"/>
  <c r="K528" i="1"/>
  <c r="I528" i="1"/>
  <c r="H528" i="1"/>
  <c r="E528" i="1"/>
  <c r="K527" i="1"/>
  <c r="I527" i="1"/>
  <c r="H527" i="1"/>
  <c r="E527" i="1"/>
  <c r="K526" i="1"/>
  <c r="I526" i="1"/>
  <c r="H526" i="1"/>
  <c r="E526" i="1"/>
  <c r="K525" i="1"/>
  <c r="I525" i="1"/>
  <c r="H525" i="1"/>
  <c r="E525" i="1"/>
  <c r="K524" i="1"/>
  <c r="I524" i="1"/>
  <c r="H524" i="1"/>
  <c r="E524" i="1"/>
  <c r="K523" i="1"/>
  <c r="I523" i="1"/>
  <c r="H523" i="1"/>
  <c r="E523" i="1"/>
  <c r="K522" i="1"/>
  <c r="I522" i="1"/>
  <c r="H522" i="1"/>
  <c r="E522" i="1"/>
  <c r="K521" i="1"/>
  <c r="I521" i="1"/>
  <c r="H521" i="1"/>
  <c r="E521" i="1"/>
  <c r="K520" i="1"/>
  <c r="I520" i="1"/>
  <c r="H520" i="1"/>
  <c r="E520" i="1"/>
  <c r="K519" i="1"/>
  <c r="I519" i="1"/>
  <c r="H519" i="1"/>
  <c r="E519" i="1"/>
  <c r="K518" i="1"/>
  <c r="I518" i="1"/>
  <c r="H518" i="1"/>
  <c r="E518" i="1"/>
  <c r="K517" i="1"/>
  <c r="I517" i="1"/>
  <c r="H517" i="1"/>
  <c r="E517" i="1"/>
  <c r="K516" i="1"/>
  <c r="I516" i="1"/>
  <c r="H516" i="1"/>
  <c r="E516" i="1"/>
  <c r="K515" i="1"/>
  <c r="I515" i="1"/>
  <c r="H515" i="1"/>
  <c r="E515" i="1"/>
  <c r="K514" i="1"/>
  <c r="I514" i="1"/>
  <c r="H514" i="1"/>
  <c r="E514" i="1"/>
  <c r="K513" i="1"/>
  <c r="I513" i="1"/>
  <c r="H513" i="1"/>
  <c r="E513" i="1"/>
  <c r="K512" i="1"/>
  <c r="I512" i="1"/>
  <c r="H512" i="1"/>
  <c r="E512" i="1"/>
  <c r="K511" i="1"/>
  <c r="I511" i="1"/>
  <c r="H511" i="1"/>
  <c r="E511" i="1"/>
  <c r="K510" i="1"/>
  <c r="I510" i="1"/>
  <c r="H510" i="1"/>
  <c r="E510" i="1"/>
  <c r="K509" i="1"/>
  <c r="I509" i="1"/>
  <c r="H509" i="1"/>
  <c r="E509" i="1"/>
  <c r="K508" i="1"/>
  <c r="I508" i="1"/>
  <c r="H508" i="1"/>
  <c r="E508" i="1"/>
  <c r="K507" i="1"/>
  <c r="I507" i="1"/>
  <c r="H507" i="1"/>
  <c r="E507" i="1"/>
  <c r="K506" i="1"/>
  <c r="I506" i="1"/>
  <c r="H506" i="1"/>
  <c r="E506" i="1"/>
  <c r="K505" i="1"/>
  <c r="I505" i="1"/>
  <c r="H505" i="1"/>
  <c r="E505" i="1"/>
  <c r="K504" i="1"/>
  <c r="I504" i="1"/>
  <c r="H504" i="1"/>
  <c r="E504" i="1"/>
  <c r="K503" i="1"/>
  <c r="I503" i="1"/>
  <c r="H503" i="1"/>
  <c r="E503" i="1"/>
  <c r="K502" i="1"/>
  <c r="I502" i="1"/>
  <c r="H502" i="1"/>
  <c r="E502" i="1"/>
  <c r="K501" i="1"/>
  <c r="I501" i="1"/>
  <c r="H501" i="1"/>
  <c r="E501" i="1"/>
  <c r="K500" i="1"/>
  <c r="I500" i="1"/>
  <c r="H500" i="1"/>
  <c r="E500" i="1"/>
  <c r="K499" i="1"/>
  <c r="I499" i="1"/>
  <c r="H499" i="1"/>
  <c r="E499" i="1"/>
  <c r="K498" i="1"/>
  <c r="I498" i="1"/>
  <c r="H498" i="1"/>
  <c r="E498" i="1"/>
  <c r="K497" i="1"/>
  <c r="I497" i="1"/>
  <c r="H497" i="1"/>
  <c r="E497" i="1"/>
  <c r="K496" i="1"/>
  <c r="I496" i="1"/>
  <c r="H496" i="1"/>
  <c r="E496" i="1"/>
  <c r="K495" i="1"/>
  <c r="I495" i="1"/>
  <c r="H495" i="1"/>
  <c r="E495" i="1"/>
  <c r="K494" i="1"/>
  <c r="I494" i="1"/>
  <c r="H494" i="1"/>
  <c r="E494" i="1"/>
  <c r="K493" i="1"/>
  <c r="I493" i="1"/>
  <c r="H493" i="1"/>
  <c r="E493" i="1"/>
  <c r="K492" i="1"/>
  <c r="I492" i="1"/>
  <c r="H492" i="1"/>
  <c r="E492" i="1"/>
  <c r="K491" i="1"/>
  <c r="I491" i="1"/>
  <c r="H491" i="1"/>
  <c r="E491" i="1"/>
  <c r="K490" i="1"/>
  <c r="I490" i="1"/>
  <c r="H490" i="1"/>
  <c r="E490" i="1"/>
  <c r="K489" i="1"/>
  <c r="I489" i="1"/>
  <c r="H489" i="1"/>
  <c r="E489" i="1"/>
  <c r="K488" i="1"/>
  <c r="I488" i="1"/>
  <c r="H488" i="1"/>
  <c r="E488" i="1"/>
  <c r="K487" i="1"/>
  <c r="I487" i="1"/>
  <c r="H487" i="1"/>
  <c r="E487" i="1"/>
  <c r="K486" i="1"/>
  <c r="I486" i="1"/>
  <c r="H486" i="1"/>
  <c r="E486" i="1"/>
  <c r="K485" i="1"/>
  <c r="I485" i="1"/>
  <c r="H485" i="1"/>
  <c r="E485" i="1"/>
  <c r="K484" i="1"/>
  <c r="I484" i="1"/>
  <c r="H484" i="1"/>
  <c r="E484" i="1"/>
  <c r="K483" i="1"/>
  <c r="I483" i="1"/>
  <c r="H483" i="1"/>
  <c r="E483" i="1"/>
  <c r="K482" i="1"/>
  <c r="I482" i="1"/>
  <c r="H482" i="1"/>
  <c r="E482" i="1"/>
  <c r="K481" i="1"/>
  <c r="I481" i="1"/>
  <c r="H481" i="1"/>
  <c r="E481" i="1"/>
  <c r="K480" i="1"/>
  <c r="I480" i="1"/>
  <c r="H480" i="1"/>
  <c r="E480" i="1"/>
  <c r="K479" i="1"/>
  <c r="I479" i="1"/>
  <c r="H479" i="1"/>
  <c r="E479" i="1"/>
  <c r="K478" i="1"/>
  <c r="I478" i="1"/>
  <c r="H478" i="1"/>
  <c r="E478" i="1"/>
  <c r="K477" i="1"/>
  <c r="I477" i="1"/>
  <c r="H477" i="1"/>
  <c r="E477" i="1"/>
  <c r="K476" i="1"/>
  <c r="I476" i="1"/>
  <c r="H476" i="1"/>
  <c r="E476" i="1"/>
  <c r="K475" i="1"/>
  <c r="I475" i="1"/>
  <c r="H475" i="1"/>
  <c r="E475" i="1"/>
  <c r="K474" i="1"/>
  <c r="I474" i="1"/>
  <c r="H474" i="1"/>
  <c r="E474" i="1"/>
  <c r="K473" i="1"/>
  <c r="I473" i="1"/>
  <c r="H473" i="1"/>
  <c r="E473" i="1"/>
  <c r="K472" i="1"/>
  <c r="I472" i="1"/>
  <c r="H472" i="1"/>
  <c r="E472" i="1"/>
  <c r="K471" i="1"/>
  <c r="I471" i="1"/>
  <c r="H471" i="1"/>
  <c r="E471" i="1"/>
  <c r="K470" i="1"/>
  <c r="I470" i="1"/>
  <c r="H470" i="1"/>
  <c r="E470" i="1"/>
  <c r="K469" i="1"/>
  <c r="I469" i="1"/>
  <c r="H469" i="1"/>
  <c r="E469" i="1"/>
  <c r="K468" i="1"/>
  <c r="I468" i="1"/>
  <c r="H468" i="1"/>
  <c r="E468" i="1"/>
  <c r="K467" i="1"/>
  <c r="I467" i="1"/>
  <c r="H467" i="1"/>
  <c r="E467" i="1"/>
  <c r="K466" i="1"/>
  <c r="I466" i="1"/>
  <c r="H466" i="1"/>
  <c r="E466" i="1"/>
  <c r="K465" i="1"/>
  <c r="I465" i="1"/>
  <c r="H465" i="1"/>
  <c r="E465" i="1"/>
  <c r="K464" i="1"/>
  <c r="I464" i="1"/>
  <c r="H464" i="1"/>
  <c r="E464" i="1"/>
  <c r="K463" i="1"/>
  <c r="I463" i="1"/>
  <c r="H463" i="1"/>
  <c r="E463" i="1"/>
  <c r="K462" i="1"/>
  <c r="I462" i="1"/>
  <c r="H462" i="1"/>
  <c r="E462" i="1"/>
  <c r="K461" i="1"/>
  <c r="I461" i="1"/>
  <c r="H461" i="1"/>
  <c r="E461" i="1"/>
  <c r="K460" i="1"/>
  <c r="I460" i="1"/>
  <c r="H460" i="1"/>
  <c r="E460" i="1"/>
  <c r="K459" i="1"/>
  <c r="I459" i="1"/>
  <c r="H459" i="1"/>
  <c r="E459" i="1"/>
  <c r="K458" i="1"/>
  <c r="I458" i="1"/>
  <c r="H458" i="1"/>
  <c r="E458" i="1"/>
  <c r="K457" i="1"/>
  <c r="I457" i="1"/>
  <c r="H457" i="1"/>
  <c r="E457" i="1"/>
  <c r="K456" i="1"/>
  <c r="I456" i="1"/>
  <c r="H456" i="1"/>
  <c r="E456" i="1"/>
  <c r="K455" i="1"/>
  <c r="I455" i="1"/>
  <c r="H455" i="1"/>
  <c r="E455" i="1"/>
  <c r="K454" i="1"/>
  <c r="I454" i="1"/>
  <c r="H454" i="1"/>
  <c r="E454" i="1"/>
  <c r="K453" i="1"/>
  <c r="I453" i="1"/>
  <c r="H453" i="1"/>
  <c r="E453" i="1"/>
  <c r="K452" i="1"/>
  <c r="I452" i="1"/>
  <c r="H452" i="1"/>
  <c r="E452" i="1"/>
  <c r="K451" i="1"/>
  <c r="I451" i="1"/>
  <c r="H451" i="1"/>
  <c r="E451" i="1"/>
  <c r="K450" i="1"/>
  <c r="I450" i="1"/>
  <c r="H450" i="1"/>
  <c r="E450" i="1"/>
  <c r="K449" i="1"/>
  <c r="I449" i="1"/>
  <c r="H449" i="1"/>
  <c r="E449" i="1"/>
  <c r="K448" i="1"/>
  <c r="I448" i="1"/>
  <c r="H448" i="1"/>
  <c r="E448" i="1"/>
  <c r="K447" i="1"/>
  <c r="I447" i="1"/>
  <c r="H447" i="1"/>
  <c r="E447" i="1"/>
  <c r="K446" i="1"/>
  <c r="I446" i="1"/>
  <c r="H446" i="1"/>
  <c r="E446" i="1"/>
  <c r="K445" i="1"/>
  <c r="I445" i="1"/>
  <c r="H445" i="1"/>
  <c r="E445" i="1"/>
  <c r="K444" i="1"/>
  <c r="I444" i="1"/>
  <c r="H444" i="1"/>
  <c r="E444" i="1"/>
  <c r="K443" i="1"/>
  <c r="I443" i="1"/>
  <c r="H443" i="1"/>
  <c r="E443" i="1"/>
  <c r="K442" i="1"/>
  <c r="I442" i="1"/>
  <c r="H442" i="1"/>
  <c r="E442" i="1"/>
  <c r="K441" i="1"/>
  <c r="I441" i="1"/>
  <c r="H441" i="1"/>
  <c r="E441" i="1"/>
  <c r="K440" i="1"/>
  <c r="I440" i="1"/>
  <c r="H440" i="1"/>
  <c r="E440" i="1"/>
  <c r="K439" i="1"/>
  <c r="I439" i="1"/>
  <c r="H439" i="1"/>
  <c r="E439" i="1"/>
  <c r="K438" i="1"/>
  <c r="I438" i="1"/>
  <c r="H438" i="1"/>
  <c r="E438" i="1"/>
  <c r="K437" i="1"/>
  <c r="I437" i="1"/>
  <c r="H437" i="1"/>
  <c r="E437" i="1"/>
  <c r="K436" i="1"/>
  <c r="I436" i="1"/>
  <c r="H436" i="1"/>
  <c r="E436" i="1"/>
  <c r="K435" i="1"/>
  <c r="I435" i="1"/>
  <c r="H435" i="1"/>
  <c r="E435" i="1"/>
  <c r="K434" i="1"/>
  <c r="I434" i="1"/>
  <c r="H434" i="1"/>
  <c r="E434" i="1"/>
  <c r="K433" i="1"/>
  <c r="I433" i="1"/>
  <c r="H433" i="1"/>
  <c r="E433" i="1"/>
  <c r="K432" i="1"/>
  <c r="I432" i="1"/>
  <c r="H432" i="1"/>
  <c r="E432" i="1"/>
  <c r="K431" i="1"/>
  <c r="I431" i="1"/>
  <c r="H431" i="1"/>
  <c r="E431" i="1"/>
  <c r="K430" i="1"/>
  <c r="I430" i="1"/>
  <c r="H430" i="1"/>
  <c r="E430" i="1"/>
  <c r="K429" i="1"/>
  <c r="I429" i="1"/>
  <c r="H429" i="1"/>
  <c r="E429" i="1"/>
  <c r="K428" i="1"/>
  <c r="I428" i="1"/>
  <c r="H428" i="1"/>
  <c r="E428" i="1"/>
  <c r="K427" i="1"/>
  <c r="I427" i="1"/>
  <c r="H427" i="1"/>
  <c r="E427" i="1"/>
  <c r="K426" i="1"/>
  <c r="I426" i="1"/>
  <c r="H426" i="1"/>
  <c r="E426" i="1"/>
  <c r="K425" i="1"/>
  <c r="I425" i="1"/>
  <c r="H425" i="1"/>
  <c r="E425" i="1"/>
  <c r="K424" i="1"/>
  <c r="I424" i="1"/>
  <c r="H424" i="1"/>
  <c r="E424" i="1"/>
  <c r="K423" i="1"/>
  <c r="I423" i="1"/>
  <c r="H423" i="1"/>
  <c r="E423" i="1"/>
  <c r="K422" i="1"/>
  <c r="I422" i="1"/>
  <c r="H422" i="1"/>
  <c r="E422" i="1"/>
  <c r="K421" i="1"/>
  <c r="I421" i="1"/>
  <c r="H421" i="1"/>
  <c r="E421" i="1"/>
  <c r="K420" i="1"/>
  <c r="I420" i="1"/>
  <c r="H420" i="1"/>
  <c r="E420" i="1"/>
  <c r="K419" i="1"/>
  <c r="I419" i="1"/>
  <c r="H419" i="1"/>
  <c r="E419" i="1"/>
  <c r="K418" i="1"/>
  <c r="I418" i="1"/>
  <c r="H418" i="1"/>
  <c r="E418" i="1"/>
  <c r="K417" i="1"/>
  <c r="I417" i="1"/>
  <c r="H417" i="1"/>
  <c r="E417" i="1"/>
  <c r="K416" i="1"/>
  <c r="I416" i="1"/>
  <c r="H416" i="1"/>
  <c r="E416" i="1"/>
  <c r="K415" i="1"/>
  <c r="I415" i="1"/>
  <c r="H415" i="1"/>
  <c r="E415" i="1"/>
  <c r="K414" i="1"/>
  <c r="I414" i="1"/>
  <c r="H414" i="1"/>
  <c r="E414" i="1"/>
  <c r="K413" i="1"/>
  <c r="I413" i="1"/>
  <c r="H413" i="1"/>
  <c r="E413" i="1"/>
  <c r="K412" i="1"/>
  <c r="I412" i="1"/>
  <c r="H412" i="1"/>
  <c r="E412" i="1"/>
  <c r="K411" i="1"/>
  <c r="I411" i="1"/>
  <c r="H411" i="1"/>
  <c r="E411" i="1"/>
  <c r="K410" i="1"/>
  <c r="I410" i="1"/>
  <c r="H410" i="1"/>
  <c r="E410" i="1"/>
  <c r="K409" i="1"/>
  <c r="I409" i="1"/>
  <c r="H409" i="1"/>
  <c r="E409" i="1"/>
  <c r="K408" i="1"/>
  <c r="I408" i="1"/>
  <c r="H408" i="1"/>
  <c r="E408" i="1"/>
  <c r="K407" i="1"/>
  <c r="I407" i="1"/>
  <c r="H407" i="1"/>
  <c r="E407" i="1"/>
  <c r="K406" i="1"/>
  <c r="I406" i="1"/>
  <c r="H406" i="1"/>
  <c r="E406" i="1"/>
  <c r="K405" i="1"/>
  <c r="I405" i="1"/>
  <c r="H405" i="1"/>
  <c r="E405" i="1"/>
  <c r="K404" i="1"/>
  <c r="I404" i="1"/>
  <c r="H404" i="1"/>
  <c r="E404" i="1"/>
  <c r="K403" i="1"/>
  <c r="I403" i="1"/>
  <c r="H403" i="1"/>
  <c r="E403" i="1"/>
  <c r="K402" i="1"/>
  <c r="I402" i="1"/>
  <c r="H402" i="1"/>
  <c r="E402" i="1"/>
  <c r="K401" i="1"/>
  <c r="I401" i="1"/>
  <c r="H401" i="1"/>
  <c r="E401" i="1"/>
  <c r="K400" i="1"/>
  <c r="I400" i="1"/>
  <c r="H400" i="1"/>
  <c r="E400" i="1"/>
  <c r="K399" i="1"/>
  <c r="I399" i="1"/>
  <c r="H399" i="1"/>
  <c r="E399" i="1"/>
  <c r="K398" i="1"/>
  <c r="I398" i="1"/>
  <c r="H398" i="1"/>
  <c r="E398" i="1"/>
  <c r="K397" i="1"/>
  <c r="I397" i="1"/>
  <c r="H397" i="1"/>
  <c r="E397" i="1"/>
  <c r="K396" i="1"/>
  <c r="I396" i="1"/>
  <c r="H396" i="1"/>
  <c r="E396" i="1"/>
  <c r="K395" i="1"/>
  <c r="I395" i="1"/>
  <c r="H395" i="1"/>
  <c r="E395" i="1"/>
  <c r="K394" i="1"/>
  <c r="I394" i="1"/>
  <c r="H394" i="1"/>
  <c r="E394" i="1"/>
  <c r="K393" i="1"/>
  <c r="I393" i="1"/>
  <c r="H393" i="1"/>
  <c r="E393" i="1"/>
  <c r="K392" i="1"/>
  <c r="I392" i="1"/>
  <c r="H392" i="1"/>
  <c r="E392" i="1"/>
  <c r="K391" i="1"/>
  <c r="I391" i="1"/>
  <c r="H391" i="1"/>
  <c r="E391" i="1"/>
  <c r="K390" i="1"/>
  <c r="I390" i="1"/>
  <c r="H390" i="1"/>
  <c r="E390" i="1"/>
  <c r="K389" i="1"/>
  <c r="I389" i="1"/>
  <c r="H389" i="1"/>
  <c r="E389" i="1"/>
  <c r="K388" i="1"/>
  <c r="I388" i="1"/>
  <c r="H388" i="1"/>
  <c r="E388" i="1"/>
  <c r="K387" i="1"/>
  <c r="I387" i="1"/>
  <c r="H387" i="1"/>
  <c r="E387" i="1"/>
  <c r="K386" i="1"/>
  <c r="I386" i="1"/>
  <c r="H386" i="1"/>
  <c r="E386" i="1"/>
  <c r="K385" i="1"/>
  <c r="I385" i="1"/>
  <c r="H385" i="1"/>
  <c r="E385" i="1"/>
  <c r="K384" i="1"/>
  <c r="I384" i="1"/>
  <c r="H384" i="1"/>
  <c r="E384" i="1"/>
  <c r="K383" i="1"/>
  <c r="I383" i="1"/>
  <c r="H383" i="1"/>
  <c r="E383" i="1"/>
  <c r="K382" i="1"/>
  <c r="I382" i="1"/>
  <c r="H382" i="1"/>
  <c r="E382" i="1"/>
  <c r="K381" i="1"/>
  <c r="I381" i="1"/>
  <c r="H381" i="1"/>
  <c r="E381" i="1"/>
  <c r="K380" i="1"/>
  <c r="I380" i="1"/>
  <c r="H380" i="1"/>
  <c r="E380" i="1"/>
  <c r="K379" i="1"/>
  <c r="I379" i="1"/>
  <c r="H379" i="1"/>
  <c r="E379" i="1"/>
  <c r="K378" i="1"/>
  <c r="I378" i="1"/>
  <c r="H378" i="1"/>
  <c r="E378" i="1"/>
  <c r="K377" i="1"/>
  <c r="I377" i="1"/>
  <c r="H377" i="1"/>
  <c r="E377" i="1"/>
  <c r="K376" i="1"/>
  <c r="I376" i="1"/>
  <c r="H376" i="1"/>
  <c r="E376" i="1"/>
  <c r="K375" i="1"/>
  <c r="I375" i="1"/>
  <c r="H375" i="1"/>
  <c r="E375" i="1"/>
  <c r="K374" i="1"/>
  <c r="I374" i="1"/>
  <c r="H374" i="1"/>
  <c r="E374" i="1"/>
  <c r="K373" i="1"/>
  <c r="I373" i="1"/>
  <c r="H373" i="1"/>
  <c r="E373" i="1"/>
  <c r="K372" i="1"/>
  <c r="I372" i="1"/>
  <c r="H372" i="1"/>
  <c r="E372" i="1"/>
  <c r="K371" i="1"/>
  <c r="I371" i="1"/>
  <c r="H371" i="1"/>
  <c r="E371" i="1"/>
  <c r="K370" i="1"/>
  <c r="I370" i="1"/>
  <c r="H370" i="1"/>
  <c r="E370" i="1"/>
  <c r="K369" i="1"/>
  <c r="I369" i="1"/>
  <c r="H369" i="1"/>
  <c r="E369" i="1"/>
  <c r="K368" i="1"/>
  <c r="I368" i="1"/>
  <c r="H368" i="1"/>
  <c r="E368" i="1"/>
  <c r="K367" i="1"/>
  <c r="I367" i="1"/>
  <c r="H367" i="1"/>
  <c r="E367" i="1"/>
  <c r="K366" i="1"/>
  <c r="I366" i="1"/>
  <c r="H366" i="1"/>
  <c r="E366" i="1"/>
  <c r="K365" i="1"/>
  <c r="I365" i="1"/>
  <c r="H365" i="1"/>
  <c r="E365" i="1"/>
  <c r="K364" i="1"/>
  <c r="I364" i="1"/>
  <c r="H364" i="1"/>
  <c r="E364" i="1"/>
  <c r="K363" i="1"/>
  <c r="I363" i="1"/>
  <c r="H363" i="1"/>
  <c r="E363" i="1"/>
  <c r="K362" i="1"/>
  <c r="I362" i="1"/>
  <c r="H362" i="1"/>
  <c r="E362" i="1"/>
  <c r="K361" i="1"/>
  <c r="I361" i="1"/>
  <c r="H361" i="1"/>
  <c r="E361" i="1"/>
  <c r="K360" i="1"/>
  <c r="I360" i="1"/>
  <c r="H360" i="1"/>
  <c r="E360" i="1"/>
  <c r="K359" i="1"/>
  <c r="I359" i="1"/>
  <c r="H359" i="1"/>
  <c r="E359" i="1"/>
  <c r="K358" i="1"/>
  <c r="I358" i="1"/>
  <c r="H358" i="1"/>
  <c r="E358" i="1"/>
  <c r="K357" i="1"/>
  <c r="I357" i="1"/>
  <c r="H357" i="1"/>
  <c r="E357" i="1"/>
  <c r="K356" i="1"/>
  <c r="I356" i="1"/>
  <c r="H356" i="1"/>
  <c r="E356" i="1"/>
  <c r="K355" i="1"/>
  <c r="I355" i="1"/>
  <c r="H355" i="1"/>
  <c r="E355" i="1"/>
  <c r="K354" i="1"/>
  <c r="I354" i="1"/>
  <c r="H354" i="1"/>
  <c r="E354" i="1"/>
  <c r="K353" i="1"/>
  <c r="I353" i="1"/>
  <c r="H353" i="1"/>
  <c r="E353" i="1"/>
  <c r="K352" i="1"/>
  <c r="I352" i="1"/>
  <c r="H352" i="1"/>
  <c r="E352" i="1"/>
  <c r="K351" i="1"/>
  <c r="I351" i="1"/>
  <c r="H351" i="1"/>
  <c r="E351" i="1"/>
  <c r="K350" i="1"/>
  <c r="I350" i="1"/>
  <c r="H350" i="1"/>
  <c r="E350" i="1"/>
  <c r="K349" i="1"/>
  <c r="I349" i="1"/>
  <c r="H349" i="1"/>
  <c r="E349" i="1"/>
  <c r="K348" i="1"/>
  <c r="I348" i="1"/>
  <c r="H348" i="1"/>
  <c r="E348" i="1"/>
  <c r="K347" i="1"/>
  <c r="I347" i="1"/>
  <c r="H347" i="1"/>
  <c r="E347" i="1"/>
  <c r="K346" i="1"/>
  <c r="I346" i="1"/>
  <c r="H346" i="1"/>
  <c r="E346" i="1"/>
  <c r="K345" i="1"/>
  <c r="I345" i="1"/>
  <c r="H345" i="1"/>
  <c r="E345" i="1"/>
  <c r="K344" i="1"/>
  <c r="I344" i="1"/>
  <c r="H344" i="1"/>
  <c r="E344" i="1"/>
  <c r="K343" i="1"/>
  <c r="I343" i="1"/>
  <c r="H343" i="1"/>
  <c r="E343" i="1"/>
  <c r="K342" i="1"/>
  <c r="I342" i="1"/>
  <c r="H342" i="1"/>
  <c r="E342" i="1"/>
  <c r="K341" i="1"/>
  <c r="I341" i="1"/>
  <c r="H341" i="1"/>
  <c r="E341" i="1"/>
  <c r="K340" i="1"/>
  <c r="I340" i="1"/>
  <c r="H340" i="1"/>
  <c r="E340" i="1"/>
  <c r="K339" i="1"/>
  <c r="I339" i="1"/>
  <c r="H339" i="1"/>
  <c r="E339" i="1"/>
  <c r="K338" i="1"/>
  <c r="I338" i="1"/>
  <c r="H338" i="1"/>
  <c r="E338" i="1"/>
  <c r="K337" i="1"/>
  <c r="I337" i="1"/>
  <c r="H337" i="1"/>
  <c r="E337" i="1"/>
  <c r="K336" i="1"/>
  <c r="I336" i="1"/>
  <c r="H336" i="1"/>
  <c r="E336" i="1"/>
  <c r="K335" i="1"/>
  <c r="I335" i="1"/>
  <c r="H335" i="1"/>
  <c r="E335" i="1"/>
  <c r="K334" i="1"/>
  <c r="I334" i="1"/>
  <c r="H334" i="1"/>
  <c r="E334" i="1"/>
  <c r="K333" i="1"/>
  <c r="I333" i="1"/>
  <c r="H333" i="1"/>
  <c r="E333" i="1"/>
  <c r="K332" i="1"/>
  <c r="I332" i="1"/>
  <c r="H332" i="1"/>
  <c r="E332" i="1"/>
  <c r="K331" i="1"/>
  <c r="I331" i="1"/>
  <c r="H331" i="1"/>
  <c r="E331" i="1"/>
  <c r="K330" i="1"/>
  <c r="I330" i="1"/>
  <c r="H330" i="1"/>
  <c r="E330" i="1"/>
  <c r="K329" i="1"/>
  <c r="I329" i="1"/>
  <c r="H329" i="1"/>
  <c r="E329" i="1"/>
  <c r="K328" i="1"/>
  <c r="I328" i="1"/>
  <c r="H328" i="1"/>
  <c r="E328" i="1"/>
  <c r="K327" i="1"/>
  <c r="I327" i="1"/>
  <c r="H327" i="1"/>
  <c r="E327" i="1"/>
  <c r="K326" i="1"/>
  <c r="I326" i="1"/>
  <c r="H326" i="1"/>
  <c r="E326" i="1"/>
  <c r="K325" i="1"/>
  <c r="I325" i="1"/>
  <c r="H325" i="1"/>
  <c r="E325" i="1"/>
  <c r="K324" i="1"/>
  <c r="I324" i="1"/>
  <c r="H324" i="1"/>
  <c r="E324" i="1"/>
  <c r="K323" i="1"/>
  <c r="I323" i="1"/>
  <c r="H323" i="1"/>
  <c r="E323" i="1"/>
  <c r="K322" i="1"/>
  <c r="I322" i="1"/>
  <c r="H322" i="1"/>
  <c r="E322" i="1"/>
  <c r="K321" i="1"/>
  <c r="I321" i="1"/>
  <c r="H321" i="1"/>
  <c r="E321" i="1"/>
  <c r="K320" i="1"/>
  <c r="I320" i="1"/>
  <c r="H320" i="1"/>
  <c r="E320" i="1"/>
  <c r="K319" i="1"/>
  <c r="I319" i="1"/>
  <c r="H319" i="1"/>
  <c r="E319" i="1"/>
  <c r="K318" i="1"/>
  <c r="I318" i="1"/>
  <c r="H318" i="1"/>
  <c r="E318" i="1"/>
  <c r="K317" i="1"/>
  <c r="I317" i="1"/>
  <c r="H317" i="1"/>
  <c r="E317" i="1"/>
  <c r="K316" i="1"/>
  <c r="I316" i="1"/>
  <c r="H316" i="1"/>
  <c r="E316" i="1"/>
  <c r="K315" i="1"/>
  <c r="I315" i="1"/>
  <c r="H315" i="1"/>
  <c r="E315" i="1"/>
  <c r="K314" i="1"/>
  <c r="I314" i="1"/>
  <c r="H314" i="1"/>
  <c r="E314" i="1"/>
  <c r="K313" i="1"/>
  <c r="I313" i="1"/>
  <c r="H313" i="1"/>
  <c r="E313" i="1"/>
  <c r="K312" i="1"/>
  <c r="I312" i="1"/>
  <c r="H312" i="1"/>
  <c r="E312" i="1"/>
  <c r="K311" i="1"/>
  <c r="I311" i="1"/>
  <c r="H311" i="1"/>
  <c r="E311" i="1"/>
  <c r="K310" i="1"/>
  <c r="I310" i="1"/>
  <c r="H310" i="1"/>
  <c r="E310" i="1"/>
  <c r="K309" i="1"/>
  <c r="I309" i="1"/>
  <c r="H309" i="1"/>
  <c r="E309" i="1"/>
  <c r="K308" i="1"/>
  <c r="I308" i="1"/>
  <c r="H308" i="1"/>
  <c r="E308" i="1"/>
  <c r="K307" i="1"/>
  <c r="I307" i="1"/>
  <c r="H307" i="1"/>
  <c r="E307" i="1"/>
  <c r="K306" i="1"/>
  <c r="I306" i="1"/>
  <c r="H306" i="1"/>
  <c r="E306" i="1"/>
  <c r="K305" i="1"/>
  <c r="I305" i="1"/>
  <c r="H305" i="1"/>
  <c r="E305" i="1"/>
  <c r="K304" i="1"/>
  <c r="I304" i="1"/>
  <c r="H304" i="1"/>
  <c r="E304" i="1"/>
  <c r="K303" i="1"/>
  <c r="I303" i="1"/>
  <c r="H303" i="1"/>
  <c r="E303" i="1"/>
  <c r="K302" i="1"/>
  <c r="I302" i="1"/>
  <c r="H302" i="1"/>
  <c r="E302" i="1"/>
  <c r="K301" i="1"/>
  <c r="I301" i="1"/>
  <c r="H301" i="1"/>
  <c r="E301" i="1"/>
  <c r="K300" i="1"/>
  <c r="I300" i="1"/>
  <c r="H300" i="1"/>
  <c r="E300" i="1"/>
  <c r="K299" i="1"/>
  <c r="I299" i="1"/>
  <c r="H299" i="1"/>
  <c r="E299" i="1"/>
  <c r="K298" i="1"/>
  <c r="I298" i="1"/>
  <c r="H298" i="1"/>
  <c r="E298" i="1"/>
  <c r="K297" i="1"/>
  <c r="I297" i="1"/>
  <c r="H297" i="1"/>
  <c r="E297" i="1"/>
  <c r="K296" i="1"/>
  <c r="I296" i="1"/>
  <c r="H296" i="1"/>
  <c r="E296" i="1"/>
  <c r="K295" i="1"/>
  <c r="I295" i="1"/>
  <c r="H295" i="1"/>
  <c r="E295" i="1"/>
  <c r="K294" i="1"/>
  <c r="I294" i="1"/>
  <c r="H294" i="1"/>
  <c r="E294" i="1"/>
  <c r="K293" i="1"/>
  <c r="I293" i="1"/>
  <c r="H293" i="1"/>
  <c r="E293" i="1"/>
  <c r="K292" i="1"/>
  <c r="I292" i="1"/>
  <c r="H292" i="1"/>
  <c r="E292" i="1"/>
  <c r="K291" i="1"/>
  <c r="I291" i="1"/>
  <c r="H291" i="1"/>
  <c r="E291" i="1"/>
  <c r="K290" i="1"/>
  <c r="I290" i="1"/>
  <c r="H290" i="1"/>
  <c r="E290" i="1"/>
  <c r="K289" i="1"/>
  <c r="I289" i="1"/>
  <c r="H289" i="1"/>
  <c r="E289" i="1"/>
  <c r="K288" i="1"/>
  <c r="I288" i="1"/>
  <c r="H288" i="1"/>
  <c r="E288" i="1"/>
  <c r="K287" i="1"/>
  <c r="I287" i="1"/>
  <c r="H287" i="1"/>
  <c r="E287" i="1"/>
  <c r="K286" i="1"/>
  <c r="I286" i="1"/>
  <c r="H286" i="1"/>
  <c r="E286" i="1"/>
  <c r="K285" i="1"/>
  <c r="I285" i="1"/>
  <c r="H285" i="1"/>
  <c r="E285" i="1"/>
  <c r="K284" i="1"/>
  <c r="I284" i="1"/>
  <c r="H284" i="1"/>
  <c r="E284" i="1"/>
  <c r="K283" i="1"/>
  <c r="I283" i="1"/>
  <c r="H283" i="1"/>
  <c r="E283" i="1"/>
  <c r="K282" i="1"/>
  <c r="I282" i="1"/>
  <c r="H282" i="1"/>
  <c r="E282" i="1"/>
  <c r="K281" i="1"/>
  <c r="I281" i="1"/>
  <c r="H281" i="1"/>
  <c r="E281" i="1"/>
  <c r="K280" i="1"/>
  <c r="I280" i="1"/>
  <c r="H280" i="1"/>
  <c r="E280" i="1"/>
  <c r="K279" i="1"/>
  <c r="I279" i="1"/>
  <c r="H279" i="1"/>
  <c r="E279" i="1"/>
  <c r="K278" i="1"/>
  <c r="I278" i="1"/>
  <c r="H278" i="1"/>
  <c r="E278" i="1"/>
  <c r="K277" i="1"/>
  <c r="I277" i="1"/>
  <c r="H277" i="1"/>
  <c r="E277" i="1"/>
  <c r="K276" i="1"/>
  <c r="I276" i="1"/>
  <c r="H276" i="1"/>
  <c r="E276" i="1"/>
  <c r="K275" i="1"/>
  <c r="I275" i="1"/>
  <c r="H275" i="1"/>
  <c r="E275" i="1"/>
  <c r="K274" i="1"/>
  <c r="I274" i="1"/>
  <c r="H274" i="1"/>
  <c r="E274" i="1"/>
  <c r="K273" i="1"/>
  <c r="I273" i="1"/>
  <c r="H273" i="1"/>
  <c r="E273" i="1"/>
  <c r="K272" i="1"/>
  <c r="I272" i="1"/>
  <c r="H272" i="1"/>
  <c r="E272" i="1"/>
  <c r="K271" i="1"/>
  <c r="I271" i="1"/>
  <c r="H271" i="1"/>
  <c r="E271" i="1"/>
  <c r="K270" i="1"/>
  <c r="I270" i="1"/>
  <c r="H270" i="1"/>
  <c r="E270" i="1"/>
  <c r="K269" i="1"/>
  <c r="I269" i="1"/>
  <c r="H269" i="1"/>
  <c r="E269" i="1"/>
  <c r="K268" i="1"/>
  <c r="I268" i="1"/>
  <c r="H268" i="1"/>
  <c r="E268" i="1"/>
  <c r="K267" i="1"/>
  <c r="I267" i="1"/>
  <c r="H267" i="1"/>
  <c r="E267" i="1"/>
  <c r="K266" i="1"/>
  <c r="I266" i="1"/>
  <c r="H266" i="1"/>
  <c r="E266" i="1"/>
  <c r="K265" i="1"/>
  <c r="I265" i="1"/>
  <c r="H265" i="1"/>
  <c r="E265" i="1"/>
  <c r="K264" i="1"/>
  <c r="I264" i="1"/>
  <c r="H264" i="1"/>
  <c r="E264" i="1"/>
  <c r="K263" i="1"/>
  <c r="I263" i="1"/>
  <c r="H263" i="1"/>
  <c r="E263" i="1"/>
  <c r="K262" i="1"/>
  <c r="I262" i="1"/>
  <c r="H262" i="1"/>
  <c r="E262" i="1"/>
  <c r="K261" i="1"/>
  <c r="I261" i="1"/>
  <c r="H261" i="1"/>
  <c r="E261" i="1"/>
  <c r="K260" i="1"/>
  <c r="I260" i="1"/>
  <c r="H260" i="1"/>
  <c r="E260" i="1"/>
  <c r="K259" i="1"/>
  <c r="I259" i="1"/>
  <c r="H259" i="1"/>
  <c r="E259" i="1"/>
  <c r="K258" i="1"/>
  <c r="I258" i="1"/>
  <c r="H258" i="1"/>
  <c r="E258" i="1"/>
  <c r="K257" i="1"/>
  <c r="I257" i="1"/>
  <c r="H257" i="1"/>
  <c r="E257" i="1"/>
  <c r="K256" i="1"/>
  <c r="I256" i="1"/>
  <c r="H256" i="1"/>
  <c r="E256" i="1"/>
  <c r="K255" i="1"/>
  <c r="I255" i="1"/>
  <c r="H255" i="1"/>
  <c r="E255" i="1"/>
  <c r="K254" i="1"/>
  <c r="I254" i="1"/>
  <c r="H254" i="1"/>
  <c r="E254" i="1"/>
  <c r="K253" i="1"/>
  <c r="I253" i="1"/>
  <c r="H253" i="1"/>
  <c r="E253" i="1"/>
  <c r="K252" i="1"/>
  <c r="I252" i="1"/>
  <c r="H252" i="1"/>
  <c r="E252" i="1"/>
  <c r="K251" i="1"/>
  <c r="I251" i="1"/>
  <c r="H251" i="1"/>
  <c r="E251" i="1"/>
  <c r="K250" i="1"/>
  <c r="I250" i="1"/>
  <c r="H250" i="1"/>
  <c r="E250" i="1"/>
  <c r="K249" i="1"/>
  <c r="I249" i="1"/>
  <c r="H249" i="1"/>
  <c r="E249" i="1"/>
  <c r="K248" i="1"/>
  <c r="I248" i="1"/>
  <c r="H248" i="1"/>
  <c r="E248" i="1"/>
  <c r="K247" i="1"/>
  <c r="I247" i="1"/>
  <c r="H247" i="1"/>
  <c r="E247" i="1"/>
  <c r="K246" i="1"/>
  <c r="I246" i="1"/>
  <c r="H246" i="1"/>
  <c r="E246" i="1"/>
  <c r="K245" i="1"/>
  <c r="I245" i="1"/>
  <c r="H245" i="1"/>
  <c r="E245" i="1"/>
  <c r="K244" i="1"/>
  <c r="I244" i="1"/>
  <c r="H244" i="1"/>
  <c r="E244" i="1"/>
  <c r="K243" i="1"/>
  <c r="I243" i="1"/>
  <c r="H243" i="1"/>
  <c r="E243" i="1"/>
  <c r="K242" i="1"/>
  <c r="I242" i="1"/>
  <c r="H242" i="1"/>
  <c r="E242" i="1"/>
  <c r="K241" i="1"/>
  <c r="I241" i="1"/>
  <c r="H241" i="1"/>
  <c r="E241" i="1"/>
  <c r="K240" i="1"/>
  <c r="I240" i="1"/>
  <c r="H240" i="1"/>
  <c r="E240" i="1"/>
  <c r="K239" i="1"/>
  <c r="I239" i="1"/>
  <c r="H239" i="1"/>
  <c r="E239" i="1"/>
  <c r="K238" i="1"/>
  <c r="I238" i="1"/>
  <c r="H238" i="1"/>
  <c r="E238" i="1"/>
  <c r="K237" i="1"/>
  <c r="I237" i="1"/>
  <c r="H237" i="1"/>
  <c r="E237" i="1"/>
  <c r="K236" i="1"/>
  <c r="I236" i="1"/>
  <c r="H236" i="1"/>
  <c r="E236" i="1"/>
  <c r="K235" i="1"/>
  <c r="I235" i="1"/>
  <c r="H235" i="1"/>
  <c r="E235" i="1"/>
  <c r="K234" i="1"/>
  <c r="I234" i="1"/>
  <c r="H234" i="1"/>
  <c r="E234" i="1"/>
  <c r="K233" i="1"/>
  <c r="I233" i="1"/>
  <c r="H233" i="1"/>
  <c r="E233" i="1"/>
  <c r="K232" i="1"/>
  <c r="I232" i="1"/>
  <c r="H232" i="1"/>
  <c r="E232" i="1"/>
  <c r="K231" i="1"/>
  <c r="I231" i="1"/>
  <c r="H231" i="1"/>
  <c r="E231" i="1"/>
  <c r="K230" i="1"/>
  <c r="I230" i="1"/>
  <c r="H230" i="1"/>
  <c r="E230" i="1"/>
  <c r="K229" i="1"/>
  <c r="I229" i="1"/>
  <c r="H229" i="1"/>
  <c r="E229" i="1"/>
  <c r="K228" i="1"/>
  <c r="I228" i="1"/>
  <c r="H228" i="1"/>
  <c r="E228" i="1"/>
  <c r="K227" i="1"/>
  <c r="I227" i="1"/>
  <c r="H227" i="1"/>
  <c r="E227" i="1"/>
  <c r="K226" i="1"/>
  <c r="I226" i="1"/>
  <c r="H226" i="1"/>
  <c r="E226" i="1"/>
  <c r="K225" i="1"/>
  <c r="I225" i="1"/>
  <c r="H225" i="1"/>
  <c r="E225" i="1"/>
  <c r="K224" i="1"/>
  <c r="I224" i="1"/>
  <c r="H224" i="1"/>
  <c r="E224" i="1"/>
  <c r="K223" i="1"/>
  <c r="I223" i="1"/>
  <c r="H223" i="1"/>
  <c r="E223" i="1"/>
  <c r="K222" i="1"/>
  <c r="I222" i="1"/>
  <c r="H222" i="1"/>
  <c r="E222" i="1"/>
  <c r="K221" i="1"/>
  <c r="I221" i="1"/>
  <c r="H221" i="1"/>
  <c r="E221" i="1"/>
  <c r="K220" i="1"/>
  <c r="I220" i="1"/>
  <c r="H220" i="1"/>
  <c r="E220" i="1"/>
  <c r="K219" i="1"/>
  <c r="I219" i="1"/>
  <c r="H219" i="1"/>
  <c r="E219" i="1"/>
  <c r="K218" i="1"/>
  <c r="I218" i="1"/>
  <c r="H218" i="1"/>
  <c r="E218" i="1"/>
  <c r="K217" i="1"/>
  <c r="I217" i="1"/>
  <c r="H217" i="1"/>
  <c r="E217" i="1"/>
  <c r="K216" i="1"/>
  <c r="I216" i="1"/>
  <c r="H216" i="1"/>
  <c r="E216" i="1"/>
  <c r="K215" i="1"/>
  <c r="I215" i="1"/>
  <c r="H215" i="1"/>
  <c r="E215" i="1"/>
  <c r="K214" i="1"/>
  <c r="I214" i="1"/>
  <c r="H214" i="1"/>
  <c r="E214" i="1"/>
  <c r="K213" i="1"/>
  <c r="I213" i="1"/>
  <c r="H213" i="1"/>
  <c r="E213" i="1"/>
  <c r="K212" i="1"/>
  <c r="I212" i="1"/>
  <c r="H212" i="1"/>
  <c r="E212" i="1"/>
  <c r="K211" i="1"/>
  <c r="I211" i="1"/>
  <c r="H211" i="1"/>
  <c r="E211" i="1"/>
  <c r="K210" i="1"/>
  <c r="I210" i="1"/>
  <c r="H210" i="1"/>
  <c r="E210" i="1"/>
  <c r="K209" i="1"/>
  <c r="I209" i="1"/>
  <c r="H209" i="1"/>
  <c r="E209" i="1"/>
  <c r="K208" i="1"/>
  <c r="I208" i="1"/>
  <c r="H208" i="1"/>
  <c r="E208" i="1"/>
  <c r="K207" i="1"/>
  <c r="I207" i="1"/>
  <c r="H207" i="1"/>
  <c r="E207" i="1"/>
  <c r="K206" i="1"/>
  <c r="I206" i="1"/>
  <c r="H206" i="1"/>
  <c r="E206" i="1"/>
  <c r="K205" i="1"/>
  <c r="I205" i="1"/>
  <c r="H205" i="1"/>
  <c r="E205" i="1"/>
  <c r="K204" i="1"/>
  <c r="I204" i="1"/>
  <c r="H204" i="1"/>
  <c r="E204" i="1"/>
  <c r="K203" i="1"/>
  <c r="I203" i="1"/>
  <c r="H203" i="1"/>
  <c r="E203" i="1"/>
  <c r="K202" i="1"/>
  <c r="I202" i="1"/>
  <c r="H202" i="1"/>
  <c r="E202" i="1"/>
  <c r="K201" i="1"/>
  <c r="I201" i="1"/>
  <c r="H201" i="1"/>
  <c r="E201" i="1"/>
  <c r="K200" i="1"/>
  <c r="I200" i="1"/>
  <c r="H200" i="1"/>
  <c r="E200" i="1"/>
  <c r="K199" i="1"/>
  <c r="I199" i="1"/>
  <c r="H199" i="1"/>
  <c r="E199" i="1"/>
  <c r="K198" i="1"/>
  <c r="I198" i="1"/>
  <c r="H198" i="1"/>
  <c r="E198" i="1"/>
  <c r="K197" i="1"/>
  <c r="I197" i="1"/>
  <c r="H197" i="1"/>
  <c r="E197" i="1"/>
  <c r="K196" i="1"/>
  <c r="I196" i="1"/>
  <c r="H196" i="1"/>
  <c r="E196" i="1"/>
  <c r="K195" i="1"/>
  <c r="I195" i="1"/>
  <c r="H195" i="1"/>
  <c r="E195" i="1"/>
  <c r="K194" i="1"/>
  <c r="I194" i="1"/>
  <c r="H194" i="1"/>
  <c r="E194" i="1"/>
  <c r="K193" i="1"/>
  <c r="I193" i="1"/>
  <c r="H193" i="1"/>
  <c r="E193" i="1"/>
  <c r="K192" i="1"/>
  <c r="I192" i="1"/>
  <c r="H192" i="1"/>
  <c r="E192" i="1"/>
  <c r="K191" i="1"/>
  <c r="I191" i="1"/>
  <c r="H191" i="1"/>
  <c r="E191" i="1"/>
  <c r="K190" i="1"/>
  <c r="I190" i="1"/>
  <c r="H190" i="1"/>
  <c r="E190" i="1"/>
  <c r="K189" i="1"/>
  <c r="I189" i="1"/>
  <c r="H189" i="1"/>
  <c r="E189" i="1"/>
  <c r="K188" i="1"/>
  <c r="I188" i="1"/>
  <c r="H188" i="1"/>
  <c r="E188" i="1"/>
  <c r="K187" i="1"/>
  <c r="I187" i="1"/>
  <c r="H187" i="1"/>
  <c r="E187" i="1"/>
  <c r="K186" i="1"/>
  <c r="I186" i="1"/>
  <c r="H186" i="1"/>
  <c r="E186" i="1"/>
  <c r="K185" i="1"/>
  <c r="I185" i="1"/>
  <c r="H185" i="1"/>
  <c r="E185" i="1"/>
  <c r="K184" i="1"/>
  <c r="I184" i="1"/>
  <c r="H184" i="1"/>
  <c r="E184" i="1"/>
  <c r="K183" i="1"/>
  <c r="I183" i="1"/>
  <c r="H183" i="1"/>
  <c r="E183" i="1"/>
  <c r="K182" i="1"/>
  <c r="I182" i="1"/>
  <c r="H182" i="1"/>
  <c r="E182" i="1"/>
  <c r="K181" i="1"/>
  <c r="I181" i="1"/>
  <c r="H181" i="1"/>
  <c r="E181" i="1"/>
  <c r="K180" i="1"/>
  <c r="I180" i="1"/>
  <c r="H180" i="1"/>
  <c r="E180" i="1"/>
  <c r="K179" i="1"/>
  <c r="I179" i="1"/>
  <c r="H179" i="1"/>
  <c r="E179" i="1"/>
  <c r="K178" i="1"/>
  <c r="I178" i="1"/>
  <c r="H178" i="1"/>
  <c r="E178" i="1"/>
  <c r="K177" i="1"/>
  <c r="I177" i="1"/>
  <c r="H177" i="1"/>
  <c r="E177" i="1"/>
  <c r="K176" i="1"/>
  <c r="I176" i="1"/>
  <c r="H176" i="1"/>
  <c r="E176" i="1"/>
  <c r="K175" i="1"/>
  <c r="I175" i="1"/>
  <c r="H175" i="1"/>
  <c r="E175" i="1"/>
  <c r="K174" i="1"/>
  <c r="I174" i="1"/>
  <c r="H174" i="1"/>
  <c r="E174" i="1"/>
  <c r="K173" i="1"/>
  <c r="I173" i="1"/>
  <c r="H173" i="1"/>
  <c r="E173" i="1"/>
  <c r="K172" i="1"/>
  <c r="I172" i="1"/>
  <c r="H172" i="1"/>
  <c r="E172" i="1"/>
  <c r="K171" i="1"/>
  <c r="I171" i="1"/>
  <c r="H171" i="1"/>
  <c r="E171" i="1"/>
  <c r="K170" i="1"/>
  <c r="I170" i="1"/>
  <c r="H170" i="1"/>
  <c r="E170" i="1"/>
  <c r="K169" i="1"/>
  <c r="I169" i="1"/>
  <c r="H169" i="1"/>
  <c r="E169" i="1"/>
  <c r="K168" i="1"/>
  <c r="I168" i="1"/>
  <c r="H168" i="1"/>
  <c r="E168" i="1"/>
  <c r="K167" i="1"/>
  <c r="I167" i="1"/>
  <c r="H167" i="1"/>
  <c r="E167" i="1"/>
  <c r="K166" i="1"/>
  <c r="I166" i="1"/>
  <c r="H166" i="1"/>
  <c r="E166" i="1"/>
  <c r="K165" i="1"/>
  <c r="I165" i="1"/>
  <c r="H165" i="1"/>
  <c r="E165" i="1"/>
  <c r="K164" i="1"/>
  <c r="I164" i="1"/>
  <c r="H164" i="1"/>
  <c r="E164" i="1"/>
  <c r="K163" i="1"/>
  <c r="I163" i="1"/>
  <c r="H163" i="1"/>
  <c r="E163" i="1"/>
  <c r="K162" i="1"/>
  <c r="I162" i="1"/>
  <c r="H162" i="1"/>
  <c r="E162" i="1"/>
  <c r="K161" i="1"/>
  <c r="I161" i="1"/>
  <c r="H161" i="1"/>
  <c r="E161" i="1"/>
  <c r="K160" i="1"/>
  <c r="I160" i="1"/>
  <c r="H160" i="1"/>
  <c r="E160" i="1"/>
  <c r="K159" i="1"/>
  <c r="I159" i="1"/>
  <c r="H159" i="1"/>
  <c r="E159" i="1"/>
  <c r="K158" i="1"/>
  <c r="I158" i="1"/>
  <c r="H158" i="1"/>
  <c r="E158" i="1"/>
  <c r="K157" i="1"/>
  <c r="I157" i="1"/>
  <c r="H157" i="1"/>
  <c r="E157" i="1"/>
  <c r="K156" i="1"/>
  <c r="I156" i="1"/>
  <c r="H156" i="1"/>
  <c r="E156" i="1"/>
  <c r="K155" i="1"/>
  <c r="I155" i="1"/>
  <c r="H155" i="1"/>
  <c r="E155" i="1"/>
  <c r="K154" i="1"/>
  <c r="I154" i="1"/>
  <c r="H154" i="1"/>
  <c r="E154" i="1"/>
  <c r="K153" i="1"/>
  <c r="I153" i="1"/>
  <c r="H153" i="1"/>
  <c r="E153" i="1"/>
  <c r="K152" i="1"/>
  <c r="I152" i="1"/>
  <c r="H152" i="1"/>
  <c r="E152" i="1"/>
  <c r="K151" i="1"/>
  <c r="I151" i="1"/>
  <c r="H151" i="1"/>
  <c r="E151" i="1"/>
  <c r="K150" i="1"/>
  <c r="I150" i="1"/>
  <c r="H150" i="1"/>
  <c r="E150" i="1"/>
  <c r="K149" i="1"/>
  <c r="I149" i="1"/>
  <c r="H149" i="1"/>
  <c r="E149" i="1"/>
  <c r="K148" i="1"/>
  <c r="I148" i="1"/>
  <c r="H148" i="1"/>
  <c r="E148" i="1"/>
  <c r="K147" i="1"/>
  <c r="I147" i="1"/>
  <c r="H147" i="1"/>
  <c r="E147" i="1"/>
  <c r="K146" i="1"/>
  <c r="I146" i="1"/>
  <c r="H146" i="1"/>
  <c r="E146" i="1"/>
  <c r="K145" i="1"/>
  <c r="I145" i="1"/>
  <c r="H145" i="1"/>
  <c r="E145" i="1"/>
  <c r="K144" i="1"/>
  <c r="I144" i="1"/>
  <c r="H144" i="1"/>
  <c r="E144" i="1"/>
  <c r="K143" i="1"/>
  <c r="I143" i="1"/>
  <c r="H143" i="1"/>
  <c r="E143" i="1"/>
  <c r="K142" i="1"/>
  <c r="I142" i="1"/>
  <c r="H142" i="1"/>
  <c r="E142" i="1"/>
  <c r="K141" i="1"/>
  <c r="I141" i="1"/>
  <c r="H141" i="1"/>
  <c r="E141" i="1"/>
  <c r="K140" i="1"/>
  <c r="I140" i="1"/>
  <c r="H140" i="1"/>
  <c r="E140" i="1"/>
  <c r="K139" i="1"/>
  <c r="I139" i="1"/>
  <c r="H139" i="1"/>
  <c r="E139" i="1"/>
  <c r="K138" i="1"/>
  <c r="I138" i="1"/>
  <c r="H138" i="1"/>
  <c r="E138" i="1"/>
  <c r="K137" i="1"/>
  <c r="I137" i="1"/>
  <c r="H137" i="1"/>
  <c r="E137" i="1"/>
  <c r="K136" i="1"/>
  <c r="I136" i="1"/>
  <c r="H136" i="1"/>
  <c r="E136" i="1"/>
  <c r="K135" i="1"/>
  <c r="I135" i="1"/>
  <c r="H135" i="1"/>
  <c r="E135" i="1"/>
  <c r="K134" i="1"/>
  <c r="I134" i="1"/>
  <c r="H134" i="1"/>
  <c r="E134" i="1"/>
  <c r="K133" i="1"/>
  <c r="I133" i="1"/>
  <c r="H133" i="1"/>
  <c r="E133" i="1"/>
  <c r="K132" i="1"/>
  <c r="I132" i="1"/>
  <c r="H132" i="1"/>
  <c r="E132" i="1"/>
  <c r="K131" i="1"/>
  <c r="I131" i="1"/>
  <c r="H131" i="1"/>
  <c r="E131" i="1"/>
  <c r="K130" i="1"/>
  <c r="I130" i="1"/>
  <c r="H130" i="1"/>
  <c r="E130" i="1"/>
  <c r="K129" i="1"/>
  <c r="I129" i="1"/>
  <c r="H129" i="1"/>
  <c r="E129" i="1"/>
  <c r="K128" i="1"/>
  <c r="I128" i="1"/>
  <c r="H128" i="1"/>
  <c r="E128" i="1"/>
  <c r="K127" i="1"/>
  <c r="I127" i="1"/>
  <c r="H127" i="1"/>
  <c r="E127" i="1"/>
  <c r="K126" i="1"/>
  <c r="I126" i="1"/>
  <c r="H126" i="1"/>
  <c r="E126" i="1"/>
  <c r="K125" i="1"/>
  <c r="I125" i="1"/>
  <c r="H125" i="1"/>
  <c r="E125" i="1"/>
  <c r="K124" i="1"/>
  <c r="I124" i="1"/>
  <c r="H124" i="1"/>
  <c r="E124" i="1"/>
  <c r="K123" i="1"/>
  <c r="I123" i="1"/>
  <c r="H123" i="1"/>
  <c r="E123" i="1"/>
  <c r="K122" i="1"/>
  <c r="I122" i="1"/>
  <c r="H122" i="1"/>
  <c r="E122" i="1"/>
  <c r="K121" i="1"/>
  <c r="I121" i="1"/>
  <c r="H121" i="1"/>
  <c r="E121" i="1"/>
  <c r="K120" i="1"/>
  <c r="I120" i="1"/>
  <c r="H120" i="1"/>
  <c r="E120" i="1"/>
  <c r="K119" i="1"/>
  <c r="I119" i="1"/>
  <c r="H119" i="1"/>
  <c r="E119" i="1"/>
  <c r="K118" i="1"/>
  <c r="I118" i="1"/>
  <c r="H118" i="1"/>
  <c r="E118" i="1"/>
  <c r="K117" i="1"/>
  <c r="I117" i="1"/>
  <c r="H117" i="1"/>
  <c r="E117" i="1"/>
  <c r="K116" i="1"/>
  <c r="I116" i="1"/>
  <c r="H116" i="1"/>
  <c r="E116" i="1"/>
  <c r="K115" i="1"/>
  <c r="I115" i="1"/>
  <c r="H115" i="1"/>
  <c r="E115" i="1"/>
  <c r="K114" i="1"/>
  <c r="I114" i="1"/>
  <c r="H114" i="1"/>
  <c r="E114" i="1"/>
  <c r="K113" i="1"/>
  <c r="I113" i="1"/>
  <c r="H113" i="1"/>
  <c r="E113" i="1"/>
  <c r="K112" i="1"/>
  <c r="I112" i="1"/>
  <c r="H112" i="1"/>
  <c r="E112" i="1"/>
  <c r="K111" i="1"/>
  <c r="I111" i="1"/>
  <c r="H111" i="1"/>
  <c r="E111" i="1"/>
  <c r="K110" i="1"/>
  <c r="I110" i="1"/>
  <c r="H110" i="1"/>
  <c r="E110" i="1"/>
  <c r="K109" i="1"/>
  <c r="I109" i="1"/>
  <c r="H109" i="1"/>
  <c r="E109" i="1"/>
  <c r="K108" i="1"/>
  <c r="I108" i="1"/>
  <c r="H108" i="1"/>
  <c r="E108" i="1"/>
  <c r="K107" i="1"/>
  <c r="I107" i="1"/>
  <c r="H107" i="1"/>
  <c r="E107" i="1"/>
  <c r="K106" i="1"/>
  <c r="I106" i="1"/>
  <c r="H106" i="1"/>
  <c r="E106" i="1"/>
  <c r="K105" i="1"/>
  <c r="I105" i="1"/>
  <c r="H105" i="1"/>
  <c r="E105" i="1"/>
  <c r="K104" i="1"/>
  <c r="I104" i="1"/>
  <c r="H104" i="1"/>
  <c r="E104" i="1"/>
  <c r="K103" i="1"/>
  <c r="I103" i="1"/>
  <c r="H103" i="1"/>
  <c r="E103" i="1"/>
  <c r="K102" i="1"/>
  <c r="I102" i="1"/>
  <c r="H102" i="1"/>
  <c r="E102" i="1"/>
  <c r="K101" i="1"/>
  <c r="I101" i="1"/>
  <c r="H101" i="1"/>
  <c r="E101" i="1"/>
  <c r="K100" i="1"/>
  <c r="I100" i="1"/>
  <c r="H100" i="1"/>
  <c r="E100" i="1"/>
  <c r="K99" i="1"/>
  <c r="I99" i="1"/>
  <c r="H99" i="1"/>
  <c r="E99" i="1"/>
  <c r="K98" i="1"/>
  <c r="I98" i="1"/>
  <c r="H98" i="1"/>
  <c r="E98" i="1"/>
  <c r="K97" i="1"/>
  <c r="I97" i="1"/>
  <c r="H97" i="1"/>
  <c r="E97" i="1"/>
  <c r="K96" i="1"/>
  <c r="I96" i="1"/>
  <c r="H96" i="1"/>
  <c r="E96" i="1"/>
  <c r="K95" i="1"/>
  <c r="I95" i="1"/>
  <c r="H95" i="1"/>
  <c r="E95" i="1"/>
  <c r="K94" i="1"/>
  <c r="I94" i="1"/>
  <c r="H94" i="1"/>
  <c r="E94" i="1"/>
  <c r="K93" i="1"/>
  <c r="I93" i="1"/>
  <c r="H93" i="1"/>
  <c r="E93" i="1"/>
  <c r="K92" i="1"/>
  <c r="I92" i="1"/>
  <c r="H92" i="1"/>
  <c r="E92" i="1"/>
  <c r="K91" i="1"/>
  <c r="I91" i="1"/>
  <c r="H91" i="1"/>
  <c r="E91" i="1"/>
  <c r="K90" i="1"/>
  <c r="I90" i="1"/>
  <c r="H90" i="1"/>
  <c r="E90" i="1"/>
  <c r="K89" i="1"/>
  <c r="I89" i="1"/>
  <c r="H89" i="1"/>
  <c r="E89" i="1"/>
  <c r="K88" i="1"/>
  <c r="I88" i="1"/>
  <c r="H88" i="1"/>
  <c r="E88" i="1"/>
  <c r="K87" i="1"/>
  <c r="I87" i="1"/>
  <c r="H87" i="1"/>
  <c r="E87" i="1"/>
  <c r="K86" i="1"/>
  <c r="I86" i="1"/>
  <c r="H86" i="1"/>
  <c r="E86" i="1"/>
  <c r="K85" i="1"/>
  <c r="I85" i="1"/>
  <c r="H85" i="1"/>
  <c r="E85" i="1"/>
  <c r="K84" i="1"/>
  <c r="I84" i="1"/>
  <c r="H84" i="1"/>
  <c r="E84" i="1"/>
  <c r="K83" i="1"/>
  <c r="I83" i="1"/>
  <c r="H83" i="1"/>
  <c r="E83" i="1"/>
  <c r="K82" i="1"/>
  <c r="I82" i="1"/>
  <c r="H82" i="1"/>
  <c r="E82" i="1"/>
  <c r="K81" i="1"/>
  <c r="I81" i="1"/>
  <c r="H81" i="1"/>
  <c r="E81" i="1"/>
  <c r="K80" i="1"/>
  <c r="I80" i="1"/>
  <c r="H80" i="1"/>
  <c r="E80" i="1"/>
  <c r="K79" i="1"/>
  <c r="I79" i="1"/>
  <c r="H79" i="1"/>
  <c r="E79" i="1"/>
  <c r="K78" i="1"/>
  <c r="I78" i="1"/>
  <c r="H78" i="1"/>
  <c r="E78" i="1"/>
  <c r="K77" i="1"/>
  <c r="I77" i="1"/>
  <c r="H77" i="1"/>
  <c r="E77" i="1"/>
  <c r="K76" i="1"/>
  <c r="I76" i="1"/>
  <c r="H76" i="1"/>
  <c r="E76" i="1"/>
  <c r="K75" i="1"/>
  <c r="I75" i="1"/>
  <c r="H75" i="1"/>
  <c r="E75" i="1"/>
  <c r="K74" i="1"/>
  <c r="I74" i="1"/>
  <c r="H74" i="1"/>
  <c r="E74" i="1"/>
  <c r="K73" i="1"/>
  <c r="I73" i="1"/>
  <c r="H73" i="1"/>
  <c r="E73" i="1"/>
  <c r="K72" i="1"/>
  <c r="I72" i="1"/>
  <c r="H72" i="1"/>
  <c r="E72" i="1"/>
  <c r="K71" i="1"/>
  <c r="I71" i="1"/>
  <c r="H71" i="1"/>
  <c r="E71" i="1"/>
  <c r="K70" i="1"/>
  <c r="I70" i="1"/>
  <c r="H70" i="1"/>
  <c r="E70" i="1"/>
  <c r="K69" i="1"/>
  <c r="I69" i="1"/>
  <c r="H69" i="1"/>
  <c r="E69" i="1"/>
  <c r="K68" i="1"/>
  <c r="I68" i="1"/>
  <c r="H68" i="1"/>
  <c r="E68" i="1"/>
  <c r="K67" i="1"/>
  <c r="I67" i="1"/>
  <c r="H67" i="1"/>
  <c r="E67" i="1"/>
  <c r="K66" i="1"/>
  <c r="I66" i="1"/>
  <c r="H66" i="1"/>
  <c r="E66" i="1"/>
  <c r="K65" i="1"/>
  <c r="I65" i="1"/>
  <c r="H65" i="1"/>
  <c r="E65" i="1"/>
  <c r="K64" i="1"/>
  <c r="I64" i="1"/>
  <c r="H64" i="1"/>
  <c r="E64" i="1"/>
  <c r="K63" i="1"/>
  <c r="I63" i="1"/>
  <c r="H63" i="1"/>
  <c r="E63" i="1"/>
  <c r="K62" i="1"/>
  <c r="I62" i="1"/>
  <c r="H62" i="1"/>
  <c r="E62" i="1"/>
  <c r="K61" i="1"/>
  <c r="I61" i="1"/>
  <c r="H61" i="1"/>
  <c r="E61" i="1"/>
  <c r="K60" i="1"/>
  <c r="I60" i="1"/>
  <c r="H60" i="1"/>
  <c r="E60" i="1"/>
  <c r="K59" i="1"/>
  <c r="I59" i="1"/>
  <c r="H59" i="1"/>
  <c r="E59" i="1"/>
  <c r="K58" i="1"/>
  <c r="I58" i="1"/>
  <c r="H58" i="1"/>
  <c r="E58" i="1"/>
  <c r="K57" i="1"/>
  <c r="I57" i="1"/>
  <c r="H57" i="1"/>
  <c r="E57" i="1"/>
  <c r="K56" i="1"/>
  <c r="I56" i="1"/>
  <c r="H56" i="1"/>
  <c r="E56" i="1"/>
  <c r="K55" i="1"/>
  <c r="I55" i="1"/>
  <c r="H55" i="1"/>
  <c r="E55" i="1"/>
  <c r="K54" i="1"/>
  <c r="I54" i="1"/>
  <c r="H54" i="1"/>
  <c r="E54" i="1"/>
  <c r="K53" i="1"/>
  <c r="I53" i="1"/>
  <c r="H53" i="1"/>
  <c r="E53" i="1"/>
  <c r="K52" i="1"/>
  <c r="I52" i="1"/>
  <c r="H52" i="1"/>
  <c r="E52" i="1"/>
  <c r="K51" i="1"/>
  <c r="I51" i="1"/>
  <c r="H51" i="1"/>
  <c r="E51" i="1"/>
  <c r="K50" i="1"/>
  <c r="I50" i="1"/>
  <c r="H50" i="1"/>
  <c r="E50" i="1"/>
  <c r="K49" i="1"/>
  <c r="I49" i="1"/>
  <c r="H49" i="1"/>
  <c r="E49" i="1"/>
  <c r="K48" i="1"/>
  <c r="I48" i="1"/>
  <c r="H48" i="1"/>
  <c r="E48" i="1"/>
  <c r="K47" i="1"/>
  <c r="I47" i="1"/>
  <c r="H47" i="1"/>
  <c r="E47" i="1"/>
  <c r="K46" i="1"/>
  <c r="I46" i="1"/>
  <c r="H46" i="1"/>
  <c r="E46" i="1"/>
  <c r="K45" i="1"/>
  <c r="I45" i="1"/>
  <c r="H45" i="1"/>
  <c r="E45" i="1"/>
  <c r="K44" i="1"/>
  <c r="I44" i="1"/>
  <c r="H44" i="1"/>
  <c r="E44" i="1"/>
  <c r="K43" i="1"/>
  <c r="I43" i="1"/>
  <c r="H43" i="1"/>
  <c r="E43" i="1"/>
  <c r="K42" i="1"/>
  <c r="I42" i="1"/>
  <c r="H42" i="1"/>
  <c r="E42" i="1"/>
  <c r="K41" i="1"/>
  <c r="I41" i="1"/>
  <c r="H41" i="1"/>
  <c r="E41" i="1"/>
  <c r="K40" i="1"/>
  <c r="I40" i="1"/>
  <c r="H40" i="1"/>
  <c r="E40" i="1"/>
  <c r="K39" i="1"/>
  <c r="I39" i="1"/>
  <c r="H39" i="1"/>
  <c r="E39" i="1"/>
  <c r="K38" i="1"/>
  <c r="I38" i="1"/>
  <c r="H38" i="1"/>
  <c r="E38" i="1"/>
  <c r="K37" i="1"/>
  <c r="I37" i="1"/>
  <c r="H37" i="1"/>
  <c r="E37" i="1"/>
  <c r="K36" i="1"/>
  <c r="I36" i="1"/>
  <c r="H36" i="1"/>
  <c r="E36" i="1"/>
  <c r="K35" i="1"/>
  <c r="I35" i="1"/>
  <c r="H35" i="1"/>
  <c r="E35" i="1"/>
  <c r="K34" i="1"/>
  <c r="I34" i="1"/>
  <c r="H34" i="1"/>
  <c r="E34" i="1"/>
  <c r="K33" i="1"/>
  <c r="I33" i="1"/>
  <c r="H33" i="1"/>
  <c r="E33" i="1"/>
  <c r="K32" i="1"/>
  <c r="I32" i="1"/>
  <c r="H32" i="1"/>
  <c r="E32" i="1"/>
  <c r="K31" i="1"/>
  <c r="I31" i="1"/>
  <c r="H31" i="1"/>
  <c r="E31" i="1"/>
  <c r="K30" i="1"/>
  <c r="I30" i="1"/>
  <c r="H30" i="1"/>
  <c r="E30" i="1"/>
  <c r="K29" i="1"/>
  <c r="I29" i="1"/>
  <c r="H29" i="1"/>
  <c r="E29" i="1"/>
  <c r="K28" i="1"/>
  <c r="I28" i="1"/>
  <c r="H28" i="1"/>
  <c r="E28" i="1"/>
  <c r="K27" i="1"/>
  <c r="I27" i="1"/>
  <c r="H27" i="1"/>
  <c r="E27" i="1"/>
  <c r="K26" i="1"/>
  <c r="I26" i="1"/>
  <c r="H26" i="1"/>
  <c r="E26" i="1"/>
  <c r="K25" i="1"/>
  <c r="I25" i="1"/>
  <c r="H25" i="1"/>
  <c r="E25" i="1"/>
  <c r="K24" i="1"/>
  <c r="I24" i="1"/>
  <c r="H24" i="1"/>
  <c r="E24" i="1"/>
  <c r="K23" i="1"/>
  <c r="I23" i="1"/>
  <c r="H23" i="1"/>
  <c r="E23" i="1"/>
  <c r="K22" i="1"/>
  <c r="I22" i="1"/>
  <c r="H22" i="1"/>
  <c r="E22" i="1"/>
  <c r="K21" i="1"/>
  <c r="I21" i="1"/>
  <c r="H21" i="1"/>
  <c r="E21" i="1"/>
  <c r="K20" i="1"/>
  <c r="I20" i="1"/>
  <c r="H20" i="1"/>
  <c r="E20" i="1"/>
  <c r="K19" i="1"/>
  <c r="I19" i="1"/>
  <c r="H19" i="1"/>
  <c r="E19" i="1"/>
  <c r="K18" i="1"/>
  <c r="I18" i="1"/>
  <c r="H18" i="1"/>
  <c r="E18" i="1"/>
  <c r="K17" i="1"/>
  <c r="I17" i="1"/>
  <c r="H17" i="1"/>
  <c r="E17" i="1"/>
  <c r="K16" i="1"/>
  <c r="I16" i="1"/>
  <c r="H16" i="1"/>
  <c r="E16" i="1"/>
  <c r="K15" i="1"/>
  <c r="I15" i="1"/>
  <c r="H15" i="1"/>
  <c r="E15" i="1"/>
  <c r="K14" i="1"/>
  <c r="I14" i="1"/>
  <c r="H14" i="1"/>
  <c r="E14" i="1"/>
  <c r="K13" i="1"/>
  <c r="I13" i="1"/>
  <c r="H13" i="1"/>
  <c r="E13" i="1"/>
  <c r="K12" i="1"/>
  <c r="I12" i="1"/>
  <c r="H12" i="1"/>
  <c r="E12" i="1"/>
  <c r="K11" i="1"/>
  <c r="I11" i="1"/>
  <c r="H11" i="1"/>
  <c r="E11" i="1"/>
  <c r="K10" i="1"/>
  <c r="I10" i="1"/>
  <c r="H10" i="1"/>
  <c r="E10" i="1"/>
  <c r="K9" i="1"/>
  <c r="I9" i="1"/>
  <c r="H9" i="1"/>
  <c r="E9" i="1"/>
  <c r="K8" i="1"/>
  <c r="I8" i="1"/>
  <c r="H8" i="1"/>
  <c r="E8" i="1"/>
  <c r="K7" i="1"/>
  <c r="I7" i="1"/>
  <c r="H7" i="1"/>
  <c r="E7" i="1"/>
  <c r="K6" i="1"/>
  <c r="I6" i="1"/>
  <c r="H6" i="1"/>
  <c r="E6" i="1"/>
  <c r="K5" i="1"/>
  <c r="I5" i="1"/>
  <c r="H5" i="1"/>
  <c r="E5" i="1"/>
  <c r="L164" i="1" l="1"/>
  <c r="L180" i="1"/>
  <c r="J180" i="1"/>
  <c r="L161" i="1"/>
  <c r="L160" i="1"/>
  <c r="J160" i="1"/>
  <c r="L149" i="1"/>
  <c r="J149" i="1"/>
  <c r="L122" i="1"/>
  <c r="J122" i="1"/>
  <c r="L117" i="1"/>
  <c r="L113" i="1"/>
  <c r="L108" i="1"/>
  <c r="L181" i="1"/>
  <c r="J181" i="1"/>
  <c r="L156" i="1"/>
  <c r="J156" i="1"/>
  <c r="L140" i="1"/>
  <c r="J140" i="1"/>
  <c r="L136" i="1"/>
  <c r="J136" i="1"/>
  <c r="L123" i="1"/>
  <c r="L112" i="1"/>
  <c r="J112" i="1"/>
  <c r="L179" i="1"/>
  <c r="J179" i="1"/>
  <c r="L178" i="1"/>
  <c r="J178" i="1"/>
  <c r="L177" i="1"/>
  <c r="J177" i="1"/>
  <c r="L176" i="1"/>
  <c r="J176" i="1"/>
  <c r="L175" i="1"/>
  <c r="J175" i="1"/>
  <c r="L174" i="1"/>
  <c r="J174" i="1"/>
  <c r="L170" i="1"/>
  <c r="J170" i="1"/>
  <c r="L166" i="1"/>
  <c r="J166" i="1"/>
  <c r="L163" i="1"/>
  <c r="L146" i="1"/>
  <c r="J146" i="1"/>
  <c r="L2002" i="1"/>
  <c r="J2002" i="1"/>
  <c r="L1999" i="1"/>
  <c r="J1999" i="1"/>
  <c r="L1995" i="1"/>
  <c r="J1995" i="1"/>
  <c r="L1990" i="1"/>
  <c r="J1990" i="1"/>
  <c r="J1986" i="1"/>
  <c r="L1985" i="1"/>
  <c r="J1985" i="1"/>
  <c r="L1317" i="1"/>
  <c r="J1316" i="1"/>
  <c r="L1312" i="1"/>
  <c r="J1312" i="1"/>
  <c r="L1308" i="1"/>
  <c r="J1308" i="1"/>
  <c r="L1305" i="1"/>
  <c r="L1303" i="1"/>
  <c r="J1303" i="1"/>
  <c r="L1299" i="1"/>
  <c r="J1299" i="1"/>
  <c r="L1296" i="1"/>
  <c r="J1296" i="1"/>
  <c r="L1292" i="1"/>
  <c r="J1292" i="1"/>
  <c r="L1289" i="1"/>
  <c r="J1289" i="1"/>
  <c r="L1285" i="1"/>
  <c r="J1285" i="1"/>
  <c r="L1281" i="1"/>
  <c r="J1281" i="1"/>
  <c r="L1277" i="1"/>
  <c r="J1277" i="1"/>
  <c r="L1274" i="1"/>
  <c r="J1274" i="1"/>
  <c r="J1271" i="1"/>
  <c r="L1270" i="1"/>
  <c r="L1269" i="1"/>
  <c r="J1269" i="1"/>
  <c r="L1266" i="1"/>
  <c r="J1266" i="1"/>
  <c r="L1263" i="1"/>
  <c r="J1263" i="1"/>
  <c r="L1262" i="1"/>
  <c r="J1262" i="1"/>
  <c r="L1259" i="1"/>
  <c r="J1259" i="1"/>
  <c r="L1255" i="1"/>
  <c r="J1255" i="1"/>
  <c r="L1251" i="1"/>
  <c r="J1251" i="1"/>
  <c r="L1248" i="1"/>
  <c r="J1248" i="1"/>
  <c r="L1245" i="1"/>
  <c r="J1245" i="1"/>
  <c r="L1242" i="1"/>
  <c r="J1242" i="1"/>
  <c r="L1238" i="1"/>
  <c r="J1238" i="1"/>
  <c r="L1234" i="1"/>
  <c r="J1234" i="1"/>
  <c r="L1230" i="1"/>
  <c r="J1230" i="1"/>
  <c r="L1226" i="1"/>
  <c r="J1226" i="1"/>
  <c r="L1223" i="1"/>
  <c r="J1223" i="1"/>
  <c r="L1219" i="1"/>
  <c r="J1219" i="1"/>
  <c r="L1216" i="1"/>
  <c r="J1216" i="1"/>
  <c r="L1212" i="1"/>
  <c r="J1212" i="1"/>
  <c r="L1209" i="1"/>
  <c r="J1209" i="1"/>
  <c r="L1205" i="1"/>
  <c r="J1205" i="1"/>
  <c r="J1202" i="1"/>
  <c r="L1201" i="1"/>
  <c r="J1201" i="1"/>
  <c r="L1198" i="1"/>
  <c r="J1198" i="1"/>
  <c r="L1194" i="1"/>
  <c r="J1194" i="1"/>
  <c r="L1191" i="1"/>
  <c r="J1191" i="1"/>
  <c r="L1190" i="1"/>
  <c r="J1190" i="1"/>
  <c r="L1187" i="1"/>
  <c r="J1187" i="1"/>
  <c r="L1183" i="1"/>
  <c r="J1183" i="1"/>
  <c r="J1180" i="1"/>
  <c r="L1176" i="1"/>
  <c r="J1176" i="1"/>
  <c r="J1173" i="1"/>
  <c r="L1172" i="1"/>
  <c r="J1172" i="1"/>
  <c r="L1169" i="1"/>
  <c r="J1169" i="1"/>
  <c r="L1165" i="1"/>
  <c r="J1165" i="1"/>
  <c r="L1161" i="1"/>
  <c r="J1161" i="1"/>
  <c r="L1158" i="1"/>
  <c r="J1158" i="1"/>
  <c r="L1154" i="1"/>
  <c r="J1154" i="1"/>
  <c r="L1150" i="1"/>
  <c r="L1149" i="1"/>
  <c r="J1149" i="1"/>
  <c r="L1146" i="1"/>
  <c r="J1146" i="1"/>
  <c r="L1142" i="1"/>
  <c r="J1142" i="1"/>
  <c r="L1139" i="1"/>
  <c r="J1139" i="1"/>
  <c r="L1135" i="1"/>
  <c r="J1135" i="1"/>
  <c r="L1132" i="1"/>
  <c r="J1132" i="1"/>
  <c r="L1128" i="1"/>
  <c r="J1128" i="1"/>
  <c r="L1124" i="1"/>
  <c r="J1124" i="1"/>
  <c r="L1120" i="1"/>
  <c r="J1120" i="1"/>
  <c r="J1118" i="1"/>
  <c r="L1114" i="1"/>
  <c r="J1114" i="1"/>
  <c r="L1110" i="1"/>
  <c r="J1110" i="1"/>
  <c r="L1106" i="1"/>
  <c r="J1106" i="1"/>
  <c r="L1103" i="1"/>
  <c r="J1103" i="1"/>
  <c r="L1100" i="1"/>
  <c r="J1100" i="1"/>
  <c r="L1096" i="1"/>
  <c r="J1096" i="1"/>
  <c r="L1092" i="1"/>
  <c r="J1092" i="1"/>
  <c r="L1088" i="1"/>
  <c r="J1088" i="1"/>
  <c r="L1086" i="1"/>
  <c r="J1086" i="1"/>
  <c r="L1082" i="1"/>
  <c r="J1082" i="1"/>
  <c r="L1078" i="1"/>
  <c r="J1078" i="1"/>
  <c r="L1074" i="1"/>
  <c r="J1074" i="1"/>
  <c r="L1071" i="1"/>
  <c r="J1071" i="1"/>
  <c r="L1068" i="1"/>
  <c r="J1068" i="1"/>
  <c r="L1064" i="1"/>
  <c r="J1064" i="1"/>
  <c r="L1060" i="1"/>
  <c r="J1060" i="1"/>
  <c r="L1056" i="1"/>
  <c r="J1056" i="1"/>
  <c r="L1052" i="1"/>
  <c r="J1052" i="1"/>
  <c r="L1047" i="1"/>
  <c r="J1047" i="1"/>
  <c r="L1044" i="1"/>
  <c r="J1044" i="1"/>
  <c r="L1039" i="1"/>
  <c r="J1039" i="1"/>
  <c r="J1036" i="1"/>
  <c r="L1035" i="1"/>
  <c r="J1035" i="1"/>
  <c r="L1031" i="1"/>
  <c r="J1031" i="1"/>
  <c r="L1030" i="1"/>
  <c r="J1030" i="1"/>
  <c r="L1025" i="1"/>
  <c r="J1025" i="1"/>
  <c r="L1021" i="1"/>
  <c r="J1021" i="1"/>
  <c r="L1013" i="1"/>
  <c r="J1013" i="1"/>
  <c r="L1009" i="1"/>
  <c r="J1009" i="1"/>
  <c r="L1004" i="1"/>
  <c r="J1004" i="1"/>
  <c r="J1001" i="1"/>
  <c r="L1000" i="1"/>
  <c r="J1000" i="1"/>
  <c r="L992" i="1"/>
  <c r="J992" i="1"/>
  <c r="L988" i="1"/>
  <c r="J988" i="1"/>
  <c r="L983" i="1"/>
  <c r="J983" i="1"/>
  <c r="L980" i="1"/>
  <c r="J980" i="1"/>
  <c r="J976" i="1"/>
  <c r="L972" i="1"/>
  <c r="J972" i="1"/>
  <c r="L968" i="1"/>
  <c r="J968" i="1"/>
  <c r="L964" i="1"/>
  <c r="J964" i="1"/>
  <c r="L960" i="1"/>
  <c r="J960" i="1"/>
  <c r="L956" i="1"/>
  <c r="J956" i="1"/>
  <c r="L953" i="1"/>
  <c r="J953" i="1"/>
  <c r="L948" i="1"/>
  <c r="J948" i="1"/>
  <c r="L944" i="1"/>
  <c r="J944" i="1"/>
  <c r="L939" i="1"/>
  <c r="J939" i="1"/>
  <c r="L936" i="1"/>
  <c r="J936" i="1"/>
  <c r="L932" i="1"/>
  <c r="J932" i="1"/>
  <c r="L928" i="1"/>
  <c r="J928" i="1"/>
  <c r="L923" i="1"/>
  <c r="J923" i="1"/>
  <c r="L916" i="1"/>
  <c r="J916" i="1"/>
  <c r="L915" i="1"/>
  <c r="J915" i="1"/>
  <c r="J911" i="1"/>
  <c r="L907" i="1"/>
  <c r="J907" i="1"/>
  <c r="L902" i="1"/>
  <c r="J902" i="1"/>
  <c r="L898" i="1"/>
  <c r="J898" i="1"/>
  <c r="L894" i="1"/>
  <c r="J894" i="1"/>
  <c r="L890" i="1"/>
  <c r="J890" i="1"/>
  <c r="L886" i="1"/>
  <c r="J886" i="1"/>
  <c r="L882" i="1"/>
  <c r="J882" i="1"/>
  <c r="L878" i="1"/>
  <c r="J878" i="1"/>
  <c r="L873" i="1"/>
  <c r="L868" i="1"/>
  <c r="J868" i="1"/>
  <c r="L867" i="1"/>
  <c r="J867" i="1"/>
  <c r="L863" i="1"/>
  <c r="J863" i="1"/>
  <c r="L858" i="1"/>
  <c r="J858" i="1"/>
  <c r="L851" i="1"/>
  <c r="J851" i="1"/>
  <c r="J847" i="1"/>
  <c r="L846" i="1"/>
  <c r="J846" i="1"/>
  <c r="L842" i="1"/>
  <c r="J842" i="1"/>
  <c r="L838" i="1"/>
  <c r="J838" i="1"/>
  <c r="L835" i="1"/>
  <c r="J835" i="1"/>
  <c r="L830" i="1"/>
  <c r="J830" i="1"/>
  <c r="L826" i="1"/>
  <c r="J826" i="1"/>
  <c r="L822" i="1"/>
  <c r="J822" i="1"/>
  <c r="L814" i="1"/>
  <c r="J814" i="1"/>
  <c r="L810" i="1"/>
  <c r="L809" i="1"/>
  <c r="J809" i="1"/>
  <c r="L807" i="1"/>
  <c r="J807" i="1"/>
  <c r="L803" i="1"/>
  <c r="J803" i="1"/>
  <c r="L799" i="1"/>
  <c r="J799" i="1"/>
  <c r="L794" i="1"/>
  <c r="J794" i="1"/>
  <c r="L790" i="1"/>
  <c r="J790" i="1"/>
  <c r="L786" i="1"/>
  <c r="J786" i="1"/>
  <c r="L782" i="1"/>
  <c r="J782" i="1"/>
  <c r="L778" i="1"/>
  <c r="J778" i="1"/>
  <c r="J773" i="1"/>
  <c r="L772" i="1"/>
  <c r="J772" i="1"/>
  <c r="L769" i="1"/>
  <c r="J769" i="1"/>
  <c r="L765" i="1"/>
  <c r="J765" i="1"/>
  <c r="L762" i="1"/>
  <c r="J762" i="1"/>
  <c r="L761" i="1"/>
  <c r="J761" i="1"/>
  <c r="L758" i="1"/>
  <c r="L756" i="1"/>
  <c r="J756" i="1"/>
  <c r="L749" i="1"/>
  <c r="J749" i="1"/>
  <c r="L745" i="1"/>
  <c r="J745" i="1"/>
  <c r="L741" i="1"/>
  <c r="L737" i="1"/>
  <c r="L733" i="1"/>
  <c r="J733" i="1"/>
  <c r="L728" i="1"/>
  <c r="J728" i="1"/>
  <c r="L724" i="1"/>
  <c r="J724" i="1"/>
  <c r="L720" i="1"/>
  <c r="J720" i="1"/>
  <c r="J717" i="1"/>
  <c r="L712" i="1"/>
  <c r="J712" i="1"/>
  <c r="J708" i="1"/>
  <c r="L704" i="1"/>
  <c r="J704" i="1"/>
  <c r="J700" i="1"/>
  <c r="L699" i="1"/>
  <c r="J699" i="1"/>
  <c r="L696" i="1"/>
  <c r="J696" i="1"/>
  <c r="L695" i="1"/>
  <c r="J695" i="1"/>
  <c r="L691" i="1"/>
  <c r="J691" i="1"/>
  <c r="L688" i="1"/>
  <c r="J688" i="1"/>
  <c r="L683" i="1"/>
  <c r="J683" i="1"/>
  <c r="L679" i="1"/>
  <c r="J679" i="1"/>
  <c r="L674" i="1"/>
  <c r="J674" i="1"/>
  <c r="J672" i="1"/>
  <c r="L667" i="1"/>
  <c r="J667" i="1"/>
  <c r="J663" i="1"/>
  <c r="L658" i="1"/>
  <c r="J658" i="1"/>
  <c r="L653" i="1"/>
  <c r="J653" i="1"/>
  <c r="L651" i="1"/>
  <c r="J651" i="1"/>
  <c r="L646" i="1"/>
  <c r="J646" i="1"/>
  <c r="L642" i="1"/>
  <c r="J642" i="1"/>
  <c r="L637" i="1"/>
  <c r="J637" i="1"/>
  <c r="L633" i="1"/>
  <c r="L631" i="1"/>
  <c r="J631" i="1"/>
  <c r="L628" i="1"/>
  <c r="J628" i="1"/>
  <c r="L624" i="1"/>
  <c r="J624" i="1"/>
  <c r="L620" i="1"/>
  <c r="J620" i="1"/>
  <c r="L615" i="1"/>
  <c r="J615" i="1"/>
  <c r="L610" i="1"/>
  <c r="J610" i="1"/>
  <c r="L608" i="1"/>
  <c r="J608" i="1"/>
  <c r="L603" i="1"/>
  <c r="J603" i="1"/>
  <c r="L599" i="1"/>
  <c r="J599" i="1"/>
  <c r="L594" i="1"/>
  <c r="J594" i="1"/>
  <c r="J590" i="1"/>
  <c r="L587" i="1"/>
  <c r="J587" i="1"/>
  <c r="L583" i="1"/>
  <c r="J583" i="1"/>
  <c r="L578" i="1"/>
  <c r="J578" i="1"/>
  <c r="L574" i="1"/>
  <c r="J574" i="1"/>
  <c r="L570" i="1"/>
  <c r="J570" i="1"/>
  <c r="L567" i="1"/>
  <c r="J567" i="1"/>
  <c r="L562" i="1"/>
  <c r="J562" i="1"/>
  <c r="L557" i="1"/>
  <c r="J557" i="1"/>
  <c r="L553" i="1"/>
  <c r="J553" i="1"/>
  <c r="L549" i="1"/>
  <c r="J549" i="1"/>
  <c r="L545" i="1"/>
  <c r="J545" i="1"/>
  <c r="L541" i="1"/>
  <c r="J541" i="1"/>
  <c r="L537" i="1"/>
  <c r="J537" i="1"/>
  <c r="L532" i="1"/>
  <c r="J532" i="1"/>
  <c r="L528" i="1"/>
  <c r="J528" i="1"/>
  <c r="L524" i="1"/>
  <c r="J524" i="1"/>
  <c r="L519" i="1"/>
  <c r="J519" i="1"/>
  <c r="L517" i="1"/>
  <c r="J517" i="1"/>
  <c r="L512" i="1"/>
  <c r="J512" i="1"/>
  <c r="L509" i="1"/>
  <c r="J509" i="1"/>
  <c r="L504" i="1"/>
  <c r="J504" i="1"/>
  <c r="L499" i="1"/>
  <c r="J499" i="1"/>
  <c r="L496" i="1"/>
  <c r="L495" i="1"/>
  <c r="J495" i="1"/>
  <c r="L491" i="1"/>
  <c r="J488" i="1"/>
  <c r="L486" i="1"/>
  <c r="J486" i="1"/>
  <c r="L483" i="1"/>
  <c r="L478" i="1"/>
  <c r="J478" i="1"/>
  <c r="L475" i="1"/>
  <c r="L470" i="1"/>
  <c r="J470" i="1"/>
  <c r="L466" i="1"/>
  <c r="J466" i="1"/>
  <c r="L462" i="1"/>
  <c r="J462" i="1"/>
  <c r="L458" i="1"/>
  <c r="L454" i="1"/>
  <c r="J454" i="1"/>
  <c r="L446" i="1"/>
  <c r="J446" i="1"/>
  <c r="L442" i="1"/>
  <c r="J442" i="1"/>
  <c r="L434" i="1"/>
  <c r="J434" i="1"/>
  <c r="J430" i="1"/>
  <c r="L427" i="1"/>
  <c r="L426" i="1"/>
  <c r="J426" i="1"/>
  <c r="L422" i="1"/>
  <c r="L418" i="1"/>
  <c r="J418" i="1"/>
  <c r="L417" i="1"/>
  <c r="J417" i="1"/>
  <c r="L414" i="1"/>
  <c r="L413" i="1"/>
  <c r="J413" i="1"/>
  <c r="L409" i="1"/>
  <c r="J409" i="1"/>
  <c r="J406" i="1"/>
  <c r="L405" i="1"/>
  <c r="J405" i="1"/>
  <c r="L401" i="1"/>
  <c r="J401" i="1"/>
  <c r="L398" i="1"/>
  <c r="J398" i="1"/>
  <c r="L394" i="1"/>
  <c r="J394" i="1"/>
  <c r="L385" i="1"/>
  <c r="J385" i="1"/>
  <c r="L381" i="1"/>
  <c r="J381" i="1"/>
  <c r="J378" i="1"/>
  <c r="L373" i="1"/>
  <c r="J373" i="1"/>
  <c r="L369" i="1"/>
  <c r="J369" i="1"/>
  <c r="J365" i="1"/>
  <c r="L364" i="1"/>
  <c r="J364" i="1"/>
  <c r="J357" i="1"/>
  <c r="J353" i="1"/>
  <c r="J344" i="1"/>
  <c r="L339" i="1"/>
  <c r="J339" i="1"/>
  <c r="J332" i="1"/>
  <c r="J331" i="1"/>
  <c r="L330" i="1"/>
  <c r="J330" i="1"/>
  <c r="L326" i="1"/>
  <c r="J326" i="1"/>
  <c r="L321" i="1"/>
  <c r="J321" i="1"/>
  <c r="L318" i="1"/>
  <c r="J318" i="1"/>
  <c r="L317" i="1"/>
  <c r="J317" i="1"/>
  <c r="L313" i="1"/>
  <c r="J313" i="1"/>
  <c r="L309" i="1"/>
  <c r="J309" i="1"/>
  <c r="L305" i="1"/>
  <c r="J305" i="1"/>
  <c r="L300" i="1"/>
  <c r="J300" i="1"/>
  <c r="L296" i="1"/>
  <c r="J296" i="1"/>
  <c r="L292" i="1"/>
  <c r="J292" i="1"/>
  <c r="L288" i="1"/>
  <c r="J288" i="1"/>
  <c r="L287" i="1"/>
  <c r="J287" i="1"/>
  <c r="L283" i="1"/>
  <c r="J283" i="1"/>
  <c r="J280" i="1"/>
  <c r="L276" i="1"/>
  <c r="J276" i="1"/>
  <c r="J272" i="1"/>
  <c r="L268" i="1"/>
  <c r="J268" i="1"/>
  <c r="L263" i="1"/>
  <c r="J263" i="1"/>
  <c r="L257" i="1"/>
  <c r="J257" i="1"/>
  <c r="L250" i="1"/>
  <c r="J250" i="1"/>
  <c r="L245" i="1"/>
  <c r="J245" i="1"/>
  <c r="L240" i="1"/>
  <c r="J240" i="1"/>
  <c r="L236" i="1"/>
  <c r="J236" i="1"/>
  <c r="L232" i="1"/>
  <c r="J232" i="1"/>
  <c r="L220" i="1"/>
  <c r="J220" i="1"/>
  <c r="L216" i="1"/>
  <c r="J216" i="1"/>
  <c r="L206" i="1"/>
  <c r="J206" i="1"/>
  <c r="L203" i="1"/>
  <c r="J203" i="1"/>
  <c r="L201" i="1"/>
  <c r="J201" i="1"/>
  <c r="L200" i="1"/>
  <c r="J200" i="1"/>
  <c r="L198" i="1"/>
  <c r="J198" i="1"/>
  <c r="L196" i="1"/>
  <c r="J196" i="1"/>
  <c r="L194" i="1"/>
  <c r="J194" i="1"/>
  <c r="L192" i="1"/>
  <c r="J192" i="1"/>
  <c r="L191" i="1"/>
  <c r="J191" i="1"/>
  <c r="L189" i="1"/>
  <c r="J189" i="1"/>
  <c r="L187" i="1"/>
  <c r="J187" i="1"/>
  <c r="L185" i="1"/>
  <c r="J185" i="1"/>
  <c r="L182" i="1"/>
  <c r="J182" i="1"/>
  <c r="L171" i="1"/>
  <c r="J171" i="1"/>
  <c r="L169" i="1"/>
  <c r="L165" i="1"/>
  <c r="J165" i="1"/>
  <c r="J161" i="1"/>
  <c r="L157" i="1"/>
  <c r="J157" i="1"/>
  <c r="L154" i="1"/>
  <c r="J154" i="1"/>
  <c r="L152" i="1"/>
  <c r="J152" i="1"/>
  <c r="L148" i="1"/>
  <c r="J148" i="1"/>
  <c r="L144" i="1"/>
  <c r="J144" i="1"/>
  <c r="L141" i="1"/>
  <c r="J141" i="1"/>
  <c r="J138" i="1"/>
  <c r="L134" i="1"/>
  <c r="J134" i="1"/>
  <c r="L129" i="1"/>
  <c r="J129" i="1"/>
  <c r="L126" i="1"/>
  <c r="J126" i="1"/>
  <c r="J123" i="1"/>
  <c r="L120" i="1"/>
  <c r="L119" i="1"/>
  <c r="J119" i="1"/>
  <c r="J117" i="1"/>
  <c r="L115" i="1"/>
  <c r="J115" i="1"/>
  <c r="L111" i="1"/>
  <c r="J111" i="1"/>
  <c r="L104" i="1"/>
  <c r="J104" i="1"/>
  <c r="L101" i="1"/>
  <c r="J101" i="1"/>
  <c r="L98" i="1"/>
  <c r="J98" i="1"/>
  <c r="L96" i="1"/>
  <c r="J96" i="1"/>
  <c r="L94" i="1"/>
  <c r="J94" i="1"/>
  <c r="L91" i="1"/>
  <c r="J91" i="1"/>
  <c r="L88" i="1"/>
  <c r="J88" i="1"/>
  <c r="L86" i="1"/>
  <c r="J86" i="1"/>
  <c r="L85" i="1"/>
  <c r="J85" i="1"/>
  <c r="L83" i="1"/>
  <c r="J83" i="1"/>
  <c r="L81" i="1"/>
  <c r="J81" i="1"/>
  <c r="L78" i="1"/>
  <c r="J78" i="1"/>
  <c r="L75" i="1"/>
  <c r="J75" i="1"/>
  <c r="L73" i="1"/>
  <c r="J73" i="1"/>
  <c r="L71" i="1"/>
  <c r="J71" i="1"/>
  <c r="L68" i="1"/>
  <c r="J68" i="1"/>
  <c r="L65" i="1"/>
  <c r="J65" i="1"/>
  <c r="L62" i="1"/>
  <c r="J62" i="1"/>
  <c r="L61" i="1"/>
  <c r="J61" i="1"/>
  <c r="L60" i="1"/>
  <c r="J60" i="1"/>
  <c r="L58" i="1"/>
  <c r="J58" i="1"/>
  <c r="L55" i="1"/>
  <c r="J55" i="1"/>
  <c r="L52" i="1"/>
  <c r="J52" i="1"/>
  <c r="L50" i="1"/>
  <c r="J50" i="1"/>
  <c r="L48" i="1"/>
  <c r="L47" i="1"/>
  <c r="J47" i="1"/>
  <c r="L44" i="1"/>
  <c r="J44" i="1"/>
  <c r="L42" i="1"/>
  <c r="J42" i="1"/>
  <c r="L38" i="1"/>
  <c r="J38" i="1"/>
  <c r="L35" i="1"/>
  <c r="J35" i="1"/>
  <c r="L32" i="1"/>
  <c r="J32" i="1"/>
  <c r="L29" i="1"/>
  <c r="L23" i="1"/>
  <c r="L20" i="1"/>
  <c r="J20" i="1"/>
  <c r="L17" i="1"/>
  <c r="J17" i="1"/>
  <c r="L14" i="1"/>
  <c r="J14" i="1"/>
  <c r="L10" i="1"/>
  <c r="J10" i="1"/>
  <c r="L6" i="1"/>
  <c r="J6" i="1"/>
  <c r="L1891" i="1"/>
  <c r="L1886" i="1"/>
  <c r="L1848" i="1"/>
  <c r="J1848" i="1"/>
  <c r="L1837" i="1"/>
  <c r="L40" i="1"/>
  <c r="J40" i="1"/>
  <c r="L34" i="1"/>
  <c r="J34" i="1"/>
  <c r="J29" i="1"/>
  <c r="L28" i="1"/>
  <c r="J28" i="1"/>
  <c r="L24" i="1"/>
  <c r="J24" i="1"/>
  <c r="L18" i="1"/>
  <c r="J18" i="1"/>
  <c r="L13" i="1"/>
  <c r="J13" i="1"/>
  <c r="L7" i="1"/>
  <c r="J7" i="1"/>
  <c r="M262" i="6"/>
  <c r="M261" i="6"/>
  <c r="M260" i="6"/>
  <c r="M259" i="6"/>
  <c r="M258" i="6"/>
  <c r="M257" i="6"/>
  <c r="M256" i="6"/>
  <c r="M255" i="6"/>
  <c r="L1059" i="1"/>
  <c r="J1059" i="1"/>
  <c r="L1049" i="1"/>
  <c r="J1049" i="1"/>
  <c r="L1041" i="1"/>
  <c r="J1041" i="1"/>
  <c r="L1036" i="1"/>
  <c r="L1028" i="1"/>
  <c r="J1028" i="1"/>
  <c r="L1020" i="1"/>
  <c r="J1020" i="1"/>
  <c r="L1008" i="1"/>
  <c r="J1008" i="1"/>
  <c r="L999" i="1"/>
  <c r="J999" i="1"/>
  <c r="L993" i="1"/>
  <c r="J993" i="1"/>
  <c r="L986" i="1"/>
  <c r="L985" i="1"/>
  <c r="L978" i="1"/>
  <c r="J978" i="1"/>
  <c r="L965" i="1"/>
  <c r="J965" i="1"/>
  <c r="L958" i="1"/>
  <c r="J958" i="1"/>
  <c r="L949" i="1"/>
  <c r="J949" i="1"/>
  <c r="L943" i="1"/>
  <c r="J943" i="1"/>
  <c r="J935" i="1"/>
  <c r="L934" i="1"/>
  <c r="J934" i="1"/>
  <c r="L927" i="1"/>
  <c r="J927" i="1"/>
  <c r="L921" i="1"/>
  <c r="J921" i="1"/>
  <c r="L920" i="1"/>
  <c r="J920" i="1"/>
  <c r="L913" i="1"/>
  <c r="J913" i="1"/>
  <c r="L906" i="1"/>
  <c r="J906" i="1"/>
  <c r="L899" i="1"/>
  <c r="J899" i="1"/>
  <c r="L891" i="1"/>
  <c r="J891" i="1"/>
  <c r="L884" i="1"/>
  <c r="L883" i="1"/>
  <c r="J883" i="1"/>
  <c r="L877" i="1"/>
  <c r="J877" i="1"/>
  <c r="L869" i="1"/>
  <c r="J869" i="1"/>
  <c r="L862" i="1"/>
  <c r="J862" i="1"/>
  <c r="L856" i="1"/>
  <c r="J856" i="1"/>
  <c r="L855" i="1"/>
  <c r="L853" i="1"/>
  <c r="J853" i="1"/>
  <c r="L847" i="1"/>
  <c r="L841" i="1"/>
  <c r="J841" i="1"/>
  <c r="L833" i="1"/>
  <c r="J833" i="1"/>
  <c r="L825" i="1"/>
  <c r="J825" i="1"/>
  <c r="L819" i="1"/>
  <c r="L812" i="1"/>
  <c r="J812" i="1"/>
  <c r="L806" i="1"/>
  <c r="L804" i="1"/>
  <c r="J804" i="1"/>
  <c r="L798" i="1"/>
  <c r="J798" i="1"/>
  <c r="L791" i="1"/>
  <c r="J791" i="1"/>
  <c r="L783" i="1"/>
  <c r="J783" i="1"/>
  <c r="L776" i="1"/>
  <c r="J776" i="1"/>
  <c r="L764" i="1"/>
  <c r="J764" i="1"/>
  <c r="J758" i="1"/>
  <c r="L751" i="1"/>
  <c r="L750" i="1"/>
  <c r="J750" i="1"/>
  <c r="L744" i="1"/>
  <c r="J744" i="1"/>
  <c r="J737" i="1"/>
  <c r="L736" i="1"/>
  <c r="J736" i="1"/>
  <c r="L729" i="1"/>
  <c r="J729" i="1"/>
  <c r="L723" i="1"/>
  <c r="J723" i="1"/>
  <c r="L715" i="1"/>
  <c r="J715" i="1"/>
  <c r="L708" i="1"/>
  <c r="L707" i="1"/>
  <c r="J707" i="1"/>
  <c r="L701" i="1"/>
  <c r="L700" i="1"/>
  <c r="L694" i="1"/>
  <c r="L687" i="1"/>
  <c r="J687" i="1"/>
  <c r="L686" i="1"/>
  <c r="J686" i="1"/>
  <c r="L677" i="1"/>
  <c r="J677" i="1"/>
  <c r="L669" i="1"/>
  <c r="L668" i="1"/>
  <c r="J668" i="1"/>
  <c r="L663" i="1"/>
  <c r="L662" i="1"/>
  <c r="J662" i="1"/>
  <c r="L656" i="1"/>
  <c r="J656" i="1"/>
  <c r="L647" i="1"/>
  <c r="J647" i="1"/>
  <c r="L640" i="1"/>
  <c r="J640" i="1"/>
  <c r="L635" i="1"/>
  <c r="J635" i="1"/>
  <c r="L634" i="1"/>
  <c r="J634" i="1"/>
  <c r="L626" i="1"/>
  <c r="J626" i="1"/>
  <c r="L619" i="1"/>
  <c r="J619" i="1"/>
  <c r="L613" i="1"/>
  <c r="J613" i="1"/>
  <c r="L605" i="1"/>
  <c r="J605" i="1"/>
  <c r="L598" i="1"/>
  <c r="J598" i="1"/>
  <c r="L590" i="1"/>
  <c r="L589" i="1"/>
  <c r="J589" i="1"/>
  <c r="J584" i="1"/>
  <c r="L582" i="1"/>
  <c r="J582" i="1"/>
  <c r="L576" i="1"/>
  <c r="J575" i="1"/>
  <c r="L573" i="1"/>
  <c r="J573" i="1"/>
  <c r="J566" i="1"/>
  <c r="L565" i="1"/>
  <c r="J565" i="1"/>
  <c r="L559" i="1"/>
  <c r="J559" i="1"/>
  <c r="L552" i="1"/>
  <c r="J552" i="1"/>
  <c r="L544" i="1"/>
  <c r="J544" i="1"/>
  <c r="L543" i="1"/>
  <c r="J543" i="1"/>
  <c r="L536" i="1"/>
  <c r="J536" i="1"/>
  <c r="L529" i="1"/>
  <c r="J529" i="1"/>
  <c r="L522" i="1"/>
  <c r="J522" i="1"/>
  <c r="L514" i="1"/>
  <c r="J514" i="1"/>
  <c r="L507" i="1"/>
  <c r="J507" i="1"/>
  <c r="L506" i="1"/>
  <c r="J506" i="1"/>
  <c r="L500" i="1"/>
  <c r="J500" i="1"/>
  <c r="L493" i="1"/>
  <c r="J493" i="1"/>
  <c r="L485" i="1"/>
  <c r="J485" i="1"/>
  <c r="J480" i="1"/>
  <c r="L479" i="1"/>
  <c r="J479" i="1"/>
  <c r="L472" i="1"/>
  <c r="L465" i="1"/>
  <c r="J459" i="1"/>
  <c r="J458" i="1"/>
  <c r="L457" i="1"/>
  <c r="J457" i="1"/>
  <c r="L451" i="1"/>
  <c r="L450" i="1"/>
  <c r="J450" i="1"/>
  <c r="L449" i="1"/>
  <c r="J449" i="1"/>
  <c r="L440" i="1"/>
  <c r="J440" i="1"/>
  <c r="L432" i="1"/>
  <c r="J432" i="1"/>
  <c r="L425" i="1"/>
  <c r="J425" i="1"/>
  <c r="L419" i="1"/>
  <c r="J419" i="1"/>
  <c r="L411" i="1"/>
  <c r="J411" i="1"/>
  <c r="L404" i="1"/>
  <c r="J404" i="1"/>
  <c r="L396" i="1"/>
  <c r="J396" i="1"/>
  <c r="L390" i="1"/>
  <c r="J390" i="1"/>
  <c r="L389" i="1"/>
  <c r="L383" i="1"/>
  <c r="J383" i="1"/>
  <c r="L382" i="1"/>
  <c r="J382" i="1"/>
  <c r="L375" i="1"/>
  <c r="L374" i="1"/>
  <c r="J374" i="1"/>
  <c r="L367" i="1"/>
  <c r="J367" i="1"/>
  <c r="L361" i="1"/>
  <c r="J361" i="1"/>
  <c r="L358" i="1"/>
  <c r="J358" i="1"/>
  <c r="L353" i="1"/>
  <c r="L351" i="1"/>
  <c r="J351" i="1"/>
  <c r="L337" i="1"/>
  <c r="J337" i="1"/>
  <c r="L331" i="1"/>
  <c r="L324" i="1"/>
  <c r="J324" i="1"/>
  <c r="L316" i="1"/>
  <c r="J316" i="1"/>
  <c r="L308" i="1"/>
  <c r="J308" i="1"/>
  <c r="L303" i="1"/>
  <c r="L301" i="1"/>
  <c r="J301" i="1"/>
  <c r="L295" i="1"/>
  <c r="J295" i="1"/>
  <c r="L281" i="1"/>
  <c r="L273" i="1"/>
  <c r="J273" i="1"/>
  <c r="L264" i="1"/>
  <c r="J264" i="1"/>
  <c r="L258" i="1"/>
  <c r="J258" i="1"/>
  <c r="L247" i="1"/>
  <c r="J247" i="1"/>
  <c r="L241" i="1"/>
  <c r="J241" i="1"/>
  <c r="L234" i="1"/>
  <c r="J234" i="1"/>
  <c r="J229" i="1"/>
  <c r="L228" i="1"/>
  <c r="J228" i="1"/>
  <c r="L222" i="1"/>
  <c r="L215" i="1"/>
  <c r="L214" i="1"/>
  <c r="J214" i="1"/>
  <c r="M274" i="6"/>
  <c r="M273" i="6"/>
  <c r="M272" i="6"/>
  <c r="M269" i="6"/>
  <c r="M268" i="6"/>
  <c r="M266" i="6"/>
  <c r="M265" i="6"/>
  <c r="L1756" i="1"/>
  <c r="J1756" i="1"/>
  <c r="L1753" i="1"/>
  <c r="L1751" i="1"/>
  <c r="J1751" i="1"/>
  <c r="L1748" i="1"/>
  <c r="L1747" i="1"/>
  <c r="J1747" i="1"/>
  <c r="L1744" i="1"/>
  <c r="J1744" i="1"/>
  <c r="L1741" i="1"/>
  <c r="J1741" i="1"/>
  <c r="L1737" i="1"/>
  <c r="J1737" i="1"/>
  <c r="L1733" i="1"/>
  <c r="J1733" i="1"/>
  <c r="L1730" i="1"/>
  <c r="L1727" i="1"/>
  <c r="J1727" i="1"/>
  <c r="L1726" i="1"/>
  <c r="J1726" i="1"/>
  <c r="L1723" i="1"/>
  <c r="J1723" i="1"/>
  <c r="L1720" i="1"/>
  <c r="J1720" i="1"/>
  <c r="L1717" i="1"/>
  <c r="J1717" i="1"/>
  <c r="L1713" i="1"/>
  <c r="J1713" i="1"/>
  <c r="J1711" i="1"/>
  <c r="L1710" i="1"/>
  <c r="J1710" i="1"/>
  <c r="L1705" i="1"/>
  <c r="J1705" i="1"/>
  <c r="L1701" i="1"/>
  <c r="J1701" i="1"/>
  <c r="L1698" i="1"/>
  <c r="J1698" i="1"/>
  <c r="L1695" i="1"/>
  <c r="J1695" i="1"/>
  <c r="L1692" i="1"/>
  <c r="J1692" i="1"/>
  <c r="L1688" i="1"/>
  <c r="J1688" i="1"/>
  <c r="L1685" i="1"/>
  <c r="J1685" i="1"/>
  <c r="L1682" i="1"/>
  <c r="J1682" i="1"/>
  <c r="L1679" i="1"/>
  <c r="J1679" i="1"/>
  <c r="L1675" i="1"/>
  <c r="J1675" i="1"/>
  <c r="L1672" i="1"/>
  <c r="J1672" i="1"/>
  <c r="L1669" i="1"/>
  <c r="J1669" i="1"/>
  <c r="L1666" i="1"/>
  <c r="J1666" i="1"/>
  <c r="L1663" i="1"/>
  <c r="L1660" i="1"/>
  <c r="J1660" i="1"/>
  <c r="L1656" i="1"/>
  <c r="J1656" i="1"/>
  <c r="L1653" i="1"/>
  <c r="J1653" i="1"/>
  <c r="L1650" i="1"/>
  <c r="J1650" i="1"/>
  <c r="L1647" i="1"/>
  <c r="J1647" i="1"/>
  <c r="L1643" i="1"/>
  <c r="J1643" i="1"/>
  <c r="L1640" i="1"/>
  <c r="J1640" i="1"/>
  <c r="L1637" i="1"/>
  <c r="J1637" i="1"/>
  <c r="L1634" i="1"/>
  <c r="J1634" i="1"/>
  <c r="L1632" i="1"/>
  <c r="J1632" i="1"/>
  <c r="L1629" i="1"/>
  <c r="J1629" i="1"/>
  <c r="L1626" i="1"/>
  <c r="J1626" i="1"/>
  <c r="L1622" i="1"/>
  <c r="J1622" i="1"/>
  <c r="L1619" i="1"/>
  <c r="J1619" i="1"/>
  <c r="L1616" i="1"/>
  <c r="J1616" i="1"/>
  <c r="L1613" i="1"/>
  <c r="J1613" i="1"/>
  <c r="L1610" i="1"/>
  <c r="J1610" i="1"/>
  <c r="L1607" i="1"/>
  <c r="J1607" i="1"/>
  <c r="L1603" i="1"/>
  <c r="J1603" i="1"/>
  <c r="L1600" i="1"/>
  <c r="J1600" i="1"/>
  <c r="L1597" i="1"/>
  <c r="J1597" i="1"/>
  <c r="L1594" i="1"/>
  <c r="J1594" i="1"/>
  <c r="L1591" i="1"/>
  <c r="J1591" i="1"/>
  <c r="L1587" i="1"/>
  <c r="J1587" i="1"/>
  <c r="L1584" i="1"/>
  <c r="J1584" i="1"/>
  <c r="L1581" i="1"/>
  <c r="J1581" i="1"/>
  <c r="L1578" i="1"/>
  <c r="J1578" i="1"/>
  <c r="L1575" i="1"/>
  <c r="J1575" i="1"/>
  <c r="L1571" i="1"/>
  <c r="J1571" i="1"/>
  <c r="L1568" i="1"/>
  <c r="J1568" i="1"/>
  <c r="L1565" i="1"/>
  <c r="J1565" i="1"/>
  <c r="L1561" i="1"/>
  <c r="J1561" i="1"/>
  <c r="L1558" i="1"/>
  <c r="J1558" i="1"/>
  <c r="L1555" i="1"/>
  <c r="J1555" i="1"/>
  <c r="L1552" i="1"/>
  <c r="J1552" i="1"/>
  <c r="L1548" i="1"/>
  <c r="J1548" i="1"/>
  <c r="L1545" i="1"/>
  <c r="J1545" i="1"/>
  <c r="L1542" i="1"/>
  <c r="J1542" i="1"/>
  <c r="L1539" i="1"/>
  <c r="J1539" i="1"/>
  <c r="L1535" i="1"/>
  <c r="J1535" i="1"/>
  <c r="L1532" i="1"/>
  <c r="J1532" i="1"/>
  <c r="L1529" i="1"/>
  <c r="J1529" i="1"/>
  <c r="L1526" i="1"/>
  <c r="J1526" i="1"/>
  <c r="L1523" i="1"/>
  <c r="J1523" i="1"/>
  <c r="L1519" i="1"/>
  <c r="J1519" i="1"/>
  <c r="L1516" i="1"/>
  <c r="J1516" i="1"/>
  <c r="L1513" i="1"/>
  <c r="J1513" i="1"/>
  <c r="L1510" i="1"/>
  <c r="J1510" i="1"/>
  <c r="L1506" i="1"/>
  <c r="J1506" i="1"/>
  <c r="L1503" i="1"/>
  <c r="J1503" i="1"/>
  <c r="L1500" i="1"/>
  <c r="J1500" i="1"/>
  <c r="L1497" i="1"/>
  <c r="J1497" i="1"/>
  <c r="L1493" i="1"/>
  <c r="J1493" i="1"/>
  <c r="L1490" i="1"/>
  <c r="J1490" i="1"/>
  <c r="L1487" i="1"/>
  <c r="J1487" i="1"/>
  <c r="L1484" i="1"/>
  <c r="J1484" i="1"/>
  <c r="L1480" i="1"/>
  <c r="J1480" i="1"/>
  <c r="L1477" i="1"/>
  <c r="J1477" i="1"/>
  <c r="L1474" i="1"/>
  <c r="J1474" i="1"/>
  <c r="L1471" i="1"/>
  <c r="J1471" i="1"/>
  <c r="J1468" i="1"/>
  <c r="L1467" i="1"/>
  <c r="J1467" i="1"/>
  <c r="L1464" i="1"/>
  <c r="J1464" i="1"/>
  <c r="L1452" i="1"/>
  <c r="J1452" i="1"/>
  <c r="L1448" i="1"/>
  <c r="J1448" i="1"/>
  <c r="L1445" i="1"/>
  <c r="J1445" i="1"/>
  <c r="L1442" i="1"/>
  <c r="J1442" i="1"/>
  <c r="L1439" i="1"/>
  <c r="J1439" i="1"/>
  <c r="L1436" i="1"/>
  <c r="J1436" i="1"/>
  <c r="L1432" i="1"/>
  <c r="J1432" i="1"/>
  <c r="L1429" i="1"/>
  <c r="J1429" i="1"/>
  <c r="L1426" i="1"/>
  <c r="J1426" i="1"/>
  <c r="L1423" i="1"/>
  <c r="J1423" i="1"/>
  <c r="L1419" i="1"/>
  <c r="J1419" i="1"/>
  <c r="L1416" i="1"/>
  <c r="J1416" i="1"/>
  <c r="L1413" i="1"/>
  <c r="J1413" i="1"/>
  <c r="L1410" i="1"/>
  <c r="J1410" i="1"/>
  <c r="L1406" i="1"/>
  <c r="J1406" i="1"/>
  <c r="L1403" i="1"/>
  <c r="J1403" i="1"/>
  <c r="L1400" i="1"/>
  <c r="J1400" i="1"/>
  <c r="L1397" i="1"/>
  <c r="J1397" i="1"/>
  <c r="L1393" i="1"/>
  <c r="J1393" i="1"/>
  <c r="L1390" i="1"/>
  <c r="J1390" i="1"/>
  <c r="L1387" i="1"/>
  <c r="J1387" i="1"/>
  <c r="L1384" i="1"/>
  <c r="J1384" i="1"/>
  <c r="J1381" i="1"/>
  <c r="L1377" i="1"/>
  <c r="J1377" i="1"/>
  <c r="L1374" i="1"/>
  <c r="J1374" i="1"/>
  <c r="L1371" i="1"/>
  <c r="J1371" i="1"/>
  <c r="L1369" i="1"/>
  <c r="J1369" i="1"/>
  <c r="L1365" i="1"/>
  <c r="J1365" i="1"/>
  <c r="L1364" i="1"/>
  <c r="J1364" i="1"/>
  <c r="L1362" i="1"/>
  <c r="L1359" i="1"/>
  <c r="J1359" i="1"/>
  <c r="L1356" i="1"/>
  <c r="J1356" i="1"/>
  <c r="L1352" i="1"/>
  <c r="J1352" i="1"/>
  <c r="L1349" i="1"/>
  <c r="J1349" i="1"/>
  <c r="L1346" i="1"/>
  <c r="J1346" i="1"/>
  <c r="L1343" i="1"/>
  <c r="J1343" i="1"/>
  <c r="L1339" i="1"/>
  <c r="J1339" i="1"/>
  <c r="L1336" i="1"/>
  <c r="J1336" i="1"/>
  <c r="L1333" i="1"/>
  <c r="J1333" i="1"/>
  <c r="L1330" i="1"/>
  <c r="J1330" i="1"/>
  <c r="L1323" i="1"/>
  <c r="J1323" i="1"/>
  <c r="L1320" i="1"/>
  <c r="J1320" i="1"/>
  <c r="J1317" i="1"/>
  <c r="L1313" i="1"/>
  <c r="L1309" i="1"/>
  <c r="J1309" i="1"/>
  <c r="L1304" i="1"/>
  <c r="J1304" i="1"/>
  <c r="L1300" i="1"/>
  <c r="J1300" i="1"/>
  <c r="L1295" i="1"/>
  <c r="J1295" i="1"/>
  <c r="L1291" i="1"/>
  <c r="L1286" i="1"/>
  <c r="J1286" i="1"/>
  <c r="L1282" i="1"/>
  <c r="J1282" i="1"/>
  <c r="L1278" i="1"/>
  <c r="J1278" i="1"/>
  <c r="L1273" i="1"/>
  <c r="J1273" i="1"/>
  <c r="L1268" i="1"/>
  <c r="J1268" i="1"/>
  <c r="L1258" i="1"/>
  <c r="J1258" i="1"/>
  <c r="L1254" i="1"/>
  <c r="J1254" i="1"/>
  <c r="L1250" i="1"/>
  <c r="J1250" i="1"/>
  <c r="L1246" i="1"/>
  <c r="J1246" i="1"/>
  <c r="L1241" i="1"/>
  <c r="J1241" i="1"/>
  <c r="L1237" i="1"/>
  <c r="J1237" i="1"/>
  <c r="L1232" i="1"/>
  <c r="J1232" i="1"/>
  <c r="L1228" i="1"/>
  <c r="J1228" i="1"/>
  <c r="L1224" i="1"/>
  <c r="J1224" i="1"/>
  <c r="L1220" i="1"/>
  <c r="J1220" i="1"/>
  <c r="L1215" i="1"/>
  <c r="L1214" i="1"/>
  <c r="J1214" i="1"/>
  <c r="L1210" i="1"/>
  <c r="J1210" i="1"/>
  <c r="L1206" i="1"/>
  <c r="J1206" i="1"/>
  <c r="L1202" i="1"/>
  <c r="L1196" i="1"/>
  <c r="J1196" i="1"/>
  <c r="L1192" i="1"/>
  <c r="J1192" i="1"/>
  <c r="L1188" i="1"/>
  <c r="J1188" i="1"/>
  <c r="L1184" i="1"/>
  <c r="J1184" i="1"/>
  <c r="L1180" i="1"/>
  <c r="L1179" i="1"/>
  <c r="J1179" i="1"/>
  <c r="L1175" i="1"/>
  <c r="J1175" i="1"/>
  <c r="L1170" i="1"/>
  <c r="J1170" i="1"/>
  <c r="L1166" i="1"/>
  <c r="J1166" i="1"/>
  <c r="L1162" i="1"/>
  <c r="J1162" i="1"/>
  <c r="L1156" i="1"/>
  <c r="J1156" i="1"/>
  <c r="L1152" i="1"/>
  <c r="J1152" i="1"/>
  <c r="L1148" i="1"/>
  <c r="J1148" i="1"/>
  <c r="L1143" i="1"/>
  <c r="J1143" i="1"/>
  <c r="L1138" i="1"/>
  <c r="J1138" i="1"/>
  <c r="L1134" i="1"/>
  <c r="J1134" i="1"/>
  <c r="L1130" i="1"/>
  <c r="J1130" i="1"/>
  <c r="L1125" i="1"/>
  <c r="J1125" i="1"/>
  <c r="L1121" i="1"/>
  <c r="J1121" i="1"/>
  <c r="L1116" i="1"/>
  <c r="J1116" i="1"/>
  <c r="L1112" i="1"/>
  <c r="J1112" i="1"/>
  <c r="L1107" i="1"/>
  <c r="J1107" i="1"/>
  <c r="L1102" i="1"/>
  <c r="J1102" i="1"/>
  <c r="L1098" i="1"/>
  <c r="J1098" i="1"/>
  <c r="L1090" i="1"/>
  <c r="J1090" i="1"/>
  <c r="L1085" i="1"/>
  <c r="J1085" i="1"/>
  <c r="L1081" i="1"/>
  <c r="J1081" i="1"/>
  <c r="L1076" i="1"/>
  <c r="J1076" i="1"/>
  <c r="L1072" i="1"/>
  <c r="J1072" i="1"/>
  <c r="L1067" i="1"/>
  <c r="J1067" i="1"/>
  <c r="L1063" i="1"/>
  <c r="J1063" i="1"/>
  <c r="L1057" i="1"/>
  <c r="J1057" i="1"/>
  <c r="L1053" i="1"/>
  <c r="J1053" i="1"/>
  <c r="L1048" i="1"/>
  <c r="J1048" i="1"/>
  <c r="L1043" i="1"/>
  <c r="J1043" i="1"/>
  <c r="L1037" i="1"/>
  <c r="J1037" i="1"/>
  <c r="L1032" i="1"/>
  <c r="J1032" i="1"/>
  <c r="L1027" i="1"/>
  <c r="J1027" i="1"/>
  <c r="L1022" i="1"/>
  <c r="J1022" i="1"/>
  <c r="L1016" i="1"/>
  <c r="J1016" i="1"/>
  <c r="L1012" i="1"/>
  <c r="J1012" i="1"/>
  <c r="L1007" i="1"/>
  <c r="J1007" i="1"/>
  <c r="L1002" i="1"/>
  <c r="J1002" i="1"/>
  <c r="L997" i="1"/>
  <c r="J997" i="1"/>
  <c r="L996" i="1"/>
  <c r="J996" i="1"/>
  <c r="L991" i="1"/>
  <c r="J991" i="1"/>
  <c r="L987" i="1"/>
  <c r="J987" i="1"/>
  <c r="L981" i="1"/>
  <c r="J981" i="1"/>
  <c r="L976" i="1"/>
  <c r="L975" i="1"/>
  <c r="J975" i="1"/>
  <c r="L971" i="1"/>
  <c r="J971" i="1"/>
  <c r="L966" i="1"/>
  <c r="J966" i="1"/>
  <c r="L961" i="1"/>
  <c r="J961" i="1"/>
  <c r="L955" i="1"/>
  <c r="J955" i="1"/>
  <c r="L951" i="1"/>
  <c r="J951" i="1"/>
  <c r="L940" i="1"/>
  <c r="J940" i="1"/>
  <c r="L935" i="1"/>
  <c r="L926" i="1"/>
  <c r="J926" i="1"/>
  <c r="L922" i="1"/>
  <c r="J922" i="1"/>
  <c r="L911" i="1"/>
  <c r="L910" i="1"/>
  <c r="J910" i="1"/>
  <c r="L905" i="1"/>
  <c r="J905" i="1"/>
  <c r="L900" i="1"/>
  <c r="J900" i="1"/>
  <c r="L895" i="1"/>
  <c r="J895" i="1"/>
  <c r="L889" i="1"/>
  <c r="J889" i="1"/>
  <c r="L885" i="1"/>
  <c r="J885" i="1"/>
  <c r="L879" i="1"/>
  <c r="J879" i="1"/>
  <c r="L874" i="1"/>
  <c r="J874" i="1"/>
  <c r="L870" i="1"/>
  <c r="J870" i="1"/>
  <c r="L865" i="1"/>
  <c r="J865" i="1"/>
  <c r="L859" i="1"/>
  <c r="J859" i="1"/>
  <c r="L850" i="1"/>
  <c r="J850" i="1"/>
  <c r="L845" i="1"/>
  <c r="J845" i="1"/>
  <c r="L840" i="1"/>
  <c r="J840" i="1"/>
  <c r="L834" i="1"/>
  <c r="J834" i="1"/>
  <c r="L829" i="1"/>
  <c r="J829" i="1"/>
  <c r="L824" i="1"/>
  <c r="J824" i="1"/>
  <c r="L820" i="1"/>
  <c r="J819" i="1"/>
  <c r="L818" i="1"/>
  <c r="J818" i="1"/>
  <c r="L817" i="1"/>
  <c r="J817" i="1"/>
  <c r="L813" i="1"/>
  <c r="J813" i="1"/>
  <c r="L808" i="1"/>
  <c r="J808" i="1"/>
  <c r="L802" i="1"/>
  <c r="J802" i="1"/>
  <c r="L797" i="1"/>
  <c r="J797" i="1"/>
  <c r="L793" i="1"/>
  <c r="L792" i="1"/>
  <c r="J792" i="1"/>
  <c r="L787" i="1"/>
  <c r="J787" i="1"/>
  <c r="L781" i="1"/>
  <c r="J781" i="1"/>
  <c r="L777" i="1"/>
  <c r="J777" i="1"/>
  <c r="L771" i="1"/>
  <c r="L766" i="1"/>
  <c r="J766" i="1"/>
  <c r="L757" i="1"/>
  <c r="J757" i="1"/>
  <c r="L752" i="1"/>
  <c r="J752" i="1"/>
  <c r="L748" i="1"/>
  <c r="L747" i="1"/>
  <c r="J747" i="1"/>
  <c r="L742" i="1"/>
  <c r="J742" i="1"/>
  <c r="L738" i="1"/>
  <c r="J738" i="1"/>
  <c r="L732" i="1"/>
  <c r="J732" i="1"/>
  <c r="L727" i="1"/>
  <c r="J727" i="1"/>
  <c r="L722" i="1"/>
  <c r="J722" i="1"/>
  <c r="L721" i="1"/>
  <c r="J721" i="1"/>
  <c r="L717" i="1"/>
  <c r="L716" i="1"/>
  <c r="J716" i="1"/>
  <c r="L711" i="1"/>
  <c r="J711" i="1"/>
  <c r="L706" i="1"/>
  <c r="J706" i="1"/>
  <c r="J701" i="1"/>
  <c r="L690" i="1"/>
  <c r="J690" i="1"/>
  <c r="L685" i="1"/>
  <c r="J685" i="1"/>
  <c r="L680" i="1"/>
  <c r="J680" i="1"/>
  <c r="J676" i="1"/>
  <c r="L675" i="1"/>
  <c r="J675" i="1"/>
  <c r="L670" i="1"/>
  <c r="J670" i="1"/>
  <c r="L664" i="1"/>
  <c r="J664" i="1"/>
  <c r="L659" i="1"/>
  <c r="J659" i="1"/>
  <c r="L654" i="1"/>
  <c r="J654" i="1"/>
  <c r="L650" i="1"/>
  <c r="J650" i="1"/>
  <c r="L649" i="1"/>
  <c r="J649" i="1"/>
  <c r="L648" i="1"/>
  <c r="J648" i="1"/>
  <c r="L643" i="1"/>
  <c r="J643" i="1"/>
  <c r="L638" i="1"/>
  <c r="J638" i="1"/>
  <c r="J633" i="1"/>
  <c r="L627" i="1"/>
  <c r="J627" i="1"/>
  <c r="L622" i="1"/>
  <c r="J622" i="1"/>
  <c r="L617" i="1"/>
  <c r="J617" i="1"/>
  <c r="L611" i="1"/>
  <c r="J611" i="1"/>
  <c r="L606" i="1"/>
  <c r="J606" i="1"/>
  <c r="J602" i="1"/>
  <c r="L601" i="1"/>
  <c r="J601" i="1"/>
  <c r="L597" i="1"/>
  <c r="J597" i="1"/>
  <c r="L593" i="1"/>
  <c r="J593" i="1"/>
  <c r="L586" i="1"/>
  <c r="J586" i="1"/>
  <c r="L581" i="1"/>
  <c r="J581" i="1"/>
  <c r="L577" i="1"/>
  <c r="J577" i="1"/>
  <c r="L572" i="1"/>
  <c r="L566" i="1"/>
  <c r="L561" i="1"/>
  <c r="J561" i="1"/>
  <c r="L556" i="1"/>
  <c r="J556" i="1"/>
  <c r="L551" i="1"/>
  <c r="J551" i="1"/>
  <c r="L546" i="1"/>
  <c r="J546" i="1"/>
  <c r="L540" i="1"/>
  <c r="J540" i="1"/>
  <c r="L535" i="1"/>
  <c r="J535" i="1"/>
  <c r="L531" i="1"/>
  <c r="J531" i="1"/>
  <c r="L526" i="1"/>
  <c r="J526" i="1"/>
  <c r="L521" i="1"/>
  <c r="L515" i="1"/>
  <c r="J515" i="1"/>
  <c r="L510" i="1"/>
  <c r="J510" i="1"/>
  <c r="L505" i="1"/>
  <c r="J505" i="1"/>
  <c r="L501" i="1"/>
  <c r="J501" i="1"/>
  <c r="J496" i="1"/>
  <c r="L494" i="1"/>
  <c r="J494" i="1"/>
  <c r="L489" i="1"/>
  <c r="J489" i="1"/>
  <c r="L484" i="1"/>
  <c r="J484" i="1"/>
  <c r="L480" i="1"/>
  <c r="J475" i="1"/>
  <c r="L474" i="1"/>
  <c r="J474" i="1"/>
  <c r="L468" i="1"/>
  <c r="J468" i="1"/>
  <c r="L463" i="1"/>
  <c r="J463" i="1"/>
  <c r="L459" i="1"/>
  <c r="L453" i="1"/>
  <c r="J453" i="1"/>
  <c r="L448" i="1"/>
  <c r="J448" i="1"/>
  <c r="L438" i="1"/>
  <c r="J438" i="1"/>
  <c r="L437" i="1"/>
  <c r="J437" i="1"/>
  <c r="L433" i="1"/>
  <c r="J433" i="1"/>
  <c r="L428" i="1"/>
  <c r="J428" i="1"/>
  <c r="L423" i="1"/>
  <c r="L416" i="1"/>
  <c r="J416" i="1"/>
  <c r="L412" i="1"/>
  <c r="J412" i="1"/>
  <c r="L407" i="1"/>
  <c r="J407" i="1"/>
  <c r="L402" i="1"/>
  <c r="J402" i="1"/>
  <c r="L395" i="1"/>
  <c r="J395" i="1"/>
  <c r="L391" i="1"/>
  <c r="J391" i="1"/>
  <c r="L386" i="1"/>
  <c r="J386" i="1"/>
  <c r="J380" i="1"/>
  <c r="L379" i="1"/>
  <c r="J379" i="1"/>
  <c r="J375" i="1"/>
  <c r="L370" i="1"/>
  <c r="J370" i="1"/>
  <c r="L365" i="1"/>
  <c r="L359" i="1"/>
  <c r="J359" i="1"/>
  <c r="L354" i="1"/>
  <c r="J354" i="1"/>
  <c r="L349" i="1"/>
  <c r="J349" i="1"/>
  <c r="L345" i="1"/>
  <c r="J345" i="1"/>
  <c r="L344" i="1"/>
  <c r="L338" i="1"/>
  <c r="J338" i="1"/>
  <c r="L333" i="1"/>
  <c r="J333" i="1"/>
  <c r="L328" i="1"/>
  <c r="J328" i="1"/>
  <c r="L322" i="1"/>
  <c r="J322" i="1"/>
  <c r="L312" i="1"/>
  <c r="J312" i="1"/>
  <c r="L307" i="1"/>
  <c r="J307" i="1"/>
  <c r="L302" i="1"/>
  <c r="J302" i="1"/>
  <c r="L297" i="1"/>
  <c r="J297" i="1"/>
  <c r="L291" i="1"/>
  <c r="J291" i="1"/>
  <c r="L286" i="1"/>
  <c r="J286" i="1"/>
  <c r="J281" i="1"/>
  <c r="L277" i="1"/>
  <c r="J277" i="1"/>
  <c r="L272" i="1"/>
  <c r="L271" i="1"/>
  <c r="J271" i="1"/>
  <c r="L266" i="1"/>
  <c r="J266" i="1"/>
  <c r="L261" i="1"/>
  <c r="J261" i="1"/>
  <c r="L252" i="1"/>
  <c r="J252" i="1"/>
  <c r="L248" i="1"/>
  <c r="J248" i="1"/>
  <c r="L243" i="1"/>
  <c r="J243" i="1"/>
  <c r="L238" i="1"/>
  <c r="J233" i="1"/>
  <c r="L230" i="1"/>
  <c r="J230" i="1"/>
  <c r="L226" i="1"/>
  <c r="J226" i="1"/>
  <c r="L223" i="1"/>
  <c r="J223" i="1"/>
  <c r="L218" i="1"/>
  <c r="L212" i="1"/>
  <c r="J212" i="1"/>
  <c r="L210" i="1"/>
  <c r="J210" i="1"/>
  <c r="L208" i="1"/>
  <c r="J208" i="1"/>
  <c r="L205" i="1"/>
  <c r="J205" i="1"/>
  <c r="L184" i="1"/>
  <c r="J184" i="1"/>
  <c r="L173" i="1"/>
  <c r="J173" i="1"/>
  <c r="J169" i="1"/>
  <c r="L167" i="1"/>
  <c r="J167" i="1"/>
  <c r="J163" i="1"/>
  <c r="L162" i="1"/>
  <c r="J162" i="1"/>
  <c r="L158" i="1"/>
  <c r="J158" i="1"/>
  <c r="L153" i="1"/>
  <c r="J153" i="1"/>
  <c r="L150" i="1"/>
  <c r="J150" i="1"/>
  <c r="L145" i="1"/>
  <c r="J145" i="1"/>
  <c r="L142" i="1"/>
  <c r="J142" i="1"/>
  <c r="L138" i="1"/>
  <c r="L137" i="1"/>
  <c r="J137" i="1"/>
  <c r="L133" i="1"/>
  <c r="J133" i="1"/>
  <c r="L130" i="1"/>
  <c r="J130" i="1"/>
  <c r="L127" i="1"/>
  <c r="J127" i="1"/>
  <c r="L124" i="1"/>
  <c r="J124" i="1"/>
  <c r="J120" i="1"/>
  <c r="L116" i="1"/>
  <c r="J116" i="1"/>
  <c r="J113" i="1"/>
  <c r="L109" i="1"/>
  <c r="J109" i="1"/>
  <c r="L107" i="1"/>
  <c r="J107" i="1"/>
  <c r="L105" i="1"/>
  <c r="J105" i="1"/>
  <c r="L102" i="1"/>
  <c r="J102" i="1"/>
  <c r="L99" i="1"/>
  <c r="J99" i="1"/>
  <c r="L95" i="1"/>
  <c r="J95" i="1"/>
  <c r="L92" i="1"/>
  <c r="J92" i="1"/>
  <c r="L89" i="1"/>
  <c r="J89" i="1"/>
  <c r="L82" i="1"/>
  <c r="J82" i="1"/>
  <c r="L79" i="1"/>
  <c r="J79" i="1"/>
  <c r="L76" i="1"/>
  <c r="J76" i="1"/>
  <c r="L72" i="1"/>
  <c r="J72" i="1"/>
  <c r="L69" i="1"/>
  <c r="J69" i="1"/>
  <c r="L66" i="1"/>
  <c r="J66" i="1"/>
  <c r="L63" i="1"/>
  <c r="J63" i="1"/>
  <c r="L59" i="1"/>
  <c r="J59" i="1"/>
  <c r="L56" i="1"/>
  <c r="J56" i="1"/>
  <c r="L53" i="1"/>
  <c r="J53" i="1"/>
  <c r="L49" i="1"/>
  <c r="J49" i="1"/>
  <c r="L46" i="1"/>
  <c r="J46" i="1"/>
  <c r="L43" i="1"/>
  <c r="J43" i="1"/>
  <c r="L39" i="1"/>
  <c r="J39" i="1"/>
  <c r="L36" i="1"/>
  <c r="J36" i="1"/>
  <c r="L31" i="1"/>
  <c r="J31" i="1"/>
  <c r="L27" i="1"/>
  <c r="J27" i="1"/>
  <c r="L25" i="1"/>
  <c r="J25" i="1"/>
  <c r="L21" i="1"/>
  <c r="J21" i="1"/>
  <c r="L16" i="1"/>
  <c r="J16" i="1"/>
  <c r="L12" i="1"/>
  <c r="J12" i="1"/>
  <c r="L9" i="1"/>
  <c r="J9" i="1"/>
  <c r="L5" i="1"/>
  <c r="J5" i="1"/>
  <c r="M298" i="6"/>
  <c r="M297" i="6"/>
  <c r="M294" i="6"/>
  <c r="M292" i="6"/>
  <c r="M289" i="6"/>
  <c r="M287" i="6"/>
  <c r="M285" i="6"/>
  <c r="M280" i="6"/>
  <c r="M279" i="6"/>
  <c r="M278" i="6"/>
  <c r="M277" i="6"/>
  <c r="L1963" i="1"/>
  <c r="J1963" i="1"/>
  <c r="L1959" i="1"/>
  <c r="J1959" i="1"/>
  <c r="L1956" i="1"/>
  <c r="J1956" i="1"/>
  <c r="L1954" i="1"/>
  <c r="J1954" i="1"/>
  <c r="L1952" i="1"/>
  <c r="J1952" i="1"/>
  <c r="L1950" i="1"/>
  <c r="J1950" i="1"/>
  <c r="L1947" i="1"/>
  <c r="J1947" i="1"/>
  <c r="L1945" i="1"/>
  <c r="J1945" i="1"/>
  <c r="L1943" i="1"/>
  <c r="J1943" i="1"/>
  <c r="L1941" i="1"/>
  <c r="J1941" i="1"/>
  <c r="L1939" i="1"/>
  <c r="J1939" i="1"/>
  <c r="L1936" i="1"/>
  <c r="J1936" i="1"/>
  <c r="L1934" i="1"/>
  <c r="J1934" i="1"/>
  <c r="L1931" i="1"/>
  <c r="J1931" i="1"/>
  <c r="L1929" i="1"/>
  <c r="J1929" i="1"/>
  <c r="L1926" i="1"/>
  <c r="J1926" i="1"/>
  <c r="L1924" i="1"/>
  <c r="J1924" i="1"/>
  <c r="L1922" i="1"/>
  <c r="J1922" i="1"/>
  <c r="L1919" i="1"/>
  <c r="J1919" i="1"/>
  <c r="L1917" i="1"/>
  <c r="J1917" i="1"/>
  <c r="L1915" i="1"/>
  <c r="J1915" i="1"/>
  <c r="L1913" i="1"/>
  <c r="J1913" i="1"/>
  <c r="L1910" i="1"/>
  <c r="J1910" i="1"/>
  <c r="L1908" i="1"/>
  <c r="J1908" i="1"/>
  <c r="L1906" i="1"/>
  <c r="J1906" i="1"/>
  <c r="L1904" i="1"/>
  <c r="J1904" i="1"/>
  <c r="L1902" i="1"/>
  <c r="J1902" i="1"/>
  <c r="L1899" i="1"/>
  <c r="J1899" i="1"/>
  <c r="L1897" i="1"/>
  <c r="J1897" i="1"/>
  <c r="L1895" i="1"/>
  <c r="J1895" i="1"/>
  <c r="L1893" i="1"/>
  <c r="J1893" i="1"/>
  <c r="L1890" i="1"/>
  <c r="J1890" i="1"/>
  <c r="L1888" i="1"/>
  <c r="J1888" i="1"/>
  <c r="J1886" i="1"/>
  <c r="L1885" i="1"/>
  <c r="J1885" i="1"/>
  <c r="L1882" i="1"/>
  <c r="J1882" i="1"/>
  <c r="L1880" i="1"/>
  <c r="J1880" i="1"/>
  <c r="L1878" i="1"/>
  <c r="J1878" i="1"/>
  <c r="L1875" i="1"/>
  <c r="J1875" i="1"/>
  <c r="L1873" i="1"/>
  <c r="J1873" i="1"/>
  <c r="L1871" i="1"/>
  <c r="J1871" i="1"/>
  <c r="L1868" i="1"/>
  <c r="J1868" i="1"/>
  <c r="L1866" i="1"/>
  <c r="J1866" i="1"/>
  <c r="L1864" i="1"/>
  <c r="J1864" i="1"/>
  <c r="L1862" i="1"/>
  <c r="J1862" i="1"/>
  <c r="L1859" i="1"/>
  <c r="J1859" i="1"/>
  <c r="L1857" i="1"/>
  <c r="J1857" i="1"/>
  <c r="L1855" i="1"/>
  <c r="J1855" i="1"/>
  <c r="L1852" i="1"/>
  <c r="J1852" i="1"/>
  <c r="L1850" i="1"/>
  <c r="J1850" i="1"/>
  <c r="L1847" i="1"/>
  <c r="J1847" i="1"/>
  <c r="L1844" i="1"/>
  <c r="J1844" i="1"/>
  <c r="L1842" i="1"/>
  <c r="J1842" i="1"/>
  <c r="L1840" i="1"/>
  <c r="J1840" i="1"/>
  <c r="L1838" i="1"/>
  <c r="J1838" i="1"/>
  <c r="L1835" i="1"/>
  <c r="J1835" i="1"/>
  <c r="L1833" i="1"/>
  <c r="J1833" i="1"/>
  <c r="L1831" i="1"/>
  <c r="J1831" i="1"/>
  <c r="L1828" i="1"/>
  <c r="J1828" i="1"/>
  <c r="L1826" i="1"/>
  <c r="J1826" i="1"/>
  <c r="L1824" i="1"/>
  <c r="J1824" i="1"/>
  <c r="L1819" i="1"/>
  <c r="J1819" i="1"/>
  <c r="L1817" i="1"/>
  <c r="J1817" i="1"/>
  <c r="L1815" i="1"/>
  <c r="J1815" i="1"/>
  <c r="L1812" i="1"/>
  <c r="J1812" i="1"/>
  <c r="L1810" i="1"/>
  <c r="J1810" i="1"/>
  <c r="L1808" i="1"/>
  <c r="J1808" i="1"/>
  <c r="L1805" i="1"/>
  <c r="J1805" i="1"/>
  <c r="L1803" i="1"/>
  <c r="J1803" i="1"/>
  <c r="L1801" i="1"/>
  <c r="J1801" i="1"/>
  <c r="L1799" i="1"/>
  <c r="J1799" i="1"/>
  <c r="L1796" i="1"/>
  <c r="J1796" i="1"/>
  <c r="L1794" i="1"/>
  <c r="J1794" i="1"/>
  <c r="L1792" i="1"/>
  <c r="J1792" i="1"/>
  <c r="L1789" i="1"/>
  <c r="J1789" i="1"/>
  <c r="L1787" i="1"/>
  <c r="J1787" i="1"/>
  <c r="L1785" i="1"/>
  <c r="J1785" i="1"/>
  <c r="L1783" i="1"/>
  <c r="J1783" i="1"/>
  <c r="L1781" i="1"/>
  <c r="L1778" i="1"/>
  <c r="J1778" i="1"/>
  <c r="L1776" i="1"/>
  <c r="J1776" i="1"/>
  <c r="L1771" i="1"/>
  <c r="J1771" i="1"/>
  <c r="L1769" i="1"/>
  <c r="J1769" i="1"/>
  <c r="L1767" i="1"/>
  <c r="J1767" i="1"/>
  <c r="J1763" i="1"/>
  <c r="L1760" i="1"/>
  <c r="J1760" i="1"/>
  <c r="L1758" i="1"/>
  <c r="J1758" i="1"/>
  <c r="L1755" i="1"/>
  <c r="J1755" i="1"/>
  <c r="J1753" i="1"/>
  <c r="L1749" i="1"/>
  <c r="J1749" i="1"/>
  <c r="L1746" i="1"/>
  <c r="J1746" i="1"/>
  <c r="L1743" i="1"/>
  <c r="J1743" i="1"/>
  <c r="L1739" i="1"/>
  <c r="J1739" i="1"/>
  <c r="L1736" i="1"/>
  <c r="J1736" i="1"/>
  <c r="L1734" i="1"/>
  <c r="J1734" i="1"/>
  <c r="L1731" i="1"/>
  <c r="J1731" i="1"/>
  <c r="L1724" i="1"/>
  <c r="J1724" i="1"/>
  <c r="L1721" i="1"/>
  <c r="J1721" i="1"/>
  <c r="L1718" i="1"/>
  <c r="J1718" i="1"/>
  <c r="L1714" i="1"/>
  <c r="J1714" i="1"/>
  <c r="L1711" i="1"/>
  <c r="L1708" i="1"/>
  <c r="J1708" i="1"/>
  <c r="L1707" i="1"/>
  <c r="J1707" i="1"/>
  <c r="L1703" i="1"/>
  <c r="J1703" i="1"/>
  <c r="L1700" i="1"/>
  <c r="J1700" i="1"/>
  <c r="L1697" i="1"/>
  <c r="J1697" i="1"/>
  <c r="L1694" i="1"/>
  <c r="J1694" i="1"/>
  <c r="L1691" i="1"/>
  <c r="J1691" i="1"/>
  <c r="L1687" i="1"/>
  <c r="J1687" i="1"/>
  <c r="L1684" i="1"/>
  <c r="J1684" i="1"/>
  <c r="L1681" i="1"/>
  <c r="J1681" i="1"/>
  <c r="L1678" i="1"/>
  <c r="J1678" i="1"/>
  <c r="L1674" i="1"/>
  <c r="J1674" i="1"/>
  <c r="L1671" i="1"/>
  <c r="J1671" i="1"/>
  <c r="L1668" i="1"/>
  <c r="J1668" i="1"/>
  <c r="L1665" i="1"/>
  <c r="J1662" i="1"/>
  <c r="L1659" i="1"/>
  <c r="L1658" i="1"/>
  <c r="J1658" i="1"/>
  <c r="L1655" i="1"/>
  <c r="J1655" i="1"/>
  <c r="L1652" i="1"/>
  <c r="J1652" i="1"/>
  <c r="L1649" i="1"/>
  <c r="J1649" i="1"/>
  <c r="L1646" i="1"/>
  <c r="J1646" i="1"/>
  <c r="L1642" i="1"/>
  <c r="J1642" i="1"/>
  <c r="L1639" i="1"/>
  <c r="J1639" i="1"/>
  <c r="L1636" i="1"/>
  <c r="J1636" i="1"/>
  <c r="L1630" i="1"/>
  <c r="J1630" i="1"/>
  <c r="L1627" i="1"/>
  <c r="J1627" i="1"/>
  <c r="L1624" i="1"/>
  <c r="J1624" i="1"/>
  <c r="L1621" i="1"/>
  <c r="J1621" i="1"/>
  <c r="L1617" i="1"/>
  <c r="J1617" i="1"/>
  <c r="L1614" i="1"/>
  <c r="J1614" i="1"/>
  <c r="L1609" i="1"/>
  <c r="J1609" i="1"/>
  <c r="L1605" i="1"/>
  <c r="J1605" i="1"/>
  <c r="L1602" i="1"/>
  <c r="J1602" i="1"/>
  <c r="L1599" i="1"/>
  <c r="J1599" i="1"/>
  <c r="L1596" i="1"/>
  <c r="J1596" i="1"/>
  <c r="J1593" i="1"/>
  <c r="L1589" i="1"/>
  <c r="J1589" i="1"/>
  <c r="L1586" i="1"/>
  <c r="J1586" i="1"/>
  <c r="L1583" i="1"/>
  <c r="J1583" i="1"/>
  <c r="L1580" i="1"/>
  <c r="J1580" i="1"/>
  <c r="L1576" i="1"/>
  <c r="J1576" i="1"/>
  <c r="L1573" i="1"/>
  <c r="J1573" i="1"/>
  <c r="L1570" i="1"/>
  <c r="J1570" i="1"/>
  <c r="L1567" i="1"/>
  <c r="J1567" i="1"/>
  <c r="L1564" i="1"/>
  <c r="J1564" i="1"/>
  <c r="L1563" i="1"/>
  <c r="J1563" i="1"/>
  <c r="L1560" i="1"/>
  <c r="J1560" i="1"/>
  <c r="L1557" i="1"/>
  <c r="J1557" i="1"/>
  <c r="L1554" i="1"/>
  <c r="J1554" i="1"/>
  <c r="L1550" i="1"/>
  <c r="J1550" i="1"/>
  <c r="L1547" i="1"/>
  <c r="J1547" i="1"/>
  <c r="L1544" i="1"/>
  <c r="J1544" i="1"/>
  <c r="L1541" i="1"/>
  <c r="J1541" i="1"/>
  <c r="L1537" i="1"/>
  <c r="J1537" i="1"/>
  <c r="L1534" i="1"/>
  <c r="J1534" i="1"/>
  <c r="L1531" i="1"/>
  <c r="J1531" i="1"/>
  <c r="L1528" i="1"/>
  <c r="J1528" i="1"/>
  <c r="L1524" i="1"/>
  <c r="J1524" i="1"/>
  <c r="L1521" i="1"/>
  <c r="J1521" i="1"/>
  <c r="L1518" i="1"/>
  <c r="J1518" i="1"/>
  <c r="L1515" i="1"/>
  <c r="J1515" i="1"/>
  <c r="L1512" i="1"/>
  <c r="J1512" i="1"/>
  <c r="L1511" i="1"/>
  <c r="J1511" i="1"/>
  <c r="L1508" i="1"/>
  <c r="J1508" i="1"/>
  <c r="L1505" i="1"/>
  <c r="J1505" i="1"/>
  <c r="L1502" i="1"/>
  <c r="J1502" i="1"/>
  <c r="L1498" i="1"/>
  <c r="J1498" i="1"/>
  <c r="L1495" i="1"/>
  <c r="J1495" i="1"/>
  <c r="L1492" i="1"/>
  <c r="J1492" i="1"/>
  <c r="L1488" i="1"/>
  <c r="J1488" i="1"/>
  <c r="L1485" i="1"/>
  <c r="J1485" i="1"/>
  <c r="L1482" i="1"/>
  <c r="J1482" i="1"/>
  <c r="L1479" i="1"/>
  <c r="J1479" i="1"/>
  <c r="L1476" i="1"/>
  <c r="J1476" i="1"/>
  <c r="L1475" i="1"/>
  <c r="J1475" i="1"/>
  <c r="L1472" i="1"/>
  <c r="J1472" i="1"/>
  <c r="L1469" i="1"/>
  <c r="J1469" i="1"/>
  <c r="L1466" i="1"/>
  <c r="J1466" i="1"/>
  <c r="L1462" i="1"/>
  <c r="J1462" i="1"/>
  <c r="L1460" i="1"/>
  <c r="J1460" i="1"/>
  <c r="L1458" i="1"/>
  <c r="J1458" i="1"/>
  <c r="L1456" i="1"/>
  <c r="J1456" i="1"/>
  <c r="L1453" i="1"/>
  <c r="J1453" i="1"/>
  <c r="L1450" i="1"/>
  <c r="J1450" i="1"/>
  <c r="L1447" i="1"/>
  <c r="J1447" i="1"/>
  <c r="L1444" i="1"/>
  <c r="J1444" i="1"/>
  <c r="L1437" i="1"/>
  <c r="J1437" i="1"/>
  <c r="L1434" i="1"/>
  <c r="J1434" i="1"/>
  <c r="L1431" i="1"/>
  <c r="J1431" i="1"/>
  <c r="L1428" i="1"/>
  <c r="J1428" i="1"/>
  <c r="L1425" i="1"/>
  <c r="L1421" i="1"/>
  <c r="J1421" i="1"/>
  <c r="L1418" i="1"/>
  <c r="J1418" i="1"/>
  <c r="L1415" i="1"/>
  <c r="J1415" i="1"/>
  <c r="L1411" i="1"/>
  <c r="J1411" i="1"/>
  <c r="L1408" i="1"/>
  <c r="J1408" i="1"/>
  <c r="L1401" i="1"/>
  <c r="J1401" i="1"/>
  <c r="L1398" i="1"/>
  <c r="J1398" i="1"/>
  <c r="L1395" i="1"/>
  <c r="J1395" i="1"/>
  <c r="L1391" i="1"/>
  <c r="J1391" i="1"/>
  <c r="L1388" i="1"/>
  <c r="J1388" i="1"/>
  <c r="L1385" i="1"/>
  <c r="J1385" i="1"/>
  <c r="L1382" i="1"/>
  <c r="J1382" i="1"/>
  <c r="L1379" i="1"/>
  <c r="J1379" i="1"/>
  <c r="L1378" i="1"/>
  <c r="J1378" i="1"/>
  <c r="L1375" i="1"/>
  <c r="J1375" i="1"/>
  <c r="L1372" i="1"/>
  <c r="J1372" i="1"/>
  <c r="L1368" i="1"/>
  <c r="J1368" i="1"/>
  <c r="J1362" i="1"/>
  <c r="L1361" i="1"/>
  <c r="J1361" i="1"/>
  <c r="L1358" i="1"/>
  <c r="J1358" i="1"/>
  <c r="L1355" i="1"/>
  <c r="L1351" i="1"/>
  <c r="J1351" i="1"/>
  <c r="L1348" i="1"/>
  <c r="J1348" i="1"/>
  <c r="L1345" i="1"/>
  <c r="J1345" i="1"/>
  <c r="L1342" i="1"/>
  <c r="J1342" i="1"/>
  <c r="L1341" i="1"/>
  <c r="J1341" i="1"/>
  <c r="L1338" i="1"/>
  <c r="J1338" i="1"/>
  <c r="L1335" i="1"/>
  <c r="J1335" i="1"/>
  <c r="L1332" i="1"/>
  <c r="J1332" i="1"/>
  <c r="L1328" i="1"/>
  <c r="J1328" i="1"/>
  <c r="L1325" i="1"/>
  <c r="J1325" i="1"/>
  <c r="L1322" i="1"/>
  <c r="J1322" i="1"/>
  <c r="L1319" i="1"/>
  <c r="L1318" i="1"/>
  <c r="J1318" i="1"/>
  <c r="L1314" i="1"/>
  <c r="J1314" i="1"/>
  <c r="L1310" i="1"/>
  <c r="J1310" i="1"/>
  <c r="L1306" i="1"/>
  <c r="J1306" i="1"/>
  <c r="L1301" i="1"/>
  <c r="J1301" i="1"/>
  <c r="L1297" i="1"/>
  <c r="J1297" i="1"/>
  <c r="L1293" i="1"/>
  <c r="J1293" i="1"/>
  <c r="L1288" i="1"/>
  <c r="J1288" i="1"/>
  <c r="L1283" i="1"/>
  <c r="J1283" i="1"/>
  <c r="L1279" i="1"/>
  <c r="J1279" i="1"/>
  <c r="L1275" i="1"/>
  <c r="J1275" i="1"/>
  <c r="L1271" i="1"/>
  <c r="L1265" i="1"/>
  <c r="J1265" i="1"/>
  <c r="L1261" i="1"/>
  <c r="J1261" i="1"/>
  <c r="L1257" i="1"/>
  <c r="J1257" i="1"/>
  <c r="J1253" i="1"/>
  <c r="L1247" i="1"/>
  <c r="J1247" i="1"/>
  <c r="L1243" i="1"/>
  <c r="J1243" i="1"/>
  <c r="L1239" i="1"/>
  <c r="J1239" i="1"/>
  <c r="L1235" i="1"/>
  <c r="J1235" i="1"/>
  <c r="L1231" i="1"/>
  <c r="J1231" i="1"/>
  <c r="L1227" i="1"/>
  <c r="J1227" i="1"/>
  <c r="L1221" i="1"/>
  <c r="J1221" i="1"/>
  <c r="L1217" i="1"/>
  <c r="J1217" i="1"/>
  <c r="L1213" i="1"/>
  <c r="J1213" i="1"/>
  <c r="L1207" i="1"/>
  <c r="J1207" i="1"/>
  <c r="L1203" i="1"/>
  <c r="J1203" i="1"/>
  <c r="L1199" i="1"/>
  <c r="J1199" i="1"/>
  <c r="L1195" i="1"/>
  <c r="J1195" i="1"/>
  <c r="L1185" i="1"/>
  <c r="J1185" i="1"/>
  <c r="L1181" i="1"/>
  <c r="J1181" i="1"/>
  <c r="L1177" i="1"/>
  <c r="J1177" i="1"/>
  <c r="L1173" i="1"/>
  <c r="L1168" i="1"/>
  <c r="J1168" i="1"/>
  <c r="L1163" i="1"/>
  <c r="J1163" i="1"/>
  <c r="L1159" i="1"/>
  <c r="J1159" i="1"/>
  <c r="L1155" i="1"/>
  <c r="J1155" i="1"/>
  <c r="J1150" i="1"/>
  <c r="L1145" i="1"/>
  <c r="J1145" i="1"/>
  <c r="L1141" i="1"/>
  <c r="J1141" i="1"/>
  <c r="L1136" i="1"/>
  <c r="J1136" i="1"/>
  <c r="L1131" i="1"/>
  <c r="J1131" i="1"/>
  <c r="L1127" i="1"/>
  <c r="J1127" i="1"/>
  <c r="L1122" i="1"/>
  <c r="J1122" i="1"/>
  <c r="L1118" i="1"/>
  <c r="L1117" i="1"/>
  <c r="J1117" i="1"/>
  <c r="L1113" i="1"/>
  <c r="J1113" i="1"/>
  <c r="L1108" i="1"/>
  <c r="J1108" i="1"/>
  <c r="L1104" i="1"/>
  <c r="J1104" i="1"/>
  <c r="L1099" i="1"/>
  <c r="J1099" i="1"/>
  <c r="J1095" i="1"/>
  <c r="L1093" i="1"/>
  <c r="J1093" i="1"/>
  <c r="L1089" i="1"/>
  <c r="J1089" i="1"/>
  <c r="L1084" i="1"/>
  <c r="J1084" i="1"/>
  <c r="L1075" i="1"/>
  <c r="J1075" i="1"/>
  <c r="L1070" i="1"/>
  <c r="J1070" i="1"/>
  <c r="J1066" i="1"/>
  <c r="L1065" i="1"/>
  <c r="J1065" i="1"/>
  <c r="L1061" i="1"/>
  <c r="J1061" i="1"/>
  <c r="L1055" i="1"/>
  <c r="J1055" i="1"/>
  <c r="L1051" i="1"/>
  <c r="J1051" i="1"/>
  <c r="L1050" i="1"/>
  <c r="J1050" i="1"/>
  <c r="L1045" i="1"/>
  <c r="J1045" i="1"/>
  <c r="L1040" i="1"/>
  <c r="J1040" i="1"/>
  <c r="L1034" i="1"/>
  <c r="J1034" i="1"/>
  <c r="L1033" i="1"/>
  <c r="J1033" i="1"/>
  <c r="L1029" i="1"/>
  <c r="J1029" i="1"/>
  <c r="L1024" i="1"/>
  <c r="J1024" i="1"/>
  <c r="L1018" i="1"/>
  <c r="J1018" i="1"/>
  <c r="L1017" i="1"/>
  <c r="J1017" i="1"/>
  <c r="L1011" i="1"/>
  <c r="J1011" i="1"/>
  <c r="L1006" i="1"/>
  <c r="J1006" i="1"/>
  <c r="L1001" i="1"/>
  <c r="L995" i="1"/>
  <c r="J995" i="1"/>
  <c r="L990" i="1"/>
  <c r="J990" i="1"/>
  <c r="J985" i="1"/>
  <c r="L984" i="1"/>
  <c r="J984" i="1"/>
  <c r="L979" i="1"/>
  <c r="J979" i="1"/>
  <c r="L974" i="1"/>
  <c r="J974" i="1"/>
  <c r="L969" i="1"/>
  <c r="J969" i="1"/>
  <c r="L963" i="1"/>
  <c r="J963" i="1"/>
  <c r="L957" i="1"/>
  <c r="J957" i="1"/>
  <c r="L952" i="1"/>
  <c r="J952" i="1"/>
  <c r="L947" i="1"/>
  <c r="J947" i="1"/>
  <c r="L937" i="1"/>
  <c r="J937" i="1"/>
  <c r="L931" i="1"/>
  <c r="J931" i="1"/>
  <c r="L930" i="1"/>
  <c r="J930" i="1"/>
  <c r="J925" i="1"/>
  <c r="L919" i="1"/>
  <c r="J919" i="1"/>
  <c r="L918" i="1"/>
  <c r="J918" i="1"/>
  <c r="L914" i="1"/>
  <c r="J914" i="1"/>
  <c r="L909" i="1"/>
  <c r="J909" i="1"/>
  <c r="L903" i="1"/>
  <c r="J903" i="1"/>
  <c r="L897" i="1"/>
  <c r="J897" i="1"/>
  <c r="L893" i="1"/>
  <c r="J893" i="1"/>
  <c r="L887" i="1"/>
  <c r="J887" i="1"/>
  <c r="L881" i="1"/>
  <c r="J881" i="1"/>
  <c r="L876" i="1"/>
  <c r="J876" i="1"/>
  <c r="L875" i="1"/>
  <c r="J875" i="1"/>
  <c r="L871" i="1"/>
  <c r="J871" i="1"/>
  <c r="L866" i="1"/>
  <c r="J866" i="1"/>
  <c r="J855" i="1"/>
  <c r="L854" i="1"/>
  <c r="J854" i="1"/>
  <c r="L849" i="1"/>
  <c r="J849" i="1"/>
  <c r="L843" i="1"/>
  <c r="J843" i="1"/>
  <c r="L837" i="1"/>
  <c r="J837" i="1"/>
  <c r="L832" i="1"/>
  <c r="J832" i="1"/>
  <c r="L828" i="1"/>
  <c r="J828" i="1"/>
  <c r="L827" i="1"/>
  <c r="J827" i="1"/>
  <c r="L821" i="1"/>
  <c r="J821" i="1"/>
  <c r="L816" i="1"/>
  <c r="J816" i="1"/>
  <c r="J806" i="1"/>
  <c r="L801" i="1"/>
  <c r="J801" i="1"/>
  <c r="L795" i="1"/>
  <c r="J795" i="1"/>
  <c r="L789" i="1"/>
  <c r="J789" i="1"/>
  <c r="L785" i="1"/>
  <c r="J785" i="1"/>
  <c r="L779" i="1"/>
  <c r="J779" i="1"/>
  <c r="L773" i="1"/>
  <c r="L768" i="1"/>
  <c r="J768" i="1"/>
  <c r="L759" i="1"/>
  <c r="J759" i="1"/>
  <c r="L754" i="1"/>
  <c r="J754" i="1"/>
  <c r="L753" i="1"/>
  <c r="J753" i="1"/>
  <c r="J748" i="1"/>
  <c r="J741" i="1"/>
  <c r="L740" i="1"/>
  <c r="J740" i="1"/>
  <c r="L735" i="1"/>
  <c r="J735" i="1"/>
  <c r="L731" i="1"/>
  <c r="J731" i="1"/>
  <c r="L725" i="1"/>
  <c r="J725" i="1"/>
  <c r="L719" i="1"/>
  <c r="J719" i="1"/>
  <c r="L714" i="1"/>
  <c r="J714" i="1"/>
  <c r="L710" i="1"/>
  <c r="J710" i="1"/>
  <c r="L703" i="1"/>
  <c r="J703" i="1"/>
  <c r="L698" i="1"/>
  <c r="J698" i="1"/>
  <c r="L692" i="1"/>
  <c r="J692" i="1"/>
  <c r="L682" i="1"/>
  <c r="L681" i="1"/>
  <c r="J681" i="1"/>
  <c r="L676" i="1"/>
  <c r="L672" i="1"/>
  <c r="L671" i="1"/>
  <c r="J671" i="1"/>
  <c r="L666" i="1"/>
  <c r="J666" i="1"/>
  <c r="L660" i="1"/>
  <c r="J660" i="1"/>
  <c r="L655" i="1"/>
  <c r="J655" i="1"/>
  <c r="L644" i="1"/>
  <c r="J644" i="1"/>
  <c r="L639" i="1"/>
  <c r="J639" i="1"/>
  <c r="L629" i="1"/>
  <c r="J629" i="1"/>
  <c r="L623" i="1"/>
  <c r="J623" i="1"/>
  <c r="L618" i="1"/>
  <c r="J618" i="1"/>
  <c r="L614" i="1"/>
  <c r="J614" i="1"/>
  <c r="L607" i="1"/>
  <c r="J607" i="1"/>
  <c r="L602" i="1"/>
  <c r="L596" i="1"/>
  <c r="J596" i="1"/>
  <c r="J592" i="1"/>
  <c r="L591" i="1"/>
  <c r="J591" i="1"/>
  <c r="L585" i="1"/>
  <c r="J585" i="1"/>
  <c r="L580" i="1"/>
  <c r="J580" i="1"/>
  <c r="J576" i="1"/>
  <c r="L569" i="1"/>
  <c r="J569" i="1"/>
  <c r="L564" i="1"/>
  <c r="J564" i="1"/>
  <c r="L560" i="1"/>
  <c r="J560" i="1"/>
  <c r="L555" i="1"/>
  <c r="J555" i="1"/>
  <c r="L548" i="1"/>
  <c r="J548" i="1"/>
  <c r="L539" i="1"/>
  <c r="J539" i="1"/>
  <c r="L533" i="1"/>
  <c r="J533" i="1"/>
  <c r="L527" i="1"/>
  <c r="J527" i="1"/>
  <c r="L523" i="1"/>
  <c r="J523" i="1"/>
  <c r="L518" i="1"/>
  <c r="J518" i="1"/>
  <c r="L513" i="1"/>
  <c r="J513" i="1"/>
  <c r="L502" i="1"/>
  <c r="J502" i="1"/>
  <c r="L497" i="1"/>
  <c r="J497" i="1"/>
  <c r="L492" i="1"/>
  <c r="J492" i="1"/>
  <c r="L488" i="1"/>
  <c r="L481" i="1"/>
  <c r="J481" i="1"/>
  <c r="L476" i="1"/>
  <c r="J476" i="1"/>
  <c r="J472" i="1"/>
  <c r="L471" i="1"/>
  <c r="J471" i="1"/>
  <c r="L467" i="1"/>
  <c r="J467" i="1"/>
  <c r="L461" i="1"/>
  <c r="J461" i="1"/>
  <c r="L455" i="1"/>
  <c r="J455" i="1"/>
  <c r="J451" i="1"/>
  <c r="L445" i="1"/>
  <c r="J445" i="1"/>
  <c r="L441" i="1"/>
  <c r="J441" i="1"/>
  <c r="L436" i="1"/>
  <c r="J436" i="1"/>
  <c r="L431" i="1"/>
  <c r="L430" i="1"/>
  <c r="L429" i="1"/>
  <c r="J429" i="1"/>
  <c r="L424" i="1"/>
  <c r="J424" i="1"/>
  <c r="L420" i="1"/>
  <c r="J420" i="1"/>
  <c r="L415" i="1"/>
  <c r="L408" i="1"/>
  <c r="J408" i="1"/>
  <c r="L403" i="1"/>
  <c r="J403" i="1"/>
  <c r="L399" i="1"/>
  <c r="J399" i="1"/>
  <c r="L392" i="1"/>
  <c r="J392" i="1"/>
  <c r="L387" i="1"/>
  <c r="J387" i="1"/>
  <c r="L378" i="1"/>
  <c r="L377" i="1"/>
  <c r="J377" i="1"/>
  <c r="L371" i="1"/>
  <c r="J371" i="1"/>
  <c r="L366" i="1"/>
  <c r="J366" i="1"/>
  <c r="L362" i="1"/>
  <c r="J362" i="1"/>
  <c r="L357" i="1"/>
  <c r="L356" i="1"/>
  <c r="L350" i="1"/>
  <c r="J350" i="1"/>
  <c r="L346" i="1"/>
  <c r="J346" i="1"/>
  <c r="L341" i="1"/>
  <c r="J341" i="1"/>
  <c r="L336" i="1"/>
  <c r="J336" i="1"/>
  <c r="L329" i="1"/>
  <c r="J329" i="1"/>
  <c r="L325" i="1"/>
  <c r="J325" i="1"/>
  <c r="L320" i="1"/>
  <c r="J320" i="1"/>
  <c r="L315" i="1"/>
  <c r="J315" i="1"/>
  <c r="L310" i="1"/>
  <c r="J310" i="1"/>
  <c r="L304" i="1"/>
  <c r="J304" i="1"/>
  <c r="L299" i="1"/>
  <c r="J299" i="1"/>
  <c r="L294" i="1"/>
  <c r="J294" i="1"/>
  <c r="L293" i="1"/>
  <c r="J293" i="1"/>
  <c r="L289" i="1"/>
  <c r="J289" i="1"/>
  <c r="L284" i="1"/>
  <c r="J284" i="1"/>
  <c r="L280" i="1"/>
  <c r="L279" i="1"/>
  <c r="J279" i="1"/>
  <c r="L275" i="1"/>
  <c r="J275" i="1"/>
  <c r="L269" i="1"/>
  <c r="J269" i="1"/>
  <c r="L265" i="1"/>
  <c r="J265" i="1"/>
  <c r="L260" i="1"/>
  <c r="J260" i="1"/>
  <c r="L256" i="1"/>
  <c r="J256" i="1"/>
  <c r="L254" i="1"/>
  <c r="J254" i="1"/>
  <c r="L253" i="1"/>
  <c r="J253" i="1"/>
  <c r="L249" i="1"/>
  <c r="J249" i="1"/>
  <c r="L244" i="1"/>
  <c r="J244" i="1"/>
  <c r="L239" i="1"/>
  <c r="J239" i="1"/>
  <c r="L233" i="1"/>
  <c r="L229" i="1"/>
  <c r="L225" i="1"/>
  <c r="L224" i="1"/>
  <c r="J224" i="1"/>
  <c r="L219" i="1"/>
  <c r="J219" i="1"/>
  <c r="J215" i="1"/>
  <c r="L211" i="1"/>
  <c r="J211" i="1"/>
  <c r="L209" i="1"/>
  <c r="J209" i="1"/>
  <c r="L207" i="1"/>
  <c r="J207" i="1"/>
  <c r="L204" i="1"/>
  <c r="J204" i="1"/>
  <c r="L202" i="1"/>
  <c r="J202" i="1"/>
  <c r="L199" i="1"/>
  <c r="J199" i="1"/>
  <c r="L197" i="1"/>
  <c r="J197" i="1"/>
  <c r="L195" i="1"/>
  <c r="J195" i="1"/>
  <c r="L193" i="1"/>
  <c r="J193" i="1"/>
  <c r="L190" i="1"/>
  <c r="J190" i="1"/>
  <c r="L188" i="1"/>
  <c r="J188" i="1"/>
  <c r="L186" i="1"/>
  <c r="J186" i="1"/>
  <c r="L183" i="1"/>
  <c r="J183" i="1"/>
  <c r="L172" i="1"/>
  <c r="J172" i="1"/>
  <c r="L168" i="1"/>
  <c r="J168" i="1"/>
  <c r="J164" i="1"/>
  <c r="L159" i="1"/>
  <c r="J159" i="1"/>
  <c r="L155" i="1"/>
  <c r="J155" i="1"/>
  <c r="L151" i="1"/>
  <c r="J151" i="1"/>
  <c r="L147" i="1"/>
  <c r="J147" i="1"/>
  <c r="L143" i="1"/>
  <c r="J143" i="1"/>
  <c r="L139" i="1"/>
  <c r="J139" i="1"/>
  <c r="L135" i="1"/>
  <c r="J135" i="1"/>
  <c r="L132" i="1"/>
  <c r="J132" i="1"/>
  <c r="L131" i="1"/>
  <c r="J131" i="1"/>
  <c r="L128" i="1"/>
  <c r="J128" i="1"/>
  <c r="L125" i="1"/>
  <c r="J125" i="1"/>
  <c r="L121" i="1"/>
  <c r="J121" i="1"/>
  <c r="L118" i="1"/>
  <c r="J118" i="1"/>
  <c r="L114" i="1"/>
  <c r="J114" i="1"/>
  <c r="L110" i="1"/>
  <c r="J110" i="1"/>
  <c r="J108" i="1"/>
  <c r="L106" i="1"/>
  <c r="J106" i="1"/>
  <c r="L103" i="1"/>
  <c r="J103" i="1"/>
  <c r="L100" i="1"/>
  <c r="J100" i="1"/>
  <c r="L97" i="1"/>
  <c r="J97" i="1"/>
  <c r="L93" i="1"/>
  <c r="J93" i="1"/>
  <c r="L90" i="1"/>
  <c r="J90" i="1"/>
  <c r="L87" i="1"/>
  <c r="J87" i="1"/>
  <c r="L84" i="1"/>
  <c r="J84" i="1"/>
  <c r="L80" i="1"/>
  <c r="J80" i="1"/>
  <c r="L77" i="1"/>
  <c r="J77" i="1"/>
  <c r="L74" i="1"/>
  <c r="J74" i="1"/>
  <c r="L70" i="1"/>
  <c r="J70" i="1"/>
  <c r="L67" i="1"/>
  <c r="J67" i="1"/>
  <c r="L64" i="1"/>
  <c r="J64" i="1"/>
  <c r="L57" i="1"/>
  <c r="J57" i="1"/>
  <c r="L54" i="1"/>
  <c r="J54" i="1"/>
  <c r="L51" i="1"/>
  <c r="J51" i="1"/>
  <c r="J48" i="1"/>
  <c r="L45" i="1"/>
  <c r="J45" i="1"/>
  <c r="L41" i="1"/>
  <c r="J41" i="1"/>
  <c r="L37" i="1"/>
  <c r="J37" i="1"/>
  <c r="L33" i="1"/>
  <c r="J33" i="1"/>
  <c r="L30" i="1"/>
  <c r="J30" i="1"/>
  <c r="L26" i="1"/>
  <c r="J26" i="1"/>
  <c r="J23" i="1"/>
  <c r="L22" i="1"/>
  <c r="J22" i="1"/>
  <c r="L19" i="1"/>
  <c r="J19" i="1"/>
  <c r="L15" i="1"/>
  <c r="J15" i="1"/>
  <c r="L11" i="1"/>
  <c r="J11" i="1"/>
  <c r="L8" i="1"/>
  <c r="J8" i="1"/>
  <c r="M302" i="6"/>
  <c r="M301" i="6"/>
  <c r="M300" i="6"/>
  <c r="M299" i="6"/>
  <c r="M291" i="6"/>
  <c r="M288" i="6"/>
  <c r="M283" i="6"/>
  <c r="M282" i="6"/>
  <c r="M145" i="6"/>
  <c r="M144" i="6"/>
  <c r="M142" i="6"/>
  <c r="M141" i="6"/>
  <c r="M137" i="6"/>
  <c r="M134" i="6"/>
  <c r="M133" i="6"/>
  <c r="M131" i="6"/>
  <c r="M129" i="6"/>
  <c r="M126" i="6"/>
  <c r="M125" i="6"/>
  <c r="M122" i="6"/>
  <c r="M120" i="6"/>
  <c r="M119" i="6"/>
  <c r="M117" i="6"/>
  <c r="M115" i="6"/>
  <c r="M114" i="6"/>
  <c r="M112" i="6"/>
  <c r="M110" i="6"/>
  <c r="M109" i="6"/>
  <c r="M107" i="6"/>
  <c r="M105" i="6"/>
  <c r="M103" i="6"/>
  <c r="M101" i="6"/>
  <c r="M100" i="6"/>
  <c r="M98" i="6"/>
  <c r="M96" i="6"/>
  <c r="M95" i="6"/>
  <c r="M93" i="6"/>
  <c r="M92" i="6"/>
  <c r="M90" i="6"/>
  <c r="M86" i="6"/>
  <c r="M85" i="6"/>
  <c r="M82" i="6"/>
  <c r="M79" i="6"/>
  <c r="M76" i="6"/>
  <c r="M74" i="6"/>
  <c r="M73" i="6"/>
  <c r="M70" i="6"/>
  <c r="M68" i="6"/>
  <c r="M66" i="6"/>
  <c r="M64" i="6"/>
  <c r="M63" i="6"/>
  <c r="M61" i="6"/>
  <c r="M59" i="6"/>
  <c r="M58" i="6"/>
  <c r="M56" i="6"/>
  <c r="M54" i="6"/>
  <c r="M53" i="6"/>
  <c r="M51" i="6"/>
  <c r="M49" i="6"/>
  <c r="M47" i="6"/>
  <c r="M45" i="6"/>
  <c r="M42" i="6"/>
  <c r="M41" i="6"/>
  <c r="M37" i="6"/>
  <c r="M35" i="6"/>
  <c r="M33" i="6"/>
  <c r="M31" i="6"/>
  <c r="M30" i="6"/>
  <c r="M27" i="6"/>
  <c r="M26" i="6"/>
  <c r="M24" i="6"/>
  <c r="M22" i="6"/>
  <c r="M20" i="6"/>
  <c r="M18" i="6"/>
  <c r="M16" i="6"/>
  <c r="M14" i="6"/>
  <c r="M12" i="6"/>
  <c r="M9" i="6"/>
  <c r="M7" i="6"/>
  <c r="M4" i="6"/>
  <c r="G199" i="5"/>
  <c r="G197" i="5"/>
  <c r="G196" i="5"/>
  <c r="G194" i="5"/>
  <c r="G193" i="5"/>
  <c r="G191" i="5"/>
  <c r="G190" i="5"/>
  <c r="G187" i="5"/>
  <c r="G184" i="5"/>
  <c r="G182" i="5"/>
  <c r="G181" i="5"/>
  <c r="G179" i="5"/>
  <c r="G178" i="5"/>
  <c r="G177" i="5"/>
  <c r="G175" i="5"/>
  <c r="G173" i="5"/>
  <c r="G172" i="5"/>
  <c r="G171" i="5"/>
  <c r="G170" i="5"/>
  <c r="G165" i="5"/>
  <c r="G159" i="5"/>
  <c r="G157" i="5"/>
  <c r="G156" i="5"/>
  <c r="G155" i="5"/>
  <c r="G154" i="5"/>
  <c r="G149" i="5"/>
  <c r="G148" i="5"/>
  <c r="G145" i="5"/>
  <c r="G143" i="5"/>
  <c r="G142" i="5"/>
  <c r="G141" i="5"/>
  <c r="G140" i="5"/>
  <c r="G139" i="5"/>
  <c r="G137" i="5"/>
  <c r="G136" i="5"/>
  <c r="G135" i="5"/>
  <c r="G132" i="5"/>
  <c r="G131" i="5"/>
  <c r="G130" i="5"/>
  <c r="G128" i="5"/>
  <c r="G125" i="5"/>
  <c r="G123" i="5"/>
  <c r="G117" i="5"/>
  <c r="G115" i="5"/>
  <c r="G112" i="5"/>
  <c r="G109" i="5"/>
  <c r="G108" i="5"/>
  <c r="G103" i="5"/>
  <c r="G102" i="5"/>
  <c r="G101" i="5"/>
  <c r="G98" i="5"/>
  <c r="G96" i="5"/>
  <c r="G91" i="5"/>
  <c r="G89" i="5"/>
  <c r="G88" i="5"/>
  <c r="G86" i="5"/>
  <c r="G83" i="5"/>
  <c r="G81" i="5"/>
  <c r="G79" i="5"/>
  <c r="G77" i="5"/>
  <c r="G76" i="5"/>
  <c r="G72" i="5"/>
  <c r="G69" i="5"/>
  <c r="G66" i="5"/>
  <c r="G64" i="5"/>
  <c r="G61" i="5"/>
  <c r="G60" i="5"/>
  <c r="G57" i="5"/>
  <c r="G54" i="5"/>
  <c r="G52" i="5"/>
  <c r="G48" i="5"/>
  <c r="G41" i="5"/>
  <c r="G39" i="5"/>
  <c r="G37" i="5"/>
  <c r="G35" i="5"/>
  <c r="G33" i="5"/>
  <c r="G32" i="5"/>
  <c r="G30" i="5"/>
  <c r="G26" i="5"/>
  <c r="G25" i="5"/>
  <c r="G21" i="5"/>
  <c r="G19" i="5"/>
  <c r="G18" i="5"/>
  <c r="G15" i="5"/>
  <c r="G13" i="5"/>
  <c r="G12" i="5"/>
  <c r="G10" i="5"/>
  <c r="G8" i="5"/>
  <c r="G4" i="5"/>
  <c r="V7" i="4"/>
  <c r="S7" i="4"/>
  <c r="W6" i="4"/>
  <c r="V5" i="4"/>
  <c r="S5" i="4"/>
  <c r="L2004" i="1"/>
  <c r="J2004" i="1"/>
  <c r="M296" i="6"/>
  <c r="M295" i="6"/>
  <c r="M293" i="6"/>
  <c r="M290" i="6"/>
  <c r="M284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3" i="6"/>
  <c r="M140" i="6"/>
  <c r="M139" i="6"/>
  <c r="M138" i="6"/>
  <c r="M136" i="6"/>
  <c r="M135" i="6"/>
  <c r="M132" i="6"/>
  <c r="M130" i="6"/>
  <c r="M128" i="6"/>
  <c r="M127" i="6"/>
  <c r="M124" i="6"/>
  <c r="M123" i="6"/>
  <c r="M121" i="6"/>
  <c r="M118" i="6"/>
  <c r="M116" i="6"/>
  <c r="M113" i="6"/>
  <c r="M111" i="6"/>
  <c r="M108" i="6"/>
  <c r="M106" i="6"/>
  <c r="M104" i="6"/>
  <c r="M102" i="6"/>
  <c r="M99" i="6"/>
  <c r="M97" i="6"/>
  <c r="M94" i="6"/>
  <c r="M91" i="6"/>
  <c r="M89" i="6"/>
  <c r="M88" i="6"/>
  <c r="M87" i="6"/>
  <c r="M84" i="6"/>
  <c r="M83" i="6"/>
  <c r="M81" i="6"/>
  <c r="M80" i="6"/>
  <c r="M78" i="6"/>
  <c r="M77" i="6"/>
  <c r="M75" i="6"/>
  <c r="M72" i="6"/>
  <c r="M71" i="6"/>
  <c r="M69" i="6"/>
  <c r="M67" i="6"/>
  <c r="M65" i="6"/>
  <c r="M62" i="6"/>
  <c r="M60" i="6"/>
  <c r="M57" i="6"/>
  <c r="M55" i="6"/>
  <c r="M52" i="6"/>
  <c r="M50" i="6"/>
  <c r="M48" i="6"/>
  <c r="M46" i="6"/>
  <c r="M44" i="6"/>
  <c r="M43" i="6"/>
  <c r="M40" i="6"/>
  <c r="M39" i="6"/>
  <c r="M38" i="6"/>
  <c r="M36" i="6"/>
  <c r="M34" i="6"/>
  <c r="M32" i="6"/>
  <c r="M29" i="6"/>
  <c r="M28" i="6"/>
  <c r="M25" i="6"/>
  <c r="M23" i="6"/>
  <c r="M21" i="6"/>
  <c r="M19" i="6"/>
  <c r="M17" i="6"/>
  <c r="M15" i="6"/>
  <c r="M13" i="6"/>
  <c r="M11" i="6"/>
  <c r="M10" i="6"/>
  <c r="M8" i="6"/>
  <c r="M6" i="6"/>
  <c r="M5" i="6"/>
  <c r="G203" i="5"/>
  <c r="G202" i="5"/>
  <c r="G201" i="5"/>
  <c r="G200" i="5"/>
  <c r="G198" i="5"/>
  <c r="G195" i="5"/>
  <c r="G192" i="5"/>
  <c r="G189" i="5"/>
  <c r="G188" i="5"/>
  <c r="G186" i="5"/>
  <c r="G185" i="5"/>
  <c r="G183" i="5"/>
  <c r="G180" i="5"/>
  <c r="G176" i="5"/>
  <c r="G174" i="5"/>
  <c r="G169" i="5"/>
  <c r="G168" i="5"/>
  <c r="G167" i="5"/>
  <c r="G166" i="5"/>
  <c r="G164" i="5"/>
  <c r="G163" i="5"/>
  <c r="G162" i="5"/>
  <c r="G161" i="5"/>
  <c r="G160" i="5"/>
  <c r="G158" i="5"/>
  <c r="G153" i="5"/>
  <c r="G152" i="5"/>
  <c r="G151" i="5"/>
  <c r="G150" i="5"/>
  <c r="G147" i="5"/>
  <c r="G146" i="5"/>
  <c r="G144" i="5"/>
  <c r="G138" i="5"/>
  <c r="G134" i="5"/>
  <c r="G133" i="5"/>
  <c r="G129" i="5"/>
  <c r="G127" i="5"/>
  <c r="G126" i="5"/>
  <c r="G124" i="5"/>
  <c r="G122" i="5"/>
  <c r="G121" i="5"/>
  <c r="G120" i="5"/>
  <c r="G119" i="5"/>
  <c r="G118" i="5"/>
  <c r="G116" i="5"/>
  <c r="G114" i="5"/>
  <c r="G113" i="5"/>
  <c r="G111" i="5"/>
  <c r="G110" i="5"/>
  <c r="G107" i="5"/>
  <c r="G106" i="5"/>
  <c r="G105" i="5"/>
  <c r="G104" i="5"/>
  <c r="G100" i="5"/>
  <c r="G99" i="5"/>
  <c r="G97" i="5"/>
  <c r="G95" i="5"/>
  <c r="G94" i="5"/>
  <c r="G93" i="5"/>
  <c r="G92" i="5"/>
  <c r="G90" i="5"/>
  <c r="G87" i="5"/>
  <c r="G85" i="5"/>
  <c r="G84" i="5"/>
  <c r="G82" i="5"/>
  <c r="G80" i="5"/>
  <c r="G78" i="5"/>
  <c r="G75" i="5"/>
  <c r="G74" i="5"/>
  <c r="G73" i="5"/>
  <c r="G71" i="5"/>
  <c r="G70" i="5"/>
  <c r="G68" i="5"/>
  <c r="G67" i="5"/>
  <c r="G65" i="5"/>
  <c r="G63" i="5"/>
  <c r="G62" i="5"/>
  <c r="G59" i="5"/>
  <c r="G58" i="5"/>
  <c r="G56" i="5"/>
  <c r="G55" i="5"/>
  <c r="G53" i="5"/>
  <c r="G51" i="5"/>
  <c r="G50" i="5"/>
  <c r="G49" i="5"/>
  <c r="G47" i="5"/>
  <c r="G46" i="5"/>
  <c r="G45" i="5"/>
  <c r="G44" i="5"/>
  <c r="G43" i="5"/>
  <c r="G42" i="5"/>
  <c r="G40" i="5"/>
  <c r="G38" i="5"/>
  <c r="G36" i="5"/>
  <c r="G34" i="5"/>
  <c r="G31" i="5"/>
  <c r="G29" i="5"/>
  <c r="G28" i="5"/>
  <c r="G27" i="5"/>
  <c r="G24" i="5"/>
  <c r="G23" i="5"/>
  <c r="G22" i="5"/>
  <c r="G20" i="5"/>
  <c r="G17" i="5"/>
  <c r="G16" i="5"/>
  <c r="G14" i="5"/>
  <c r="G11" i="5"/>
  <c r="G9" i="5"/>
  <c r="G7" i="5"/>
  <c r="G6" i="5"/>
  <c r="G5" i="5"/>
  <c r="W7" i="4"/>
  <c r="V6" i="4"/>
  <c r="S6" i="4"/>
  <c r="W5" i="4"/>
  <c r="L2003" i="1"/>
  <c r="J2003" i="1"/>
  <c r="L2001" i="1"/>
  <c r="J2001" i="1"/>
  <c r="L2000" i="1"/>
  <c r="J2000" i="1"/>
  <c r="L1998" i="1"/>
  <c r="J1998" i="1"/>
  <c r="L1997" i="1"/>
  <c r="J1997" i="1"/>
  <c r="L1996" i="1"/>
  <c r="J1996" i="1"/>
  <c r="L1994" i="1"/>
  <c r="J1994" i="1"/>
  <c r="L1993" i="1"/>
  <c r="J1993" i="1"/>
  <c r="L1992" i="1"/>
  <c r="J1992" i="1"/>
  <c r="L1991" i="1"/>
  <c r="J1991" i="1"/>
  <c r="L1989" i="1"/>
  <c r="J1989" i="1"/>
  <c r="L1988" i="1"/>
  <c r="J1988" i="1"/>
  <c r="L1987" i="1"/>
  <c r="J1987" i="1"/>
  <c r="L1986" i="1"/>
  <c r="L1984" i="1"/>
  <c r="J1984" i="1"/>
  <c r="L1983" i="1"/>
  <c r="J1983" i="1"/>
  <c r="L1982" i="1"/>
  <c r="J1982" i="1"/>
  <c r="L1981" i="1"/>
  <c r="J1981" i="1"/>
  <c r="L1980" i="1"/>
  <c r="J1980" i="1"/>
  <c r="L1979" i="1"/>
  <c r="J1979" i="1"/>
  <c r="L1978" i="1"/>
  <c r="J1978" i="1"/>
  <c r="L1977" i="1"/>
  <c r="J1977" i="1"/>
  <c r="L1976" i="1"/>
  <c r="J1976" i="1"/>
  <c r="L1975" i="1"/>
  <c r="J1975" i="1"/>
  <c r="L1974" i="1"/>
  <c r="J1974" i="1"/>
  <c r="L1973" i="1"/>
  <c r="J1973" i="1"/>
  <c r="L1972" i="1"/>
  <c r="J1972" i="1"/>
  <c r="L1971" i="1"/>
  <c r="J1971" i="1"/>
  <c r="L1970" i="1"/>
  <c r="J1970" i="1"/>
  <c r="L1969" i="1"/>
  <c r="J1969" i="1"/>
  <c r="L1968" i="1"/>
  <c r="J1968" i="1"/>
  <c r="L1967" i="1"/>
  <c r="J1967" i="1"/>
  <c r="L1966" i="1"/>
  <c r="J1966" i="1"/>
  <c r="L1965" i="1"/>
  <c r="J1965" i="1"/>
  <c r="L1964" i="1"/>
  <c r="J1964" i="1"/>
  <c r="L1962" i="1"/>
  <c r="J1962" i="1"/>
  <c r="L1961" i="1"/>
  <c r="J1961" i="1"/>
  <c r="L1960" i="1"/>
  <c r="J1960" i="1"/>
  <c r="L1958" i="1"/>
  <c r="J1958" i="1"/>
  <c r="L1957" i="1"/>
  <c r="J1957" i="1"/>
  <c r="L1955" i="1"/>
  <c r="J1955" i="1"/>
  <c r="L1953" i="1"/>
  <c r="J1953" i="1"/>
  <c r="L1951" i="1"/>
  <c r="J1951" i="1"/>
  <c r="L1949" i="1"/>
  <c r="J1949" i="1"/>
  <c r="L1948" i="1"/>
  <c r="J1948" i="1"/>
  <c r="L1946" i="1"/>
  <c r="J1946" i="1"/>
  <c r="L1944" i="1"/>
  <c r="J1944" i="1"/>
  <c r="L1942" i="1"/>
  <c r="J1942" i="1"/>
  <c r="L1940" i="1"/>
  <c r="J1940" i="1"/>
  <c r="L1938" i="1"/>
  <c r="J1938" i="1"/>
  <c r="L1937" i="1"/>
  <c r="J1937" i="1"/>
  <c r="L1935" i="1"/>
  <c r="J1935" i="1"/>
  <c r="L1933" i="1"/>
  <c r="J1933" i="1"/>
  <c r="L1932" i="1"/>
  <c r="J1932" i="1"/>
  <c r="L1930" i="1"/>
  <c r="J1930" i="1"/>
  <c r="L1928" i="1"/>
  <c r="J1928" i="1"/>
  <c r="L1927" i="1"/>
  <c r="J1927" i="1"/>
  <c r="L1925" i="1"/>
  <c r="J1925" i="1"/>
  <c r="L1923" i="1"/>
  <c r="J1923" i="1"/>
  <c r="L1921" i="1"/>
  <c r="J1921" i="1"/>
  <c r="L1920" i="1"/>
  <c r="J1920" i="1"/>
  <c r="L1918" i="1"/>
  <c r="J1918" i="1"/>
  <c r="L1916" i="1"/>
  <c r="J1916" i="1"/>
  <c r="L1914" i="1"/>
  <c r="J1914" i="1"/>
  <c r="L1912" i="1"/>
  <c r="J1912" i="1"/>
  <c r="L1911" i="1"/>
  <c r="J1911" i="1"/>
  <c r="L1909" i="1"/>
  <c r="J1909" i="1"/>
  <c r="L1907" i="1"/>
  <c r="J1907" i="1"/>
  <c r="L1905" i="1"/>
  <c r="J1905" i="1"/>
  <c r="L1903" i="1"/>
  <c r="J1903" i="1"/>
  <c r="L1901" i="1"/>
  <c r="J1901" i="1"/>
  <c r="L1900" i="1"/>
  <c r="J1900" i="1"/>
  <c r="L1898" i="1"/>
  <c r="J1898" i="1"/>
  <c r="L1896" i="1"/>
  <c r="J1896" i="1"/>
  <c r="L1894" i="1"/>
  <c r="J1894" i="1"/>
  <c r="L1892" i="1"/>
  <c r="J1892" i="1"/>
  <c r="J1891" i="1"/>
  <c r="L1889" i="1"/>
  <c r="J1889" i="1"/>
  <c r="L1887" i="1"/>
  <c r="J1887" i="1"/>
  <c r="L1884" i="1"/>
  <c r="J1884" i="1"/>
  <c r="L1883" i="1"/>
  <c r="J1883" i="1"/>
  <c r="L1881" i="1"/>
  <c r="J1881" i="1"/>
  <c r="L1879" i="1"/>
  <c r="J1879" i="1"/>
  <c r="L1877" i="1"/>
  <c r="J1877" i="1"/>
  <c r="L1876" i="1"/>
  <c r="J1876" i="1"/>
  <c r="L1874" i="1"/>
  <c r="J1874" i="1"/>
  <c r="L1872" i="1"/>
  <c r="J1872" i="1"/>
  <c r="L1870" i="1"/>
  <c r="J1870" i="1"/>
  <c r="L1869" i="1"/>
  <c r="J1869" i="1"/>
  <c r="L1867" i="1"/>
  <c r="J1867" i="1"/>
  <c r="L1865" i="1"/>
  <c r="J1865" i="1"/>
  <c r="L1863" i="1"/>
  <c r="J1863" i="1"/>
  <c r="L1861" i="1"/>
  <c r="J1861" i="1"/>
  <c r="L1860" i="1"/>
  <c r="J1860" i="1"/>
  <c r="L1858" i="1"/>
  <c r="J1858" i="1"/>
  <c r="L1856" i="1"/>
  <c r="J1856" i="1"/>
  <c r="L1854" i="1"/>
  <c r="J1854" i="1"/>
  <c r="L1853" i="1"/>
  <c r="J1853" i="1"/>
  <c r="L1851" i="1"/>
  <c r="J1851" i="1"/>
  <c r="L1849" i="1"/>
  <c r="J1849" i="1"/>
  <c r="L1846" i="1"/>
  <c r="J1846" i="1"/>
  <c r="L1845" i="1"/>
  <c r="J1845" i="1"/>
  <c r="L1843" i="1"/>
  <c r="J1843" i="1"/>
  <c r="L1841" i="1"/>
  <c r="J1841" i="1"/>
  <c r="L1839" i="1"/>
  <c r="J1839" i="1"/>
  <c r="J1837" i="1"/>
  <c r="L1836" i="1"/>
  <c r="J1836" i="1"/>
  <c r="L1834" i="1"/>
  <c r="J1834" i="1"/>
  <c r="L1832" i="1"/>
  <c r="J1832" i="1"/>
  <c r="L1830" i="1"/>
  <c r="J1830" i="1"/>
  <c r="L1829" i="1"/>
  <c r="J1829" i="1"/>
  <c r="L1827" i="1"/>
  <c r="J1827" i="1"/>
  <c r="L1825" i="1"/>
  <c r="J1825" i="1"/>
  <c r="L1823" i="1"/>
  <c r="J1823" i="1"/>
  <c r="L1822" i="1"/>
  <c r="J1822" i="1"/>
  <c r="L1821" i="1"/>
  <c r="J1821" i="1"/>
  <c r="L1820" i="1"/>
  <c r="J1820" i="1"/>
  <c r="L1818" i="1"/>
  <c r="J1818" i="1"/>
  <c r="L1816" i="1"/>
  <c r="J1816" i="1"/>
  <c r="L1814" i="1"/>
  <c r="J1814" i="1"/>
  <c r="L1813" i="1"/>
  <c r="J1813" i="1"/>
  <c r="L1811" i="1"/>
  <c r="J1811" i="1"/>
  <c r="L1809" i="1"/>
  <c r="J1809" i="1"/>
  <c r="L1807" i="1"/>
  <c r="J1807" i="1"/>
  <c r="L1806" i="1"/>
  <c r="J1806" i="1"/>
  <c r="L1804" i="1"/>
  <c r="J1804" i="1"/>
  <c r="L1802" i="1"/>
  <c r="J1802" i="1"/>
  <c r="L1800" i="1"/>
  <c r="J1800" i="1"/>
  <c r="L1798" i="1"/>
  <c r="J1798" i="1"/>
  <c r="L1797" i="1"/>
  <c r="J1797" i="1"/>
  <c r="L1795" i="1"/>
  <c r="J1795" i="1"/>
  <c r="L1793" i="1"/>
  <c r="J1793" i="1"/>
  <c r="L1791" i="1"/>
  <c r="J1791" i="1"/>
  <c r="L1790" i="1"/>
  <c r="J1790" i="1"/>
  <c r="L1788" i="1"/>
  <c r="J1788" i="1"/>
  <c r="L1786" i="1"/>
  <c r="J1786" i="1"/>
  <c r="L1784" i="1"/>
  <c r="J1784" i="1"/>
  <c r="L1782" i="1"/>
  <c r="J1782" i="1"/>
  <c r="J1781" i="1"/>
  <c r="L1780" i="1"/>
  <c r="J1780" i="1"/>
  <c r="L1779" i="1"/>
  <c r="J1779" i="1"/>
  <c r="L1777" i="1"/>
  <c r="J1777" i="1"/>
  <c r="L1775" i="1"/>
  <c r="J1775" i="1"/>
  <c r="L1774" i="1"/>
  <c r="J1774" i="1"/>
  <c r="L1773" i="1"/>
  <c r="J1773" i="1"/>
  <c r="L1772" i="1"/>
  <c r="J1772" i="1"/>
  <c r="L1770" i="1"/>
  <c r="J1770" i="1"/>
  <c r="L1768" i="1"/>
  <c r="J1768" i="1"/>
  <c r="L1766" i="1"/>
  <c r="J1766" i="1"/>
  <c r="L1765" i="1"/>
  <c r="J1765" i="1"/>
  <c r="L1764" i="1"/>
  <c r="J1764" i="1"/>
  <c r="L1763" i="1"/>
  <c r="L1762" i="1"/>
  <c r="J1762" i="1"/>
  <c r="L1761" i="1"/>
  <c r="J1761" i="1"/>
  <c r="L1759" i="1"/>
  <c r="J1759" i="1"/>
  <c r="L1757" i="1"/>
  <c r="J1757" i="1"/>
  <c r="L1754" i="1"/>
  <c r="J1754" i="1"/>
  <c r="L1752" i="1"/>
  <c r="J1752" i="1"/>
  <c r="L1750" i="1"/>
  <c r="J1750" i="1"/>
  <c r="J1748" i="1"/>
  <c r="L1745" i="1"/>
  <c r="J1745" i="1"/>
  <c r="L1742" i="1"/>
  <c r="J1742" i="1"/>
  <c r="L1740" i="1"/>
  <c r="J1740" i="1"/>
  <c r="L1738" i="1"/>
  <c r="J1738" i="1"/>
  <c r="L1735" i="1"/>
  <c r="J1735" i="1"/>
  <c r="L1732" i="1"/>
  <c r="J1732" i="1"/>
  <c r="J1730" i="1"/>
  <c r="L1729" i="1"/>
  <c r="J1729" i="1"/>
  <c r="L1728" i="1"/>
  <c r="J1728" i="1"/>
  <c r="L1725" i="1"/>
  <c r="J1725" i="1"/>
  <c r="L1722" i="1"/>
  <c r="J1722" i="1"/>
  <c r="L1719" i="1"/>
  <c r="J1719" i="1"/>
  <c r="L1716" i="1"/>
  <c r="J1716" i="1"/>
  <c r="L1715" i="1"/>
  <c r="J1715" i="1"/>
  <c r="L1712" i="1"/>
  <c r="J1712" i="1"/>
  <c r="L1709" i="1"/>
  <c r="J1709" i="1"/>
  <c r="L1706" i="1"/>
  <c r="J1706" i="1"/>
  <c r="L1704" i="1"/>
  <c r="J1704" i="1"/>
  <c r="L1702" i="1"/>
  <c r="J1702" i="1"/>
  <c r="L1699" i="1"/>
  <c r="J1699" i="1"/>
  <c r="L1696" i="1"/>
  <c r="J1696" i="1"/>
  <c r="L1693" i="1"/>
  <c r="J1693" i="1"/>
  <c r="L1690" i="1"/>
  <c r="J1690" i="1"/>
  <c r="L1689" i="1"/>
  <c r="J1689" i="1"/>
  <c r="L1686" i="1"/>
  <c r="J1686" i="1"/>
  <c r="L1683" i="1"/>
  <c r="J1683" i="1"/>
  <c r="L1680" i="1"/>
  <c r="J1680" i="1"/>
  <c r="L1677" i="1"/>
  <c r="J1677" i="1"/>
  <c r="L1676" i="1"/>
  <c r="J1676" i="1"/>
  <c r="L1673" i="1"/>
  <c r="J1673" i="1"/>
  <c r="L1670" i="1"/>
  <c r="J1670" i="1"/>
  <c r="L1667" i="1"/>
  <c r="J1667" i="1"/>
  <c r="J1665" i="1"/>
  <c r="L1664" i="1"/>
  <c r="J1664" i="1"/>
  <c r="J1663" i="1"/>
  <c r="L1662" i="1"/>
  <c r="L1661" i="1"/>
  <c r="J1661" i="1"/>
  <c r="J1659" i="1"/>
  <c r="L1657" i="1"/>
  <c r="J1657" i="1"/>
  <c r="L1654" i="1"/>
  <c r="J1654" i="1"/>
  <c r="L1651" i="1"/>
  <c r="J1651" i="1"/>
  <c r="L1648" i="1"/>
  <c r="J1648" i="1"/>
  <c r="L1645" i="1"/>
  <c r="J1645" i="1"/>
  <c r="L1644" i="1"/>
  <c r="J1644" i="1"/>
  <c r="L1641" i="1"/>
  <c r="J1641" i="1"/>
  <c r="L1638" i="1"/>
  <c r="J1638" i="1"/>
  <c r="L1635" i="1"/>
  <c r="J1635" i="1"/>
  <c r="L1633" i="1"/>
  <c r="J1633" i="1"/>
  <c r="L1631" i="1"/>
  <c r="J1631" i="1"/>
  <c r="L1628" i="1"/>
  <c r="J1628" i="1"/>
  <c r="L1625" i="1"/>
  <c r="J1625" i="1"/>
  <c r="L1623" i="1"/>
  <c r="J1623" i="1"/>
  <c r="L1620" i="1"/>
  <c r="J1620" i="1"/>
  <c r="L1618" i="1"/>
  <c r="J1618" i="1"/>
  <c r="L1615" i="1"/>
  <c r="J1615" i="1"/>
  <c r="L1612" i="1"/>
  <c r="J1612" i="1"/>
  <c r="L1611" i="1"/>
  <c r="J1611" i="1"/>
  <c r="L1608" i="1"/>
  <c r="J1608" i="1"/>
  <c r="L1606" i="1"/>
  <c r="J1606" i="1"/>
  <c r="L1604" i="1"/>
  <c r="J1604" i="1"/>
  <c r="L1601" i="1"/>
  <c r="J1601" i="1"/>
  <c r="L1598" i="1"/>
  <c r="J1598" i="1"/>
  <c r="L1595" i="1"/>
  <c r="J1595" i="1"/>
  <c r="L1593" i="1"/>
  <c r="L1592" i="1"/>
  <c r="J1592" i="1"/>
  <c r="L1590" i="1"/>
  <c r="J1590" i="1"/>
  <c r="L1588" i="1"/>
  <c r="J1588" i="1"/>
  <c r="L1585" i="1"/>
  <c r="J1585" i="1"/>
  <c r="L1582" i="1"/>
  <c r="J1582" i="1"/>
  <c r="L1579" i="1"/>
  <c r="J1579" i="1"/>
  <c r="L1577" i="1"/>
  <c r="J1577" i="1"/>
  <c r="L1574" i="1"/>
  <c r="J1574" i="1"/>
  <c r="L1572" i="1"/>
  <c r="J1572" i="1"/>
  <c r="L1569" i="1"/>
  <c r="J1569" i="1"/>
  <c r="L1566" i="1"/>
  <c r="J1566" i="1"/>
  <c r="L1562" i="1"/>
  <c r="J1562" i="1"/>
  <c r="L1559" i="1"/>
  <c r="J1559" i="1"/>
  <c r="L1556" i="1"/>
  <c r="J1556" i="1"/>
  <c r="L1553" i="1"/>
  <c r="J1553" i="1"/>
  <c r="L1551" i="1"/>
  <c r="J1551" i="1"/>
  <c r="L1549" i="1"/>
  <c r="J1549" i="1"/>
  <c r="L1546" i="1"/>
  <c r="J1546" i="1"/>
  <c r="L1543" i="1"/>
  <c r="J1543" i="1"/>
  <c r="L1540" i="1"/>
  <c r="J1540" i="1"/>
  <c r="L1538" i="1"/>
  <c r="J1538" i="1"/>
  <c r="L1536" i="1"/>
  <c r="J1536" i="1"/>
  <c r="L1533" i="1"/>
  <c r="J1533" i="1"/>
  <c r="L1530" i="1"/>
  <c r="J1530" i="1"/>
  <c r="L1527" i="1"/>
  <c r="J1527" i="1"/>
  <c r="L1525" i="1"/>
  <c r="J1525" i="1"/>
  <c r="L1522" i="1"/>
  <c r="J1522" i="1"/>
  <c r="L1520" i="1"/>
  <c r="J1520" i="1"/>
  <c r="L1517" i="1"/>
  <c r="J1517" i="1"/>
  <c r="L1514" i="1"/>
  <c r="J1514" i="1"/>
  <c r="L1509" i="1"/>
  <c r="J1509" i="1"/>
  <c r="L1507" i="1"/>
  <c r="J1507" i="1"/>
  <c r="L1504" i="1"/>
  <c r="J1504" i="1"/>
  <c r="L1501" i="1"/>
  <c r="J1501" i="1"/>
  <c r="L1499" i="1"/>
  <c r="J1499" i="1"/>
  <c r="L1496" i="1"/>
  <c r="J1496" i="1"/>
  <c r="L1494" i="1"/>
  <c r="J1494" i="1"/>
  <c r="L1491" i="1"/>
  <c r="J1491" i="1"/>
  <c r="L1489" i="1"/>
  <c r="J1489" i="1"/>
  <c r="L1486" i="1"/>
  <c r="J1486" i="1"/>
  <c r="L1483" i="1"/>
  <c r="J1483" i="1"/>
  <c r="L1481" i="1"/>
  <c r="J1481" i="1"/>
  <c r="L1478" i="1"/>
  <c r="J1478" i="1"/>
  <c r="L1473" i="1"/>
  <c r="J1473" i="1"/>
  <c r="L1470" i="1"/>
  <c r="J1470" i="1"/>
  <c r="L1468" i="1"/>
  <c r="L1465" i="1"/>
  <c r="J1465" i="1"/>
  <c r="L1463" i="1"/>
  <c r="J1463" i="1"/>
  <c r="L1461" i="1"/>
  <c r="J1461" i="1"/>
  <c r="L1459" i="1"/>
  <c r="J1459" i="1"/>
  <c r="L1457" i="1"/>
  <c r="J1457" i="1"/>
  <c r="L1455" i="1"/>
  <c r="J1455" i="1"/>
  <c r="L1454" i="1"/>
  <c r="J1454" i="1"/>
  <c r="L1451" i="1"/>
  <c r="J1451" i="1"/>
  <c r="L1449" i="1"/>
  <c r="J1449" i="1"/>
  <c r="L1446" i="1"/>
  <c r="J1446" i="1"/>
  <c r="L1443" i="1"/>
  <c r="J1443" i="1"/>
  <c r="L1441" i="1"/>
  <c r="J1441" i="1"/>
  <c r="L1440" i="1"/>
  <c r="J1440" i="1"/>
  <c r="L1438" i="1"/>
  <c r="J1438" i="1"/>
  <c r="L1435" i="1"/>
  <c r="J1435" i="1"/>
  <c r="L1433" i="1"/>
  <c r="J1433" i="1"/>
  <c r="L1430" i="1"/>
  <c r="J1430" i="1"/>
  <c r="L1427" i="1"/>
  <c r="J1427" i="1"/>
  <c r="J1425" i="1"/>
  <c r="L1424" i="1"/>
  <c r="J1424" i="1"/>
  <c r="L1422" i="1"/>
  <c r="J1422" i="1"/>
  <c r="L1420" i="1"/>
  <c r="J1420" i="1"/>
  <c r="L1417" i="1"/>
  <c r="J1417" i="1"/>
  <c r="L1414" i="1"/>
  <c r="J1414" i="1"/>
  <c r="L1412" i="1"/>
  <c r="J1412" i="1"/>
  <c r="L1409" i="1"/>
  <c r="J1409" i="1"/>
  <c r="L1407" i="1"/>
  <c r="J1407" i="1"/>
  <c r="L1405" i="1"/>
  <c r="J1405" i="1"/>
  <c r="L1404" i="1"/>
  <c r="J1404" i="1"/>
  <c r="L1402" i="1"/>
  <c r="J1402" i="1"/>
  <c r="L1399" i="1"/>
  <c r="J1399" i="1"/>
  <c r="L1396" i="1"/>
  <c r="J1396" i="1"/>
  <c r="L1394" i="1"/>
  <c r="J1394" i="1"/>
  <c r="L1392" i="1"/>
  <c r="J1392" i="1"/>
  <c r="L1389" i="1"/>
  <c r="J1389" i="1"/>
  <c r="L1386" i="1"/>
  <c r="J1386" i="1"/>
  <c r="L1383" i="1"/>
  <c r="J1383" i="1"/>
  <c r="L1381" i="1"/>
  <c r="L1380" i="1"/>
  <c r="J1380" i="1"/>
  <c r="L1376" i="1"/>
  <c r="J1376" i="1"/>
  <c r="L1373" i="1"/>
  <c r="J1373" i="1"/>
  <c r="L1370" i="1"/>
  <c r="J1370" i="1"/>
  <c r="L1367" i="1"/>
  <c r="J1367" i="1"/>
  <c r="L1366" i="1"/>
  <c r="J1366" i="1"/>
  <c r="L1363" i="1"/>
  <c r="J1363" i="1"/>
  <c r="L1360" i="1"/>
  <c r="J1360" i="1"/>
  <c r="L1357" i="1"/>
  <c r="J1357" i="1"/>
  <c r="J1355" i="1"/>
  <c r="L1354" i="1"/>
  <c r="J1354" i="1"/>
  <c r="L1353" i="1"/>
  <c r="J1353" i="1"/>
  <c r="L1350" i="1"/>
  <c r="J1350" i="1"/>
  <c r="L1347" i="1"/>
  <c r="J1347" i="1"/>
  <c r="L1344" i="1"/>
  <c r="J1344" i="1"/>
  <c r="L1340" i="1"/>
  <c r="J1340" i="1"/>
  <c r="L1337" i="1"/>
  <c r="J1337" i="1"/>
  <c r="L1334" i="1"/>
  <c r="J1334" i="1"/>
  <c r="L1331" i="1"/>
  <c r="J1331" i="1"/>
  <c r="L1329" i="1"/>
  <c r="J1329" i="1"/>
  <c r="L1327" i="1"/>
  <c r="J1327" i="1"/>
  <c r="L1326" i="1"/>
  <c r="J1326" i="1"/>
  <c r="L1324" i="1"/>
  <c r="J1324" i="1"/>
  <c r="L1321" i="1"/>
  <c r="J1321" i="1"/>
  <c r="J1319" i="1"/>
  <c r="L1316" i="1"/>
  <c r="L1315" i="1"/>
  <c r="J1315" i="1"/>
  <c r="J1313" i="1"/>
  <c r="L1311" i="1"/>
  <c r="J1311" i="1"/>
  <c r="L1307" i="1"/>
  <c r="J1307" i="1"/>
  <c r="J1305" i="1"/>
  <c r="L1302" i="1"/>
  <c r="J1302" i="1"/>
  <c r="L1298" i="1"/>
  <c r="J1298" i="1"/>
  <c r="L1294" i="1"/>
  <c r="J1294" i="1"/>
  <c r="J1291" i="1"/>
  <c r="L1290" i="1"/>
  <c r="J1290" i="1"/>
  <c r="L1287" i="1"/>
  <c r="J1287" i="1"/>
  <c r="L1284" i="1"/>
  <c r="J1284" i="1"/>
  <c r="L1280" i="1"/>
  <c r="J1280" i="1"/>
  <c r="L1276" i="1"/>
  <c r="J1276" i="1"/>
  <c r="L1272" i="1"/>
  <c r="J1272" i="1"/>
  <c r="J1270" i="1"/>
  <c r="L1267" i="1"/>
  <c r="J1267" i="1"/>
  <c r="L1264" i="1"/>
  <c r="J1264" i="1"/>
  <c r="L1260" i="1"/>
  <c r="J1260" i="1"/>
  <c r="L1256" i="1"/>
  <c r="J1256" i="1"/>
  <c r="L1253" i="1"/>
  <c r="L1252" i="1"/>
  <c r="J1252" i="1"/>
  <c r="L1249" i="1"/>
  <c r="J1249" i="1"/>
  <c r="L1244" i="1"/>
  <c r="J1244" i="1"/>
  <c r="L1240" i="1"/>
  <c r="J1240" i="1"/>
  <c r="L1236" i="1"/>
  <c r="J1236" i="1"/>
  <c r="L1233" i="1"/>
  <c r="J1233" i="1"/>
  <c r="L1229" i="1"/>
  <c r="J1229" i="1"/>
  <c r="L1225" i="1"/>
  <c r="J1225" i="1"/>
  <c r="L1222" i="1"/>
  <c r="J1222" i="1"/>
  <c r="L1218" i="1"/>
  <c r="J1218" i="1"/>
  <c r="J1215" i="1"/>
  <c r="L1211" i="1"/>
  <c r="J1211" i="1"/>
  <c r="L1208" i="1"/>
  <c r="J1208" i="1"/>
  <c r="L1204" i="1"/>
  <c r="J1204" i="1"/>
  <c r="L1200" i="1"/>
  <c r="J1200" i="1"/>
  <c r="L1197" i="1"/>
  <c r="J1197" i="1"/>
  <c r="L1193" i="1"/>
  <c r="J1193" i="1"/>
  <c r="L1189" i="1"/>
  <c r="J1189" i="1"/>
  <c r="L1186" i="1"/>
  <c r="J1186" i="1"/>
  <c r="L1182" i="1"/>
  <c r="J1182" i="1"/>
  <c r="L1178" i="1"/>
  <c r="J1178" i="1"/>
  <c r="L1174" i="1"/>
  <c r="J1174" i="1"/>
  <c r="L1171" i="1"/>
  <c r="J1171" i="1"/>
  <c r="L1167" i="1"/>
  <c r="J1167" i="1"/>
  <c r="L1164" i="1"/>
  <c r="J1164" i="1"/>
  <c r="L1160" i="1"/>
  <c r="J1160" i="1"/>
  <c r="L1157" i="1"/>
  <c r="J1157" i="1"/>
  <c r="L1153" i="1"/>
  <c r="J1153" i="1"/>
  <c r="L1151" i="1"/>
  <c r="J1151" i="1"/>
  <c r="L1147" i="1"/>
  <c r="J1147" i="1"/>
  <c r="L1144" i="1"/>
  <c r="J1144" i="1"/>
  <c r="L1140" i="1"/>
  <c r="J1140" i="1"/>
  <c r="L1137" i="1"/>
  <c r="J1137" i="1"/>
  <c r="L1133" i="1"/>
  <c r="J1133" i="1"/>
  <c r="L1129" i="1"/>
  <c r="J1129" i="1"/>
  <c r="L1126" i="1"/>
  <c r="J1126" i="1"/>
  <c r="L1123" i="1"/>
  <c r="J1123" i="1"/>
  <c r="L1119" i="1"/>
  <c r="J1119" i="1"/>
  <c r="L1115" i="1"/>
  <c r="J1115" i="1"/>
  <c r="L1111" i="1"/>
  <c r="J1111" i="1"/>
  <c r="L1109" i="1"/>
  <c r="J1109" i="1"/>
  <c r="L1105" i="1"/>
  <c r="J1105" i="1"/>
  <c r="L1101" i="1"/>
  <c r="J1101" i="1"/>
  <c r="L1097" i="1"/>
  <c r="J1097" i="1"/>
  <c r="L1095" i="1"/>
  <c r="L1094" i="1"/>
  <c r="J1094" i="1"/>
  <c r="L1091" i="1"/>
  <c r="J1091" i="1"/>
  <c r="L1087" i="1"/>
  <c r="J1087" i="1"/>
  <c r="L1083" i="1"/>
  <c r="J1083" i="1"/>
  <c r="L1080" i="1"/>
  <c r="J1080" i="1"/>
  <c r="L1079" i="1"/>
  <c r="J1079" i="1"/>
  <c r="L1077" i="1"/>
  <c r="J1077" i="1"/>
  <c r="L1073" i="1"/>
  <c r="J1073" i="1"/>
  <c r="L1069" i="1"/>
  <c r="J1069" i="1"/>
  <c r="L1066" i="1"/>
  <c r="L1062" i="1"/>
  <c r="J1062" i="1"/>
  <c r="L1058" i="1"/>
  <c r="J1058" i="1"/>
  <c r="L1054" i="1"/>
  <c r="J1054" i="1"/>
  <c r="L1046" i="1"/>
  <c r="J1046" i="1"/>
  <c r="L1042" i="1"/>
  <c r="J1042" i="1"/>
  <c r="L1038" i="1"/>
  <c r="J1038" i="1"/>
  <c r="L1026" i="1"/>
  <c r="J1026" i="1"/>
  <c r="L1023" i="1"/>
  <c r="J1023" i="1"/>
  <c r="L1019" i="1"/>
  <c r="J1019" i="1"/>
  <c r="L1015" i="1"/>
  <c r="J1015" i="1"/>
  <c r="L1014" i="1"/>
  <c r="J1014" i="1"/>
  <c r="L1010" i="1"/>
  <c r="J1010" i="1"/>
  <c r="L1005" i="1"/>
  <c r="J1005" i="1"/>
  <c r="L1003" i="1"/>
  <c r="J1003" i="1"/>
  <c r="L998" i="1"/>
  <c r="J998" i="1"/>
  <c r="L994" i="1"/>
  <c r="J994" i="1"/>
  <c r="L989" i="1"/>
  <c r="J989" i="1"/>
  <c r="J986" i="1"/>
  <c r="L982" i="1"/>
  <c r="J982" i="1"/>
  <c r="L977" i="1"/>
  <c r="J977" i="1"/>
  <c r="L973" i="1"/>
  <c r="J973" i="1"/>
  <c r="L970" i="1"/>
  <c r="J970" i="1"/>
  <c r="L967" i="1"/>
  <c r="J967" i="1"/>
  <c r="L962" i="1"/>
  <c r="J962" i="1"/>
  <c r="L959" i="1"/>
  <c r="J959" i="1"/>
  <c r="L954" i="1"/>
  <c r="J954" i="1"/>
  <c r="L950" i="1"/>
  <c r="J950" i="1"/>
  <c r="L946" i="1"/>
  <c r="J946" i="1"/>
  <c r="L945" i="1"/>
  <c r="J945" i="1"/>
  <c r="L942" i="1"/>
  <c r="J942" i="1"/>
  <c r="L941" i="1"/>
  <c r="J941" i="1"/>
  <c r="L938" i="1"/>
  <c r="J938" i="1"/>
  <c r="L933" i="1"/>
  <c r="J933" i="1"/>
  <c r="L929" i="1"/>
  <c r="J929" i="1"/>
  <c r="L925" i="1"/>
  <c r="L924" i="1"/>
  <c r="J924" i="1"/>
  <c r="L917" i="1"/>
  <c r="J917" i="1"/>
  <c r="L912" i="1"/>
  <c r="J912" i="1"/>
  <c r="L908" i="1"/>
  <c r="J908" i="1"/>
  <c r="L904" i="1"/>
  <c r="J904" i="1"/>
  <c r="L901" i="1"/>
  <c r="J901" i="1"/>
  <c r="L896" i="1"/>
  <c r="J896" i="1"/>
  <c r="L892" i="1"/>
  <c r="J892" i="1"/>
  <c r="L888" i="1"/>
  <c r="J888" i="1"/>
  <c r="J884" i="1"/>
  <c r="L880" i="1"/>
  <c r="J880" i="1"/>
  <c r="J873" i="1"/>
  <c r="L872" i="1"/>
  <c r="J872" i="1"/>
  <c r="L864" i="1"/>
  <c r="J864" i="1"/>
  <c r="L861" i="1"/>
  <c r="J861" i="1"/>
  <c r="L860" i="1"/>
  <c r="J860" i="1"/>
  <c r="L857" i="1"/>
  <c r="J857" i="1"/>
  <c r="L852" i="1"/>
  <c r="J852" i="1"/>
  <c r="L848" i="1"/>
  <c r="J848" i="1"/>
  <c r="L844" i="1"/>
  <c r="J844" i="1"/>
  <c r="L839" i="1"/>
  <c r="J839" i="1"/>
  <c r="L836" i="1"/>
  <c r="J836" i="1"/>
  <c r="L831" i="1"/>
  <c r="J831" i="1"/>
  <c r="L823" i="1"/>
  <c r="J823" i="1"/>
  <c r="J820" i="1"/>
  <c r="L815" i="1"/>
  <c r="J815" i="1"/>
  <c r="L811" i="1"/>
  <c r="J811" i="1"/>
  <c r="J810" i="1"/>
  <c r="L805" i="1"/>
  <c r="J805" i="1"/>
  <c r="L800" i="1"/>
  <c r="J800" i="1"/>
  <c r="L796" i="1"/>
  <c r="J796" i="1"/>
  <c r="J793" i="1"/>
  <c r="L788" i="1"/>
  <c r="J788" i="1"/>
  <c r="L784" i="1"/>
  <c r="J784" i="1"/>
  <c r="L780" i="1"/>
  <c r="J780" i="1"/>
  <c r="L775" i="1"/>
  <c r="J775" i="1"/>
  <c r="J771" i="1"/>
  <c r="L770" i="1"/>
  <c r="J770" i="1"/>
  <c r="L767" i="1"/>
  <c r="J767" i="1"/>
  <c r="L763" i="1"/>
  <c r="J763" i="1"/>
  <c r="L760" i="1"/>
  <c r="J760" i="1"/>
  <c r="L755" i="1"/>
  <c r="J755" i="1"/>
  <c r="J751" i="1"/>
  <c r="L746" i="1"/>
  <c r="J746" i="1"/>
  <c r="L743" i="1"/>
  <c r="J743" i="1"/>
  <c r="L739" i="1"/>
  <c r="J739" i="1"/>
  <c r="L734" i="1"/>
  <c r="J734" i="1"/>
  <c r="L730" i="1"/>
  <c r="J730" i="1"/>
  <c r="L726" i="1"/>
  <c r="J726" i="1"/>
  <c r="L718" i="1"/>
  <c r="J718" i="1"/>
  <c r="L713" i="1"/>
  <c r="J713" i="1"/>
  <c r="L709" i="1"/>
  <c r="J709" i="1"/>
  <c r="L705" i="1"/>
  <c r="J705" i="1"/>
  <c r="L702" i="1"/>
  <c r="J702" i="1"/>
  <c r="L697" i="1"/>
  <c r="J697" i="1"/>
  <c r="J694" i="1"/>
  <c r="L693" i="1"/>
  <c r="J693" i="1"/>
  <c r="L689" i="1"/>
  <c r="J689" i="1"/>
  <c r="L684" i="1"/>
  <c r="J684" i="1"/>
  <c r="J682" i="1"/>
  <c r="L678" i="1"/>
  <c r="J678" i="1"/>
  <c r="L673" i="1"/>
  <c r="J673" i="1"/>
  <c r="J669" i="1"/>
  <c r="L665" i="1"/>
  <c r="J665" i="1"/>
  <c r="L661" i="1"/>
  <c r="J661" i="1"/>
  <c r="L657" i="1"/>
  <c r="J657" i="1"/>
  <c r="L652" i="1"/>
  <c r="J652" i="1"/>
  <c r="L645" i="1"/>
  <c r="J645" i="1"/>
  <c r="L641" i="1"/>
  <c r="J641" i="1"/>
  <c r="L636" i="1"/>
  <c r="J636" i="1"/>
  <c r="L632" i="1"/>
  <c r="J632" i="1"/>
  <c r="L630" i="1"/>
  <c r="J630" i="1"/>
  <c r="L625" i="1"/>
  <c r="J625" i="1"/>
  <c r="L621" i="1"/>
  <c r="J621" i="1"/>
  <c r="L616" i="1"/>
  <c r="J616" i="1"/>
  <c r="L612" i="1"/>
  <c r="J612" i="1"/>
  <c r="L609" i="1"/>
  <c r="J609" i="1"/>
  <c r="L604" i="1"/>
  <c r="J604" i="1"/>
  <c r="L600" i="1"/>
  <c r="J600" i="1"/>
  <c r="L595" i="1"/>
  <c r="J595" i="1"/>
  <c r="L592" i="1"/>
  <c r="L588" i="1"/>
  <c r="J588" i="1"/>
  <c r="L584" i="1"/>
  <c r="L579" i="1"/>
  <c r="J579" i="1"/>
  <c r="L575" i="1"/>
  <c r="J572" i="1"/>
  <c r="L571" i="1"/>
  <c r="J571" i="1"/>
  <c r="L568" i="1"/>
  <c r="J568" i="1"/>
  <c r="L563" i="1"/>
  <c r="J563" i="1"/>
  <c r="L558" i="1"/>
  <c r="J558" i="1"/>
  <c r="L554" i="1"/>
  <c r="J554" i="1"/>
  <c r="L550" i="1"/>
  <c r="J550" i="1"/>
  <c r="L547" i="1"/>
  <c r="J547" i="1"/>
  <c r="L542" i="1"/>
  <c r="J542" i="1"/>
  <c r="L538" i="1"/>
  <c r="J538" i="1"/>
  <c r="L534" i="1"/>
  <c r="J534" i="1"/>
  <c r="L530" i="1"/>
  <c r="J530" i="1"/>
  <c r="L525" i="1"/>
  <c r="J525" i="1"/>
  <c r="J521" i="1"/>
  <c r="L520" i="1"/>
  <c r="J520" i="1"/>
  <c r="L516" i="1"/>
  <c r="J516" i="1"/>
  <c r="L511" i="1"/>
  <c r="J511" i="1"/>
  <c r="L508" i="1"/>
  <c r="J508" i="1"/>
  <c r="L503" i="1"/>
  <c r="J503" i="1"/>
  <c r="L498" i="1"/>
  <c r="J498" i="1"/>
  <c r="J491" i="1"/>
  <c r="L490" i="1"/>
  <c r="J490" i="1"/>
  <c r="L487" i="1"/>
  <c r="J487" i="1"/>
  <c r="J483" i="1"/>
  <c r="L482" i="1"/>
  <c r="J482" i="1"/>
  <c r="L477" i="1"/>
  <c r="J477" i="1"/>
  <c r="L473" i="1"/>
  <c r="J473" i="1"/>
  <c r="L469" i="1"/>
  <c r="J469" i="1"/>
  <c r="J465" i="1"/>
  <c r="L464" i="1"/>
  <c r="J464" i="1"/>
  <c r="L460" i="1"/>
  <c r="J460" i="1"/>
  <c r="L456" i="1"/>
  <c r="J456" i="1"/>
  <c r="L452" i="1"/>
  <c r="J452" i="1"/>
  <c r="L447" i="1"/>
  <c r="J447" i="1"/>
  <c r="L444" i="1"/>
  <c r="J444" i="1"/>
  <c r="L443" i="1"/>
  <c r="J443" i="1"/>
  <c r="L439" i="1"/>
  <c r="J439" i="1"/>
  <c r="L435" i="1"/>
  <c r="J435" i="1"/>
  <c r="J431" i="1"/>
  <c r="J427" i="1"/>
  <c r="J423" i="1"/>
  <c r="J422" i="1"/>
  <c r="L421" i="1"/>
  <c r="J421" i="1"/>
  <c r="J415" i="1"/>
  <c r="J414" i="1"/>
  <c r="L410" i="1"/>
  <c r="J410" i="1"/>
  <c r="L406" i="1"/>
  <c r="L400" i="1"/>
  <c r="J400" i="1"/>
  <c r="L397" i="1"/>
  <c r="J397" i="1"/>
  <c r="L393" i="1"/>
  <c r="J393" i="1"/>
  <c r="J389" i="1"/>
  <c r="L388" i="1"/>
  <c r="J388" i="1"/>
  <c r="L384" i="1"/>
  <c r="J384" i="1"/>
  <c r="L380" i="1"/>
  <c r="L376" i="1"/>
  <c r="J376" i="1"/>
  <c r="L372" i="1"/>
  <c r="J372" i="1"/>
  <c r="L368" i="1"/>
  <c r="J368" i="1"/>
  <c r="L363" i="1"/>
  <c r="J363" i="1"/>
  <c r="L360" i="1"/>
  <c r="J360" i="1"/>
  <c r="J356" i="1"/>
  <c r="L355" i="1"/>
  <c r="J355" i="1"/>
  <c r="L352" i="1"/>
  <c r="J352" i="1"/>
  <c r="L348" i="1"/>
  <c r="J348" i="1"/>
  <c r="L347" i="1"/>
  <c r="J347" i="1"/>
  <c r="L343" i="1"/>
  <c r="J343" i="1"/>
  <c r="L342" i="1"/>
  <c r="J342" i="1"/>
  <c r="L340" i="1"/>
  <c r="J340" i="1"/>
  <c r="L335" i="1"/>
  <c r="J335" i="1"/>
  <c r="L334" i="1"/>
  <c r="J334" i="1"/>
  <c r="L332" i="1"/>
  <c r="L327" i="1"/>
  <c r="J327" i="1"/>
  <c r="L323" i="1"/>
  <c r="J323" i="1"/>
  <c r="L319" i="1"/>
  <c r="J319" i="1"/>
  <c r="L314" i="1"/>
  <c r="J314" i="1"/>
  <c r="L311" i="1"/>
  <c r="J311" i="1"/>
  <c r="L306" i="1"/>
  <c r="J306" i="1"/>
  <c r="J303" i="1"/>
  <c r="L298" i="1"/>
  <c r="J298" i="1"/>
  <c r="L290" i="1"/>
  <c r="J290" i="1"/>
  <c r="L285" i="1"/>
  <c r="J285" i="1"/>
  <c r="L282" i="1"/>
  <c r="J282" i="1"/>
  <c r="L278" i="1"/>
  <c r="J278" i="1"/>
  <c r="L274" i="1"/>
  <c r="J274" i="1"/>
  <c r="L270" i="1"/>
  <c r="J270" i="1"/>
  <c r="L267" i="1"/>
  <c r="J267" i="1"/>
  <c r="L262" i="1"/>
  <c r="J262" i="1"/>
  <c r="L259" i="1"/>
  <c r="J259" i="1"/>
  <c r="L255" i="1"/>
  <c r="J255" i="1"/>
  <c r="L251" i="1"/>
  <c r="J251" i="1"/>
  <c r="L246" i="1"/>
  <c r="J246" i="1"/>
  <c r="L242" i="1"/>
  <c r="J242" i="1"/>
  <c r="J238" i="1"/>
  <c r="L237" i="1"/>
  <c r="J237" i="1"/>
  <c r="L235" i="1"/>
  <c r="J235" i="1"/>
  <c r="L231" i="1"/>
  <c r="J231" i="1"/>
  <c r="L227" i="1"/>
  <c r="J227" i="1"/>
  <c r="J225" i="1"/>
  <c r="J222" i="1"/>
  <c r="L221" i="1"/>
  <c r="J221" i="1"/>
  <c r="J218" i="1"/>
  <c r="L217" i="1"/>
  <c r="J217" i="1"/>
  <c r="L213" i="1"/>
  <c r="J213" i="1"/>
  <c r="M303" i="6"/>
  <c r="M286" i="6"/>
  <c r="M281" i="6"/>
  <c r="M276" i="6"/>
  <c r="M275" i="6"/>
  <c r="M271" i="6"/>
  <c r="M270" i="6"/>
  <c r="M267" i="6"/>
  <c r="M264" i="6"/>
  <c r="M263" i="6"/>
  <c r="L774" i="1"/>
  <c r="J774" i="1"/>
  <c r="T7" i="4" l="1"/>
  <c r="U7" i="4" s="1"/>
  <c r="T5" i="4"/>
  <c r="U5" i="4" s="1"/>
  <c r="T6" i="4"/>
  <c r="U6" i="4" s="1"/>
</calcChain>
</file>

<file path=xl/sharedStrings.xml><?xml version="1.0" encoding="utf-8"?>
<sst xmlns="http://schemas.openxmlformats.org/spreadsheetml/2006/main" count="8836" uniqueCount="5891">
  <si>
    <t>📋 거래내역 — 투자 거래 기록 (매수/매도)</t>
  </si>
  <si>
    <t>★ A~D, F~G, M열만 입력 | 나머지 자동계산 | 수수료·세금율 수정: 참고 시트 수수료 테이블</t>
  </si>
  <si>
    <t>※ 수수료율·세금율은 참고 시트 적용. 계좌/날짜가 없으면 0 반환</t>
  </si>
  <si>
    <t>날짜</t>
  </si>
  <si>
    <t>거래구분</t>
  </si>
  <si>
    <t>계좌</t>
  </si>
  <si>
    <t>종목코드</t>
  </si>
  <si>
    <t>종목명</t>
  </si>
  <si>
    <t>단가</t>
  </si>
  <si>
    <t>수량</t>
  </si>
  <si>
    <t>거래금액</t>
  </si>
  <si>
    <t>수수료율</t>
  </si>
  <si>
    <t>수수료</t>
  </si>
  <si>
    <t>세금율</t>
  </si>
  <si>
    <t>세금</t>
  </si>
  <si>
    <t>메모</t>
  </si>
  <si>
    <t>💵 배당금 내역</t>
  </si>
  <si>
    <t>★ D·E·F 입력 → G(원천세)·H(실수령) 자동계산 | 투자현황의 배당금은 H열 합산</t>
  </si>
  <si>
    <t>배당금총액</t>
  </si>
  <si>
    <t>원천세율(%)</t>
  </si>
  <si>
    <t>원천세액</t>
  </si>
  <si>
    <t>실수령액</t>
  </si>
  <si>
    <t>📋 참고 데이터 — 계좌 목록 &amp; 수수료 테이블</t>
  </si>
  <si>
    <t>★ 계좌 추가: A열에 행 추가 → 거래내역·투자현황 드롭다운 자동 반영</t>
  </si>
  <si>
    <t>계좌명 (드롭다운 소스)</t>
  </si>
  <si>
    <t>신한</t>
  </si>
  <si>
    <t>신한-해외</t>
  </si>
  <si>
    <t>토스</t>
  </si>
  <si>
    <t>토스-해외</t>
  </si>
  <si>
    <t>신한-연금저축</t>
  </si>
  <si>
    <t>미래-연금저축</t>
  </si>
  <si>
    <t>신한-ISA</t>
  </si>
  <si>
    <t>미래에셋</t>
  </si>
  <si>
    <t>한화</t>
  </si>
  <si>
    <t>한화-해외</t>
  </si>
  <si>
    <t>유주</t>
  </si>
  <si>
    <t>인우</t>
  </si>
  <si>
    <t>★ 수수료율·매매세율(%) 입력. 계좌+날짜 기준으로 최근 행이 자동 적용됨</t>
  </si>
  <si>
    <t>적용시작일</t>
  </si>
  <si>
    <t>수수료율(%)</t>
  </si>
  <si>
    <t>매매세율(%)</t>
  </si>
  <si>
    <t>비고</t>
  </si>
  <si>
    <t>2024-01-01</t>
  </si>
  <si>
    <t>기본값 — 실제 수수료 확인 후 수정</t>
  </si>
  <si>
    <t>📊 투자현황 — FIFO 로트별 손익 추적</t>
  </si>
  <si>
    <t>★ 거래내역 입력 후 python update_asset_manager.py --refresh 실행 → 자동 갱신</t>
  </si>
  <si>
    <t>※ 현재가 갱신: python update_asset_manager.py --update | 손익 = 실현(매도분) + 미실현(보유분)</t>
  </si>
  <si>
    <t>매수일</t>
  </si>
  <si>
    <t>매수수량</t>
  </si>
  <si>
    <t>매수단가</t>
  </si>
  <si>
    <t>매수금액</t>
  </si>
  <si>
    <t>매수수수료</t>
  </si>
  <si>
    <t>매도일</t>
  </si>
  <si>
    <t>매도수량</t>
  </si>
  <si>
    <t>매도단가</t>
  </si>
  <si>
    <t>매도금액</t>
  </si>
  <si>
    <t>매도수수료</t>
  </si>
  <si>
    <t>매매세</t>
  </si>
  <si>
    <t>보유수량</t>
  </si>
  <si>
    <t>보유상태</t>
  </si>
  <si>
    <t>실현손익</t>
  </si>
  <si>
    <t>현재가</t>
  </si>
  <si>
    <t>미실현손익</t>
  </si>
  <si>
    <t>총  손익</t>
  </si>
  <si>
    <t>손익률</t>
  </si>
  <si>
    <t>보유일수</t>
  </si>
  <si>
    <t>배당금</t>
  </si>
  <si>
    <t>005930</t>
  </si>
  <si>
    <t>매도완료</t>
  </si>
  <si>
    <t>보유중</t>
  </si>
  <si>
    <t>💡 투자아이디어 발굴 &amp; 체크리스트</t>
  </si>
  <si>
    <t>★ 아이디어 발굴 → 체크리스트 → 투자결정 3단계 프로세스 | 상태별 필터 권장</t>
  </si>
  <si>
    <t>【체크리스트 기준】 버핏: 이해가능성·경쟁우위·경영진·적정가·장기보유 | 켈리공식: 승률·배당배율 기반 적정 투자비중 계산 가능</t>
  </si>
  <si>
    <t>등록일</t>
  </si>
  <si>
    <t>분류</t>
  </si>
  <si>
    <t>종목명
(자동)</t>
  </si>
  <si>
    <t>현재가
(자동)</t>
  </si>
  <si>
    <t>목표주가</t>
  </si>
  <si>
    <t>상승여력</t>
  </si>
  <si>
    <t>손절가</t>
  </si>
  <si>
    <t>사업
이해?</t>
  </si>
  <si>
    <t>경쟁
우위?</t>
  </si>
  <si>
    <t>경영진
신뢰?</t>
  </si>
  <si>
    <t>적정가
이하?</t>
  </si>
  <si>
    <t>장기
보유?</t>
  </si>
  <si>
    <t>우선순위</t>
  </si>
  <si>
    <t>진행상태</t>
  </si>
  <si>
    <t>핵심근거·메모</t>
  </si>
  <si>
    <t>📖 투자 아이디어 발굴 프레임워크 (참고용)</t>
  </si>
  <si>
    <t>발굴 방법</t>
  </si>
  <si>
    <t>주요 지표·기준</t>
  </si>
  <si>
    <t>가치투자</t>
  </si>
  <si>
    <t>PER&lt;10, PBR&lt;1, ROE&gt;15%, 부채비율&lt;100%인 종목 스크리닝 (KRX 정보데이터시스템·증권사 HTS)</t>
  </si>
  <si>
    <t>안전마진 30%이상 | 5년 실적 안정성 확인</t>
  </si>
  <si>
    <t>성장주</t>
  </si>
  <si>
    <t>매출성장률 20%+, 영업이익률 개선 추세, TAM 대비 시장점유율 확대 여부</t>
  </si>
  <si>
    <t>PEG&lt;1 (PER÷성장률) | 내러티브와 숫자 모두 확인</t>
  </si>
  <si>
    <t>배당주</t>
  </si>
  <si>
    <t>배당수익률&gt;3%, 5년 배당성장, FCF 대비 배당성향&lt;60%</t>
  </si>
  <si>
    <t>배당컷 리스크: 부채비율·이자보상배율 체크</t>
  </si>
  <si>
    <t>이벤트드리븐</t>
  </si>
  <si>
    <t>합병·분할·지배구조 변경·실적 서프라이즈 직후 과잉반응 구간 매수</t>
  </si>
  <si>
    <t>이벤트 완료 후 3~6개월 모멘텀 추적</t>
  </si>
  <si>
    <t>섹터로테이션</t>
  </si>
  <si>
    <t>경기 사이클(초기:금융/소재→성장:IT/산업재→후기:에너지/헬스케어→침체:유틸리티/필수소비) 확인</t>
  </si>
  <si>
    <t>RSI 시트 섹터 데이터 활용 | 상대강도 분석</t>
  </si>
  <si>
    <t>리스크 관리</t>
  </si>
  <si>
    <t>개별종목 5% 이하 | 섹터 집중도 30% 이하 | 분기마다 포트폴리오 리뷰</t>
  </si>
  <si>
    <t>손절선: 매수가 대비 -15~20% | 목표가 달성 시 일부 실현</t>
  </si>
  <si>
    <t>🔍 매도 후 모니터링 — 재매수 타이밍 판단</t>
  </si>
  <si>
    <t>★ 매도 후에도 해당 종목을 추적해 재진입 기회 포착 | 현재가는 KRX종목마스터 시트에서 자동 참조 (시세 업데이트 필요)</t>
  </si>
  <si>
    <t>매수평균가</t>
  </si>
  <si>
    <t>매도가</t>
  </si>
  <si>
    <t>실현수익률</t>
  </si>
  <si>
    <t>매도사유</t>
  </si>
  <si>
    <t>매도후등락</t>
  </si>
  <si>
    <t>재매수검토</t>
  </si>
  <si>
    <t>재매수조건·메모</t>
  </si>
  <si>
    <t>📑 KRX 종목 마스터 — VLOOKUP 참조용 | 기준일: 20260506 | 총 2881종목</t>
  </si>
  <si>
    <t>★ 현재가는 Python 스크립트 실행 시 자동 업데이트 | 실시간 아님 (마지막 거래일 종가) | python create_asset_manager.py --update 로 시세 갱신</t>
  </si>
  <si>
    <t>전일대비</t>
  </si>
  <si>
    <t>등락률</t>
  </si>
  <si>
    <t>시장구분</t>
  </si>
  <si>
    <t>060310</t>
  </si>
  <si>
    <t>3S</t>
  </si>
  <si>
    <t>KOSDAQ</t>
  </si>
  <si>
    <t>095570</t>
  </si>
  <si>
    <t>AJ네트웍스</t>
  </si>
  <si>
    <t>KOSPI</t>
  </si>
  <si>
    <t>006840</t>
  </si>
  <si>
    <t>AK홀딩스</t>
  </si>
  <si>
    <t>054620</t>
  </si>
  <si>
    <t>APS</t>
  </si>
  <si>
    <t>079810</t>
  </si>
  <si>
    <t>APS이노베이션</t>
  </si>
  <si>
    <t>265520</t>
  </si>
  <si>
    <t>AP시스템</t>
  </si>
  <si>
    <t>211270</t>
  </si>
  <si>
    <t>AP위성</t>
  </si>
  <si>
    <t>139050</t>
  </si>
  <si>
    <t>BF랩스</t>
  </si>
  <si>
    <t>027410</t>
  </si>
  <si>
    <t>BGF</t>
  </si>
  <si>
    <t>282330</t>
  </si>
  <si>
    <t>BGF리테일</t>
  </si>
  <si>
    <t>126600</t>
  </si>
  <si>
    <t>BGF에코머티리얼즈</t>
  </si>
  <si>
    <t>138930</t>
  </si>
  <si>
    <t>BNK금융지주</t>
  </si>
  <si>
    <t>001460</t>
  </si>
  <si>
    <t>BYC</t>
  </si>
  <si>
    <t>001465</t>
  </si>
  <si>
    <t>BYC우</t>
  </si>
  <si>
    <t>083790</t>
  </si>
  <si>
    <t>CG인바이츠</t>
  </si>
  <si>
    <t>001040</t>
  </si>
  <si>
    <t>CJ</t>
  </si>
  <si>
    <t>079160</t>
  </si>
  <si>
    <t>CJ CGV</t>
  </si>
  <si>
    <t>035760</t>
  </si>
  <si>
    <t>CJ ENM</t>
  </si>
  <si>
    <t>311690</t>
  </si>
  <si>
    <t>CJ 바이오사이언스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</si>
  <si>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</si>
  <si>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</si>
  <si>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</si>
  <si>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</si>
  <si>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</si>
  <si>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</si>
  <si>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</si>
  <si>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</si>
  <si>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</si>
  <si>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</si>
  <si>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</si>
  <si>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</si>
  <si>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</si>
  <si>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</si>
  <si>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051500</t>
  </si>
  <si>
    <t>CJ프레시웨이</t>
  </si>
  <si>
    <t>058820</t>
  </si>
  <si>
    <t>CMG제약</t>
  </si>
  <si>
    <t>056730</t>
  </si>
  <si>
    <t>CNT85</t>
  </si>
  <si>
    <t>000480</t>
  </si>
  <si>
    <t>CR홀딩스</t>
  </si>
  <si>
    <t>065770</t>
  </si>
  <si>
    <t>CS</t>
  </si>
  <si>
    <t>083660</t>
  </si>
  <si>
    <t>CSA 코스믹</t>
  </si>
  <si>
    <t>000590</t>
  </si>
  <si>
    <t>CS홀딩스</t>
  </si>
  <si>
    <t>012030</t>
  </si>
  <si>
    <t>DB</t>
  </si>
  <si>
    <t>477760</t>
  </si>
  <si>
    <t>DB금융스팩12호</t>
  </si>
  <si>
    <t>005830</t>
  </si>
  <si>
    <t>DB손해보험</t>
  </si>
  <si>
    <t>016610</t>
  </si>
  <si>
    <t>DB증권</t>
  </si>
  <si>
    <t>000990</t>
  </si>
  <si>
    <t>DB하이텍</t>
  </si>
  <si>
    <t>099520</t>
  </si>
  <si>
    <t>DGI</t>
  </si>
  <si>
    <t>000300</t>
  </si>
  <si>
    <t>DH오토넥스</t>
  </si>
  <si>
    <t>290120</t>
  </si>
  <si>
    <t>DH오토리드</t>
  </si>
  <si>
    <t>025440</t>
  </si>
  <si>
    <t>DH오토웨어</t>
  </si>
  <si>
    <t>001530</t>
  </si>
  <si>
    <t>DI동일</t>
  </si>
  <si>
    <t>015590</t>
  </si>
  <si>
    <t>DKME</t>
  </si>
  <si>
    <t>000210</t>
  </si>
  <si>
    <t>DL</t>
  </si>
  <si>
    <t>000215</t>
  </si>
  <si>
    <t>DL우</t>
  </si>
  <si>
    <t>375500</t>
  </si>
  <si>
    <t>DL이앤씨</t>
  </si>
  <si>
    <t>37550L</t>
  </si>
  <si>
    <t>DL이앤씨2우(전환)</t>
  </si>
  <si>
    <t>37550K</t>
  </si>
  <si>
    <t>DL이앤씨우</t>
  </si>
  <si>
    <t>068790</t>
  </si>
  <si>
    <t>DMS</t>
  </si>
  <si>
    <t>007340</t>
  </si>
  <si>
    <t>DN오토모티브</t>
  </si>
  <si>
    <t>004840</t>
  </si>
  <si>
    <t>DRB동일</t>
  </si>
  <si>
    <t>241520</t>
  </si>
  <si>
    <t>DSC인베스트먼트</t>
  </si>
  <si>
    <t>155660</t>
  </si>
  <si>
    <t>DSR</t>
  </si>
  <si>
    <t>069730</t>
  </si>
  <si>
    <t>DSR제강</t>
  </si>
  <si>
    <t>017860</t>
  </si>
  <si>
    <t>DS단석</t>
  </si>
  <si>
    <t>180400</t>
  </si>
  <si>
    <t>DXVX</t>
  </si>
  <si>
    <t>092780</t>
  </si>
  <si>
    <t>DYP</t>
  </si>
  <si>
    <t>017940</t>
  </si>
  <si>
    <t>E1</t>
  </si>
  <si>
    <t>418620</t>
  </si>
  <si>
    <t>E8</t>
  </si>
  <si>
    <t>245620</t>
  </si>
  <si>
    <t>EDGC</t>
  </si>
  <si>
    <t>037370</t>
  </si>
  <si>
    <t>EG</t>
  </si>
  <si>
    <t>278990</t>
  </si>
  <si>
    <t>EMB</t>
  </si>
  <si>
    <t>기타</t>
  </si>
  <si>
    <t>365550</t>
  </si>
  <si>
    <t>ESR켄달스퀘어리츠</t>
  </si>
  <si>
    <t>050120</t>
  </si>
  <si>
    <t>ES큐브</t>
  </si>
  <si>
    <t>383220</t>
  </si>
  <si>
    <t>F&amp;F</t>
  </si>
  <si>
    <t>007700</t>
  </si>
  <si>
    <t>F&amp;F홀딩스</t>
  </si>
  <si>
    <t>214270</t>
  </si>
  <si>
    <t>FSN</t>
  </si>
  <si>
    <t>032620</t>
  </si>
  <si>
    <t>GC메디아이</t>
  </si>
  <si>
    <t>130500</t>
  </si>
  <si>
    <t>GH신소재</t>
  </si>
  <si>
    <t>114090</t>
  </si>
  <si>
    <t>GKL</t>
  </si>
  <si>
    <t>900290</t>
  </si>
  <si>
    <t>GRT</t>
  </si>
  <si>
    <t>078930</t>
  </si>
  <si>
    <t>GS</t>
  </si>
  <si>
    <t>083450</t>
  </si>
  <si>
    <t>GST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</si>
  <si>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</si>
  <si>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</si>
  <si>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</si>
  <si>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</si>
  <si>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</si>
  <si>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</si>
  <si>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</si>
  <si>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</si>
  <si>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499790</t>
  </si>
  <si>
    <t>GS피앤엘</t>
  </si>
  <si>
    <t>297890</t>
  </si>
  <si>
    <t>HB솔루션</t>
  </si>
  <si>
    <t>440290</t>
  </si>
  <si>
    <t>HB인베스트먼트</t>
  </si>
  <si>
    <t>078150</t>
  </si>
  <si>
    <t>HB테크놀러지</t>
  </si>
  <si>
    <t>225530</t>
  </si>
  <si>
    <t>HC보광산업</t>
  </si>
  <si>
    <t>060560</t>
  </si>
  <si>
    <t>HC홈센타</t>
  </si>
  <si>
    <t>012630</t>
  </si>
  <si>
    <t>HDC</t>
  </si>
  <si>
    <t>039570</t>
  </si>
  <si>
    <t>HDC랩스</t>
  </si>
  <si>
    <t>089470</t>
  </si>
  <si>
    <t>HDC현대EP</t>
  </si>
  <si>
    <t>267270</t>
  </si>
  <si>
    <t>HD건설기계</t>
  </si>
  <si>
    <t>009540</t>
  </si>
  <si>
    <t>HD한국조선해양</t>
  </si>
  <si>
    <t>267250</t>
  </si>
  <si>
    <t>HD현대</t>
  </si>
  <si>
    <t>443060</t>
  </si>
  <si>
    <t>HD현대마린솔루션</t>
  </si>
  <si>
    <t>071970</t>
  </si>
  <si>
    <t>HD현대마린엔진</t>
  </si>
  <si>
    <t>322000</t>
  </si>
  <si>
    <t>HD현대에너지솔루션</t>
  </si>
  <si>
    <t>267260</t>
  </si>
  <si>
    <t>HD현대일렉트릭</t>
  </si>
  <si>
    <t>329180</t>
  </si>
  <si>
    <t>HD현대중공업</t>
  </si>
  <si>
    <t>376270</t>
  </si>
  <si>
    <t>HEM파마</t>
  </si>
  <si>
    <t>097230</t>
  </si>
  <si>
    <t>HJ중공업</t>
  </si>
  <si>
    <t>195940</t>
  </si>
  <si>
    <t>HK이노엔</t>
  </si>
  <si>
    <t>014790</t>
  </si>
  <si>
    <t>HL D&amp;I</t>
  </si>
  <si>
    <t>028300</t>
  </si>
  <si>
    <t>HLB</t>
  </si>
  <si>
    <t>003580</t>
  </si>
  <si>
    <t>HLB글로벌</t>
  </si>
  <si>
    <t>278650</t>
  </si>
  <si>
    <t>HLB바이오스텝</t>
  </si>
  <si>
    <t>067630</t>
  </si>
  <si>
    <t>HLB생명과학</t>
  </si>
  <si>
    <t>024850</t>
  </si>
  <si>
    <t>HLB이노베이션</t>
  </si>
  <si>
    <t>187420</t>
  </si>
  <si>
    <t>HLB제넥스</t>
  </si>
  <si>
    <t>047920</t>
  </si>
  <si>
    <t>HLB제약</t>
  </si>
  <si>
    <t>115450</t>
  </si>
  <si>
    <t>HLB테라퓨틱스</t>
  </si>
  <si>
    <t>046210</t>
  </si>
  <si>
    <t>HLB파나진</t>
  </si>
  <si>
    <t>196300</t>
  </si>
  <si>
    <t>HLB펩</t>
  </si>
  <si>
    <t>204320</t>
  </si>
  <si>
    <t>HL만도</t>
  </si>
  <si>
    <t>060980</t>
  </si>
  <si>
    <t>HL홀딩스</t>
  </si>
  <si>
    <t>011200</t>
  </si>
  <si>
    <t>HMM</t>
  </si>
  <si>
    <t>403870</t>
  </si>
  <si>
    <t>HPSP</t>
  </si>
  <si>
    <t>036640</t>
  </si>
  <si>
    <t>HRS</t>
  </si>
  <si>
    <t>035000</t>
  </si>
  <si>
    <t>HS애드</t>
  </si>
  <si>
    <t>002460</t>
  </si>
  <si>
    <t>HS화성</t>
  </si>
  <si>
    <t>487570</t>
  </si>
  <si>
    <t>HS효성</t>
  </si>
  <si>
    <t>298050</t>
  </si>
  <si>
    <t>HS효성첨단소재</t>
  </si>
  <si>
    <t>467930</t>
  </si>
  <si>
    <t>IBKS제23호스팩</t>
  </si>
  <si>
    <t>469480</t>
  </si>
  <si>
    <t>IBKS제24호스팩</t>
  </si>
  <si>
    <t>0099X0</t>
  </si>
  <si>
    <t>IBKS제25호스팩</t>
  </si>
  <si>
    <t>015360</t>
  </si>
  <si>
    <t>INVENI</t>
  </si>
  <si>
    <t>294870</t>
  </si>
  <si>
    <t>IPARK현대산업개발</t>
  </si>
  <si>
    <t>095340</t>
  </si>
  <si>
    <t>ISC</t>
  </si>
  <si>
    <t>175330</t>
  </si>
  <si>
    <t>JB금융지주</t>
  </si>
  <si>
    <t>950170</t>
  </si>
  <si>
    <t>JTC</t>
  </si>
  <si>
    <t>234080</t>
  </si>
  <si>
    <t>JW생명과학</t>
  </si>
  <si>
    <t>067290</t>
  </si>
  <si>
    <t>JW신약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</si>
  <si>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</si>
  <si>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</si>
  <si>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</si>
  <si>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</si>
  <si>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</si>
  <si>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</si>
  <si>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</si>
  <si>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</si>
  <si>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035900</t>
  </si>
  <si>
    <t>JYP Ent.</t>
  </si>
  <si>
    <t>318000</t>
  </si>
  <si>
    <t>KBG</t>
  </si>
  <si>
    <t>008970</t>
  </si>
  <si>
    <t>KBI동양철관</t>
  </si>
  <si>
    <t>024840</t>
  </si>
  <si>
    <t>KBI메탈</t>
  </si>
  <si>
    <t>105560</t>
  </si>
  <si>
    <t>KB금융</t>
  </si>
  <si>
    <t>415640</t>
  </si>
  <si>
    <t>KB발해인프라</t>
  </si>
  <si>
    <t>432320</t>
  </si>
  <si>
    <t>KB스타리츠</t>
  </si>
  <si>
    <t>024120</t>
  </si>
  <si>
    <t>KB오토시스</t>
  </si>
  <si>
    <t>464680</t>
  </si>
  <si>
    <t>KB제27호스팩</t>
  </si>
  <si>
    <t>478390</t>
  </si>
  <si>
    <t>KB제29호스팩</t>
  </si>
  <si>
    <t>486630</t>
  </si>
  <si>
    <t>KB제30호스팩</t>
  </si>
  <si>
    <t>492220</t>
  </si>
  <si>
    <t>KB제31호스팩</t>
  </si>
  <si>
    <t>0037T0</t>
  </si>
  <si>
    <t>KB제32호스팩</t>
  </si>
  <si>
    <t>0072Z0</t>
  </si>
  <si>
    <t>KB제33호스팩</t>
  </si>
  <si>
    <t>002380</t>
  </si>
  <si>
    <t>KCC</t>
  </si>
  <si>
    <t>021320</t>
  </si>
  <si>
    <t>KCC건설</t>
  </si>
  <si>
    <t>344820</t>
  </si>
  <si>
    <t>KCC글라스</t>
  </si>
  <si>
    <t>009070</t>
  </si>
  <si>
    <t>KCTC</t>
  </si>
  <si>
    <t>009440</t>
  </si>
  <si>
    <t>KC그린홀딩스</t>
  </si>
  <si>
    <t>112190</t>
  </si>
  <si>
    <t>KC산업</t>
  </si>
  <si>
    <t>119650</t>
  </si>
  <si>
    <t>KC코트렐</t>
  </si>
  <si>
    <t>044180</t>
  </si>
  <si>
    <t>KD</t>
  </si>
  <si>
    <t>092220</t>
  </si>
  <si>
    <t>KEC</t>
  </si>
  <si>
    <t>003620</t>
  </si>
  <si>
    <t>KG모빌리티</t>
  </si>
  <si>
    <t>016380</t>
  </si>
  <si>
    <t>KG스틸</t>
  </si>
  <si>
    <t>151860</t>
  </si>
  <si>
    <t>KG에코솔루션</t>
  </si>
  <si>
    <t>035600</t>
  </si>
  <si>
    <t>KG이니시스</t>
  </si>
  <si>
    <t>001390</t>
  </si>
  <si>
    <t>KG케미칼</t>
  </si>
  <si>
    <t>046440</t>
  </si>
  <si>
    <t>KG파이낸셜</t>
  </si>
  <si>
    <t>060720</t>
  </si>
  <si>
    <t>KH바텍</t>
  </si>
  <si>
    <t>001940</t>
  </si>
  <si>
    <t>KISCO홀딩스</t>
  </si>
  <si>
    <t>058400</t>
  </si>
  <si>
    <t>KNN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</si>
  <si>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</si>
  <si>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</si>
  <si>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</si>
  <si>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</si>
  <si>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</si>
  <si>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</si>
  <si>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</si>
  <si>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</si>
  <si>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101000</t>
  </si>
  <si>
    <t>KS인더스트리</t>
  </si>
  <si>
    <t>030200</t>
  </si>
  <si>
    <t>KT</t>
  </si>
  <si>
    <t>033780</t>
  </si>
  <si>
    <t>KT&amp;G</t>
  </si>
  <si>
    <t>058850</t>
  </si>
  <si>
    <t>KTcs</t>
  </si>
  <si>
    <t>058860</t>
  </si>
  <si>
    <t>KTis</t>
  </si>
  <si>
    <t>089600</t>
  </si>
  <si>
    <t>KT나스미디어</t>
  </si>
  <si>
    <t>418470</t>
  </si>
  <si>
    <t>KT밀리의서재</t>
  </si>
  <si>
    <t>043610</t>
  </si>
  <si>
    <t>KT지니뮤직</t>
  </si>
  <si>
    <t>122450</t>
  </si>
  <si>
    <t>KX</t>
  </si>
  <si>
    <t>052900</t>
  </si>
  <si>
    <t>KX하이텍</t>
  </si>
  <si>
    <t>036560</t>
  </si>
  <si>
    <t>KZ정밀</t>
  </si>
  <si>
    <t>061970</t>
  </si>
  <si>
    <t>LB세미콘</t>
  </si>
  <si>
    <t>309960</t>
  </si>
  <si>
    <t>LB인베스트먼트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</si>
  <si>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</si>
  <si>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</si>
  <si>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</si>
  <si>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</si>
  <si>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</si>
  <si>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</si>
  <si>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</si>
  <si>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</si>
  <si>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</si>
  <si>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</si>
  <si>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064400</t>
  </si>
  <si>
    <t>LG씨엔에스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</si>
  <si>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</si>
  <si>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</si>
  <si>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</si>
  <si>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</si>
  <si>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</si>
  <si>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</si>
  <si>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</si>
  <si>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</si>
  <si>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</si>
  <si>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</si>
  <si>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</si>
  <si>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</si>
  <si>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</si>
  <si>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</si>
  <si>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</si>
  <si>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</si>
  <si>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</si>
  <si>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</si>
  <si>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</si>
  <si>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LIG디펜스앤에어로스페이스</t>
  </si>
  <si>
    <t>073490</t>
  </si>
  <si>
    <t>LIG아큐버</t>
  </si>
  <si>
    <t>225190</t>
  </si>
  <si>
    <t>LK삼양</t>
  </si>
  <si>
    <t>006260</t>
  </si>
  <si>
    <t>LS</t>
  </si>
  <si>
    <t>010120</t>
  </si>
  <si>
    <t>LS ELECTRIC</t>
  </si>
  <si>
    <t>000680</t>
  </si>
  <si>
    <t>LS네트웍스</t>
  </si>
  <si>
    <t>060370</t>
  </si>
  <si>
    <t>LS마린솔루션</t>
  </si>
  <si>
    <t>417200</t>
  </si>
  <si>
    <t>LS머트리얼즈</t>
  </si>
  <si>
    <t>229640</t>
  </si>
  <si>
    <t>LS에코에너지</t>
  </si>
  <si>
    <t>078020</t>
  </si>
  <si>
    <t>LS증권</t>
  </si>
  <si>
    <t>322180</t>
  </si>
  <si>
    <t>LS티라유텍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</si>
  <si>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</si>
  <si>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</si>
  <si>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</si>
  <si>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</si>
  <si>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</si>
  <si>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</si>
  <si>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</si>
  <si>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</si>
  <si>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</si>
  <si>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</si>
  <si>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</si>
  <si>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</si>
  <si>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476080</t>
  </si>
  <si>
    <t>M83</t>
  </si>
  <si>
    <t>086960</t>
  </si>
  <si>
    <t>MDS테크</t>
  </si>
  <si>
    <t>023150</t>
  </si>
  <si>
    <t>MH에탄올</t>
  </si>
  <si>
    <t>035420</t>
  </si>
  <si>
    <t>NAVER</t>
  </si>
  <si>
    <t>036570</t>
  </si>
  <si>
    <t>NC</t>
  </si>
  <si>
    <t>160550</t>
  </si>
  <si>
    <t>NEW</t>
  </si>
  <si>
    <t>053290</t>
  </si>
  <si>
    <t>NE능률</t>
  </si>
  <si>
    <t>181710</t>
  </si>
  <si>
    <t>NHN</t>
  </si>
  <si>
    <t>060250</t>
  </si>
  <si>
    <t>NHN KCP</t>
  </si>
  <si>
    <t>104200</t>
  </si>
  <si>
    <t>NHN벅스</t>
  </si>
  <si>
    <t>400760</t>
  </si>
  <si>
    <t>NH올원리츠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</si>
  <si>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</si>
  <si>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</si>
  <si>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</si>
  <si>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</si>
  <si>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</si>
  <si>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</si>
  <si>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</si>
  <si>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</si>
  <si>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063570</t>
  </si>
  <si>
    <t>NICE인프라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</si>
  <si>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</si>
  <si>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</si>
  <si>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</si>
  <si>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</si>
  <si>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</si>
  <si>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</si>
  <si>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</si>
  <si>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</si>
  <si>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222160</t>
  </si>
  <si>
    <t>NPX</t>
  </si>
  <si>
    <t>456040</t>
  </si>
  <si>
    <t>OCI</t>
  </si>
  <si>
    <t>010060</t>
  </si>
  <si>
    <t>OCI홀딩스</t>
  </si>
  <si>
    <t>178920</t>
  </si>
  <si>
    <t>PI첨단소재</t>
  </si>
  <si>
    <t>001340</t>
  </si>
  <si>
    <t>PKC</t>
  </si>
  <si>
    <t>024940</t>
  </si>
  <si>
    <t>PN풍년</t>
  </si>
  <si>
    <t>005490</t>
  </si>
  <si>
    <t>POSCO홀딩스</t>
  </si>
  <si>
    <t>332570</t>
  </si>
  <si>
    <t>PS일렉트로닉스</t>
  </si>
  <si>
    <t>218410</t>
  </si>
  <si>
    <t>RFHIC</t>
  </si>
  <si>
    <t>327260</t>
  </si>
  <si>
    <t>RF머트리얼즈</t>
  </si>
  <si>
    <t>474610</t>
  </si>
  <si>
    <t>RF시스템즈</t>
  </si>
  <si>
    <t>091340</t>
  </si>
  <si>
    <t>S&amp;K폴리텍</t>
  </si>
  <si>
    <t>010950</t>
  </si>
  <si>
    <t>S-Oil</t>
  </si>
  <si>
    <t>010955</t>
  </si>
  <si>
    <t>S-Oil우</t>
  </si>
  <si>
    <t>419530</t>
  </si>
  <si>
    <t>SAMG엔터</t>
  </si>
  <si>
    <t>019550</t>
  </si>
  <si>
    <t>SBI인베스트먼트</t>
  </si>
  <si>
    <t>034120</t>
  </si>
  <si>
    <t>SBS</t>
  </si>
  <si>
    <t>003080</t>
  </si>
  <si>
    <t>SB성보</t>
  </si>
  <si>
    <t>246960</t>
  </si>
  <si>
    <t>SCL사이언스</t>
  </si>
  <si>
    <t>099220</t>
  </si>
  <si>
    <t>SDN</t>
  </si>
  <si>
    <t>036540</t>
  </si>
  <si>
    <t>SFA반도체</t>
  </si>
  <si>
    <t>255220</t>
  </si>
  <si>
    <t>SG</t>
  </si>
  <si>
    <t>040610</t>
  </si>
  <si>
    <t>SG&amp;G</t>
  </si>
  <si>
    <t>184230</t>
  </si>
  <si>
    <t>SGA솔루션즈</t>
  </si>
  <si>
    <t>016250</t>
  </si>
  <si>
    <t>SGC E&amp;C</t>
  </si>
  <si>
    <t>005090</t>
  </si>
  <si>
    <t>SGC에너지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</si>
  <si>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</si>
  <si>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</si>
  <si>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</si>
  <si>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</si>
  <si>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</si>
  <si>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</si>
  <si>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</si>
  <si>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</si>
  <si>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</si>
  <si>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</si>
  <si>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033530</t>
  </si>
  <si>
    <t>SJG세종</t>
  </si>
  <si>
    <t>123700</t>
  </si>
  <si>
    <t>SJM</t>
  </si>
  <si>
    <t>025530</t>
  </si>
  <si>
    <t>SJM홀딩스</t>
  </si>
  <si>
    <t>034730</t>
  </si>
  <si>
    <t>SK</t>
  </si>
  <si>
    <t>357880</t>
  </si>
  <si>
    <t>SKAI</t>
  </si>
  <si>
    <t>011790</t>
  </si>
  <si>
    <t>SKC</t>
  </si>
  <si>
    <t>018670</t>
  </si>
  <si>
    <t>SK가스</t>
  </si>
  <si>
    <t>001740</t>
  </si>
  <si>
    <t>SK네트웍스</t>
  </si>
  <si>
    <t>006120</t>
  </si>
  <si>
    <t>SK디스커버리</t>
  </si>
  <si>
    <t>006125</t>
  </si>
  <si>
    <t>SK디스커버리우</t>
  </si>
  <si>
    <t>210980</t>
  </si>
  <si>
    <t>SK디앤디</t>
  </si>
  <si>
    <t>395400</t>
  </si>
  <si>
    <t>SK리츠</t>
  </si>
  <si>
    <t>302440</t>
  </si>
  <si>
    <t>SK바이오사이언스</t>
  </si>
  <si>
    <t>326030</t>
  </si>
  <si>
    <t>SK바이오팜</t>
  </si>
  <si>
    <t>402340</t>
  </si>
  <si>
    <t>SK스퀘어</t>
  </si>
  <si>
    <t>260870</t>
  </si>
  <si>
    <t>SK시그넷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</si>
  <si>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</si>
  <si>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</si>
  <si>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</si>
  <si>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</si>
  <si>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</si>
  <si>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</si>
  <si>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</si>
  <si>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</si>
  <si>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</si>
  <si>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</si>
  <si>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475150</t>
  </si>
  <si>
    <t>SK이터닉스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</si>
  <si>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</si>
  <si>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</si>
  <si>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</si>
  <si>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</si>
  <si>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</si>
  <si>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</si>
  <si>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</si>
  <si>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</si>
  <si>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</si>
  <si>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</si>
  <si>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</si>
  <si>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</si>
  <si>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048550</t>
  </si>
  <si>
    <t>SM C&amp;C</t>
  </si>
  <si>
    <t>063440</t>
  </si>
  <si>
    <t>SM Life Design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</si>
  <si>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</si>
  <si>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</si>
  <si>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</si>
  <si>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</si>
  <si>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</si>
  <si>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</si>
  <si>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</si>
  <si>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</si>
  <si>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067160</t>
  </si>
  <si>
    <t>SOOP</t>
  </si>
  <si>
    <t>000390</t>
  </si>
  <si>
    <t>SP삼화</t>
  </si>
  <si>
    <t>011810</t>
  </si>
  <si>
    <t>STX</t>
  </si>
  <si>
    <t>465770</t>
  </si>
  <si>
    <t>STX그린로지스</t>
  </si>
  <si>
    <t>077970</t>
  </si>
  <si>
    <t>STX엔진</t>
  </si>
  <si>
    <t>002820</t>
  </si>
  <si>
    <t>SUN&amp;L</t>
  </si>
  <si>
    <t>289080</t>
  </si>
  <si>
    <t>SV인베스트먼트</t>
  </si>
  <si>
    <t>002170</t>
  </si>
  <si>
    <t>SYTS</t>
  </si>
  <si>
    <t>041930</t>
  </si>
  <si>
    <t>SY동아</t>
  </si>
  <si>
    <t>084870</t>
  </si>
  <si>
    <t>TBH글로벌</t>
  </si>
  <si>
    <t>002710</t>
  </si>
  <si>
    <t>TCC스틸</t>
  </si>
  <si>
    <t>013720</t>
  </si>
  <si>
    <t>THE CUBE&amp;</t>
  </si>
  <si>
    <t>089230</t>
  </si>
  <si>
    <t>THE E&amp;M</t>
  </si>
  <si>
    <t>032540</t>
  </si>
  <si>
    <t>TJ미디어</t>
  </si>
  <si>
    <t>069260</t>
  </si>
  <si>
    <t>TKG휴켐스</t>
  </si>
  <si>
    <t>007980</t>
  </si>
  <si>
    <t>TP</t>
  </si>
  <si>
    <t>048770</t>
  </si>
  <si>
    <t>TPC로보틱스</t>
  </si>
  <si>
    <t>246690</t>
  </si>
  <si>
    <t>TS인베스트먼트</t>
  </si>
  <si>
    <t>317240</t>
  </si>
  <si>
    <t>TS트릴리온</t>
  </si>
  <si>
    <t>002900</t>
  </si>
  <si>
    <t>TYM</t>
  </si>
  <si>
    <t>024070</t>
  </si>
  <si>
    <t>WISCOM</t>
  </si>
  <si>
    <t>057030</t>
  </si>
  <si>
    <t>YBM넷</t>
  </si>
  <si>
    <t>037270</t>
  </si>
  <si>
    <t>YG PLUS</t>
  </si>
  <si>
    <t>040300</t>
  </si>
  <si>
    <t>YTN</t>
  </si>
  <si>
    <t>051390</t>
  </si>
  <si>
    <t>YW</t>
  </si>
  <si>
    <t>052220</t>
  </si>
  <si>
    <t>iMBC</t>
  </si>
  <si>
    <t>139130</t>
  </si>
  <si>
    <t>iM금융지주</t>
  </si>
  <si>
    <t>079940</t>
  </si>
  <si>
    <t>가비아</t>
  </si>
  <si>
    <t>078890</t>
  </si>
  <si>
    <t>가온그룹</t>
  </si>
  <si>
    <t>000500</t>
  </si>
  <si>
    <t>가온전선</t>
  </si>
  <si>
    <t>399720</t>
  </si>
  <si>
    <t>가온칩스</t>
  </si>
  <si>
    <t>296520</t>
  </si>
  <si>
    <t>가이아코퍼레이션</t>
  </si>
  <si>
    <t>036620</t>
  </si>
  <si>
    <t>감성코퍼레이션</t>
  </si>
  <si>
    <t>000860</t>
  </si>
  <si>
    <t>강남제비스코</t>
  </si>
  <si>
    <t>198440</t>
  </si>
  <si>
    <t>강동씨앤엘</t>
  </si>
  <si>
    <t>217730</t>
  </si>
  <si>
    <t>강스템바이오텍</t>
  </si>
  <si>
    <t>035250</t>
  </si>
  <si>
    <t>강원랜드</t>
  </si>
  <si>
    <t>114190</t>
  </si>
  <si>
    <t>강원에너지</t>
  </si>
  <si>
    <t>094480</t>
  </si>
  <si>
    <t>갤럭시아머니트리</t>
  </si>
  <si>
    <t>011420</t>
  </si>
  <si>
    <t>갤럭시아에스엠</t>
  </si>
  <si>
    <t>039240</t>
  </si>
  <si>
    <t>경남스틸</t>
  </si>
  <si>
    <t>053950</t>
  </si>
  <si>
    <t>경남제약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</si>
  <si>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</si>
  <si>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</si>
  <si>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</si>
  <si>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</si>
  <si>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</si>
  <si>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</si>
  <si>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</si>
  <si>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</si>
  <si>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011040</t>
  </si>
  <si>
    <t>경동제약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</si>
  <si>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</si>
  <si>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</si>
  <si>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</si>
  <si>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</si>
  <si>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</si>
  <si>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</si>
  <si>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</si>
  <si>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</si>
  <si>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024910</t>
  </si>
  <si>
    <t>경창산업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</si>
  <si>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</si>
  <si>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</si>
  <si>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</si>
  <si>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</si>
  <si>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</si>
  <si>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</si>
  <si>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</si>
  <si>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</si>
  <si>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049720</t>
  </si>
  <si>
    <t>고려신용정보</t>
  </si>
  <si>
    <t>010130</t>
  </si>
  <si>
    <t>고려아연</t>
  </si>
  <si>
    <t>002240</t>
  </si>
  <si>
    <t>고려제강</t>
  </si>
  <si>
    <t>014570</t>
  </si>
  <si>
    <t>고려제약</t>
  </si>
  <si>
    <t>348150</t>
  </si>
  <si>
    <t>고바이오랩</t>
  </si>
  <si>
    <t>950190</t>
  </si>
  <si>
    <t>고스트스튜디오</t>
  </si>
  <si>
    <t>098460</t>
  </si>
  <si>
    <t>고영</t>
  </si>
  <si>
    <t>035290</t>
  </si>
  <si>
    <t>골드앤에스</t>
  </si>
  <si>
    <t>215000</t>
  </si>
  <si>
    <t>골프존</t>
  </si>
  <si>
    <t>121440</t>
  </si>
  <si>
    <t>골프존홀딩스</t>
  </si>
  <si>
    <t>366030</t>
  </si>
  <si>
    <t>공구우먼</t>
  </si>
  <si>
    <t>009290</t>
  </si>
  <si>
    <t>광동제약</t>
  </si>
  <si>
    <t>086220</t>
  </si>
  <si>
    <t>광동헬스바이오</t>
  </si>
  <si>
    <t>017040</t>
  </si>
  <si>
    <t>광명전기</t>
  </si>
  <si>
    <t>029480</t>
  </si>
  <si>
    <t>광무</t>
  </si>
  <si>
    <t>017900</t>
  </si>
  <si>
    <t>광전자</t>
  </si>
  <si>
    <t>037710</t>
  </si>
  <si>
    <t>광주신세계</t>
  </si>
  <si>
    <t>026910</t>
  </si>
  <si>
    <t>광진실업</t>
  </si>
  <si>
    <t>465320</t>
  </si>
  <si>
    <t>교보15호스팩</t>
  </si>
  <si>
    <t>482520</t>
  </si>
  <si>
    <t>교보16호스팩</t>
  </si>
  <si>
    <t>489210</t>
  </si>
  <si>
    <t>교보17호스팩</t>
  </si>
  <si>
    <t>0041B0</t>
  </si>
  <si>
    <t>교보18호스팩</t>
  </si>
  <si>
    <t>0098T0</t>
  </si>
  <si>
    <t>교보19호스팩</t>
  </si>
  <si>
    <t>0132G0</t>
  </si>
  <si>
    <t>교보20호스팩</t>
  </si>
  <si>
    <t>030610</t>
  </si>
  <si>
    <t>교보증권</t>
  </si>
  <si>
    <t>339770</t>
  </si>
  <si>
    <t>교촌에프앤비</t>
  </si>
  <si>
    <t>053270</t>
  </si>
  <si>
    <t>구영테크</t>
  </si>
  <si>
    <t>007690</t>
  </si>
  <si>
    <t>국도화학</t>
  </si>
  <si>
    <t>066620</t>
  </si>
  <si>
    <t>국보디자인</t>
  </si>
  <si>
    <t>043650</t>
  </si>
  <si>
    <t>국순당</t>
  </si>
  <si>
    <t>006050</t>
  </si>
  <si>
    <t>국영지앤엠</t>
  </si>
  <si>
    <t>060480</t>
  </si>
  <si>
    <t>국일신동</t>
  </si>
  <si>
    <t>078130</t>
  </si>
  <si>
    <t>국일제지</t>
  </si>
  <si>
    <t>307750</t>
  </si>
  <si>
    <t>국전</t>
  </si>
  <si>
    <t>002720</t>
  </si>
  <si>
    <t>국제약품</t>
  </si>
  <si>
    <t>035080</t>
  </si>
  <si>
    <t>그래디언트</t>
  </si>
  <si>
    <t>318060</t>
  </si>
  <si>
    <t>그래피</t>
  </si>
  <si>
    <t>453450</t>
  </si>
  <si>
    <t>그리드위즈</t>
  </si>
  <si>
    <t>204020</t>
  </si>
  <si>
    <t>그리티</t>
  </si>
  <si>
    <t>0015G0</t>
  </si>
  <si>
    <t>그린광학</t>
  </si>
  <si>
    <t>402490</t>
  </si>
  <si>
    <t>그린리소스</t>
  </si>
  <si>
    <t>114450</t>
  </si>
  <si>
    <t>그린생명과학</t>
  </si>
  <si>
    <t>083420</t>
  </si>
  <si>
    <t>그린케미칼</t>
  </si>
  <si>
    <t>186230</t>
  </si>
  <si>
    <t>그린플러스</t>
  </si>
  <si>
    <t>014530</t>
  </si>
  <si>
    <t>극동유화</t>
  </si>
  <si>
    <t>900070</t>
  </si>
  <si>
    <t>글로벌에스엠</t>
  </si>
  <si>
    <t>204620</t>
  </si>
  <si>
    <t>글로벌텍스프리</t>
  </si>
  <si>
    <t>019660</t>
  </si>
  <si>
    <t>글로본</t>
  </si>
  <si>
    <t>014280</t>
  </si>
  <si>
    <t>금강공업</t>
  </si>
  <si>
    <t>014285</t>
  </si>
  <si>
    <t>금강공업우</t>
  </si>
  <si>
    <t>053260</t>
  </si>
  <si>
    <t>금강철강</t>
  </si>
  <si>
    <t>008870</t>
  </si>
  <si>
    <t>금비</t>
  </si>
  <si>
    <t>001570</t>
  </si>
  <si>
    <t>금양</t>
  </si>
  <si>
    <t>282720</t>
  </si>
  <si>
    <t>금양그린파워</t>
  </si>
  <si>
    <t>002990</t>
  </si>
  <si>
    <t>금호건설</t>
  </si>
  <si>
    <t>002995</t>
  </si>
  <si>
    <t>금호건설우</t>
  </si>
  <si>
    <t>011780</t>
  </si>
  <si>
    <t>금호석유화학</t>
  </si>
  <si>
    <t>011785</t>
  </si>
  <si>
    <t>금호석유화학우</t>
  </si>
  <si>
    <t>214330</t>
  </si>
  <si>
    <t>금호에이치티</t>
  </si>
  <si>
    <t>001210</t>
  </si>
  <si>
    <t>금호전기</t>
  </si>
  <si>
    <t>073240</t>
  </si>
  <si>
    <t>금호타이어</t>
  </si>
  <si>
    <t>036190</t>
  </si>
  <si>
    <t>금화피에스시</t>
  </si>
  <si>
    <t>049080</t>
  </si>
  <si>
    <t>기가레인</t>
  </si>
  <si>
    <t>420770</t>
  </si>
  <si>
    <t>기가비스</t>
  </si>
  <si>
    <t>035460</t>
  </si>
  <si>
    <t>기산텔레콤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</si>
  <si>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</si>
  <si>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</si>
  <si>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</si>
  <si>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</si>
  <si>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</si>
  <si>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</si>
  <si>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</si>
  <si>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</si>
  <si>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</si>
  <si>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</si>
  <si>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</si>
  <si>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</si>
  <si>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407400</t>
  </si>
  <si>
    <t>꿈비</t>
  </si>
  <si>
    <t>187790</t>
  </si>
  <si>
    <t>나노</t>
  </si>
  <si>
    <t>121600</t>
  </si>
  <si>
    <t>나노신소재</t>
  </si>
  <si>
    <t>286750</t>
  </si>
  <si>
    <t>나노실리칸첨단소재</t>
  </si>
  <si>
    <t>247660</t>
  </si>
  <si>
    <t>나노씨엠에스</t>
  </si>
  <si>
    <t>039860</t>
  </si>
  <si>
    <t>나노엔텍</t>
  </si>
  <si>
    <t>091970</t>
  </si>
  <si>
    <t>나노캠텍</t>
  </si>
  <si>
    <t>417010</t>
  </si>
  <si>
    <t>나노팀</t>
  </si>
  <si>
    <t>244880</t>
  </si>
  <si>
    <t>나눔테크</t>
  </si>
  <si>
    <t>405920</t>
  </si>
  <si>
    <t>나라셀라</t>
  </si>
  <si>
    <t>478340</t>
  </si>
  <si>
    <t>나라스페이스테크놀로지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</si>
  <si>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</si>
  <si>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</si>
  <si>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</si>
  <si>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</si>
  <si>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</si>
  <si>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</si>
  <si>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</si>
  <si>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</si>
  <si>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293580</t>
  </si>
  <si>
    <t>나우IB</t>
  </si>
  <si>
    <t>459510</t>
  </si>
  <si>
    <t>나우로보틱스</t>
  </si>
  <si>
    <t>257990</t>
  </si>
  <si>
    <t>나우코스</t>
  </si>
  <si>
    <t>138610</t>
  </si>
  <si>
    <t>나이벡</t>
  </si>
  <si>
    <t>130580</t>
  </si>
  <si>
    <t>나이스디앤비</t>
  </si>
  <si>
    <t>036800</t>
  </si>
  <si>
    <t>나이스정보통신</t>
  </si>
  <si>
    <t>267320</t>
  </si>
  <si>
    <t>나인테크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</si>
  <si>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</si>
  <si>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</si>
  <si>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</si>
  <si>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</si>
  <si>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</si>
  <si>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</si>
  <si>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</si>
  <si>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</si>
  <si>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</si>
  <si>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</si>
  <si>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</si>
  <si>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</si>
  <si>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</si>
  <si>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</si>
  <si>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</si>
  <si>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</si>
  <si>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</si>
  <si>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</si>
  <si>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</si>
  <si>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</si>
  <si>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</si>
  <si>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</si>
  <si>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</si>
  <si>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</si>
  <si>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</si>
  <si>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</si>
  <si>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</si>
  <si>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</si>
  <si>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</si>
  <si>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</si>
  <si>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950220</t>
  </si>
  <si>
    <t>네오이뮨텍</t>
  </si>
  <si>
    <t>311390</t>
  </si>
  <si>
    <t>네오크레마</t>
  </si>
  <si>
    <t>085910</t>
  </si>
  <si>
    <t>네오티스</t>
  </si>
  <si>
    <t>092730</t>
  </si>
  <si>
    <t>네오팜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</si>
  <si>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</si>
  <si>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</si>
  <si>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</si>
  <si>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</si>
  <si>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</si>
  <si>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</si>
  <si>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</si>
  <si>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</si>
  <si>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351320</t>
  </si>
  <si>
    <t>넥사다이내믹스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</si>
  <si>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</si>
  <si>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</si>
  <si>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</si>
  <si>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</si>
  <si>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</si>
  <si>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</si>
  <si>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</si>
  <si>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</si>
  <si>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089140</t>
  </si>
  <si>
    <t>넥스턴앤롤코리아</t>
  </si>
  <si>
    <t>389650</t>
  </si>
  <si>
    <t>넥스트바이오메디컬</t>
  </si>
  <si>
    <t>137940</t>
  </si>
  <si>
    <t>넥스트아이</t>
  </si>
  <si>
    <t>396270</t>
  </si>
  <si>
    <t>넥스트칩</t>
  </si>
  <si>
    <t>348210</t>
  </si>
  <si>
    <t>넥스틴</t>
  </si>
  <si>
    <t>092790</t>
  </si>
  <si>
    <t>넥스틸</t>
  </si>
  <si>
    <t>225570</t>
  </si>
  <si>
    <t>넥슨게임즈</t>
  </si>
  <si>
    <t>205500</t>
  </si>
  <si>
    <t>넥써쓰</t>
  </si>
  <si>
    <t>217270</t>
  </si>
  <si>
    <t>넵튠</t>
  </si>
  <si>
    <t>251270</t>
  </si>
  <si>
    <t>넷마블</t>
  </si>
  <si>
    <t>317860</t>
  </si>
  <si>
    <t>노드메이슨</t>
  </si>
  <si>
    <t>104620</t>
  </si>
  <si>
    <t>노랑풍선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</si>
  <si>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</si>
  <si>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</si>
  <si>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</si>
  <si>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</si>
  <si>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</si>
  <si>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</si>
  <si>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</si>
  <si>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</si>
  <si>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473980</t>
  </si>
  <si>
    <t>노머스</t>
  </si>
  <si>
    <t>194700</t>
  </si>
  <si>
    <t>노바렉스</t>
  </si>
  <si>
    <t>285490</t>
  </si>
  <si>
    <t>노바텍</t>
  </si>
  <si>
    <t>145170</t>
  </si>
  <si>
    <t>노브랜드</t>
  </si>
  <si>
    <t>229500</t>
  </si>
  <si>
    <t>노브메타파마</t>
  </si>
  <si>
    <t>106520</t>
  </si>
  <si>
    <t>노블엠앤비</t>
  </si>
  <si>
    <t>376930</t>
  </si>
  <si>
    <t>노을</t>
  </si>
  <si>
    <t>486990</t>
  </si>
  <si>
    <t>노타</t>
  </si>
  <si>
    <t>006280</t>
  </si>
  <si>
    <t>녹십자</t>
  </si>
  <si>
    <t>142280</t>
  </si>
  <si>
    <t>녹십자엠에스</t>
  </si>
  <si>
    <t>234690</t>
  </si>
  <si>
    <t>녹십자웰빙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</si>
  <si>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</si>
  <si>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</si>
  <si>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</si>
  <si>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</si>
  <si>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</si>
  <si>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</si>
  <si>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</si>
  <si>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</si>
  <si>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054050</t>
  </si>
  <si>
    <t>농우바이오</t>
  </si>
  <si>
    <t>069140</t>
  </si>
  <si>
    <t>누리플랜</t>
  </si>
  <si>
    <t>040160</t>
  </si>
  <si>
    <t>누리플렉스</t>
  </si>
  <si>
    <t>332290</t>
  </si>
  <si>
    <t>누보</t>
  </si>
  <si>
    <t>348340</t>
  </si>
  <si>
    <t>뉴로메카</t>
  </si>
  <si>
    <t>380550</t>
  </si>
  <si>
    <t>뉴로핏</t>
  </si>
  <si>
    <t>060260</t>
  </si>
  <si>
    <t>뉴보텍</t>
  </si>
  <si>
    <t>463020</t>
  </si>
  <si>
    <t>뉴엔AI</t>
  </si>
  <si>
    <t>123840</t>
  </si>
  <si>
    <t>뉴온</t>
  </si>
  <si>
    <t>012340</t>
  </si>
  <si>
    <t>뉴인텍</t>
  </si>
  <si>
    <t>462310</t>
  </si>
  <si>
    <t>뉴키즈온</t>
  </si>
  <si>
    <t>270870</t>
  </si>
  <si>
    <t>뉴트리</t>
  </si>
  <si>
    <t>144960</t>
  </si>
  <si>
    <t>뉴파워프라즈마</t>
  </si>
  <si>
    <t>085670</t>
  </si>
  <si>
    <t>뉴프렉스</t>
  </si>
  <si>
    <t>064260</t>
  </si>
  <si>
    <t>다날</t>
  </si>
  <si>
    <t>340360</t>
  </si>
  <si>
    <t>다보링크</t>
  </si>
  <si>
    <t>039560</t>
  </si>
  <si>
    <t>다산네트웍스</t>
  </si>
  <si>
    <t>208860</t>
  </si>
  <si>
    <t>다산디엠씨</t>
  </si>
  <si>
    <t>154040</t>
  </si>
  <si>
    <t>다산솔루에타</t>
  </si>
  <si>
    <t>058730</t>
  </si>
  <si>
    <t>다스코</t>
  </si>
  <si>
    <t>030210</t>
  </si>
  <si>
    <t>다올투자증권</t>
  </si>
  <si>
    <t>023590</t>
  </si>
  <si>
    <t>다우기술</t>
  </si>
  <si>
    <t>032190</t>
  </si>
  <si>
    <t>다우데이타</t>
  </si>
  <si>
    <t>323350</t>
  </si>
  <si>
    <t>다원넥스뷰</t>
  </si>
  <si>
    <t>068240</t>
  </si>
  <si>
    <t>다원시스</t>
  </si>
  <si>
    <t>145210</t>
  </si>
  <si>
    <t>다이나믹디자인</t>
  </si>
  <si>
    <t>290660</t>
  </si>
  <si>
    <t>다이나믹솔루션</t>
  </si>
  <si>
    <t>483650</t>
  </si>
  <si>
    <t>달바글로벌</t>
  </si>
  <si>
    <t>464580</t>
  </si>
  <si>
    <t>닷밀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</si>
  <si>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</si>
  <si>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</si>
  <si>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</si>
  <si>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</si>
  <si>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</si>
  <si>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</si>
  <si>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</si>
  <si>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</si>
  <si>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</si>
  <si>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</si>
  <si>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</si>
  <si>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</si>
  <si>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</si>
  <si>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</si>
  <si>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</si>
  <si>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</si>
  <si>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178600</t>
  </si>
  <si>
    <t>대동고려삼</t>
  </si>
  <si>
    <t>020400</t>
  </si>
  <si>
    <t>대동금속</t>
  </si>
  <si>
    <t>008830</t>
  </si>
  <si>
    <t>대동기어</t>
  </si>
  <si>
    <t>048470</t>
  </si>
  <si>
    <t>대동스틸</t>
  </si>
  <si>
    <t>004780</t>
  </si>
  <si>
    <t>대륙제관</t>
  </si>
  <si>
    <t>005750</t>
  </si>
  <si>
    <t>대림바스</t>
  </si>
  <si>
    <t>017650</t>
  </si>
  <si>
    <t>대림제지</t>
  </si>
  <si>
    <t>006570</t>
  </si>
  <si>
    <t>대림통상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</si>
  <si>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</si>
  <si>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</si>
  <si>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</si>
  <si>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</si>
  <si>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</si>
  <si>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</si>
  <si>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</si>
  <si>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</si>
  <si>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065150</t>
  </si>
  <si>
    <t>대산F&amp;B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</si>
  <si>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</si>
  <si>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</si>
  <si>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</si>
  <si>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</si>
  <si>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</si>
  <si>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</si>
  <si>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</si>
  <si>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</si>
  <si>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036480</t>
  </si>
  <si>
    <t>대성미생물</t>
  </si>
  <si>
    <t>128820</t>
  </si>
  <si>
    <t>대성산업</t>
  </si>
  <si>
    <t>117580</t>
  </si>
  <si>
    <t>대성에너지</t>
  </si>
  <si>
    <t>027830</t>
  </si>
  <si>
    <t>대성창투</t>
  </si>
  <si>
    <t>129920</t>
  </si>
  <si>
    <t>대성하이텍</t>
  </si>
  <si>
    <t>016710</t>
  </si>
  <si>
    <t>대성홀딩스</t>
  </si>
  <si>
    <t>471050</t>
  </si>
  <si>
    <t>대신밸런스제17호스팩</t>
  </si>
  <si>
    <t>482690</t>
  </si>
  <si>
    <t>대신밸런스제19호스팩</t>
  </si>
  <si>
    <t>0030R0</t>
  </si>
  <si>
    <t>대신밸류리츠</t>
  </si>
  <si>
    <t>020180</t>
  </si>
  <si>
    <t>대신정보통신</t>
  </si>
  <si>
    <t>003540</t>
  </si>
  <si>
    <t>대신증권</t>
  </si>
  <si>
    <t>003547</t>
  </si>
  <si>
    <t>대신증권2우B</t>
  </si>
  <si>
    <t>003545</t>
  </si>
  <si>
    <t>대신증권우</t>
  </si>
  <si>
    <t>045390</t>
  </si>
  <si>
    <t>대아티아이</t>
  </si>
  <si>
    <t>009190</t>
  </si>
  <si>
    <t>대양금속</t>
  </si>
  <si>
    <t>108380</t>
  </si>
  <si>
    <t>대양전기공업</t>
  </si>
  <si>
    <t>014160</t>
  </si>
  <si>
    <t>대영포장</t>
  </si>
  <si>
    <t>047040</t>
  </si>
  <si>
    <t>대우건설</t>
  </si>
  <si>
    <t>003090</t>
  </si>
  <si>
    <t>대웅</t>
  </si>
  <si>
    <t>069620</t>
  </si>
  <si>
    <t>대웅제약</t>
  </si>
  <si>
    <t>007680</t>
  </si>
  <si>
    <t>대원</t>
  </si>
  <si>
    <t>000430</t>
  </si>
  <si>
    <t>대원강업</t>
  </si>
  <si>
    <t>048910</t>
  </si>
  <si>
    <t>대원미디어</t>
  </si>
  <si>
    <t>005710</t>
  </si>
  <si>
    <t>대원산업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</si>
  <si>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</si>
  <si>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</si>
  <si>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</si>
  <si>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</si>
  <si>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</si>
  <si>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</si>
  <si>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</si>
  <si>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</si>
  <si>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120240</t>
  </si>
  <si>
    <t>대정화금</t>
  </si>
  <si>
    <t>003310</t>
  </si>
  <si>
    <t>대주산업</t>
  </si>
  <si>
    <t>114920</t>
  </si>
  <si>
    <t>대주이엔티</t>
  </si>
  <si>
    <t>078600</t>
  </si>
  <si>
    <t>대주전자재료</t>
  </si>
  <si>
    <t>393970</t>
  </si>
  <si>
    <t>대진첨단소재</t>
  </si>
  <si>
    <t>012800</t>
  </si>
  <si>
    <t>대창</t>
  </si>
  <si>
    <t>015230</t>
  </si>
  <si>
    <t>대창단조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</si>
  <si>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</si>
  <si>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</si>
  <si>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</si>
  <si>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</si>
  <si>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</si>
  <si>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</si>
  <si>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</si>
  <si>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</si>
  <si>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054670</t>
  </si>
  <si>
    <t>대한뉴팜</t>
  </si>
  <si>
    <t>001070</t>
  </si>
  <si>
    <t>대한방직</t>
  </si>
  <si>
    <t>023910</t>
  </si>
  <si>
    <t>대한약품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</si>
  <si>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</si>
  <si>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</si>
  <si>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</si>
  <si>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</si>
  <si>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</si>
  <si>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</si>
  <si>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</si>
  <si>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</si>
  <si>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</si>
  <si>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</si>
  <si>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</si>
  <si>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</si>
  <si>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439260</t>
  </si>
  <si>
    <t>대한조선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</si>
  <si>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</si>
  <si>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</si>
  <si>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</si>
  <si>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</si>
  <si>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</si>
  <si>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</si>
  <si>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</si>
  <si>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</si>
  <si>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</si>
  <si>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</si>
  <si>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</si>
  <si>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</si>
  <si>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</si>
  <si>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</si>
  <si>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</si>
  <si>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</si>
  <si>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</si>
  <si>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</si>
  <si>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</si>
  <si>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</si>
  <si>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032860</t>
  </si>
  <si>
    <t>더라미</t>
  </si>
  <si>
    <t>475560</t>
  </si>
  <si>
    <t>더본코리아</t>
  </si>
  <si>
    <t>192080</t>
  </si>
  <si>
    <t>더블유게임즈</t>
  </si>
  <si>
    <t>393890</t>
  </si>
  <si>
    <t>더블유씨피</t>
  </si>
  <si>
    <t>299170</t>
  </si>
  <si>
    <t>더블유에스아이</t>
  </si>
  <si>
    <t>012510</t>
  </si>
  <si>
    <t>더존비즈온</t>
  </si>
  <si>
    <t>462860</t>
  </si>
  <si>
    <t>더즌</t>
  </si>
  <si>
    <t>224060</t>
  </si>
  <si>
    <t>더코디</t>
  </si>
  <si>
    <t>302920</t>
  </si>
  <si>
    <t>더콘텐츠온</t>
  </si>
  <si>
    <t>043090</t>
  </si>
  <si>
    <t>더테크놀로지</t>
  </si>
  <si>
    <t>403850</t>
  </si>
  <si>
    <t>더핑크퐁컴퍼니</t>
  </si>
  <si>
    <t>213420</t>
  </si>
  <si>
    <t>덕산네오룩스</t>
  </si>
  <si>
    <t>317330</t>
  </si>
  <si>
    <t>덕산테코피아</t>
  </si>
  <si>
    <t>077360</t>
  </si>
  <si>
    <t>덕산하이메탈</t>
  </si>
  <si>
    <t>004830</t>
  </si>
  <si>
    <t>덕성</t>
  </si>
  <si>
    <t>004835</t>
  </si>
  <si>
    <t>덕성우</t>
  </si>
  <si>
    <t>090410</t>
  </si>
  <si>
    <t>덕신이피씨</t>
  </si>
  <si>
    <t>0001A0</t>
  </si>
  <si>
    <t>덕양에너젠</t>
  </si>
  <si>
    <t>263600</t>
  </si>
  <si>
    <t>덕우전자</t>
  </si>
  <si>
    <t>194480</t>
  </si>
  <si>
    <t>데브시스터즈</t>
  </si>
  <si>
    <t>373160</t>
  </si>
  <si>
    <t>데이원컴퍼니</t>
  </si>
  <si>
    <t>263800</t>
  </si>
  <si>
    <t>데이타솔루션</t>
  </si>
  <si>
    <t>199150</t>
  </si>
  <si>
    <t>데이터스트림즈</t>
  </si>
  <si>
    <t>206560</t>
  </si>
  <si>
    <t>덱스터</t>
  </si>
  <si>
    <t>261200</t>
  </si>
  <si>
    <t>덴티스</t>
  </si>
  <si>
    <t>145720</t>
  </si>
  <si>
    <t>덴티움</t>
  </si>
  <si>
    <t>227420</t>
  </si>
  <si>
    <t>도부</t>
  </si>
  <si>
    <t>484120</t>
  </si>
  <si>
    <t>도우인시스</t>
  </si>
  <si>
    <t>067990</t>
  </si>
  <si>
    <t>도이치모터스</t>
  </si>
  <si>
    <t>002150</t>
  </si>
  <si>
    <t>도화엔지니어링</t>
  </si>
  <si>
    <t>006620</t>
  </si>
  <si>
    <t>동구바이오제약</t>
  </si>
  <si>
    <t>100130</t>
  </si>
  <si>
    <t>동국S&amp;C</t>
  </si>
  <si>
    <t>005160</t>
  </si>
  <si>
    <t>동국산업</t>
  </si>
  <si>
    <t>303810</t>
  </si>
  <si>
    <t>동국생명과학</t>
  </si>
  <si>
    <t>460850</t>
  </si>
  <si>
    <t>동국씨엠</t>
  </si>
  <si>
    <t>075970</t>
  </si>
  <si>
    <t>동국알앤에스</t>
  </si>
  <si>
    <t>460860</t>
  </si>
  <si>
    <t>동국제강</t>
  </si>
  <si>
    <t>086450</t>
  </si>
  <si>
    <t>동국제약</t>
  </si>
  <si>
    <t>001230</t>
  </si>
  <si>
    <t>동국홀딩스</t>
  </si>
  <si>
    <t>023450</t>
  </si>
  <si>
    <t>동남합성</t>
  </si>
  <si>
    <t>004140</t>
  </si>
  <si>
    <t>동방</t>
  </si>
  <si>
    <t>240550</t>
  </si>
  <si>
    <t>동방메디컬</t>
  </si>
  <si>
    <t>099410</t>
  </si>
  <si>
    <t>동방선기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</si>
  <si>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</si>
  <si>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</si>
  <si>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</si>
  <si>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</si>
  <si>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</si>
  <si>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</si>
  <si>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</si>
  <si>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</si>
  <si>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</si>
  <si>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</si>
  <si>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</si>
  <si>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</si>
  <si>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033500</t>
  </si>
  <si>
    <t>동성화인텍</t>
  </si>
  <si>
    <t>025950</t>
  </si>
  <si>
    <t>동신건설</t>
  </si>
  <si>
    <t>000640</t>
  </si>
  <si>
    <t>동아쏘시오홀딩스</t>
  </si>
  <si>
    <t>170900</t>
  </si>
  <si>
    <t>동아에스티</t>
  </si>
  <si>
    <t>088130</t>
  </si>
  <si>
    <t>동아엘텍</t>
  </si>
  <si>
    <t>028100</t>
  </si>
  <si>
    <t>동아지질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</si>
  <si>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</si>
  <si>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</si>
  <si>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</si>
  <si>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</si>
  <si>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</si>
  <si>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</si>
  <si>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</si>
  <si>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</si>
  <si>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060380</t>
  </si>
  <si>
    <t>동양에스텍</t>
  </si>
  <si>
    <t>001525</t>
  </si>
  <si>
    <t>동양우</t>
  </si>
  <si>
    <t>079960</t>
  </si>
  <si>
    <t>동양이엔피</t>
  </si>
  <si>
    <t>228340</t>
  </si>
  <si>
    <t>동양파일</t>
  </si>
  <si>
    <t>088910</t>
  </si>
  <si>
    <t>동우팜투테이블</t>
  </si>
  <si>
    <t>094170</t>
  </si>
  <si>
    <t>동운아나텍</t>
  </si>
  <si>
    <t>013120</t>
  </si>
  <si>
    <t>동원개발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</si>
  <si>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</si>
  <si>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</si>
  <si>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</si>
  <si>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</si>
  <si>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</si>
  <si>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</si>
  <si>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</si>
  <si>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</si>
  <si>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</si>
  <si>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</si>
  <si>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111380</t>
  </si>
  <si>
    <t>동인기연</t>
  </si>
  <si>
    <t>163560</t>
  </si>
  <si>
    <t>동일고무벨트</t>
  </si>
  <si>
    <t>109860</t>
  </si>
  <si>
    <t>동일금속</t>
  </si>
  <si>
    <t>032960</t>
  </si>
  <si>
    <t>동일기연</t>
  </si>
  <si>
    <t>004890</t>
  </si>
  <si>
    <t>동일산업</t>
  </si>
  <si>
    <t>023790</t>
  </si>
  <si>
    <t>동일스틸럭스</t>
  </si>
  <si>
    <t>002690</t>
  </si>
  <si>
    <t>동일제강</t>
  </si>
  <si>
    <t>005290</t>
  </si>
  <si>
    <t>동진쎄미켐</t>
  </si>
  <si>
    <t>025900</t>
  </si>
  <si>
    <t>동화기업</t>
  </si>
  <si>
    <t>000020</t>
  </si>
  <si>
    <t>동화약품</t>
  </si>
  <si>
    <t>000150</t>
  </si>
  <si>
    <t>두산</t>
  </si>
  <si>
    <t>000157</t>
  </si>
  <si>
    <t>두산2우B</t>
  </si>
  <si>
    <t>454910</t>
  </si>
  <si>
    <t>두산로보틱스</t>
  </si>
  <si>
    <t>241560</t>
  </si>
  <si>
    <t>두산밥캣</t>
  </si>
  <si>
    <t>034020</t>
  </si>
  <si>
    <t>두산에너빌리티</t>
  </si>
  <si>
    <t>000155</t>
  </si>
  <si>
    <t>두산우</t>
  </si>
  <si>
    <t>131970</t>
  </si>
  <si>
    <t>두산테스나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</si>
  <si>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</si>
  <si>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</si>
  <si>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</si>
  <si>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</si>
  <si>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</si>
  <si>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</si>
  <si>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</si>
  <si>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</si>
  <si>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073190</t>
  </si>
  <si>
    <t>듀오백</t>
  </si>
  <si>
    <t>176750</t>
  </si>
  <si>
    <t>듀켐바이오</t>
  </si>
  <si>
    <t>030350</t>
  </si>
  <si>
    <t>드래곤플라이</t>
  </si>
  <si>
    <t>203650</t>
  </si>
  <si>
    <t>드림시큐리티</t>
  </si>
  <si>
    <t>223250</t>
  </si>
  <si>
    <t>드림씨아이에스</t>
  </si>
  <si>
    <t>060570</t>
  </si>
  <si>
    <t>드림어스컴퍼니</t>
  </si>
  <si>
    <t>362990</t>
  </si>
  <si>
    <t>드림인사이트</t>
  </si>
  <si>
    <t>192650</t>
  </si>
  <si>
    <t>드림텍</t>
  </si>
  <si>
    <t>016670</t>
  </si>
  <si>
    <t>디모아</t>
  </si>
  <si>
    <t>187870</t>
  </si>
  <si>
    <t>디바이스</t>
  </si>
  <si>
    <t>489730</t>
  </si>
  <si>
    <t>디비금융제13호스팩</t>
  </si>
  <si>
    <t>0004Y0</t>
  </si>
  <si>
    <t>디비금융제14호스팩</t>
  </si>
  <si>
    <t>024090</t>
  </si>
  <si>
    <t>디씨엠</t>
  </si>
  <si>
    <t>003160</t>
  </si>
  <si>
    <t>디아이</t>
  </si>
  <si>
    <t>092200</t>
  </si>
  <si>
    <t>디아이씨</t>
  </si>
  <si>
    <t>110990</t>
  </si>
  <si>
    <t>디아이티</t>
  </si>
  <si>
    <t>263690</t>
  </si>
  <si>
    <t>디알젬</t>
  </si>
  <si>
    <t>214680</t>
  </si>
  <si>
    <t>디알텍</t>
  </si>
  <si>
    <t>347850</t>
  </si>
  <si>
    <t>디앤디파마텍</t>
  </si>
  <si>
    <t>377190</t>
  </si>
  <si>
    <t>디앤디플랫폼리츠</t>
  </si>
  <si>
    <t>263720</t>
  </si>
  <si>
    <t>디앤씨미디어</t>
  </si>
  <si>
    <t>376300</t>
  </si>
  <si>
    <t>디어유</t>
  </si>
  <si>
    <t>104040</t>
  </si>
  <si>
    <t>디에스엠</t>
  </si>
  <si>
    <t>109740</t>
  </si>
  <si>
    <t>디에스케이</t>
  </si>
  <si>
    <t>031860</t>
  </si>
  <si>
    <t>디에이치엑스컴퍼니</t>
  </si>
  <si>
    <t>196490</t>
  </si>
  <si>
    <t>디에이테크놀로지</t>
  </si>
  <si>
    <t>066900</t>
  </si>
  <si>
    <t>디에이피</t>
  </si>
  <si>
    <t>092070</t>
  </si>
  <si>
    <t>디엔에프</t>
  </si>
  <si>
    <t>039840</t>
  </si>
  <si>
    <t>디오</t>
  </si>
  <si>
    <t>013570</t>
  </si>
  <si>
    <t>디와이</t>
  </si>
  <si>
    <t>024900</t>
  </si>
  <si>
    <t>디와이덕양</t>
  </si>
  <si>
    <t>219550</t>
  </si>
  <si>
    <t>디와이디</t>
  </si>
  <si>
    <t>310870</t>
  </si>
  <si>
    <t>디와이씨</t>
  </si>
  <si>
    <t>002880</t>
  </si>
  <si>
    <t>디와이에이</t>
  </si>
  <si>
    <t>210540</t>
  </si>
  <si>
    <t>디와이파워</t>
  </si>
  <si>
    <t>104460</t>
  </si>
  <si>
    <t>디와이피엔에프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</si>
  <si>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</si>
  <si>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</si>
  <si>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</si>
  <si>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</si>
  <si>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</si>
  <si>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</si>
  <si>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</si>
  <si>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</si>
  <si>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</si>
  <si>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</si>
  <si>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</si>
  <si>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</si>
  <si>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</si>
  <si>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</si>
  <si>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</si>
  <si>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</si>
  <si>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066670</t>
  </si>
  <si>
    <t>디티씨</t>
  </si>
  <si>
    <t>187220</t>
  </si>
  <si>
    <t>디티앤씨</t>
  </si>
  <si>
    <t>383930</t>
  </si>
  <si>
    <t>디티앤씨알오</t>
  </si>
  <si>
    <t>131180</t>
  </si>
  <si>
    <t>딜리</t>
  </si>
  <si>
    <t>315640</t>
  </si>
  <si>
    <t>딥노이드</t>
  </si>
  <si>
    <t>317120</t>
  </si>
  <si>
    <t>라닉스</t>
  </si>
  <si>
    <t>462510</t>
  </si>
  <si>
    <t>라메디텍</t>
  </si>
  <si>
    <t>232680</t>
  </si>
  <si>
    <t>라온로보틱스</t>
  </si>
  <si>
    <t>042510</t>
  </si>
  <si>
    <t>라온시큐어</t>
  </si>
  <si>
    <t>418420</t>
  </si>
  <si>
    <t>라온텍</t>
  </si>
  <si>
    <t>300120</t>
  </si>
  <si>
    <t>라온피플</t>
  </si>
  <si>
    <t>171120</t>
  </si>
  <si>
    <t>라이온켐텍</t>
  </si>
  <si>
    <t>388790</t>
  </si>
  <si>
    <t>라이콤</t>
  </si>
  <si>
    <t>214260</t>
  </si>
  <si>
    <t>라파스</t>
  </si>
  <si>
    <t>403360</t>
  </si>
  <si>
    <t>라피치</t>
  </si>
  <si>
    <t>171010</t>
  </si>
  <si>
    <t>램테크놀러지</t>
  </si>
  <si>
    <t>084650</t>
  </si>
  <si>
    <t>랩지노믹스</t>
  </si>
  <si>
    <t>217500</t>
  </si>
  <si>
    <t>러셀</t>
  </si>
  <si>
    <t>092590</t>
  </si>
  <si>
    <t>럭스피아</t>
  </si>
  <si>
    <t>266170</t>
  </si>
  <si>
    <t>레드우즈</t>
  </si>
  <si>
    <t>038390</t>
  </si>
  <si>
    <t>레드캡투어</t>
  </si>
  <si>
    <t>294140</t>
  </si>
  <si>
    <t>레몬</t>
  </si>
  <si>
    <t>443250</t>
  </si>
  <si>
    <t>레뷰코퍼레이션</t>
  </si>
  <si>
    <t>228670</t>
  </si>
  <si>
    <t>레이</t>
  </si>
  <si>
    <t>228850</t>
  </si>
  <si>
    <t>레이언스</t>
  </si>
  <si>
    <t>412350</t>
  </si>
  <si>
    <t>레이저쎌</t>
  </si>
  <si>
    <t>199550</t>
  </si>
  <si>
    <t>레이저옵텍</t>
  </si>
  <si>
    <t>281740</t>
  </si>
  <si>
    <t>레이크머티리얼즈</t>
  </si>
  <si>
    <t>277810</t>
  </si>
  <si>
    <t>레인보우로보틱스</t>
  </si>
  <si>
    <t>215100</t>
  </si>
  <si>
    <t>로보로보</t>
  </si>
  <si>
    <t>090360</t>
  </si>
  <si>
    <t>로보스타</t>
  </si>
  <si>
    <t>108490</t>
  </si>
  <si>
    <t>로보티즈</t>
  </si>
  <si>
    <t>900260</t>
  </si>
  <si>
    <t>로스웰</t>
  </si>
  <si>
    <t>033290</t>
  </si>
  <si>
    <t>로젠</t>
  </si>
  <si>
    <t>223220</t>
  </si>
  <si>
    <t>로지스몬</t>
  </si>
  <si>
    <t>067730</t>
  </si>
  <si>
    <t>로지시스</t>
  </si>
  <si>
    <t>071280</t>
  </si>
  <si>
    <t>로체시스템즈</t>
  </si>
  <si>
    <t>376900</t>
  </si>
  <si>
    <t>로킷헬스케어</t>
  </si>
  <si>
    <t>214610</t>
  </si>
  <si>
    <t>롤링스톤</t>
  </si>
  <si>
    <t>032350</t>
  </si>
  <si>
    <t>롯데관광개발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</si>
  <si>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</si>
  <si>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</si>
  <si>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</si>
  <si>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</si>
  <si>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</si>
  <si>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</si>
  <si>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</si>
  <si>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</si>
  <si>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</si>
  <si>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</si>
  <si>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</si>
  <si>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</si>
  <si>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286940</t>
  </si>
  <si>
    <t>롯데이노베이트</t>
  </si>
  <si>
    <t>004000</t>
  </si>
  <si>
    <t>롯데정밀화학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</si>
  <si>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</si>
  <si>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</si>
  <si>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</si>
  <si>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</si>
  <si>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</si>
  <si>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</si>
  <si>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</si>
  <si>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</si>
  <si>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</si>
  <si>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</si>
  <si>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</si>
  <si>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</si>
  <si>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328130</t>
  </si>
  <si>
    <t>루닛</t>
  </si>
  <si>
    <t>038060</t>
  </si>
  <si>
    <t>루멘스</t>
  </si>
  <si>
    <t>474170</t>
  </si>
  <si>
    <t>루미르</t>
  </si>
  <si>
    <t>162120</t>
  </si>
  <si>
    <t>루켄테크놀러지스</t>
  </si>
  <si>
    <t>253610</t>
  </si>
  <si>
    <t>루트락</t>
  </si>
  <si>
    <t>141080</t>
  </si>
  <si>
    <t>리가켐바이오</t>
  </si>
  <si>
    <t>058470</t>
  </si>
  <si>
    <t>리노공업</t>
  </si>
  <si>
    <t>016100</t>
  </si>
  <si>
    <t>리더스코스메틱</t>
  </si>
  <si>
    <t>012700</t>
  </si>
  <si>
    <t>리드코프</t>
  </si>
  <si>
    <t>302550</t>
  </si>
  <si>
    <t>리메드</t>
  </si>
  <si>
    <t>491000</t>
  </si>
  <si>
    <t>리브스메드</t>
  </si>
  <si>
    <t>394420</t>
  </si>
  <si>
    <t>리센스메디컬</t>
  </si>
  <si>
    <t>073570</t>
  </si>
  <si>
    <t>리튬포어스</t>
  </si>
  <si>
    <t>377450</t>
  </si>
  <si>
    <t>리파인</t>
  </si>
  <si>
    <t>277070</t>
  </si>
  <si>
    <t>린드먼아시아</t>
  </si>
  <si>
    <t>042500</t>
  </si>
  <si>
    <t>링네트</t>
  </si>
  <si>
    <t>193250</t>
  </si>
  <si>
    <t>링크드</t>
  </si>
  <si>
    <t>474650</t>
  </si>
  <si>
    <t>링크솔루션</t>
  </si>
  <si>
    <t>219420</t>
  </si>
  <si>
    <t>링크제니시스</t>
  </si>
  <si>
    <t>439090</t>
  </si>
  <si>
    <t>마녀공장</t>
  </si>
  <si>
    <t>027740</t>
  </si>
  <si>
    <t>마니커</t>
  </si>
  <si>
    <t>195500</t>
  </si>
  <si>
    <t>마니커에프앤지</t>
  </si>
  <si>
    <t>357430</t>
  </si>
  <si>
    <t>마스턴프리미어리츠</t>
  </si>
  <si>
    <t>377480</t>
  </si>
  <si>
    <t>마음AI</t>
  </si>
  <si>
    <t>305090</t>
  </si>
  <si>
    <t>마이크로디지탈</t>
  </si>
  <si>
    <t>448780</t>
  </si>
  <si>
    <t>마이크로엔엑스</t>
  </si>
  <si>
    <t>098120</t>
  </si>
  <si>
    <t>마이크로컨텍솔</t>
  </si>
  <si>
    <t>424980</t>
  </si>
  <si>
    <t>마이크로투나노</t>
  </si>
  <si>
    <t>038290</t>
  </si>
  <si>
    <t>마크로젠</t>
  </si>
  <si>
    <t>001080</t>
  </si>
  <si>
    <t>만호제강</t>
  </si>
  <si>
    <t>267980</t>
  </si>
  <si>
    <t>매일유업</t>
  </si>
  <si>
    <t>005990</t>
  </si>
  <si>
    <t>매일홀딩스</t>
  </si>
  <si>
    <t>093520</t>
  </si>
  <si>
    <t>매커스</t>
  </si>
  <si>
    <t>088980</t>
  </si>
  <si>
    <t>맥쿼리인프라</t>
  </si>
  <si>
    <t>094800</t>
  </si>
  <si>
    <t>맵스리얼티</t>
  </si>
  <si>
    <t>179720</t>
  </si>
  <si>
    <t>머니무브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</si>
  <si>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</si>
  <si>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</si>
  <si>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</si>
  <si>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</si>
  <si>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</si>
  <si>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</si>
  <si>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</si>
  <si>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</si>
  <si>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</si>
  <si>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</si>
  <si>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446540</t>
  </si>
  <si>
    <t>메가터치</t>
  </si>
  <si>
    <t>235980</t>
  </si>
  <si>
    <t>메드팩토</t>
  </si>
  <si>
    <t>200580</t>
  </si>
  <si>
    <t>메디쎄이</t>
  </si>
  <si>
    <t>041920</t>
  </si>
  <si>
    <t>메디아나</t>
  </si>
  <si>
    <t>233250</t>
  </si>
  <si>
    <t>메디안디노스틱</t>
  </si>
  <si>
    <t>014100</t>
  </si>
  <si>
    <t>메디앙스</t>
  </si>
  <si>
    <t>236340</t>
  </si>
  <si>
    <t>메디젠휴먼케어</t>
  </si>
  <si>
    <t>054180</t>
  </si>
  <si>
    <t>메디콕스</t>
  </si>
  <si>
    <t>086900</t>
  </si>
  <si>
    <t>메디톡스</t>
  </si>
  <si>
    <t>078160</t>
  </si>
  <si>
    <t>메디포스트</t>
  </si>
  <si>
    <t>138040</t>
  </si>
  <si>
    <t>메리츠금융지주</t>
  </si>
  <si>
    <t>0088D0</t>
  </si>
  <si>
    <t>메리츠제1호스팩</t>
  </si>
  <si>
    <t>408920</t>
  </si>
  <si>
    <t>메쎄이상</t>
  </si>
  <si>
    <t>021880</t>
  </si>
  <si>
    <t>메이슨캐피탈</t>
  </si>
  <si>
    <t>0088M0</t>
  </si>
  <si>
    <t>메쥬</t>
  </si>
  <si>
    <t>140410</t>
  </si>
  <si>
    <t>메지온</t>
  </si>
  <si>
    <t>241770</t>
  </si>
  <si>
    <t>메카로</t>
  </si>
  <si>
    <t>090370</t>
  </si>
  <si>
    <t>메타랩스</t>
  </si>
  <si>
    <t>059210</t>
  </si>
  <si>
    <t>메타바이오메드</t>
  </si>
  <si>
    <t>118000</t>
  </si>
  <si>
    <t>메타케어</t>
  </si>
  <si>
    <t>058110</t>
  </si>
  <si>
    <t>멕아이씨에스</t>
  </si>
  <si>
    <t>072770</t>
  </si>
  <si>
    <t>멤레이비티</t>
  </si>
  <si>
    <t>017180</t>
  </si>
  <si>
    <t>명문제약</t>
  </si>
  <si>
    <t>009900</t>
  </si>
  <si>
    <t>명신산업</t>
  </si>
  <si>
    <t>317450</t>
  </si>
  <si>
    <t>명인제약</t>
  </si>
  <si>
    <t>012690</t>
  </si>
  <si>
    <t>모나리자</t>
  </si>
  <si>
    <t>005360</t>
  </si>
  <si>
    <t>모나미</t>
  </si>
  <si>
    <t>070960</t>
  </si>
  <si>
    <t>모나용평</t>
  </si>
  <si>
    <t>434480</t>
  </si>
  <si>
    <t>모니터랩</t>
  </si>
  <si>
    <t>080420</t>
  </si>
  <si>
    <t>모다이노칩</t>
  </si>
  <si>
    <t>417970</t>
  </si>
  <si>
    <t>모델솔루션</t>
  </si>
  <si>
    <t>080160</t>
  </si>
  <si>
    <t>모두투어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</si>
  <si>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</si>
  <si>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</si>
  <si>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</si>
  <si>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</si>
  <si>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</si>
  <si>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</si>
  <si>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</si>
  <si>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</si>
  <si>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</si>
  <si>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</si>
  <si>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</si>
  <si>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</si>
  <si>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</si>
  <si>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</si>
  <si>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142760</t>
  </si>
  <si>
    <t>모아라이프플러스</t>
  </si>
  <si>
    <t>033200</t>
  </si>
  <si>
    <t>모아텍</t>
  </si>
  <si>
    <t>009680</t>
  </si>
  <si>
    <t>모토닉</t>
  </si>
  <si>
    <t>118990</t>
  </si>
  <si>
    <t>모트렉스</t>
  </si>
  <si>
    <t>463480</t>
  </si>
  <si>
    <t>모티브링크</t>
  </si>
  <si>
    <t>006920</t>
  </si>
  <si>
    <t>모헨즈</t>
  </si>
  <si>
    <t>009580</t>
  </si>
  <si>
    <t>무림P&amp;P</t>
  </si>
  <si>
    <t>001810</t>
  </si>
  <si>
    <t>무림SP</t>
  </si>
  <si>
    <t>009200</t>
  </si>
  <si>
    <t>무림페이퍼</t>
  </si>
  <si>
    <t>322970</t>
  </si>
  <si>
    <t>무진메디</t>
  </si>
  <si>
    <t>033920</t>
  </si>
  <si>
    <t>무학</t>
  </si>
  <si>
    <t>008420</t>
  </si>
  <si>
    <t>문배철강</t>
  </si>
  <si>
    <t>279600</t>
  </si>
  <si>
    <t>미디어젠</t>
  </si>
  <si>
    <t>095500</t>
  </si>
  <si>
    <t>미래나노텍</t>
  </si>
  <si>
    <t>254490</t>
  </si>
  <si>
    <t>미래반도체</t>
  </si>
  <si>
    <t>025560</t>
  </si>
  <si>
    <t>미래산업</t>
  </si>
  <si>
    <t>218150</t>
  </si>
  <si>
    <t>미래생명자원</t>
  </si>
  <si>
    <t>007120</t>
  </si>
  <si>
    <t>미래아이앤지</t>
  </si>
  <si>
    <t>396690</t>
  </si>
  <si>
    <t>미래에셋글로벌리츠</t>
  </si>
  <si>
    <t>357250</t>
  </si>
  <si>
    <t>미래에셋맵스리츠</t>
  </si>
  <si>
    <t>100790</t>
  </si>
  <si>
    <t>미래에셋벤처투자</t>
  </si>
  <si>
    <t>0097F0</t>
  </si>
  <si>
    <t>미래에셋비전스팩10호</t>
  </si>
  <si>
    <t>0099W0</t>
  </si>
  <si>
    <t>미래에셋비전스팩11호</t>
  </si>
  <si>
    <t>477380</t>
  </si>
  <si>
    <t>미래에셋비전스팩4호</t>
  </si>
  <si>
    <t>477470</t>
  </si>
  <si>
    <t>미래에셋비전스팩5호</t>
  </si>
  <si>
    <t>478440</t>
  </si>
  <si>
    <t>미래에셋비전스팩6호</t>
  </si>
  <si>
    <t>482680</t>
  </si>
  <si>
    <t>미래에셋비전스팩7호</t>
  </si>
  <si>
    <t>0093G0</t>
  </si>
  <si>
    <t>미래에셋비전스팩8호</t>
  </si>
  <si>
    <t>0096D0</t>
  </si>
  <si>
    <t>미래에셋비전스팩9호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</si>
  <si>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</si>
  <si>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</si>
  <si>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</si>
  <si>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</si>
  <si>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</si>
  <si>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</si>
  <si>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</si>
  <si>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</si>
  <si>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208890</t>
  </si>
  <si>
    <t>미래엔에듀파트너</t>
  </si>
  <si>
    <t>049950</t>
  </si>
  <si>
    <t>미래컴퍼니</t>
  </si>
  <si>
    <t>207760</t>
  </si>
  <si>
    <t>미스터블루</t>
  </si>
  <si>
    <t>081660</t>
  </si>
  <si>
    <t>미스토홀딩스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</si>
  <si>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</si>
  <si>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</si>
  <si>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</si>
  <si>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</si>
  <si>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</si>
  <si>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</si>
  <si>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</si>
  <si>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</si>
  <si>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351020</t>
  </si>
  <si>
    <t>미쥬</t>
  </si>
  <si>
    <t>003650</t>
  </si>
  <si>
    <t>미창석유</t>
  </si>
  <si>
    <t>059090</t>
  </si>
  <si>
    <t>미코</t>
  </si>
  <si>
    <t>201490</t>
  </si>
  <si>
    <t>미투온</t>
  </si>
  <si>
    <t>475460</t>
  </si>
  <si>
    <t>미트박스</t>
  </si>
  <si>
    <t>452200</t>
  </si>
  <si>
    <t>민테크</t>
  </si>
  <si>
    <t>206640</t>
  </si>
  <si>
    <t>바디텍메드</t>
  </si>
  <si>
    <t>018700</t>
  </si>
  <si>
    <t>바른손</t>
  </si>
  <si>
    <t>035620</t>
  </si>
  <si>
    <t>바른손이앤에이</t>
  </si>
  <si>
    <t>354390</t>
  </si>
  <si>
    <t>바스칸바이오제약</t>
  </si>
  <si>
    <t>053030</t>
  </si>
  <si>
    <t>바이넥스</t>
  </si>
  <si>
    <t>301300</t>
  </si>
  <si>
    <t>바이브컴퍼니</t>
  </si>
  <si>
    <t>377740</t>
  </si>
  <si>
    <t>바이오노트</t>
  </si>
  <si>
    <t>064550</t>
  </si>
  <si>
    <t>바이오니아</t>
  </si>
  <si>
    <t>314930</t>
  </si>
  <si>
    <t>바이오다인</t>
  </si>
  <si>
    <t>489460</t>
  </si>
  <si>
    <t>바이오비쥬</t>
  </si>
  <si>
    <t>086820</t>
  </si>
  <si>
    <t>바이오솔루션</t>
  </si>
  <si>
    <t>038460</t>
  </si>
  <si>
    <t>바이오스마트</t>
  </si>
  <si>
    <t>251120</t>
  </si>
  <si>
    <t>바이오에프디엔씨</t>
  </si>
  <si>
    <t>199730</t>
  </si>
  <si>
    <t>바이오인프라</t>
  </si>
  <si>
    <t>266470</t>
  </si>
  <si>
    <t>바이오인프라생명과학</t>
  </si>
  <si>
    <t>289170</t>
  </si>
  <si>
    <t>바이오텐</t>
  </si>
  <si>
    <t>086040</t>
  </si>
  <si>
    <t>바이오톡스텍</t>
  </si>
  <si>
    <t>188040</t>
  </si>
  <si>
    <t>바이오포트</t>
  </si>
  <si>
    <t>199290</t>
  </si>
  <si>
    <t>바이오프로테크</t>
  </si>
  <si>
    <t>099430</t>
  </si>
  <si>
    <t>바이오플러스</t>
  </si>
  <si>
    <t>032980</t>
  </si>
  <si>
    <t>바이온</t>
  </si>
  <si>
    <t>308080</t>
  </si>
  <si>
    <t>바이젠셀</t>
  </si>
  <si>
    <t>043150</t>
  </si>
  <si>
    <t>바텍</t>
  </si>
  <si>
    <t>323990</t>
  </si>
  <si>
    <t>박셀바이오</t>
  </si>
  <si>
    <t>003610</t>
  </si>
  <si>
    <t>방림</t>
  </si>
  <si>
    <t>267790</t>
  </si>
  <si>
    <t>배럴</t>
  </si>
  <si>
    <t>046310</t>
  </si>
  <si>
    <t>백금T&amp;A</t>
  </si>
  <si>
    <t>035150</t>
  </si>
  <si>
    <t>백산</t>
  </si>
  <si>
    <t>331520</t>
  </si>
  <si>
    <t>밸로프</t>
  </si>
  <si>
    <t>199480</t>
  </si>
  <si>
    <t>뱅크웨어글로벌</t>
  </si>
  <si>
    <t>438700</t>
  </si>
  <si>
    <t>버넥트</t>
  </si>
  <si>
    <t>066410</t>
  </si>
  <si>
    <t>버킷스튜디오</t>
  </si>
  <si>
    <t>002410</t>
  </si>
  <si>
    <t>범양건영</t>
  </si>
  <si>
    <t>382900</t>
  </si>
  <si>
    <t>범한퓨얼셀</t>
  </si>
  <si>
    <t>206400</t>
  </si>
  <si>
    <t>베노티앤알</t>
  </si>
  <si>
    <t>019010</t>
  </si>
  <si>
    <t>베뉴지</t>
  </si>
  <si>
    <t>177350</t>
  </si>
  <si>
    <t>베셀</t>
  </si>
  <si>
    <t>457600</t>
  </si>
  <si>
    <t>벡트</t>
  </si>
  <si>
    <t>424760</t>
  </si>
  <si>
    <t>벨로크</t>
  </si>
  <si>
    <t>007210</t>
  </si>
  <si>
    <t>벽산</t>
  </si>
  <si>
    <t>250000</t>
  </si>
  <si>
    <t>보라티알</t>
  </si>
  <si>
    <t>002760</t>
  </si>
  <si>
    <t>보락</t>
  </si>
  <si>
    <t>003850</t>
  </si>
  <si>
    <t>보령</t>
  </si>
  <si>
    <t>310210</t>
  </si>
  <si>
    <t>보로노이</t>
  </si>
  <si>
    <t>006910</t>
  </si>
  <si>
    <t>보성파워텍</t>
  </si>
  <si>
    <t>0010F0</t>
  </si>
  <si>
    <t>보원케미칼</t>
  </si>
  <si>
    <t>000890</t>
  </si>
  <si>
    <t>보해양조</t>
  </si>
  <si>
    <t>226340</t>
  </si>
  <si>
    <t>본느</t>
  </si>
  <si>
    <t>496320</t>
  </si>
  <si>
    <t>본시스템즈</t>
  </si>
  <si>
    <t>206950</t>
  </si>
  <si>
    <t>볼빅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</si>
  <si>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</si>
  <si>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</si>
  <si>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</si>
  <si>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</si>
  <si>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</si>
  <si>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</si>
  <si>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</si>
  <si>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</si>
  <si>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014470</t>
  </si>
  <si>
    <t>부방</t>
  </si>
  <si>
    <t>011390</t>
  </si>
  <si>
    <t>부산산업</t>
  </si>
  <si>
    <t>005030</t>
  </si>
  <si>
    <t>부산주공</t>
  </si>
  <si>
    <t>008470</t>
  </si>
  <si>
    <t>부스타</t>
  </si>
  <si>
    <t>338220</t>
  </si>
  <si>
    <t>뷰노</t>
  </si>
  <si>
    <t>100120</t>
  </si>
  <si>
    <t>뷰웍스</t>
  </si>
  <si>
    <t>406820</t>
  </si>
  <si>
    <t>뷰티스킨</t>
  </si>
  <si>
    <t>099390</t>
  </si>
  <si>
    <t>브레인즈컴퍼니</t>
  </si>
  <si>
    <t>064480</t>
  </si>
  <si>
    <t>브리지텍</t>
  </si>
  <si>
    <t>365900</t>
  </si>
  <si>
    <t>브이씨</t>
  </si>
  <si>
    <t>089970</t>
  </si>
  <si>
    <t>브이엠</t>
  </si>
  <si>
    <t>251630</t>
  </si>
  <si>
    <t>브이원텍</t>
  </si>
  <si>
    <t>018290</t>
  </si>
  <si>
    <t>브이티</t>
  </si>
  <si>
    <t>478560</t>
  </si>
  <si>
    <t>블랙야크아이앤씨</t>
  </si>
  <si>
    <t>006740</t>
  </si>
  <si>
    <t>블루산업개발</t>
  </si>
  <si>
    <t>439580</t>
  </si>
  <si>
    <t>블루엠텍</t>
  </si>
  <si>
    <t>033560</t>
  </si>
  <si>
    <t>블루콤</t>
  </si>
  <si>
    <t>191600</t>
  </si>
  <si>
    <t>블루탑</t>
  </si>
  <si>
    <t>369370</t>
  </si>
  <si>
    <t>블리츠웨이엔터테인먼트</t>
  </si>
  <si>
    <t>126340</t>
  </si>
  <si>
    <t>비나텍</t>
  </si>
  <si>
    <t>121800</t>
  </si>
  <si>
    <t>비덴트</t>
  </si>
  <si>
    <t>082800</t>
  </si>
  <si>
    <t>비보존 제약</t>
  </si>
  <si>
    <t>318410</t>
  </si>
  <si>
    <t>비비씨</t>
  </si>
  <si>
    <t>002070</t>
  </si>
  <si>
    <t>비비안</t>
  </si>
  <si>
    <t>100220</t>
  </si>
  <si>
    <t>비상교육</t>
  </si>
  <si>
    <t>419540</t>
  </si>
  <si>
    <t>비스토스</t>
  </si>
  <si>
    <t>146320</t>
  </si>
  <si>
    <t>비씨엔씨</t>
  </si>
  <si>
    <t>200780</t>
  </si>
  <si>
    <t>비씨월드제약</t>
  </si>
  <si>
    <t>413640</t>
  </si>
  <si>
    <t>비아이매트릭스</t>
  </si>
  <si>
    <t>141000</t>
  </si>
  <si>
    <t>비아트론</t>
  </si>
  <si>
    <t>090460</t>
  </si>
  <si>
    <t>비에이치</t>
  </si>
  <si>
    <t>083650</t>
  </si>
  <si>
    <t>비에이치아이</t>
  </si>
  <si>
    <t>0068Y0</t>
  </si>
  <si>
    <t>비엔케이제3호스팩</t>
  </si>
  <si>
    <t>065170</t>
  </si>
  <si>
    <t>비엘팜텍</t>
  </si>
  <si>
    <t>086670</t>
  </si>
  <si>
    <t>비엠티</t>
  </si>
  <si>
    <t>230980</t>
  </si>
  <si>
    <t>비유테크놀러지</t>
  </si>
  <si>
    <t>488900</t>
  </si>
  <si>
    <t>비츠로넥스텍</t>
  </si>
  <si>
    <t>082920</t>
  </si>
  <si>
    <t>비츠로셀</t>
  </si>
  <si>
    <t>054220</t>
  </si>
  <si>
    <t>비츠로시스</t>
  </si>
  <si>
    <t>042370</t>
  </si>
  <si>
    <t>비츠로테크</t>
  </si>
  <si>
    <t>050090</t>
  </si>
  <si>
    <t>비케이홀딩스</t>
  </si>
  <si>
    <t>148780</t>
  </si>
  <si>
    <t>비큐AI</t>
  </si>
  <si>
    <t>307870</t>
  </si>
  <si>
    <t>비투엔</t>
  </si>
  <si>
    <t>377030</t>
  </si>
  <si>
    <t>비트맥스</t>
  </si>
  <si>
    <t>032850</t>
  </si>
  <si>
    <t>비트컴퓨터</t>
  </si>
  <si>
    <t>049470</t>
  </si>
  <si>
    <t>비트플래닛</t>
  </si>
  <si>
    <t>238200</t>
  </si>
  <si>
    <t>비피도</t>
  </si>
  <si>
    <t>093190</t>
  </si>
  <si>
    <t>빅솔론</t>
  </si>
  <si>
    <t>065450</t>
  </si>
  <si>
    <t>빅텍</t>
  </si>
  <si>
    <t>044480</t>
  </si>
  <si>
    <t>빌리언스</t>
  </si>
  <si>
    <t>005180</t>
  </si>
  <si>
    <t>빙그레</t>
  </si>
  <si>
    <t>069540</t>
  </si>
  <si>
    <t>빛과전자</t>
  </si>
  <si>
    <t>072950</t>
  </si>
  <si>
    <t>빛샘전자</t>
  </si>
  <si>
    <t>451250</t>
  </si>
  <si>
    <t>삐아</t>
  </si>
  <si>
    <t>143240</t>
  </si>
  <si>
    <t>사람인</t>
  </si>
  <si>
    <t>466410</t>
  </si>
  <si>
    <t>사이냅소프트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</si>
  <si>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</si>
  <si>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</si>
  <si>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</si>
  <si>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</si>
  <si>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</si>
  <si>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</si>
  <si>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</si>
  <si>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</si>
  <si>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</si>
  <si>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</si>
  <si>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223310</t>
  </si>
  <si>
    <t>사토시홀딩스</t>
  </si>
  <si>
    <t>452430</t>
  </si>
  <si>
    <t>사피엔반도체</t>
  </si>
  <si>
    <t>419120</t>
  </si>
  <si>
    <t>산돌</t>
  </si>
  <si>
    <t>062040</t>
  </si>
  <si>
    <t>산일전기</t>
  </si>
  <si>
    <t>122350</t>
  </si>
  <si>
    <t>삼기</t>
  </si>
  <si>
    <t>419050</t>
  </si>
  <si>
    <t>삼기에너지솔루션즈</t>
  </si>
  <si>
    <t>014970</t>
  </si>
  <si>
    <t>삼륭물산</t>
  </si>
  <si>
    <t>005610</t>
  </si>
  <si>
    <t>삼립</t>
  </si>
  <si>
    <t>018310</t>
  </si>
  <si>
    <t>삼목에스폼</t>
  </si>
  <si>
    <t>012210</t>
  </si>
  <si>
    <t>삼미금속</t>
  </si>
  <si>
    <t>053700</t>
  </si>
  <si>
    <t>삼보모터스</t>
  </si>
  <si>
    <t>009620</t>
  </si>
  <si>
    <t>삼보산업</t>
  </si>
  <si>
    <t>023600</t>
  </si>
  <si>
    <t>삼보판지</t>
  </si>
  <si>
    <t>001470</t>
  </si>
  <si>
    <t>삼부토건</t>
  </si>
  <si>
    <t>028050</t>
  </si>
  <si>
    <t>삼성E&amp;A</t>
  </si>
  <si>
    <t>448730</t>
  </si>
  <si>
    <t>삼성FN리츠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</si>
  <si>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</si>
  <si>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</si>
  <si>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</si>
  <si>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</si>
  <si>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</si>
  <si>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</si>
  <si>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</si>
  <si>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</si>
  <si>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</si>
  <si>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</si>
  <si>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</si>
  <si>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</si>
  <si>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</si>
  <si>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</si>
  <si>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0044K0</t>
  </si>
  <si>
    <t>삼성스팩10호</t>
  </si>
  <si>
    <t>0071M0</t>
  </si>
  <si>
    <t>삼성스팩11호</t>
  </si>
  <si>
    <t>0096B0</t>
  </si>
  <si>
    <t>삼성스팩12호</t>
  </si>
  <si>
    <t>0115H0</t>
  </si>
  <si>
    <t>삼성스팩13호</t>
  </si>
  <si>
    <t>018260</t>
  </si>
  <si>
    <t>삼성에스디에스</t>
  </si>
  <si>
    <t>0126Z0</t>
  </si>
  <si>
    <t>삼성에피스홀딩스</t>
  </si>
  <si>
    <t>009150</t>
  </si>
  <si>
    <t>삼성전기</t>
  </si>
  <si>
    <t>009155</t>
  </si>
  <si>
    <t>삼성전기우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</si>
  <si>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</si>
  <si>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</si>
  <si>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</si>
  <si>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</si>
  <si>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</si>
  <si>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</si>
  <si>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</si>
  <si>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</si>
  <si>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</si>
  <si>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</si>
  <si>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</si>
  <si>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</si>
  <si>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</si>
  <si>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</si>
  <si>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</si>
  <si>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</si>
  <si>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</si>
  <si>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</si>
  <si>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</si>
  <si>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009300</t>
  </si>
  <si>
    <t>삼아제약</t>
  </si>
  <si>
    <t>0120G0</t>
  </si>
  <si>
    <t>삼양바이오팜</t>
  </si>
  <si>
    <t>145990</t>
  </si>
  <si>
    <t>삼양사</t>
  </si>
  <si>
    <t>145995</t>
  </si>
  <si>
    <t>삼양사우</t>
  </si>
  <si>
    <t>003230</t>
  </si>
  <si>
    <t>삼양식품</t>
  </si>
  <si>
    <t>482630</t>
  </si>
  <si>
    <t>삼양엔씨켐</t>
  </si>
  <si>
    <t>484590</t>
  </si>
  <si>
    <t>삼양컴텍</t>
  </si>
  <si>
    <t>036670</t>
  </si>
  <si>
    <t>삼양케이씨아이</t>
  </si>
  <si>
    <t>272550</t>
  </si>
  <si>
    <t>삼양패키징</t>
  </si>
  <si>
    <t>000070</t>
  </si>
  <si>
    <t>삼양홀딩스</t>
  </si>
  <si>
    <t>003720</t>
  </si>
  <si>
    <t>삼영</t>
  </si>
  <si>
    <t>002810</t>
  </si>
  <si>
    <t>삼영무역</t>
  </si>
  <si>
    <t>361670</t>
  </si>
  <si>
    <t>삼영에스앤씨</t>
  </si>
  <si>
    <t>054540</t>
  </si>
  <si>
    <t>삼영엠텍</t>
  </si>
  <si>
    <t>065570</t>
  </si>
  <si>
    <t>삼영이엔씨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</si>
  <si>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</si>
  <si>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</si>
  <si>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</si>
  <si>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</si>
  <si>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</si>
  <si>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</si>
  <si>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</si>
  <si>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</si>
  <si>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014950</t>
  </si>
  <si>
    <t>삼익제약</t>
  </si>
  <si>
    <t>032280</t>
  </si>
  <si>
    <t>삼일</t>
  </si>
  <si>
    <t>002290</t>
  </si>
  <si>
    <t>삼일기업공사</t>
  </si>
  <si>
    <t>004440</t>
  </si>
  <si>
    <t>삼일씨엔에스</t>
  </si>
  <si>
    <t>000520</t>
  </si>
  <si>
    <t>삼일제약</t>
  </si>
  <si>
    <t>009770</t>
  </si>
  <si>
    <t>삼정펄프</t>
  </si>
  <si>
    <t>037460</t>
  </si>
  <si>
    <t>삼지전자</t>
  </si>
  <si>
    <t>032750</t>
  </si>
  <si>
    <t>삼진</t>
  </si>
  <si>
    <t>0013V0</t>
  </si>
  <si>
    <t>삼진식품</t>
  </si>
  <si>
    <t>054090</t>
  </si>
  <si>
    <t>삼진엘앤디</t>
  </si>
  <si>
    <t>005500</t>
  </si>
  <si>
    <t>삼진제약</t>
  </si>
  <si>
    <t>000250</t>
  </si>
  <si>
    <t>삼천당제약</t>
  </si>
  <si>
    <t>004690</t>
  </si>
  <si>
    <t>삼천리</t>
  </si>
  <si>
    <t>024950</t>
  </si>
  <si>
    <t>삼천리자전거</t>
  </si>
  <si>
    <t>038500</t>
  </si>
  <si>
    <t>삼표시멘트</t>
  </si>
  <si>
    <t>437730</t>
  </si>
  <si>
    <t>삼현</t>
  </si>
  <si>
    <t>017480</t>
  </si>
  <si>
    <t>삼현철강</t>
  </si>
  <si>
    <t>010960</t>
  </si>
  <si>
    <t>삼호개발</t>
  </si>
  <si>
    <t>046390</t>
  </si>
  <si>
    <t>삼화네트웍스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</si>
  <si>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</si>
  <si>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</si>
  <si>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</si>
  <si>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</si>
  <si>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</si>
  <si>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</si>
  <si>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</si>
  <si>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</si>
  <si>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027580</t>
  </si>
  <si>
    <t>상보</t>
  </si>
  <si>
    <t>038540</t>
  </si>
  <si>
    <t>상상인</t>
  </si>
  <si>
    <t>001290</t>
  </si>
  <si>
    <t>상상인증권</t>
  </si>
  <si>
    <t>041650</t>
  </si>
  <si>
    <t>상신브레이크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</si>
  <si>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</si>
  <si>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</si>
  <si>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</si>
  <si>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</si>
  <si>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</si>
  <si>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</si>
  <si>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</si>
  <si>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상지건설</t>
  </si>
  <si>
    <t>042600</t>
  </si>
  <si>
    <t>새로닉스</t>
  </si>
  <si>
    <t>075180</t>
  </si>
  <si>
    <t>새론오토모티브</t>
  </si>
  <si>
    <t>107600</t>
  </si>
  <si>
    <t>새빗켐</t>
  </si>
  <si>
    <t>411080</t>
  </si>
  <si>
    <t>샌즈랩</t>
  </si>
  <si>
    <t>252990</t>
  </si>
  <si>
    <t>샘씨엔에스</t>
  </si>
  <si>
    <t>007540</t>
  </si>
  <si>
    <t>샘표</t>
  </si>
  <si>
    <t>248170</t>
  </si>
  <si>
    <t>샘표식품</t>
  </si>
  <si>
    <t>378800</t>
  </si>
  <si>
    <t>샤페론</t>
  </si>
  <si>
    <t>294630</t>
  </si>
  <si>
    <t>서남</t>
  </si>
  <si>
    <t>038070</t>
  </si>
  <si>
    <t>서린바이오</t>
  </si>
  <si>
    <t>006730</t>
  </si>
  <si>
    <t>서부T&amp;D</t>
  </si>
  <si>
    <t>079650</t>
  </si>
  <si>
    <t>서산</t>
  </si>
  <si>
    <t>100660</t>
  </si>
  <si>
    <t>서암기계공업</t>
  </si>
  <si>
    <t>007860</t>
  </si>
  <si>
    <t>서연</t>
  </si>
  <si>
    <t>200880</t>
  </si>
  <si>
    <t>서연이화</t>
  </si>
  <si>
    <t>019770</t>
  </si>
  <si>
    <t>서연탑메탈</t>
  </si>
  <si>
    <t>017390</t>
  </si>
  <si>
    <t>서울가스</t>
  </si>
  <si>
    <t>092190</t>
  </si>
  <si>
    <t>서울바이오시스</t>
  </si>
  <si>
    <t>046890</t>
  </si>
  <si>
    <t>서울반도체</t>
  </si>
  <si>
    <t>031210</t>
  </si>
  <si>
    <t>서울보증보험</t>
  </si>
  <si>
    <t>004410</t>
  </si>
  <si>
    <t>서울식품</t>
  </si>
  <si>
    <t>004415</t>
  </si>
  <si>
    <t>서울식품우</t>
  </si>
  <si>
    <t>063170</t>
  </si>
  <si>
    <t>서울옥션</t>
  </si>
  <si>
    <t>027040</t>
  </si>
  <si>
    <t>서울전자통신</t>
  </si>
  <si>
    <t>018680</t>
  </si>
  <si>
    <t>서울제약</t>
  </si>
  <si>
    <t>036120</t>
  </si>
  <si>
    <t>서울평가정보</t>
  </si>
  <si>
    <t>021050</t>
  </si>
  <si>
    <t>서원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</si>
  <si>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</si>
  <si>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</si>
  <si>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</si>
  <si>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</si>
  <si>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</si>
  <si>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</si>
  <si>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</si>
  <si>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</si>
  <si>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</si>
  <si>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</si>
  <si>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</si>
  <si>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</si>
  <si>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</si>
  <si>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</si>
  <si>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008490</t>
  </si>
  <si>
    <t>서흥</t>
  </si>
  <si>
    <t>035890</t>
  </si>
  <si>
    <t>서희건설</t>
  </si>
  <si>
    <t>357550</t>
  </si>
  <si>
    <t>석경에이티</t>
  </si>
  <si>
    <t>003100</t>
  </si>
  <si>
    <t>선광</t>
  </si>
  <si>
    <t>007610</t>
  </si>
  <si>
    <t>선도전기</t>
  </si>
  <si>
    <t>067370</t>
  </si>
  <si>
    <t>선바이오</t>
  </si>
  <si>
    <t>217620</t>
  </si>
  <si>
    <t>선샤인푸드</t>
  </si>
  <si>
    <t>171090</t>
  </si>
  <si>
    <t>선익시스템</t>
  </si>
  <si>
    <t>136490</t>
  </si>
  <si>
    <t>선진</t>
  </si>
  <si>
    <t>086710</t>
  </si>
  <si>
    <t>선진뷰티사이언스</t>
  </si>
  <si>
    <t>014620</t>
  </si>
  <si>
    <t>성광벤드</t>
  </si>
  <si>
    <t>037350</t>
  </si>
  <si>
    <t>성도이엔지</t>
  </si>
  <si>
    <t>014910</t>
  </si>
  <si>
    <t>성문전자</t>
  </si>
  <si>
    <t>014915</t>
  </si>
  <si>
    <t>성문전자우</t>
  </si>
  <si>
    <t>004980</t>
  </si>
  <si>
    <t>성신양회</t>
  </si>
  <si>
    <t>004985</t>
  </si>
  <si>
    <t>성신양회우</t>
  </si>
  <si>
    <t>458650</t>
  </si>
  <si>
    <t>성우</t>
  </si>
  <si>
    <t>081580</t>
  </si>
  <si>
    <t>성우전자</t>
  </si>
  <si>
    <t>045300</t>
  </si>
  <si>
    <t>성우테크론</t>
  </si>
  <si>
    <t>015750</t>
  </si>
  <si>
    <t>성우하이텍</t>
  </si>
  <si>
    <t>365340</t>
  </si>
  <si>
    <t>성일하이텍</t>
  </si>
  <si>
    <t>000180</t>
  </si>
  <si>
    <t>성창기업지주</t>
  </si>
  <si>
    <t>080470</t>
  </si>
  <si>
    <t>성창오토텍</t>
  </si>
  <si>
    <t>043260</t>
  </si>
  <si>
    <t>성호전자</t>
  </si>
  <si>
    <t>148150</t>
  </si>
  <si>
    <t>세경하이테크</t>
  </si>
  <si>
    <t>002420</t>
  </si>
  <si>
    <t>세기상사</t>
  </si>
  <si>
    <t>061090</t>
  </si>
  <si>
    <t>세나테크놀로지</t>
  </si>
  <si>
    <t>188260</t>
  </si>
  <si>
    <t>세니젠</t>
  </si>
  <si>
    <t>053060</t>
  </si>
  <si>
    <t>세동</t>
  </si>
  <si>
    <t>340440</t>
  </si>
  <si>
    <t>세림B&amp;G</t>
  </si>
  <si>
    <t>017510</t>
  </si>
  <si>
    <t>세명전기</t>
  </si>
  <si>
    <t>490470</t>
  </si>
  <si>
    <t>세미파이브</t>
  </si>
  <si>
    <t>004360</t>
  </si>
  <si>
    <t>세방</t>
  </si>
  <si>
    <t>004365</t>
  </si>
  <si>
    <t>세방우</t>
  </si>
  <si>
    <t>004490</t>
  </si>
  <si>
    <t>세방전지</t>
  </si>
  <si>
    <t>011560</t>
  </si>
  <si>
    <t>세보엠이씨</t>
  </si>
  <si>
    <t>267080</t>
  </si>
  <si>
    <t>세븐브로이맥주</t>
  </si>
  <si>
    <t>396300</t>
  </si>
  <si>
    <t>세아메카닉스</t>
  </si>
  <si>
    <t>001430</t>
  </si>
  <si>
    <t>세아베스틸지주</t>
  </si>
  <si>
    <t>306200</t>
  </si>
  <si>
    <t>세아제강</t>
  </si>
  <si>
    <t>003030</t>
  </si>
  <si>
    <t>세아제강지주</t>
  </si>
  <si>
    <t>058650</t>
  </si>
  <si>
    <t>세아홀딩스</t>
  </si>
  <si>
    <t>013000</t>
  </si>
  <si>
    <t>세우글로벌</t>
  </si>
  <si>
    <t>100700</t>
  </si>
  <si>
    <t>세운메디칼</t>
  </si>
  <si>
    <t>024830</t>
  </si>
  <si>
    <t>세원물산</t>
  </si>
  <si>
    <t>021820</t>
  </si>
  <si>
    <t>세원정공</t>
  </si>
  <si>
    <t>067830</t>
  </si>
  <si>
    <t>세이브존I&amp;C</t>
  </si>
  <si>
    <t>258830</t>
  </si>
  <si>
    <t>세종메디칼</t>
  </si>
  <si>
    <t>036630</t>
  </si>
  <si>
    <t>세종텔레콤</t>
  </si>
  <si>
    <t>039310</t>
  </si>
  <si>
    <t>세중</t>
  </si>
  <si>
    <t>075580</t>
  </si>
  <si>
    <t>세진중공업</t>
  </si>
  <si>
    <t>067770</t>
  </si>
  <si>
    <t>세진티에스</t>
  </si>
  <si>
    <t>053450</t>
  </si>
  <si>
    <t>세코닉스</t>
  </si>
  <si>
    <t>252500</t>
  </si>
  <si>
    <t>세화피앤씨</t>
  </si>
  <si>
    <t>321370</t>
  </si>
  <si>
    <t>센서뷰</t>
  </si>
  <si>
    <t>347000</t>
  </si>
  <si>
    <t>센코</t>
  </si>
  <si>
    <t>331920</t>
  </si>
  <si>
    <t>셀레믹스</t>
  </si>
  <si>
    <t>352770</t>
  </si>
  <si>
    <t>셀레스트라</t>
  </si>
  <si>
    <t>471820</t>
  </si>
  <si>
    <t>셀로맥스사이언스</t>
  </si>
  <si>
    <t>049180</t>
  </si>
  <si>
    <t>셀루메드</t>
  </si>
  <si>
    <t>299660</t>
  </si>
  <si>
    <t>셀리드</t>
  </si>
  <si>
    <t>108860</t>
  </si>
  <si>
    <t>셀바스AI</t>
  </si>
  <si>
    <t>208370</t>
  </si>
  <si>
    <t>셀바스헬스케어</t>
  </si>
  <si>
    <t>318160</t>
  </si>
  <si>
    <t>셀바이오휴먼텍</t>
  </si>
  <si>
    <t>308430</t>
  </si>
  <si>
    <t>셀비온</t>
  </si>
  <si>
    <t>068270</t>
  </si>
  <si>
    <t>셀트리온</t>
  </si>
  <si>
    <t>068760</t>
  </si>
  <si>
    <t>셀트리온제약</t>
  </si>
  <si>
    <t>068940</t>
  </si>
  <si>
    <t>셀피글로벌</t>
  </si>
  <si>
    <t>007720</t>
  </si>
  <si>
    <t>소노스퀘어</t>
  </si>
  <si>
    <t>290690</t>
  </si>
  <si>
    <t>소룩스</t>
  </si>
  <si>
    <t>950200</t>
  </si>
  <si>
    <t>소마젠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</si>
  <si>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</si>
  <si>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</si>
  <si>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</si>
  <si>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</si>
  <si>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</si>
  <si>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</si>
  <si>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</si>
  <si>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</si>
  <si>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215090</t>
  </si>
  <si>
    <t>솔디펜스</t>
  </si>
  <si>
    <t>238500</t>
  </si>
  <si>
    <t>솔루믹스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</si>
  <si>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</si>
  <si>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</si>
  <si>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</si>
  <si>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</si>
  <si>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</si>
  <si>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</si>
  <si>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</si>
  <si>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</si>
  <si>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</si>
  <si>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</si>
  <si>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</si>
  <si>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</si>
  <si>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</si>
  <si>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</si>
  <si>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</si>
  <si>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</si>
  <si>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328380</t>
  </si>
  <si>
    <t>솔트웨어</t>
  </si>
  <si>
    <t>004430</t>
  </si>
  <si>
    <t>송원산업</t>
  </si>
  <si>
    <t>086980</t>
  </si>
  <si>
    <t>쇼박스</t>
  </si>
  <si>
    <t>017550</t>
  </si>
  <si>
    <t>수산세보틱스</t>
  </si>
  <si>
    <t>050960</t>
  </si>
  <si>
    <t>수산아이앤티</t>
  </si>
  <si>
    <t>126720</t>
  </si>
  <si>
    <t>수산인더스트리</t>
  </si>
  <si>
    <t>084180</t>
  </si>
  <si>
    <t>수성웹툰</t>
  </si>
  <si>
    <t>253840</t>
  </si>
  <si>
    <t>수젠텍</t>
  </si>
  <si>
    <t>185190</t>
  </si>
  <si>
    <t>수프로</t>
  </si>
  <si>
    <t>298830</t>
  </si>
  <si>
    <t>슈어소프트테크</t>
  </si>
  <si>
    <t>236200</t>
  </si>
  <si>
    <t>슈프리마</t>
  </si>
  <si>
    <t>094840</t>
  </si>
  <si>
    <t>슈프리마에이치큐</t>
  </si>
  <si>
    <t>192440</t>
  </si>
  <si>
    <t>슈피겐코리아</t>
  </si>
  <si>
    <t>424960</t>
  </si>
  <si>
    <t>스마트레이더시스템</t>
  </si>
  <si>
    <t>099440</t>
  </si>
  <si>
    <t>스맥</t>
  </si>
  <si>
    <t>066590</t>
  </si>
  <si>
    <t>스모트로닉</t>
  </si>
  <si>
    <t>053210</t>
  </si>
  <si>
    <t>스카이라이프</t>
  </si>
  <si>
    <t>276040</t>
  </si>
  <si>
    <t>스코넥</t>
  </si>
  <si>
    <t>204210</t>
  </si>
  <si>
    <t>스타에스엠리츠</t>
  </si>
  <si>
    <t>060240</t>
  </si>
  <si>
    <t>스타코링크</t>
  </si>
  <si>
    <t>115570</t>
  </si>
  <si>
    <t>스타플렉스</t>
  </si>
  <si>
    <t>078860</t>
  </si>
  <si>
    <t>스테이지원엔터</t>
  </si>
  <si>
    <t>330730</t>
  </si>
  <si>
    <t>스톤브릿지벤처스</t>
  </si>
  <si>
    <t>352090</t>
  </si>
  <si>
    <t>스톰테크</t>
  </si>
  <si>
    <t>253450</t>
  </si>
  <si>
    <t>스튜디오드래곤</t>
  </si>
  <si>
    <t>408900</t>
  </si>
  <si>
    <t>스튜디오미르</t>
  </si>
  <si>
    <t>415380</t>
  </si>
  <si>
    <t>스튜디오삼익</t>
  </si>
  <si>
    <t>026890</t>
  </si>
  <si>
    <t>스틱인베스트먼트</t>
  </si>
  <si>
    <t>013810</t>
  </si>
  <si>
    <t>스페코</t>
  </si>
  <si>
    <t>347700</t>
  </si>
  <si>
    <t>스피어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</si>
  <si>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</si>
  <si>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</si>
  <si>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</si>
  <si>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</si>
  <si>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</si>
  <si>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</si>
  <si>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</si>
  <si>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</si>
  <si>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</si>
  <si>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</si>
  <si>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134790</t>
  </si>
  <si>
    <t>시디즈</t>
  </si>
  <si>
    <t>340810</t>
  </si>
  <si>
    <t>시선AI</t>
  </si>
  <si>
    <t>269620</t>
  </si>
  <si>
    <t>시스웍</t>
  </si>
  <si>
    <t>056090</t>
  </si>
  <si>
    <t>시지메드텍</t>
  </si>
  <si>
    <t>429270</t>
  </si>
  <si>
    <t>시지트로닉스</t>
  </si>
  <si>
    <t>418250</t>
  </si>
  <si>
    <t>시큐레터</t>
  </si>
  <si>
    <t>131090</t>
  </si>
  <si>
    <t>시큐브</t>
  </si>
  <si>
    <t>462870</t>
  </si>
  <si>
    <t>시프트업</t>
  </si>
  <si>
    <t>016590</t>
  </si>
  <si>
    <t>신대양제지</t>
  </si>
  <si>
    <t>290520</t>
  </si>
  <si>
    <t>신도기연</t>
  </si>
  <si>
    <t>029530</t>
  </si>
  <si>
    <t>신도리코</t>
  </si>
  <si>
    <t>004970</t>
  </si>
  <si>
    <t>신라교역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</si>
  <si>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</si>
  <si>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</si>
  <si>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</si>
  <si>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</si>
  <si>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</si>
  <si>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</si>
  <si>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</si>
  <si>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</si>
  <si>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416180</t>
  </si>
  <si>
    <t>신성에스티</t>
  </si>
  <si>
    <t>011930</t>
  </si>
  <si>
    <t>신성이엔지</t>
  </si>
  <si>
    <t>004170</t>
  </si>
  <si>
    <t>신세계</t>
  </si>
  <si>
    <t>035510</t>
  </si>
  <si>
    <t>신세계 I&amp;C</t>
  </si>
  <si>
    <t>031430</t>
  </si>
  <si>
    <t>신세계인터내셔날</t>
  </si>
  <si>
    <t>031440</t>
  </si>
  <si>
    <t>신세계푸드</t>
  </si>
  <si>
    <t>006880</t>
  </si>
  <si>
    <t>신송홀딩스</t>
  </si>
  <si>
    <t>162300</t>
  </si>
  <si>
    <t>신스틸</t>
  </si>
  <si>
    <t>002800</t>
  </si>
  <si>
    <t>신신제약</t>
  </si>
  <si>
    <t>472220</t>
  </si>
  <si>
    <t>신영스팩10호</t>
  </si>
  <si>
    <t>0091W0</t>
  </si>
  <si>
    <t>신영스팩11호</t>
  </si>
  <si>
    <t>005800</t>
  </si>
  <si>
    <t>신영와코루</t>
  </si>
  <si>
    <t>001720</t>
  </si>
  <si>
    <t>신영증권</t>
  </si>
  <si>
    <t>009270</t>
  </si>
  <si>
    <t>신원</t>
  </si>
  <si>
    <t>017000</t>
  </si>
  <si>
    <t>신원종합개발</t>
  </si>
  <si>
    <t>002700</t>
  </si>
  <si>
    <t>신일전자</t>
  </si>
  <si>
    <t>012790</t>
  </si>
  <si>
    <t>신일제약</t>
  </si>
  <si>
    <t>138070</t>
  </si>
  <si>
    <t>신진에스엠</t>
  </si>
  <si>
    <t>226330</t>
  </si>
  <si>
    <t>신테카바이오</t>
  </si>
  <si>
    <t>002870</t>
  </si>
  <si>
    <t>신풍</t>
  </si>
  <si>
    <t>019170</t>
  </si>
  <si>
    <t>신풍제약</t>
  </si>
  <si>
    <t>019175</t>
  </si>
  <si>
    <t>신풍제약우</t>
  </si>
  <si>
    <t>481850</t>
  </si>
  <si>
    <t>신한글로벌액티브리츠</t>
  </si>
  <si>
    <t>404990</t>
  </si>
  <si>
    <t>신한서부티엔디리츠</t>
  </si>
  <si>
    <t>293940</t>
  </si>
  <si>
    <t>신한알파리츠</t>
  </si>
  <si>
    <t>452980</t>
  </si>
  <si>
    <t>신한제11호스팩</t>
  </si>
  <si>
    <t>474660</t>
  </si>
  <si>
    <t>신한제12호스팩</t>
  </si>
  <si>
    <t>474930</t>
  </si>
  <si>
    <t>신한제13호스팩</t>
  </si>
  <si>
    <t>487360</t>
  </si>
  <si>
    <t>신한제14호스팩</t>
  </si>
  <si>
    <t>487830</t>
  </si>
  <si>
    <t>신한제15호스팩</t>
  </si>
  <si>
    <t>496070</t>
  </si>
  <si>
    <t>신한제16호스팩</t>
  </si>
  <si>
    <t>0130D0</t>
  </si>
  <si>
    <t>신한제17호스팩</t>
  </si>
  <si>
    <t>0129K0</t>
  </si>
  <si>
    <t>신한제18호스팩</t>
  </si>
  <si>
    <t>055550</t>
  </si>
  <si>
    <t>신한지주</t>
  </si>
  <si>
    <t>056700</t>
  </si>
  <si>
    <t>신화인터텍</t>
  </si>
  <si>
    <t>187270</t>
  </si>
  <si>
    <t>신화콘텍</t>
  </si>
  <si>
    <t>095190</t>
  </si>
  <si>
    <t>신화프리텍</t>
  </si>
  <si>
    <t>004080</t>
  </si>
  <si>
    <t>신흥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</si>
  <si>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</si>
  <si>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</si>
  <si>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</si>
  <si>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</si>
  <si>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</si>
  <si>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</si>
  <si>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</si>
  <si>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</si>
  <si>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444530</t>
  </si>
  <si>
    <t>심플랫폼</t>
  </si>
  <si>
    <t>234030</t>
  </si>
  <si>
    <t>싸이닉솔루션</t>
  </si>
  <si>
    <t>160980</t>
  </si>
  <si>
    <t>싸이맥스</t>
  </si>
  <si>
    <t>356890</t>
  </si>
  <si>
    <t>싸이버원</t>
  </si>
  <si>
    <t>217330</t>
  </si>
  <si>
    <t>싸이토젠</t>
  </si>
  <si>
    <t>004770</t>
  </si>
  <si>
    <t>써니전자</t>
  </si>
  <si>
    <t>217320</t>
  </si>
  <si>
    <t>썬테크</t>
  </si>
  <si>
    <t>208640</t>
  </si>
  <si>
    <t>썸에이지</t>
  </si>
  <si>
    <t>222420</t>
  </si>
  <si>
    <t>쎄노텍</t>
  </si>
  <si>
    <t>037760</t>
  </si>
  <si>
    <t>쎄니트</t>
  </si>
  <si>
    <t>081180</t>
  </si>
  <si>
    <t>쎄크</t>
  </si>
  <si>
    <t>099320</t>
  </si>
  <si>
    <t>쎄트렉아이</t>
  </si>
  <si>
    <t>049960</t>
  </si>
  <si>
    <t>쎌바이오텍</t>
  </si>
  <si>
    <t>088280</t>
  </si>
  <si>
    <t>쏘닉스</t>
  </si>
  <si>
    <t>403550</t>
  </si>
  <si>
    <t>쏘카</t>
  </si>
  <si>
    <t>050890</t>
  </si>
  <si>
    <t>쏠리드</t>
  </si>
  <si>
    <t>394800</t>
  </si>
  <si>
    <t>쓰리빌리언</t>
  </si>
  <si>
    <t>177900</t>
  </si>
  <si>
    <t>쓰리에이로직스</t>
  </si>
  <si>
    <t>475400</t>
  </si>
  <si>
    <t>씨메스로보틱스</t>
  </si>
  <si>
    <t>109670</t>
  </si>
  <si>
    <t>씨싸이트</t>
  </si>
  <si>
    <t>066790</t>
  </si>
  <si>
    <t>씨씨에스</t>
  </si>
  <si>
    <t>222080</t>
  </si>
  <si>
    <t>씨아이에스</t>
  </si>
  <si>
    <t>004920</t>
  </si>
  <si>
    <t>씨아이테크</t>
  </si>
  <si>
    <t>236030</t>
  </si>
  <si>
    <t>씨알푸드</t>
  </si>
  <si>
    <t>103660</t>
  </si>
  <si>
    <t>씨앗</t>
  </si>
  <si>
    <t>352480</t>
  </si>
  <si>
    <t>씨앤씨인터내셔널</t>
  </si>
  <si>
    <t>245450</t>
  </si>
  <si>
    <t>씨앤에스링크</t>
  </si>
  <si>
    <t>264660</t>
  </si>
  <si>
    <t>씨앤지하이테크</t>
  </si>
  <si>
    <t>352700</t>
  </si>
  <si>
    <t>씨앤투스</t>
  </si>
  <si>
    <t>458870</t>
  </si>
  <si>
    <t>씨어스</t>
  </si>
  <si>
    <t>297090</t>
  </si>
  <si>
    <t>씨에스베어링</t>
  </si>
  <si>
    <t>112610</t>
  </si>
  <si>
    <t>씨에스윈드</t>
  </si>
  <si>
    <t>900120</t>
  </si>
  <si>
    <t>씨엑스아이</t>
  </si>
  <si>
    <t>359090</t>
  </si>
  <si>
    <t>씨엔알리서치</t>
  </si>
  <si>
    <t>115530</t>
  </si>
  <si>
    <t>씨엔플러스</t>
  </si>
  <si>
    <t>388210</t>
  </si>
  <si>
    <t>씨엠티엑스</t>
  </si>
  <si>
    <t>115480</t>
  </si>
  <si>
    <t>씨유메디칼</t>
  </si>
  <si>
    <t>376290</t>
  </si>
  <si>
    <t>씨유테크</t>
  </si>
  <si>
    <t>189330</t>
  </si>
  <si>
    <t>씨이랩</t>
  </si>
  <si>
    <t>096530</t>
  </si>
  <si>
    <t>씨젠</t>
  </si>
  <si>
    <t>480370</t>
  </si>
  <si>
    <t>씨케이솔루션</t>
  </si>
  <si>
    <t>101240</t>
  </si>
  <si>
    <t>씨큐브</t>
  </si>
  <si>
    <t>060590</t>
  </si>
  <si>
    <t>씨티씨바이오</t>
  </si>
  <si>
    <t>308170</t>
  </si>
  <si>
    <t>씨티알모빌리티</t>
  </si>
  <si>
    <t>260930</t>
  </si>
  <si>
    <t>씨티케이</t>
  </si>
  <si>
    <t>413630</t>
  </si>
  <si>
    <t>씨피시스템</t>
  </si>
  <si>
    <t>013990</t>
  </si>
  <si>
    <t>아가방컴퍼니</t>
  </si>
  <si>
    <t>123860</t>
  </si>
  <si>
    <t>아나패스</t>
  </si>
  <si>
    <t>025980</t>
  </si>
  <si>
    <t>아난티</t>
  </si>
  <si>
    <t>008700</t>
  </si>
  <si>
    <t>아남전자</t>
  </si>
  <si>
    <t>0015N0</t>
  </si>
  <si>
    <t>아로마티카</t>
  </si>
  <si>
    <t>125210</t>
  </si>
  <si>
    <t>아모그린텍</t>
  </si>
  <si>
    <t>090430</t>
  </si>
  <si>
    <t>아모레퍼시픽</t>
  </si>
  <si>
    <t>090435</t>
  </si>
  <si>
    <t>아모레퍼시픽우</t>
  </si>
  <si>
    <t>002790</t>
  </si>
  <si>
    <t>아모레퍼시픽홀딩스</t>
  </si>
  <si>
    <t>00279K</t>
  </si>
  <si>
    <t>아모레퍼시픽홀딩스3우C</t>
  </si>
  <si>
    <t>002795</t>
  </si>
  <si>
    <t>아모레퍼시픽홀딩스우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</si>
  <si>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</si>
  <si>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</si>
  <si>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</si>
  <si>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</si>
  <si>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</si>
  <si>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</si>
  <si>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</si>
  <si>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</si>
  <si>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</si>
  <si>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</si>
  <si>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</si>
  <si>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</si>
  <si>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</si>
  <si>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</si>
  <si>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002030</t>
  </si>
  <si>
    <t>아세아</t>
  </si>
  <si>
    <t>183190</t>
  </si>
  <si>
    <t>아세아시멘트</t>
  </si>
  <si>
    <t>002310</t>
  </si>
  <si>
    <t>아세아제지</t>
  </si>
  <si>
    <t>050860</t>
  </si>
  <si>
    <t>아세아텍</t>
  </si>
  <si>
    <t>012170</t>
  </si>
  <si>
    <t>아센디오</t>
  </si>
  <si>
    <t>136410</t>
  </si>
  <si>
    <t>아셈스</t>
  </si>
  <si>
    <t>246720</t>
  </si>
  <si>
    <t>아스타</t>
  </si>
  <si>
    <t>450950</t>
  </si>
  <si>
    <t>아스테라시스</t>
  </si>
  <si>
    <t>067390</t>
  </si>
  <si>
    <t>아스트</t>
  </si>
  <si>
    <t>159010</t>
  </si>
  <si>
    <t>아스플로</t>
  </si>
  <si>
    <t>127710</t>
  </si>
  <si>
    <t>아시아경제</t>
  </si>
  <si>
    <t>267850</t>
  </si>
  <si>
    <t>아시아나IDT</t>
  </si>
  <si>
    <t>020560</t>
  </si>
  <si>
    <t>아시아나항공</t>
  </si>
  <si>
    <t>154030</t>
  </si>
  <si>
    <t>아시아종묘</t>
  </si>
  <si>
    <t>227610</t>
  </si>
  <si>
    <t>아우딘퓨쳐스</t>
  </si>
  <si>
    <t>331740</t>
  </si>
  <si>
    <t>아우토크립트</t>
  </si>
  <si>
    <t>143160</t>
  </si>
  <si>
    <t>아이디스</t>
  </si>
  <si>
    <t>054800</t>
  </si>
  <si>
    <t>아이디스홀딩스</t>
  </si>
  <si>
    <t>332370</t>
  </si>
  <si>
    <t>아이디피</t>
  </si>
  <si>
    <t>066430</t>
  </si>
  <si>
    <t>아이로보틱스</t>
  </si>
  <si>
    <t>122900</t>
  </si>
  <si>
    <t>아이마켓코리아</t>
  </si>
  <si>
    <t>339950</t>
  </si>
  <si>
    <t>아이비김영</t>
  </si>
  <si>
    <t>469750</t>
  </si>
  <si>
    <t>아이비젼웍스</t>
  </si>
  <si>
    <t>460470</t>
  </si>
  <si>
    <t>아이빔테크놀로지</t>
  </si>
  <si>
    <t>099190</t>
  </si>
  <si>
    <t>아이센스</t>
  </si>
  <si>
    <t>461300</t>
  </si>
  <si>
    <t>아이스크림미디어</t>
  </si>
  <si>
    <t>289010</t>
  </si>
  <si>
    <t>아이스크림에듀</t>
  </si>
  <si>
    <t>214430</t>
  </si>
  <si>
    <t>아이쓰리시스템</t>
  </si>
  <si>
    <t>040910</t>
  </si>
  <si>
    <t>아이씨디</t>
  </si>
  <si>
    <t>368600</t>
  </si>
  <si>
    <t>아이씨에이치</t>
  </si>
  <si>
    <t>456010</t>
  </si>
  <si>
    <t>아이씨티케이</t>
  </si>
  <si>
    <t>052860</t>
  </si>
  <si>
    <t>아이앤씨</t>
  </si>
  <si>
    <t>464500</t>
  </si>
  <si>
    <t>아이언디바이스</t>
  </si>
  <si>
    <t>010780</t>
  </si>
  <si>
    <t>아이에스동서</t>
  </si>
  <si>
    <t>212710</t>
  </si>
  <si>
    <t>아이에스티이</t>
  </si>
  <si>
    <t>038880</t>
  </si>
  <si>
    <t>아이에이</t>
  </si>
  <si>
    <t>307180</t>
  </si>
  <si>
    <t>아이엘</t>
  </si>
  <si>
    <t>403810</t>
  </si>
  <si>
    <t>아이엘로보틱스</t>
  </si>
  <si>
    <t>101390</t>
  </si>
  <si>
    <t>아이엠</t>
  </si>
  <si>
    <t>493280</t>
  </si>
  <si>
    <t>아이엠바이오로직스</t>
  </si>
  <si>
    <t>461030</t>
  </si>
  <si>
    <t>아이엠비디엑스</t>
  </si>
  <si>
    <t>456570</t>
  </si>
  <si>
    <t>아이엠지티</t>
  </si>
  <si>
    <t>451220</t>
  </si>
  <si>
    <t>아이엠티</t>
  </si>
  <si>
    <t>447690</t>
  </si>
  <si>
    <t>아이오바이오</t>
  </si>
  <si>
    <t>090150</t>
  </si>
  <si>
    <t>아이윈</t>
  </si>
  <si>
    <t>031310</t>
  </si>
  <si>
    <t>아이즈비전</t>
  </si>
  <si>
    <t>462980</t>
  </si>
  <si>
    <t>아이지넷</t>
  </si>
  <si>
    <t>185490</t>
  </si>
  <si>
    <t>아이진</t>
  </si>
  <si>
    <t>059100</t>
  </si>
  <si>
    <t>아이컴포넌트</t>
  </si>
  <si>
    <t>149010</t>
  </si>
  <si>
    <t>아이케이세미콘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</si>
  <si>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</si>
  <si>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</si>
  <si>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</si>
  <si>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</si>
  <si>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</si>
  <si>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</si>
  <si>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</si>
  <si>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</si>
  <si>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</si>
  <si>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</si>
  <si>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</si>
  <si>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아이티센글로벌</t>
  </si>
  <si>
    <t>031820</t>
  </si>
  <si>
    <t>아이티센씨티에스</t>
  </si>
  <si>
    <t>010280</t>
  </si>
  <si>
    <t>아이티센엔텍</t>
  </si>
  <si>
    <t>243870</t>
  </si>
  <si>
    <t>아이티센코어</t>
  </si>
  <si>
    <t>232830</t>
  </si>
  <si>
    <t>아이티센피엔에스</t>
  </si>
  <si>
    <t>372800</t>
  </si>
  <si>
    <t>아이티아이즈</t>
  </si>
  <si>
    <t>084850</t>
  </si>
  <si>
    <t>아이티엠반도체</t>
  </si>
  <si>
    <t>309710</t>
  </si>
  <si>
    <t>아이티켐</t>
  </si>
  <si>
    <t>114840</t>
  </si>
  <si>
    <t>아이패밀리에스씨</t>
  </si>
  <si>
    <t>027360</t>
  </si>
  <si>
    <t>아주IB투자</t>
  </si>
  <si>
    <t>139990</t>
  </si>
  <si>
    <t>아주스틸</t>
  </si>
  <si>
    <t>032080</t>
  </si>
  <si>
    <t>아즈텍WB</t>
  </si>
  <si>
    <t>013310</t>
  </si>
  <si>
    <t>아진산업</t>
  </si>
  <si>
    <t>059120</t>
  </si>
  <si>
    <t>아진엑스텍</t>
  </si>
  <si>
    <t>009320</t>
  </si>
  <si>
    <t>아진전자부품</t>
  </si>
  <si>
    <t>0007C0</t>
  </si>
  <si>
    <t>아크릴</t>
  </si>
  <si>
    <t>203690</t>
  </si>
  <si>
    <t>아크솔루션스</t>
  </si>
  <si>
    <t>158430</t>
  </si>
  <si>
    <t>아톤</t>
  </si>
  <si>
    <t>200350</t>
  </si>
  <si>
    <t>아티스트스튜디오</t>
  </si>
  <si>
    <t>321820</t>
  </si>
  <si>
    <t>아티스트컴퍼니</t>
  </si>
  <si>
    <t>149300</t>
  </si>
  <si>
    <t>아퓨어스</t>
  </si>
  <si>
    <t>102950</t>
  </si>
  <si>
    <t>아하</t>
  </si>
  <si>
    <t>001540</t>
  </si>
  <si>
    <t>안국약품</t>
  </si>
  <si>
    <t>053800</t>
  </si>
  <si>
    <t>안랩</t>
  </si>
  <si>
    <t>251280</t>
  </si>
  <si>
    <t>안지오랩</t>
  </si>
  <si>
    <t>065660</t>
  </si>
  <si>
    <t>안트로젠</t>
  </si>
  <si>
    <t>297570</t>
  </si>
  <si>
    <t>알로이스</t>
  </si>
  <si>
    <t>001780</t>
  </si>
  <si>
    <t>알루코</t>
  </si>
  <si>
    <t>260660</t>
  </si>
  <si>
    <t>알리코제약</t>
  </si>
  <si>
    <t>354320</t>
  </si>
  <si>
    <t>알멕</t>
  </si>
  <si>
    <t>361570</t>
  </si>
  <si>
    <t>알비더블유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</si>
  <si>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</si>
  <si>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</si>
  <si>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</si>
  <si>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</si>
  <si>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</si>
  <si>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</si>
  <si>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</si>
  <si>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</si>
  <si>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</si>
  <si>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</si>
  <si>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123010</t>
  </si>
  <si>
    <t>알엔티엑스</t>
  </si>
  <si>
    <t>476830</t>
  </si>
  <si>
    <t>알지노믹스</t>
  </si>
  <si>
    <t>347860</t>
  </si>
  <si>
    <t>알체라</t>
  </si>
  <si>
    <t>196170</t>
  </si>
  <si>
    <t>알테오젠</t>
  </si>
  <si>
    <t>123750</t>
  </si>
  <si>
    <t>알톤</t>
  </si>
  <si>
    <t>459550</t>
  </si>
  <si>
    <t>알트</t>
  </si>
  <si>
    <t>085810</t>
  </si>
  <si>
    <t>알티캐스트</t>
  </si>
  <si>
    <t>043100</t>
  </si>
  <si>
    <t>알파AI</t>
  </si>
  <si>
    <t>117670</t>
  </si>
  <si>
    <t>알파칩스</t>
  </si>
  <si>
    <t>314140</t>
  </si>
  <si>
    <t>알피바이오</t>
  </si>
  <si>
    <t>291650</t>
  </si>
  <si>
    <t>압타머사이언스</t>
  </si>
  <si>
    <t>293780</t>
  </si>
  <si>
    <t>압타바이오</t>
  </si>
  <si>
    <t>018250</t>
  </si>
  <si>
    <t>애경산업</t>
  </si>
  <si>
    <t>161000</t>
  </si>
  <si>
    <t>애경케미칼</t>
  </si>
  <si>
    <t>390110</t>
  </si>
  <si>
    <t>애니메디솔루션</t>
  </si>
  <si>
    <t>310200</t>
  </si>
  <si>
    <t>애니플러스</t>
  </si>
  <si>
    <t>179530</t>
  </si>
  <si>
    <t>애드바이오텍</t>
  </si>
  <si>
    <t>397810</t>
  </si>
  <si>
    <t>애드포러스</t>
  </si>
  <si>
    <t>900100</t>
  </si>
  <si>
    <t>애머릿지</t>
  </si>
  <si>
    <t>0011A0</t>
  </si>
  <si>
    <t>액스비스</t>
  </si>
  <si>
    <t>052790</t>
  </si>
  <si>
    <t>액토즈소프트</t>
  </si>
  <si>
    <t>290740</t>
  </si>
  <si>
    <t>액트로</t>
  </si>
  <si>
    <t>238090</t>
  </si>
  <si>
    <t>앤디포스</t>
  </si>
  <si>
    <t>138360</t>
  </si>
  <si>
    <t>앤로보틱스</t>
  </si>
  <si>
    <t>092600</t>
  </si>
  <si>
    <t>앤씨앤</t>
  </si>
  <si>
    <t>129890</t>
  </si>
  <si>
    <t>앱코</t>
  </si>
  <si>
    <t>174900</t>
  </si>
  <si>
    <t>앱클론</t>
  </si>
  <si>
    <t>109960</t>
  </si>
  <si>
    <t>앱토크롬</t>
  </si>
  <si>
    <t>270520</t>
  </si>
  <si>
    <t>앱튼</t>
  </si>
  <si>
    <t>255440</t>
  </si>
  <si>
    <t>야스</t>
  </si>
  <si>
    <t>030960</t>
  </si>
  <si>
    <t>양지사</t>
  </si>
  <si>
    <t>102120</t>
  </si>
  <si>
    <t>어보브반도체</t>
  </si>
  <si>
    <t>238120</t>
  </si>
  <si>
    <t>얼라인드</t>
  </si>
  <si>
    <t>224810</t>
  </si>
  <si>
    <t>엄지하우스</t>
  </si>
  <si>
    <t>019990</t>
  </si>
  <si>
    <t>에너토크</t>
  </si>
  <si>
    <t>011090</t>
  </si>
  <si>
    <t>에넥스</t>
  </si>
  <si>
    <t>435570</t>
  </si>
  <si>
    <t>에르코스</t>
  </si>
  <si>
    <t>270660</t>
  </si>
  <si>
    <t>에브리봇</t>
  </si>
  <si>
    <t>038680</t>
  </si>
  <si>
    <t>에스넷</t>
  </si>
  <si>
    <t>137310</t>
  </si>
  <si>
    <t>에스디바이오센서</t>
  </si>
  <si>
    <t>217480</t>
  </si>
  <si>
    <t>에스디생명공학</t>
  </si>
  <si>
    <t>121890</t>
  </si>
  <si>
    <t>에스디시스템</t>
  </si>
  <si>
    <t>304360</t>
  </si>
  <si>
    <t>에스바이오메딕스</t>
  </si>
  <si>
    <t>389500</t>
  </si>
  <si>
    <t>에스비비테크</t>
  </si>
  <si>
    <t>042110</t>
  </si>
  <si>
    <t>에스씨디</t>
  </si>
  <si>
    <t>065420</t>
  </si>
  <si>
    <t>에스아이리소스</t>
  </si>
  <si>
    <t>270210</t>
  </si>
  <si>
    <t>에스알바이오텍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</si>
  <si>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</si>
  <si>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</si>
  <si>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</si>
  <si>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</si>
  <si>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</si>
  <si>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</si>
  <si>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</si>
  <si>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</si>
  <si>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</si>
  <si>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</si>
  <si>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</si>
  <si>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</si>
  <si>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</si>
  <si>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</si>
  <si>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056190</t>
  </si>
  <si>
    <t>에스에프에이</t>
  </si>
  <si>
    <t>0008Z0</t>
  </si>
  <si>
    <t>에스엔시스</t>
  </si>
  <si>
    <t>005850</t>
  </si>
  <si>
    <t>에스엘</t>
  </si>
  <si>
    <t>246250</t>
  </si>
  <si>
    <t>에스엘에스바이오</t>
  </si>
  <si>
    <t>041510</t>
  </si>
  <si>
    <t>에스엠</t>
  </si>
  <si>
    <t>010580</t>
  </si>
  <si>
    <t>에스엠벡셀</t>
  </si>
  <si>
    <t>460870</t>
  </si>
  <si>
    <t>에스엠씨지</t>
  </si>
  <si>
    <t>464080</t>
  </si>
  <si>
    <t>에스오에스랩</t>
  </si>
  <si>
    <t>109610</t>
  </si>
  <si>
    <t>에스와이</t>
  </si>
  <si>
    <t>365330</t>
  </si>
  <si>
    <t>에스와이스틸텍</t>
  </si>
  <si>
    <t>012750</t>
  </si>
  <si>
    <t>에스원</t>
  </si>
  <si>
    <t>306040</t>
  </si>
  <si>
    <t>에스제이그룹</t>
  </si>
  <si>
    <t>217910</t>
  </si>
  <si>
    <t>에스제이켐</t>
  </si>
  <si>
    <t>398120</t>
  </si>
  <si>
    <t>에스지헬스케어</t>
  </si>
  <si>
    <t>472230</t>
  </si>
  <si>
    <t>에스케이증권제11호스팩</t>
  </si>
  <si>
    <t>473000</t>
  </si>
  <si>
    <t>에스케이증권제12호스팩</t>
  </si>
  <si>
    <t>473950</t>
  </si>
  <si>
    <t>에스케이증권제13호스팩</t>
  </si>
  <si>
    <t>475660</t>
  </si>
  <si>
    <t>에스켐</t>
  </si>
  <si>
    <t>096630</t>
  </si>
  <si>
    <t>에스코넥</t>
  </si>
  <si>
    <t>0070X0</t>
  </si>
  <si>
    <t>에스테크엠</t>
  </si>
  <si>
    <t>069510</t>
  </si>
  <si>
    <t>에스텍</t>
  </si>
  <si>
    <t>488280</t>
  </si>
  <si>
    <t>에스투더블유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</si>
  <si>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</si>
  <si>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</si>
  <si>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</si>
  <si>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</si>
  <si>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</si>
  <si>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</si>
  <si>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</si>
  <si>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</si>
  <si>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</si>
  <si>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</si>
  <si>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458350</t>
  </si>
  <si>
    <t>에스팀</t>
  </si>
  <si>
    <t>050760</t>
  </si>
  <si>
    <t>에스폴리텍</t>
  </si>
  <si>
    <t>288620</t>
  </si>
  <si>
    <t>에스프리즘</t>
  </si>
  <si>
    <t>443670</t>
  </si>
  <si>
    <t>에스피소프트</t>
  </si>
  <si>
    <t>317830</t>
  </si>
  <si>
    <t>에스피시스템스</t>
  </si>
  <si>
    <t>058610</t>
  </si>
  <si>
    <t>에스피지</t>
  </si>
  <si>
    <t>043340</t>
  </si>
  <si>
    <t>에쎈테크</t>
  </si>
  <si>
    <t>023960</t>
  </si>
  <si>
    <t>에쓰씨엔지니어링</t>
  </si>
  <si>
    <t>163280</t>
  </si>
  <si>
    <t>에어레인</t>
  </si>
  <si>
    <t>298690</t>
  </si>
  <si>
    <t>에어부산</t>
  </si>
  <si>
    <t>200710</t>
  </si>
  <si>
    <t>에이디테크놀로지</t>
  </si>
  <si>
    <t>475580</t>
  </si>
  <si>
    <t>에이럭스</t>
  </si>
  <si>
    <t>096690</t>
  </si>
  <si>
    <t>에이루트</t>
  </si>
  <si>
    <t>140910</t>
  </si>
  <si>
    <t>에이리츠</t>
  </si>
  <si>
    <t>078520</t>
  </si>
  <si>
    <t>에이블씨엔씨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</si>
  <si>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</si>
  <si>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</si>
  <si>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</si>
  <si>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</si>
  <si>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</si>
  <si>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</si>
  <si>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</si>
  <si>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</si>
  <si>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</si>
  <si>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</si>
  <si>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</si>
  <si>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</si>
  <si>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364950</t>
  </si>
  <si>
    <t>에이아이코리아</t>
  </si>
  <si>
    <t>453860</t>
  </si>
  <si>
    <t>에이에스텍</t>
  </si>
  <si>
    <t>312610</t>
  </si>
  <si>
    <t>에이에프더블류</t>
  </si>
  <si>
    <t>015260</t>
  </si>
  <si>
    <t>에이엔피</t>
  </si>
  <si>
    <t>172670</t>
  </si>
  <si>
    <t>에이엘티</t>
  </si>
  <si>
    <t>234070</t>
  </si>
  <si>
    <t>에이원큐브텍</t>
  </si>
  <si>
    <t>481070</t>
  </si>
  <si>
    <t>에이유브랜즈</t>
  </si>
  <si>
    <t>060900</t>
  </si>
  <si>
    <t>에이전트AI</t>
  </si>
  <si>
    <t>445090</t>
  </si>
  <si>
    <t>에이직랜드</t>
  </si>
  <si>
    <t>295310</t>
  </si>
  <si>
    <t>에이치브이엠</t>
  </si>
  <si>
    <t>072990</t>
  </si>
  <si>
    <t>에이치시티</t>
  </si>
  <si>
    <t>044990</t>
  </si>
  <si>
    <t>에이치엔에스하이텍</t>
  </si>
  <si>
    <t>239610</t>
  </si>
  <si>
    <t>에이치엘사이언스</t>
  </si>
  <si>
    <t>036170</t>
  </si>
  <si>
    <t>에이치엠넥스</t>
  </si>
  <si>
    <t>462020</t>
  </si>
  <si>
    <t>에이치엠씨제6호스팩</t>
  </si>
  <si>
    <t>477340</t>
  </si>
  <si>
    <t>에이치엠씨제7호스팩</t>
  </si>
  <si>
    <t>148930</t>
  </si>
  <si>
    <t>에이치와이티씨</t>
  </si>
  <si>
    <t>044780</t>
  </si>
  <si>
    <t>에이치케이</t>
  </si>
  <si>
    <t>357230</t>
  </si>
  <si>
    <t>에이치피오</t>
  </si>
  <si>
    <t>355690</t>
  </si>
  <si>
    <t>에이텀</t>
  </si>
  <si>
    <t>071670</t>
  </si>
  <si>
    <t>에이테크솔루션</t>
  </si>
  <si>
    <t>045660</t>
  </si>
  <si>
    <t>에이텍</t>
  </si>
  <si>
    <t>224110</t>
  </si>
  <si>
    <t>에이텍모빌리티</t>
  </si>
  <si>
    <t>021080</t>
  </si>
  <si>
    <t>에이티넘인베스트</t>
  </si>
  <si>
    <t>200470</t>
  </si>
  <si>
    <t>에이팩트</t>
  </si>
  <si>
    <t>207490</t>
  </si>
  <si>
    <t>에이펙스인텍</t>
  </si>
  <si>
    <t>262260</t>
  </si>
  <si>
    <t>에이프로</t>
  </si>
  <si>
    <t>007460</t>
  </si>
  <si>
    <t>에이프로젠</t>
  </si>
  <si>
    <t>003060</t>
  </si>
  <si>
    <t>에이프로젠바이오로직스</t>
  </si>
  <si>
    <t>397030</t>
  </si>
  <si>
    <t>에이프릴바이오</t>
  </si>
  <si>
    <t>244920</t>
  </si>
  <si>
    <t>에이플러스에셋</t>
  </si>
  <si>
    <t>278470</t>
  </si>
  <si>
    <t>에이피알</t>
  </si>
  <si>
    <t>0009K0</t>
  </si>
  <si>
    <t>에임드바이오</t>
  </si>
  <si>
    <t>230240</t>
  </si>
  <si>
    <t>에치에프알</t>
  </si>
  <si>
    <t>159910</t>
  </si>
  <si>
    <t>에코글로우</t>
  </si>
  <si>
    <t>230360</t>
  </si>
  <si>
    <t>에코마케팅</t>
  </si>
  <si>
    <t>097780</t>
  </si>
  <si>
    <t>에코볼트</t>
  </si>
  <si>
    <t>038870</t>
  </si>
  <si>
    <t>에코심플렉스</t>
  </si>
  <si>
    <t>448280</t>
  </si>
  <si>
    <t>에코아이</t>
  </si>
  <si>
    <t>101360</t>
  </si>
  <si>
    <t>에코앤드림</t>
  </si>
  <si>
    <t>128540</t>
  </si>
  <si>
    <t>에코캡</t>
  </si>
  <si>
    <t>086520</t>
  </si>
  <si>
    <t>에코프로</t>
  </si>
  <si>
    <t>450080</t>
  </si>
  <si>
    <t>에코프로머티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</si>
  <si>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</si>
  <si>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</si>
  <si>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</si>
  <si>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</si>
  <si>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</si>
  <si>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</si>
  <si>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</si>
  <si>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</si>
  <si>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</si>
  <si>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</si>
  <si>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036810</t>
  </si>
  <si>
    <t>에프에스티</t>
  </si>
  <si>
    <t>173940</t>
  </si>
  <si>
    <t>에프엔씨엔터</t>
  </si>
  <si>
    <t>083500</t>
  </si>
  <si>
    <t>에프엔에스테크</t>
  </si>
  <si>
    <t>446440</t>
  </si>
  <si>
    <t>에피바이오텍</t>
  </si>
  <si>
    <t>317530</t>
  </si>
  <si>
    <t>에피소드컴퍼니</t>
  </si>
  <si>
    <t>054940</t>
  </si>
  <si>
    <t>엑사이엔씨</t>
  </si>
  <si>
    <t>950130</t>
  </si>
  <si>
    <t>엑세스바이오</t>
  </si>
  <si>
    <t>373110</t>
  </si>
  <si>
    <t>엑셀세라퓨틱스</t>
  </si>
  <si>
    <t>205100</t>
  </si>
  <si>
    <t>엑셈</t>
  </si>
  <si>
    <t>356680</t>
  </si>
  <si>
    <t>엑스게이트</t>
  </si>
  <si>
    <t>070300</t>
  </si>
  <si>
    <t>엑스큐어</t>
  </si>
  <si>
    <t>317770</t>
  </si>
  <si>
    <t>엑스페릭스</t>
  </si>
  <si>
    <t>373200</t>
  </si>
  <si>
    <t>엑스플러스</t>
  </si>
  <si>
    <t>069920</t>
  </si>
  <si>
    <t>엑시온그룹</t>
  </si>
  <si>
    <t>092870</t>
  </si>
  <si>
    <t>엑시콘</t>
  </si>
  <si>
    <t>019490</t>
  </si>
  <si>
    <t>엑시큐어하이트론</t>
  </si>
  <si>
    <t>059180</t>
  </si>
  <si>
    <t>엔더블유시</t>
  </si>
  <si>
    <t>317870</t>
  </si>
  <si>
    <t>엔바이오니아</t>
  </si>
  <si>
    <t>067570</t>
  </si>
  <si>
    <t>엔브이에이치코리아</t>
  </si>
  <si>
    <t>0004V0</t>
  </si>
  <si>
    <t>엔비알모션</t>
  </si>
  <si>
    <t>236810</t>
  </si>
  <si>
    <t>엔비티</t>
  </si>
  <si>
    <t>140610</t>
  </si>
  <si>
    <t>엔솔바이오사이언스</t>
  </si>
  <si>
    <t>333620</t>
  </si>
  <si>
    <t>엔시스</t>
  </si>
  <si>
    <t>101400</t>
  </si>
  <si>
    <t>엔시트론</t>
  </si>
  <si>
    <t>475230</t>
  </si>
  <si>
    <t>엔알비</t>
  </si>
  <si>
    <t>224760</t>
  </si>
  <si>
    <t>엔에스컴퍼니</t>
  </si>
  <si>
    <t>451700</t>
  </si>
  <si>
    <t>엔에이치스팩29호</t>
  </si>
  <si>
    <t>466910</t>
  </si>
  <si>
    <t>엔에이치스팩30호</t>
  </si>
  <si>
    <t>481890</t>
  </si>
  <si>
    <t>엔에이치스팩31호</t>
  </si>
  <si>
    <t>0054V0</t>
  </si>
  <si>
    <t>엔에이치스팩32호</t>
  </si>
  <si>
    <t>0130H0</t>
  </si>
  <si>
    <t>엔에이치스팩33호</t>
  </si>
  <si>
    <t>265740</t>
  </si>
  <si>
    <t>엔에프씨</t>
  </si>
  <si>
    <t>354200</t>
  </si>
  <si>
    <t>엔젠바이오</t>
  </si>
  <si>
    <t>455900</t>
  </si>
  <si>
    <t>엔젤로보틱스</t>
  </si>
  <si>
    <t>419080</t>
  </si>
  <si>
    <t>엔젯</t>
  </si>
  <si>
    <t>093510</t>
  </si>
  <si>
    <t>엔지브이아이</t>
  </si>
  <si>
    <t>183490</t>
  </si>
  <si>
    <t>엔지켐생명과학</t>
  </si>
  <si>
    <t>085310</t>
  </si>
  <si>
    <t>엔케이</t>
  </si>
  <si>
    <t>182400</t>
  </si>
  <si>
    <t>엔케이젠바이오텍코리아</t>
  </si>
  <si>
    <t>348370</t>
  </si>
  <si>
    <t>엔켐</t>
  </si>
  <si>
    <t>069410</t>
  </si>
  <si>
    <t>엔텔스</t>
  </si>
  <si>
    <t>227950</t>
  </si>
  <si>
    <t>엔투텍</t>
  </si>
  <si>
    <t>291230</t>
  </si>
  <si>
    <t>엔피</t>
  </si>
  <si>
    <t>048830</t>
  </si>
  <si>
    <t>엔피케이</t>
  </si>
  <si>
    <t>096870</t>
  </si>
  <si>
    <t>엘디티</t>
  </si>
  <si>
    <t>276240</t>
  </si>
  <si>
    <t>엘리비젼</t>
  </si>
  <si>
    <t>900140</t>
  </si>
  <si>
    <t>엘브이엠씨홀딩스</t>
  </si>
  <si>
    <t>290650</t>
  </si>
  <si>
    <t>엘앤씨바이오</t>
  </si>
  <si>
    <t>066970</t>
  </si>
  <si>
    <t>엘앤에프</t>
  </si>
  <si>
    <t>156100</t>
  </si>
  <si>
    <t>엘앤케이바이오</t>
  </si>
  <si>
    <t>0041J0</t>
  </si>
  <si>
    <t>엘에스스팩1호</t>
  </si>
  <si>
    <t>311060</t>
  </si>
  <si>
    <t>엘에이티</t>
  </si>
  <si>
    <t>073110</t>
  </si>
  <si>
    <t>엘엠에스</t>
  </si>
  <si>
    <t>083310</t>
  </si>
  <si>
    <t>엘오티베큠</t>
  </si>
  <si>
    <t>037950</t>
  </si>
  <si>
    <t>엘컴텍</t>
  </si>
  <si>
    <t>489500</t>
  </si>
  <si>
    <t>엘케이켐</t>
  </si>
  <si>
    <t>170920</t>
  </si>
  <si>
    <t>엘티씨</t>
  </si>
  <si>
    <t>058630</t>
  </si>
  <si>
    <t>엠게임</t>
  </si>
  <si>
    <t>226590</t>
  </si>
  <si>
    <t>엠디바이스</t>
  </si>
  <si>
    <t>058970</t>
  </si>
  <si>
    <t>엠로</t>
  </si>
  <si>
    <t>169330</t>
  </si>
  <si>
    <t>엠브레인</t>
  </si>
  <si>
    <t>097520</t>
  </si>
  <si>
    <t>엠씨넥스</t>
  </si>
  <si>
    <t>373170</t>
  </si>
  <si>
    <t>엠아이큐브솔루션</t>
  </si>
  <si>
    <t>179290</t>
  </si>
  <si>
    <t>엠아이텍</t>
  </si>
  <si>
    <t>484870</t>
  </si>
  <si>
    <t>엠앤씨솔루션</t>
  </si>
  <si>
    <t>009780</t>
  </si>
  <si>
    <t>엠에스씨</t>
  </si>
  <si>
    <t>123040</t>
  </si>
  <si>
    <t>엠에스오토텍</t>
  </si>
  <si>
    <t>432980</t>
  </si>
  <si>
    <t>엠에프씨</t>
  </si>
  <si>
    <t>007820</t>
  </si>
  <si>
    <t>엠엑스로보틱스</t>
  </si>
  <si>
    <t>347890</t>
  </si>
  <si>
    <t>엠엑스온</t>
  </si>
  <si>
    <t>413390</t>
  </si>
  <si>
    <t>엠오티</t>
  </si>
  <si>
    <t>032790</t>
  </si>
  <si>
    <t>엠젠솔루션</t>
  </si>
  <si>
    <t>033160</t>
  </si>
  <si>
    <t>엠케이전자</t>
  </si>
  <si>
    <t>033310</t>
  </si>
  <si>
    <t>엠투엔</t>
  </si>
  <si>
    <t>259630</t>
  </si>
  <si>
    <t>엠플러스</t>
  </si>
  <si>
    <t>105550</t>
  </si>
  <si>
    <t>엣지파운드리</t>
  </si>
  <si>
    <t>060850</t>
  </si>
  <si>
    <t>영림원소프트랩</t>
  </si>
  <si>
    <t>014440</t>
  </si>
  <si>
    <t>영보화학</t>
  </si>
  <si>
    <t>143540</t>
  </si>
  <si>
    <t>영우디에스피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</si>
  <si>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</si>
  <si>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</si>
  <si>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</si>
  <si>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</si>
  <si>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</si>
  <si>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</si>
  <si>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</si>
  <si>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</si>
  <si>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012280</t>
  </si>
  <si>
    <t>영화금속</t>
  </si>
  <si>
    <t>265560</t>
  </si>
  <si>
    <t>영화테크</t>
  </si>
  <si>
    <t>012160</t>
  </si>
  <si>
    <t>영흥</t>
  </si>
  <si>
    <t>036000</t>
  </si>
  <si>
    <t>예림당</t>
  </si>
  <si>
    <t>250930</t>
  </si>
  <si>
    <t>예선테크</t>
  </si>
  <si>
    <t>053280</t>
  </si>
  <si>
    <t>예스24</t>
  </si>
  <si>
    <t>122640</t>
  </si>
  <si>
    <t>예스티</t>
  </si>
  <si>
    <t>476040</t>
  </si>
  <si>
    <t>오가노이드사이언스</t>
  </si>
  <si>
    <t>900300</t>
  </si>
  <si>
    <t>오가닉티코스메틱</t>
  </si>
  <si>
    <t>212310</t>
  </si>
  <si>
    <t>오건에코텍</t>
  </si>
  <si>
    <t>045060</t>
  </si>
  <si>
    <t>오공</t>
  </si>
  <si>
    <t>192410</t>
  </si>
  <si>
    <t>오늘이엔엠</t>
  </si>
  <si>
    <t>080520</t>
  </si>
  <si>
    <t>오디텍</t>
  </si>
  <si>
    <t>007310</t>
  </si>
  <si>
    <t>오뚜기</t>
  </si>
  <si>
    <t>039830</t>
  </si>
  <si>
    <t>오로라</t>
  </si>
  <si>
    <t>322310</t>
  </si>
  <si>
    <t>오로스테크놀로지</t>
  </si>
  <si>
    <t>046120</t>
  </si>
  <si>
    <t>오르비텍</t>
  </si>
  <si>
    <t>475830</t>
  </si>
  <si>
    <t>오름테라퓨틱</t>
  </si>
  <si>
    <t>014940</t>
  </si>
  <si>
    <t>오리엔탈정공</t>
  </si>
  <si>
    <t>002630</t>
  </si>
  <si>
    <t>오리엔트바이오</t>
  </si>
  <si>
    <t>065500</t>
  </si>
  <si>
    <t>오리엔트정공</t>
  </si>
  <si>
    <t>271560</t>
  </si>
  <si>
    <t>오리온</t>
  </si>
  <si>
    <t>001800</t>
  </si>
  <si>
    <t>오리온홀딩스</t>
  </si>
  <si>
    <t>010470</t>
  </si>
  <si>
    <t>오리콤</t>
  </si>
  <si>
    <t>417860</t>
  </si>
  <si>
    <t>오브젠</t>
  </si>
  <si>
    <t>352910</t>
  </si>
  <si>
    <t>오비고</t>
  </si>
  <si>
    <t>053980</t>
  </si>
  <si>
    <t>오상자이엘</t>
  </si>
  <si>
    <t>036220</t>
  </si>
  <si>
    <t>오상헬스케어</t>
  </si>
  <si>
    <t>052420</t>
  </si>
  <si>
    <t>오성첨단소재</t>
  </si>
  <si>
    <t>332190</t>
  </si>
  <si>
    <t>오션스바이오</t>
  </si>
  <si>
    <t>052300</t>
  </si>
  <si>
    <t>오션인더블유</t>
  </si>
  <si>
    <t>039200</t>
  </si>
  <si>
    <t>오스코텍</t>
  </si>
  <si>
    <t>226400</t>
  </si>
  <si>
    <t>오스테오닉</t>
  </si>
  <si>
    <t>031510</t>
  </si>
  <si>
    <t>오스템</t>
  </si>
  <si>
    <t>342870</t>
  </si>
  <si>
    <t>오아</t>
  </si>
  <si>
    <t>368970</t>
  </si>
  <si>
    <t>오에스피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</si>
  <si>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</si>
  <si>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</si>
  <si>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</si>
  <si>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</si>
  <si>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</si>
  <si>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</si>
  <si>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</si>
  <si>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</si>
  <si>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</si>
  <si>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</si>
  <si>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440320</t>
  </si>
  <si>
    <t>오픈놀</t>
  </si>
  <si>
    <t>049480</t>
  </si>
  <si>
    <t>오픈베이스</t>
  </si>
  <si>
    <t>394280</t>
  </si>
  <si>
    <t>오픈엣지테크놀로지</t>
  </si>
  <si>
    <t>476060</t>
  </si>
  <si>
    <t>온코닉테라퓨틱스</t>
  </si>
  <si>
    <t>382150</t>
  </si>
  <si>
    <t>온코크로스</t>
  </si>
  <si>
    <t>005320</t>
  </si>
  <si>
    <t>온타이드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</si>
  <si>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</si>
  <si>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</si>
  <si>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</si>
  <si>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</si>
  <si>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</si>
  <si>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</si>
  <si>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</si>
  <si>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</si>
  <si>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</si>
  <si>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</si>
  <si>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</si>
  <si>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</si>
  <si>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380540</t>
  </si>
  <si>
    <t>옵티코어</t>
  </si>
  <si>
    <t>153710</t>
  </si>
  <si>
    <t>옵티팜</t>
  </si>
  <si>
    <t>432430</t>
  </si>
  <si>
    <t>와이랩</t>
  </si>
  <si>
    <t>338840</t>
  </si>
  <si>
    <t>와이바이오로직스</t>
  </si>
  <si>
    <t>122990</t>
  </si>
  <si>
    <t>와이솔</t>
  </si>
  <si>
    <t>232140</t>
  </si>
  <si>
    <t>와이씨</t>
  </si>
  <si>
    <t>112290</t>
  </si>
  <si>
    <t>와이씨켐</t>
  </si>
  <si>
    <t>065530</t>
  </si>
  <si>
    <t>와이어블</t>
  </si>
  <si>
    <t>067900</t>
  </si>
  <si>
    <t>와이엔텍</t>
  </si>
  <si>
    <t>007530</t>
  </si>
  <si>
    <t>와이엠</t>
  </si>
  <si>
    <t>155650</t>
  </si>
  <si>
    <t>와이엠씨</t>
  </si>
  <si>
    <t>273640</t>
  </si>
  <si>
    <t>와이엠텍</t>
  </si>
  <si>
    <t>251370</t>
  </si>
  <si>
    <t>와이엠티</t>
  </si>
  <si>
    <t>209640</t>
  </si>
  <si>
    <t>와이제이링크</t>
  </si>
  <si>
    <t>096250</t>
  </si>
  <si>
    <t>와이즈넛</t>
  </si>
  <si>
    <t>273060</t>
  </si>
  <si>
    <t>와이즈버즈</t>
  </si>
  <si>
    <t>019210</t>
  </si>
  <si>
    <t>와이지-원</t>
  </si>
  <si>
    <t>122870</t>
  </si>
  <si>
    <t>와이지엔터테인먼트</t>
  </si>
  <si>
    <t>011690</t>
  </si>
  <si>
    <t>와이투솔루션</t>
  </si>
  <si>
    <t>079000</t>
  </si>
  <si>
    <t>와토스코리아</t>
  </si>
  <si>
    <t>403490</t>
  </si>
  <si>
    <t>우듬지팜</t>
  </si>
  <si>
    <t>316140</t>
  </si>
  <si>
    <t>우리금융지주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</si>
  <si>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</si>
  <si>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</si>
  <si>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</si>
  <si>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</si>
  <si>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</si>
  <si>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</si>
  <si>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</si>
  <si>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</si>
  <si>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</si>
  <si>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</si>
  <si>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</si>
  <si>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</si>
  <si>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</si>
  <si>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</si>
  <si>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</si>
  <si>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</si>
  <si>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</si>
  <si>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</si>
  <si>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</si>
  <si>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우리이앤엘하루틴</t>
  </si>
  <si>
    <t>101170</t>
  </si>
  <si>
    <t>우림피티에스</t>
  </si>
  <si>
    <t>006980</t>
  </si>
  <si>
    <t>우성</t>
  </si>
  <si>
    <t>011300</t>
  </si>
  <si>
    <t>우성머티리얼스</t>
  </si>
  <si>
    <t>017370</t>
  </si>
  <si>
    <t>우신시스템</t>
  </si>
  <si>
    <t>103840</t>
  </si>
  <si>
    <t>우양</t>
  </si>
  <si>
    <t>101970</t>
  </si>
  <si>
    <t>우양에이치씨</t>
  </si>
  <si>
    <t>046940</t>
  </si>
  <si>
    <t>우원개발</t>
  </si>
  <si>
    <t>215380</t>
  </si>
  <si>
    <t>우정바이오</t>
  </si>
  <si>
    <t>065680</t>
  </si>
  <si>
    <t>우주일렉트로</t>
  </si>
  <si>
    <t>105840</t>
  </si>
  <si>
    <t>우진</t>
  </si>
  <si>
    <t>018620</t>
  </si>
  <si>
    <t>우진비앤지</t>
  </si>
  <si>
    <t>010400</t>
  </si>
  <si>
    <t>우진아이엔에스</t>
  </si>
  <si>
    <t>457550</t>
  </si>
  <si>
    <t>우진엔텍</t>
  </si>
  <si>
    <t>049800</t>
  </si>
  <si>
    <t>우진플라임</t>
  </si>
  <si>
    <t>016880</t>
  </si>
  <si>
    <t>웅진</t>
  </si>
  <si>
    <t>095720</t>
  </si>
  <si>
    <t>웅진씽크빅</t>
  </si>
  <si>
    <t>396470</t>
  </si>
  <si>
    <t>워트</t>
  </si>
  <si>
    <t>005820</t>
  </si>
  <si>
    <t>원림</t>
  </si>
  <si>
    <t>307280</t>
  </si>
  <si>
    <t>원바이오젠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</si>
  <si>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</si>
  <si>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</si>
  <si>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</si>
  <si>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</si>
  <si>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</si>
  <si>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</si>
  <si>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</si>
  <si>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</si>
  <si>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</si>
  <si>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</si>
  <si>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217820</t>
  </si>
  <si>
    <t>원익피앤이</t>
  </si>
  <si>
    <t>030530</t>
  </si>
  <si>
    <t>원익홀딩스</t>
  </si>
  <si>
    <t>012620</t>
  </si>
  <si>
    <t>원일특강</t>
  </si>
  <si>
    <t>136150</t>
  </si>
  <si>
    <t>원일티엔아이</t>
  </si>
  <si>
    <t>382840</t>
  </si>
  <si>
    <t>원준</t>
  </si>
  <si>
    <t>336570</t>
  </si>
  <si>
    <t>원텍</t>
  </si>
  <si>
    <t>376980</t>
  </si>
  <si>
    <t>원티드랩</t>
  </si>
  <si>
    <t>122830</t>
  </si>
  <si>
    <t>원포유</t>
  </si>
  <si>
    <t>008370</t>
  </si>
  <si>
    <t>원풍</t>
  </si>
  <si>
    <t>008290</t>
  </si>
  <si>
    <t>원풍물산</t>
  </si>
  <si>
    <t>101160</t>
  </si>
  <si>
    <t>월덱스</t>
  </si>
  <si>
    <t>336060</t>
  </si>
  <si>
    <t>웨이버스</t>
  </si>
  <si>
    <t>095270</t>
  </si>
  <si>
    <t>웨이브일렉트로</t>
  </si>
  <si>
    <t>289930</t>
  </si>
  <si>
    <t>웨이비스</t>
  </si>
  <si>
    <t>065950</t>
  </si>
  <si>
    <t>웰크론</t>
  </si>
  <si>
    <t>076080</t>
  </si>
  <si>
    <t>웰크론한텍</t>
  </si>
  <si>
    <t>043590</t>
  </si>
  <si>
    <t>웰킵스하이텍</t>
  </si>
  <si>
    <t>196700</t>
  </si>
  <si>
    <t>웹스</t>
  </si>
  <si>
    <t>069080</t>
  </si>
  <si>
    <t>웹젠</t>
  </si>
  <si>
    <t>053580</t>
  </si>
  <si>
    <t>웹케시</t>
  </si>
  <si>
    <t>479960</t>
  </si>
  <si>
    <t>위너스일렉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</si>
  <si>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</si>
  <si>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</si>
  <si>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</si>
  <si>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</si>
  <si>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</si>
  <si>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</si>
  <si>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</si>
  <si>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</si>
  <si>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</si>
  <si>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</si>
  <si>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</si>
  <si>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</si>
  <si>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</si>
  <si>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</si>
  <si>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140660</t>
  </si>
  <si>
    <t>위월드</t>
  </si>
  <si>
    <t>038620</t>
  </si>
  <si>
    <t>위즈코프</t>
  </si>
  <si>
    <t>299900</t>
  </si>
  <si>
    <t>위지윅스튜디오</t>
  </si>
  <si>
    <t>036090</t>
  </si>
  <si>
    <t>위지트</t>
  </si>
  <si>
    <t>459100</t>
  </si>
  <si>
    <t>위츠</t>
  </si>
  <si>
    <t>136540</t>
  </si>
  <si>
    <t>윈스테크넷</t>
  </si>
  <si>
    <t>097800</t>
  </si>
  <si>
    <t>윈팩</t>
  </si>
  <si>
    <t>192390</t>
  </si>
  <si>
    <t>윈하이텍</t>
  </si>
  <si>
    <t>008600</t>
  </si>
  <si>
    <t>윌비스</t>
  </si>
  <si>
    <t>335870</t>
  </si>
  <si>
    <t>윙스풋</t>
  </si>
  <si>
    <t>900340</t>
  </si>
  <si>
    <t>윙입푸드</t>
  </si>
  <si>
    <t>033270</t>
  </si>
  <si>
    <t>유나이티드제약</t>
  </si>
  <si>
    <t>014830</t>
  </si>
  <si>
    <t>유니드</t>
  </si>
  <si>
    <t>446070</t>
  </si>
  <si>
    <t>유니드비티플러스</t>
  </si>
  <si>
    <t>036200</t>
  </si>
  <si>
    <t>유니셈</t>
  </si>
  <si>
    <t>018000</t>
  </si>
  <si>
    <t>유니슨</t>
  </si>
  <si>
    <t>000910</t>
  </si>
  <si>
    <t>유니온</t>
  </si>
  <si>
    <t>047400</t>
  </si>
  <si>
    <t>유니온머티리얼</t>
  </si>
  <si>
    <t>203450</t>
  </si>
  <si>
    <t>유니온바이오메트릭스</t>
  </si>
  <si>
    <t>011330</t>
  </si>
  <si>
    <t>유니켐</t>
  </si>
  <si>
    <t>077500</t>
  </si>
  <si>
    <t>유니퀘스트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</si>
  <si>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</si>
  <si>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</si>
  <si>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</si>
  <si>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</si>
  <si>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</si>
  <si>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</si>
  <si>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</si>
  <si>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</si>
  <si>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121060</t>
  </si>
  <si>
    <t>유니포인트</t>
  </si>
  <si>
    <t>389680</t>
  </si>
  <si>
    <t>유디엠텍</t>
  </si>
  <si>
    <t>088340</t>
  </si>
  <si>
    <t>유라클</t>
  </si>
  <si>
    <t>048430</t>
  </si>
  <si>
    <t>유라테크</t>
  </si>
  <si>
    <t>206650</t>
  </si>
  <si>
    <t>유바이오로직스</t>
  </si>
  <si>
    <t>089850</t>
  </si>
  <si>
    <t>유비벨록스</t>
  </si>
  <si>
    <t>495810</t>
  </si>
  <si>
    <t>유비씨</t>
  </si>
  <si>
    <t>084440</t>
  </si>
  <si>
    <t>유비온</t>
  </si>
  <si>
    <t>264450</t>
  </si>
  <si>
    <t>유비쿼스</t>
  </si>
  <si>
    <t>078070</t>
  </si>
  <si>
    <t>유비쿼스홀딩스</t>
  </si>
  <si>
    <t>002920</t>
  </si>
  <si>
    <t>유성기업</t>
  </si>
  <si>
    <t>024800</t>
  </si>
  <si>
    <t>유성티엔에스</t>
  </si>
  <si>
    <t>000700</t>
  </si>
  <si>
    <t>유수홀딩스</t>
  </si>
  <si>
    <t>054930</t>
  </si>
  <si>
    <t>유신</t>
  </si>
  <si>
    <t>069330</t>
  </si>
  <si>
    <t>유아이디</t>
  </si>
  <si>
    <t>049520</t>
  </si>
  <si>
    <t>유아이엘</t>
  </si>
  <si>
    <t>473050</t>
  </si>
  <si>
    <t>유안타제15호스팩</t>
  </si>
  <si>
    <t>474490</t>
  </si>
  <si>
    <t>유안타제16호스팩</t>
  </si>
  <si>
    <t>493790</t>
  </si>
  <si>
    <t>유안타제17호스팩</t>
  </si>
  <si>
    <t>003470</t>
  </si>
  <si>
    <t>유안타증권</t>
  </si>
  <si>
    <t>003475</t>
  </si>
  <si>
    <t>유안타증권우</t>
  </si>
  <si>
    <t>263770</t>
  </si>
  <si>
    <t>유에스티</t>
  </si>
  <si>
    <t>337840</t>
  </si>
  <si>
    <t>유엑스엔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</si>
  <si>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</si>
  <si>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</si>
  <si>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</si>
  <si>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</si>
  <si>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</si>
  <si>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</si>
  <si>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</si>
  <si>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</si>
  <si>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</si>
  <si>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</si>
  <si>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</si>
  <si>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</si>
  <si>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</si>
  <si>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</si>
  <si>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</si>
  <si>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</si>
  <si>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468760</t>
  </si>
  <si>
    <t>유진스팩10호</t>
  </si>
  <si>
    <t>488060</t>
  </si>
  <si>
    <t>유진스팩11호</t>
  </si>
  <si>
    <t>0105P0</t>
  </si>
  <si>
    <t>유진스팩12호</t>
  </si>
  <si>
    <t>084370</t>
  </si>
  <si>
    <t>유진테크</t>
  </si>
  <si>
    <t>240600</t>
  </si>
  <si>
    <t>유진테크놀로지</t>
  </si>
  <si>
    <t>001200</t>
  </si>
  <si>
    <t>유진투자증권</t>
  </si>
  <si>
    <t>179900</t>
  </si>
  <si>
    <t>유티아이</t>
  </si>
  <si>
    <t>263050</t>
  </si>
  <si>
    <t>유틸렉스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</si>
  <si>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</si>
  <si>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</si>
  <si>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</si>
  <si>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</si>
  <si>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</si>
  <si>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</si>
  <si>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</si>
  <si>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</si>
  <si>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191410</t>
  </si>
  <si>
    <t>육일씨엔에쓰</t>
  </si>
  <si>
    <t>372170</t>
  </si>
  <si>
    <t>윤성에프앤씨</t>
  </si>
  <si>
    <t>146060</t>
  </si>
  <si>
    <t>율촌</t>
  </si>
  <si>
    <t>008730</t>
  </si>
  <si>
    <t>율촌화학</t>
  </si>
  <si>
    <t>008250</t>
  </si>
  <si>
    <t>이건산업</t>
  </si>
  <si>
    <t>039020</t>
  </si>
  <si>
    <t>이건홀딩스</t>
  </si>
  <si>
    <t>025820</t>
  </si>
  <si>
    <t>이구산업</t>
  </si>
  <si>
    <t>067920</t>
  </si>
  <si>
    <t>이글루</t>
  </si>
  <si>
    <t>044960</t>
  </si>
  <si>
    <t>이글벳</t>
  </si>
  <si>
    <t>303530</t>
  </si>
  <si>
    <t>이노뎁</t>
  </si>
  <si>
    <t>302430</t>
  </si>
  <si>
    <t>이노메트리</t>
  </si>
  <si>
    <t>279060</t>
  </si>
  <si>
    <t>이노벡스</t>
  </si>
  <si>
    <t>214320</t>
  </si>
  <si>
    <t>이노션</t>
  </si>
  <si>
    <t>462350</t>
  </si>
  <si>
    <t>이노스페이스</t>
  </si>
  <si>
    <t>274400</t>
  </si>
  <si>
    <t>이노시뮬레이션</t>
  </si>
  <si>
    <t>296640</t>
  </si>
  <si>
    <t>이노에이엑스</t>
  </si>
  <si>
    <t>215790</t>
  </si>
  <si>
    <t>이노인스트루먼트</t>
  </si>
  <si>
    <t>344860</t>
  </si>
  <si>
    <t>이노진</t>
  </si>
  <si>
    <t>333050</t>
  </si>
  <si>
    <t>이노테나</t>
  </si>
  <si>
    <t>469610</t>
  </si>
  <si>
    <t>이노테크</t>
  </si>
  <si>
    <t>088390</t>
  </si>
  <si>
    <t>이녹스</t>
  </si>
  <si>
    <t>272290</t>
  </si>
  <si>
    <t>이녹스첨단소재</t>
  </si>
  <si>
    <t>053350</t>
  </si>
  <si>
    <t>이니텍</t>
  </si>
  <si>
    <t>452400</t>
  </si>
  <si>
    <t>이닉스</t>
  </si>
  <si>
    <t>264850</t>
  </si>
  <si>
    <t>이랜시스</t>
  </si>
  <si>
    <t>054210</t>
  </si>
  <si>
    <t>이랜텍</t>
  </si>
  <si>
    <t>009730</t>
  </si>
  <si>
    <t>이렘</t>
  </si>
  <si>
    <t>065440</t>
  </si>
  <si>
    <t>이루온</t>
  </si>
  <si>
    <t>088260</t>
  </si>
  <si>
    <t>이리츠코크렙</t>
  </si>
  <si>
    <t>139480</t>
  </si>
  <si>
    <t>이마트</t>
  </si>
  <si>
    <t>424870</t>
  </si>
  <si>
    <t>이뮨온시아</t>
  </si>
  <si>
    <t>115610</t>
  </si>
  <si>
    <t>이미지스</t>
  </si>
  <si>
    <t>478110</t>
  </si>
  <si>
    <t>이베스트스팩6호</t>
  </si>
  <si>
    <t>131400</t>
  </si>
  <si>
    <t>이브이첨단소재</t>
  </si>
  <si>
    <t>208850</t>
  </si>
  <si>
    <t>이비테크</t>
  </si>
  <si>
    <t>351330</t>
  </si>
  <si>
    <t>이삭엔지니어링</t>
  </si>
  <si>
    <t>080010</t>
  </si>
  <si>
    <t>이상네트웍스</t>
  </si>
  <si>
    <t>379390</t>
  </si>
  <si>
    <t>이성씨엔아이</t>
  </si>
  <si>
    <t>457190</t>
  </si>
  <si>
    <t>이수스페셜티케미컬</t>
  </si>
  <si>
    <t>086890</t>
  </si>
  <si>
    <t>이수앱지스</t>
  </si>
  <si>
    <t>007660</t>
  </si>
  <si>
    <t>이수페타시스</t>
  </si>
  <si>
    <t>005950</t>
  </si>
  <si>
    <t>이수화학</t>
  </si>
  <si>
    <t>015020</t>
  </si>
  <si>
    <t>이스타코</t>
  </si>
  <si>
    <t>047560</t>
  </si>
  <si>
    <t>이스트소프트</t>
  </si>
  <si>
    <t>900110</t>
  </si>
  <si>
    <t>이스트아시아홀딩스</t>
  </si>
  <si>
    <t>239340</t>
  </si>
  <si>
    <t>이스트에이드</t>
  </si>
  <si>
    <t>067010</t>
  </si>
  <si>
    <t>이씨에스</t>
  </si>
  <si>
    <t>456070</t>
  </si>
  <si>
    <t>이엔셀</t>
  </si>
  <si>
    <t>102710</t>
  </si>
  <si>
    <t>이엔에프테크놀로지</t>
  </si>
  <si>
    <t>074610</t>
  </si>
  <si>
    <t>이엔플러스</t>
  </si>
  <si>
    <t>041520</t>
  </si>
  <si>
    <t>이엘씨</t>
  </si>
  <si>
    <t>063760</t>
  </si>
  <si>
    <t>이엘피</t>
  </si>
  <si>
    <t>123570</t>
  </si>
  <si>
    <t>이엠넷</t>
  </si>
  <si>
    <t>083470</t>
  </si>
  <si>
    <t>이엠앤아이</t>
  </si>
  <si>
    <t>091120</t>
  </si>
  <si>
    <t>이엠텍</t>
  </si>
  <si>
    <t>232530</t>
  </si>
  <si>
    <t>이엠티</t>
  </si>
  <si>
    <t>102460</t>
  </si>
  <si>
    <t>이연제약</t>
  </si>
  <si>
    <t>039030</t>
  </si>
  <si>
    <t>이오테크닉스</t>
  </si>
  <si>
    <t>294090</t>
  </si>
  <si>
    <t>이오플로우</t>
  </si>
  <si>
    <t>088290</t>
  </si>
  <si>
    <t>이원컴포텍</t>
  </si>
  <si>
    <t>084680</t>
  </si>
  <si>
    <t>이월드</t>
  </si>
  <si>
    <t>353810</t>
  </si>
  <si>
    <t>이지바이오</t>
  </si>
  <si>
    <t>261520</t>
  </si>
  <si>
    <t>이지스</t>
  </si>
  <si>
    <t>350520</t>
  </si>
  <si>
    <t>이지스레지던스리츠</t>
  </si>
  <si>
    <t>334890</t>
  </si>
  <si>
    <t>이지스밸류플러스리츠</t>
  </si>
  <si>
    <t>099750</t>
  </si>
  <si>
    <t>이지케어텍</t>
  </si>
  <si>
    <t>377330</t>
  </si>
  <si>
    <t>이지트로닉스</t>
  </si>
  <si>
    <t>035810</t>
  </si>
  <si>
    <t>이지홀딩스</t>
  </si>
  <si>
    <t>092130</t>
  </si>
  <si>
    <t>이크레더블</t>
  </si>
  <si>
    <t>134060</t>
  </si>
  <si>
    <t>이퓨쳐</t>
  </si>
  <si>
    <t>001840</t>
  </si>
  <si>
    <t>이화공영</t>
  </si>
  <si>
    <t>000760</t>
  </si>
  <si>
    <t>이화산업</t>
  </si>
  <si>
    <t>014990</t>
  </si>
  <si>
    <t>인디에프</t>
  </si>
  <si>
    <t>041830</t>
  </si>
  <si>
    <t>인바디</t>
  </si>
  <si>
    <t>352940</t>
  </si>
  <si>
    <t>인바이오</t>
  </si>
  <si>
    <t>101140</t>
  </si>
  <si>
    <t>인바이오젠</t>
  </si>
  <si>
    <t>216400</t>
  </si>
  <si>
    <t>인바이츠바이오코아</t>
  </si>
  <si>
    <t>079950</t>
  </si>
  <si>
    <t>인베니아</t>
  </si>
  <si>
    <t>0007J0</t>
  </si>
  <si>
    <t>인벤테라</t>
  </si>
  <si>
    <t>389470</t>
  </si>
  <si>
    <t>인벤티지랩</t>
  </si>
  <si>
    <t>277410</t>
  </si>
  <si>
    <t>인산가</t>
  </si>
  <si>
    <t>060150</t>
  </si>
  <si>
    <t>인선이엔티</t>
  </si>
  <si>
    <t>033230</t>
  </si>
  <si>
    <t>인성정보</t>
  </si>
  <si>
    <t>450520</t>
  </si>
  <si>
    <t>인스웨이브</t>
  </si>
  <si>
    <t>006490</t>
  </si>
  <si>
    <t>인스코비</t>
  </si>
  <si>
    <t>465480</t>
  </si>
  <si>
    <t>인스피언</t>
  </si>
  <si>
    <t>037330</t>
  </si>
  <si>
    <t>인지디스플레</t>
  </si>
  <si>
    <t>100030</t>
  </si>
  <si>
    <t>인지소프트</t>
  </si>
  <si>
    <t>023800</t>
  </si>
  <si>
    <t>인지컨트롤스</t>
  </si>
  <si>
    <t>034590</t>
  </si>
  <si>
    <t>인천도시가스</t>
  </si>
  <si>
    <t>211050</t>
  </si>
  <si>
    <t>인카금융서비스</t>
  </si>
  <si>
    <t>083640</t>
  </si>
  <si>
    <t>인콘</t>
  </si>
  <si>
    <t>064090</t>
  </si>
  <si>
    <t>인크레더블버즈</t>
  </si>
  <si>
    <t>216050</t>
  </si>
  <si>
    <t>인크로스</t>
  </si>
  <si>
    <t>049070</t>
  </si>
  <si>
    <t>인탑스</t>
  </si>
  <si>
    <t>311960</t>
  </si>
  <si>
    <t>인터로이드</t>
  </si>
  <si>
    <t>119610</t>
  </si>
  <si>
    <t>인터로조</t>
  </si>
  <si>
    <t>017250</t>
  </si>
  <si>
    <t>인터엠</t>
  </si>
  <si>
    <t>129260</t>
  </si>
  <si>
    <t>인터지스</t>
  </si>
  <si>
    <t>051370</t>
  </si>
  <si>
    <t>인터플렉스</t>
  </si>
  <si>
    <t>064290</t>
  </si>
  <si>
    <t>인텍플러스</t>
  </si>
  <si>
    <t>189300</t>
  </si>
  <si>
    <t>인텔리안테크</t>
  </si>
  <si>
    <t>287840</t>
  </si>
  <si>
    <t>인투셀</t>
  </si>
  <si>
    <t>048530</t>
  </si>
  <si>
    <t>인트론바이오</t>
  </si>
  <si>
    <t>070590</t>
  </si>
  <si>
    <t>인티큐브</t>
  </si>
  <si>
    <t>023810</t>
  </si>
  <si>
    <t>인팩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</si>
  <si>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</si>
  <si>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</si>
  <si>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</si>
  <si>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</si>
  <si>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</si>
  <si>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</si>
  <si>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</si>
  <si>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</si>
  <si>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</si>
  <si>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</si>
  <si>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</si>
  <si>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</si>
  <si>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</si>
  <si>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</si>
  <si>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</si>
  <si>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일성아이에스</t>
  </si>
  <si>
    <t>333430</t>
  </si>
  <si>
    <t>일승</t>
  </si>
  <si>
    <t>068330</t>
  </si>
  <si>
    <t>일신바이오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</si>
  <si>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</si>
  <si>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</si>
  <si>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</si>
  <si>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</si>
  <si>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</si>
  <si>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</si>
  <si>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</si>
  <si>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</si>
  <si>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178780</t>
  </si>
  <si>
    <t>일월지엠엘</t>
  </si>
  <si>
    <t>008500</t>
  </si>
  <si>
    <t>일정실업</t>
  </si>
  <si>
    <t>019540</t>
  </si>
  <si>
    <t>일지테크</t>
  </si>
  <si>
    <t>081000</t>
  </si>
  <si>
    <t>일진다이아</t>
  </si>
  <si>
    <t>020760</t>
  </si>
  <si>
    <t>일진디스플</t>
  </si>
  <si>
    <t>103590</t>
  </si>
  <si>
    <t>일진전기</t>
  </si>
  <si>
    <t>094820</t>
  </si>
  <si>
    <t>일진파워</t>
  </si>
  <si>
    <t>271940</t>
  </si>
  <si>
    <t>일진하이솔루스</t>
  </si>
  <si>
    <t>015860</t>
  </si>
  <si>
    <t>일진홀딩스</t>
  </si>
  <si>
    <t>226320</t>
  </si>
  <si>
    <t>잇츠한불</t>
  </si>
  <si>
    <t>950140</t>
  </si>
  <si>
    <t>잉글우드랩</t>
  </si>
  <si>
    <t>049550</t>
  </si>
  <si>
    <t>잉크테크</t>
  </si>
  <si>
    <t>389020</t>
  </si>
  <si>
    <t>자람테크놀로지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</si>
  <si>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</si>
  <si>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</si>
  <si>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</si>
  <si>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</si>
  <si>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</si>
  <si>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</si>
  <si>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</si>
  <si>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</si>
  <si>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317400</t>
  </si>
  <si>
    <t>자이에스앤디</t>
  </si>
  <si>
    <t>033240</t>
  </si>
  <si>
    <t>자화전자</t>
  </si>
  <si>
    <t>049630</t>
  </si>
  <si>
    <t>재영솔루텍</t>
  </si>
  <si>
    <t>417840</t>
  </si>
  <si>
    <t>저스템</t>
  </si>
  <si>
    <t>000950</t>
  </si>
  <si>
    <t>전방</t>
  </si>
  <si>
    <t>079900</t>
  </si>
  <si>
    <t>전진건설로봇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</si>
  <si>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</si>
  <si>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</si>
  <si>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</si>
  <si>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</si>
  <si>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</si>
  <si>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</si>
  <si>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</si>
  <si>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</si>
  <si>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</si>
  <si>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</si>
  <si>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</si>
  <si>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</si>
  <si>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122310</t>
  </si>
  <si>
    <t>제노레이</t>
  </si>
  <si>
    <t>361390</t>
  </si>
  <si>
    <t>제노코</t>
  </si>
  <si>
    <t>066830</t>
  </si>
  <si>
    <t>제노텍</t>
  </si>
  <si>
    <t>225220</t>
  </si>
  <si>
    <t>제놀루션</t>
  </si>
  <si>
    <t>123330</t>
  </si>
  <si>
    <t>제닉</t>
  </si>
  <si>
    <t>381620</t>
  </si>
  <si>
    <t>제닉스로보틱스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</si>
  <si>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</si>
  <si>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</si>
  <si>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</si>
  <si>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</si>
  <si>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</si>
  <si>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</si>
  <si>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</si>
  <si>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</si>
  <si>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</si>
  <si>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</si>
  <si>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090470</t>
  </si>
  <si>
    <t>제이스로보틱스</t>
  </si>
  <si>
    <t>023440</t>
  </si>
  <si>
    <t>제이스코홀딩스</t>
  </si>
  <si>
    <t>137950</t>
  </si>
  <si>
    <t>제이씨케미칼</t>
  </si>
  <si>
    <t>033320</t>
  </si>
  <si>
    <t>제이씨현시스템</t>
  </si>
  <si>
    <t>417500</t>
  </si>
  <si>
    <t>제이아이테크</t>
  </si>
  <si>
    <t>348950</t>
  </si>
  <si>
    <t>제이알글로벌리츠</t>
  </si>
  <si>
    <t>204270</t>
  </si>
  <si>
    <t>제이앤티씨</t>
  </si>
  <si>
    <t>127120</t>
  </si>
  <si>
    <t>제이에스링크</t>
  </si>
  <si>
    <t>194370</t>
  </si>
  <si>
    <t>제이에스코퍼레이션</t>
  </si>
  <si>
    <t>026040</t>
  </si>
  <si>
    <t>제이에스티나</t>
  </si>
  <si>
    <t>452160</t>
  </si>
  <si>
    <t>제이엔비</t>
  </si>
  <si>
    <t>126880</t>
  </si>
  <si>
    <t>제이엔케이글로벌</t>
  </si>
  <si>
    <t>322510</t>
  </si>
  <si>
    <t>제이엘케이</t>
  </si>
  <si>
    <t>254160</t>
  </si>
  <si>
    <t>제이엠멀티</t>
  </si>
  <si>
    <t>033050</t>
  </si>
  <si>
    <t>제이엠아이</t>
  </si>
  <si>
    <t>094970</t>
  </si>
  <si>
    <t>제이엠티</t>
  </si>
  <si>
    <t>418550</t>
  </si>
  <si>
    <t>제이오</t>
  </si>
  <si>
    <t>060230</t>
  </si>
  <si>
    <t>제이케이시냅스</t>
  </si>
  <si>
    <t>420570</t>
  </si>
  <si>
    <t>제이투케이바이오</t>
  </si>
  <si>
    <t>089790</t>
  </si>
  <si>
    <t>제이티</t>
  </si>
  <si>
    <t>0010V0</t>
  </si>
  <si>
    <t>제이피아이헬스케어</t>
  </si>
  <si>
    <t>030000</t>
  </si>
  <si>
    <t>제일기획</t>
  </si>
  <si>
    <t>271980</t>
  </si>
  <si>
    <t>제일약품</t>
  </si>
  <si>
    <t>412540</t>
  </si>
  <si>
    <t>제일엠앤에스</t>
  </si>
  <si>
    <t>001560</t>
  </si>
  <si>
    <t>제일연마</t>
  </si>
  <si>
    <t>199820</t>
  </si>
  <si>
    <t>제일일렉트릭</t>
  </si>
  <si>
    <t>038010</t>
  </si>
  <si>
    <t>제일테크노스</t>
  </si>
  <si>
    <t>002620</t>
  </si>
  <si>
    <t>제일파마홀딩스</t>
  </si>
  <si>
    <t>080220</t>
  </si>
  <si>
    <t>제주반도체</t>
  </si>
  <si>
    <t>006220</t>
  </si>
  <si>
    <t>제주은행</t>
  </si>
  <si>
    <t>089590</t>
  </si>
  <si>
    <t>제주항공</t>
  </si>
  <si>
    <t>216080</t>
  </si>
  <si>
    <t>제테마</t>
  </si>
  <si>
    <t>337930</t>
  </si>
  <si>
    <t>젝시믹스</t>
  </si>
  <si>
    <t>229000</t>
  </si>
  <si>
    <t>젠큐릭스</t>
  </si>
  <si>
    <t>082270</t>
  </si>
  <si>
    <t>젬백스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</si>
  <si>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</si>
  <si>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</si>
  <si>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</si>
  <si>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</si>
  <si>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</si>
  <si>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</si>
  <si>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</si>
  <si>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</si>
  <si>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</si>
  <si>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</si>
  <si>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034940</t>
  </si>
  <si>
    <t>조아제약</t>
  </si>
  <si>
    <t>067000</t>
  </si>
  <si>
    <t>조이시티</t>
  </si>
  <si>
    <t>309930</t>
  </si>
  <si>
    <t>조이웍스앤코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</si>
  <si>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</si>
  <si>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</si>
  <si>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</si>
  <si>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</si>
  <si>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</si>
  <si>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</si>
  <si>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</si>
  <si>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</si>
  <si>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</si>
  <si>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</si>
  <si>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033340</t>
  </si>
  <si>
    <t>좋은사람들</t>
  </si>
  <si>
    <t>036930</t>
  </si>
  <si>
    <t>주성엔지니어링</t>
  </si>
  <si>
    <t>109070</t>
  </si>
  <si>
    <t>주성코퍼레이션</t>
  </si>
  <si>
    <t>044380</t>
  </si>
  <si>
    <t>주연테크</t>
  </si>
  <si>
    <t>072020</t>
  </si>
  <si>
    <t>중앙백신</t>
  </si>
  <si>
    <t>000440</t>
  </si>
  <si>
    <t>중앙에너비스</t>
  </si>
  <si>
    <t>051980</t>
  </si>
  <si>
    <t>중앙첨단소재</t>
  </si>
  <si>
    <t>221800</t>
  </si>
  <si>
    <t>지구홀딩스</t>
  </si>
  <si>
    <t>228760</t>
  </si>
  <si>
    <t>지노믹트리</t>
  </si>
  <si>
    <t>314130</t>
  </si>
  <si>
    <t>지놈앤컴퍼니</t>
  </si>
  <si>
    <t>013890</t>
  </si>
  <si>
    <t>지누스</t>
  </si>
  <si>
    <t>389030</t>
  </si>
  <si>
    <t>지니너스</t>
  </si>
  <si>
    <t>263860</t>
  </si>
  <si>
    <t>지니언스</t>
  </si>
  <si>
    <t>303030</t>
  </si>
  <si>
    <t>지니틱스</t>
  </si>
  <si>
    <t>208350</t>
  </si>
  <si>
    <t>지란지교시큐리티</t>
  </si>
  <si>
    <t>446840</t>
  </si>
  <si>
    <t>지슨</t>
  </si>
  <si>
    <t>144510</t>
  </si>
  <si>
    <t>지씨셀</t>
  </si>
  <si>
    <t>340450</t>
  </si>
  <si>
    <t>지씨지놈</t>
  </si>
  <si>
    <t>306620</t>
  </si>
  <si>
    <t>지아이에스</t>
  </si>
  <si>
    <t>358570</t>
  </si>
  <si>
    <t>지아이이노베이션</t>
  </si>
  <si>
    <t>382480</t>
  </si>
  <si>
    <t>지아이텍</t>
  </si>
  <si>
    <t>382800</t>
  </si>
  <si>
    <t>지앤비에스 에코</t>
  </si>
  <si>
    <t>299480</t>
  </si>
  <si>
    <t>지앤이헬스케어</t>
  </si>
  <si>
    <t>051160</t>
  </si>
  <si>
    <t>지어소프트</t>
  </si>
  <si>
    <t>053050</t>
  </si>
  <si>
    <t>지에스이</t>
  </si>
  <si>
    <t>076340</t>
  </si>
  <si>
    <t>지에이이노더스</t>
  </si>
  <si>
    <t>388610</t>
  </si>
  <si>
    <t>지에프씨생명과학</t>
  </si>
  <si>
    <t>493330</t>
  </si>
  <si>
    <t>지에프아이</t>
  </si>
  <si>
    <t>119850</t>
  </si>
  <si>
    <t>지엔씨에너지</t>
  </si>
  <si>
    <t>065060</t>
  </si>
  <si>
    <t>지엔코</t>
  </si>
  <si>
    <t>204840</t>
  </si>
  <si>
    <t>지엘팜텍</t>
  </si>
  <si>
    <t>013870</t>
  </si>
  <si>
    <t>지엠비코리아</t>
  </si>
  <si>
    <t>071320</t>
  </si>
  <si>
    <t>지역난방공사</t>
  </si>
  <si>
    <t>311320</t>
  </si>
  <si>
    <t>지오엘리먼트</t>
  </si>
  <si>
    <t>456160</t>
  </si>
  <si>
    <t>지투지바이오</t>
  </si>
  <si>
    <t>388050</t>
  </si>
  <si>
    <t>지투파워</t>
  </si>
  <si>
    <t>088790</t>
  </si>
  <si>
    <t>진도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</si>
  <si>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</si>
  <si>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</si>
  <si>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</si>
  <si>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</si>
  <si>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</si>
  <si>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</si>
  <si>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</si>
  <si>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</si>
  <si>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</si>
  <si>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</si>
  <si>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003780</t>
  </si>
  <si>
    <t>진양산업</t>
  </si>
  <si>
    <t>007370</t>
  </si>
  <si>
    <t>진양제약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</si>
  <si>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</si>
  <si>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</si>
  <si>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</si>
  <si>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</si>
  <si>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</si>
  <si>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</si>
  <si>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</si>
  <si>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</si>
  <si>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285800</t>
  </si>
  <si>
    <t>진영</t>
  </si>
  <si>
    <t>011000</t>
  </si>
  <si>
    <t>진원생명과학</t>
  </si>
  <si>
    <t>250030</t>
  </si>
  <si>
    <t>진코스텍</t>
  </si>
  <si>
    <t>002780</t>
  </si>
  <si>
    <t>진흥기업</t>
  </si>
  <si>
    <t>002787</t>
  </si>
  <si>
    <t>진흥기업2우B</t>
  </si>
  <si>
    <t>002785</t>
  </si>
  <si>
    <t>진흥기업우B</t>
  </si>
  <si>
    <t>233990</t>
  </si>
  <si>
    <t>질경이</t>
  </si>
  <si>
    <t>025620</t>
  </si>
  <si>
    <t>차AI헬스케어</t>
  </si>
  <si>
    <t>085660</t>
  </si>
  <si>
    <t>차바이오텍</t>
  </si>
  <si>
    <t>261780</t>
  </si>
  <si>
    <t>차백신연구소</t>
  </si>
  <si>
    <t>351870</t>
  </si>
  <si>
    <t>차이커뮤니케이션</t>
  </si>
  <si>
    <t>009310</t>
  </si>
  <si>
    <t>참엔지니어링</t>
  </si>
  <si>
    <t>094850</t>
  </si>
  <si>
    <t>참좋은여행</t>
  </si>
  <si>
    <t>368030</t>
  </si>
  <si>
    <t>창대정밀</t>
  </si>
  <si>
    <t>004650</t>
  </si>
  <si>
    <t>창해에탄올</t>
  </si>
  <si>
    <t>0011T0</t>
  </si>
  <si>
    <t>채비</t>
  </si>
  <si>
    <t>278280</t>
  </si>
  <si>
    <t>천보</t>
  </si>
  <si>
    <t>000650</t>
  </si>
  <si>
    <t>천일고속</t>
  </si>
  <si>
    <t>362320</t>
  </si>
  <si>
    <t>청담글로벌</t>
  </si>
  <si>
    <t>066360</t>
  </si>
  <si>
    <t>체리부로</t>
  </si>
  <si>
    <t>033250</t>
  </si>
  <si>
    <t>체시스</t>
  </si>
  <si>
    <t>047820</t>
  </si>
  <si>
    <t>초록뱀미디어</t>
  </si>
  <si>
    <t>094360</t>
  </si>
  <si>
    <t>칩스앤미디어</t>
  </si>
  <si>
    <t>0082N0</t>
  </si>
  <si>
    <t>카나프테라퓨틱스</t>
  </si>
  <si>
    <t>016920</t>
  </si>
  <si>
    <t>카스</t>
  </si>
  <si>
    <t>284620</t>
  </si>
  <si>
    <t>카이노스메드</t>
  </si>
  <si>
    <t>035720</t>
  </si>
  <si>
    <t>카카오</t>
  </si>
  <si>
    <t>293490</t>
  </si>
  <si>
    <t>카카오게임즈</t>
  </si>
  <si>
    <t>323410</t>
  </si>
  <si>
    <t>카카오뱅크</t>
  </si>
  <si>
    <t>377300</t>
  </si>
  <si>
    <t>카카오페이</t>
  </si>
  <si>
    <t>140430</t>
  </si>
  <si>
    <t>카티스</t>
  </si>
  <si>
    <t>042000</t>
  </si>
  <si>
    <t>카페24</t>
  </si>
  <si>
    <t>006380</t>
  </si>
  <si>
    <t>카프로</t>
  </si>
  <si>
    <t>313760</t>
  </si>
  <si>
    <t>캐리</t>
  </si>
  <si>
    <t>071850</t>
  </si>
  <si>
    <t>캐스텍코리아</t>
  </si>
  <si>
    <t>198080</t>
  </si>
  <si>
    <t>캐프</t>
  </si>
  <si>
    <t>210120</t>
  </si>
  <si>
    <t>캔버스엔</t>
  </si>
  <si>
    <t>050110</t>
  </si>
  <si>
    <t>캠시스</t>
  </si>
  <si>
    <t>452300</t>
  </si>
  <si>
    <t>캡스톤파트너스</t>
  </si>
  <si>
    <t>451760</t>
  </si>
  <si>
    <t>컨텍</t>
  </si>
  <si>
    <t>900310</t>
  </si>
  <si>
    <t>컬러레이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</si>
  <si>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</si>
  <si>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</si>
  <si>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</si>
  <si>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</si>
  <si>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</si>
  <si>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</si>
  <si>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</si>
  <si>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</si>
  <si>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</si>
  <si>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</si>
  <si>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</si>
  <si>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</si>
  <si>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</si>
  <si>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</si>
  <si>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038530</t>
  </si>
  <si>
    <t>케이바이오랩스</t>
  </si>
  <si>
    <t>279570</t>
  </si>
  <si>
    <t>케이뱅크</t>
  </si>
  <si>
    <t>001620</t>
  </si>
  <si>
    <t>케이비아이동국실업</t>
  </si>
  <si>
    <t>192250</t>
  </si>
  <si>
    <t>케이사인</t>
  </si>
  <si>
    <t>431190</t>
  </si>
  <si>
    <t>케이쓰리아이</t>
  </si>
  <si>
    <t>029460</t>
  </si>
  <si>
    <t>케이씨</t>
  </si>
  <si>
    <t>115500</t>
  </si>
  <si>
    <t>케이씨에스</t>
  </si>
  <si>
    <t>281820</t>
  </si>
  <si>
    <t>케이씨텍</t>
  </si>
  <si>
    <t>089150</t>
  </si>
  <si>
    <t>케이씨티</t>
  </si>
  <si>
    <t>025880</t>
  </si>
  <si>
    <t>케이씨피드</t>
  </si>
  <si>
    <t>093320</t>
  </si>
  <si>
    <t>케이아이엔엑스</t>
  </si>
  <si>
    <t>093640</t>
  </si>
  <si>
    <t>케이알엠</t>
  </si>
  <si>
    <t>073010</t>
  </si>
  <si>
    <t>케이에스피</t>
  </si>
  <si>
    <t>105330</t>
  </si>
  <si>
    <t>케이엔더블유</t>
  </si>
  <si>
    <t>053080</t>
  </si>
  <si>
    <t>케이엔솔</t>
  </si>
  <si>
    <t>199430</t>
  </si>
  <si>
    <t>케이엔알시스템</t>
  </si>
  <si>
    <t>432470</t>
  </si>
  <si>
    <t>케이엔에스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</si>
  <si>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</si>
  <si>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</si>
  <si>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</si>
  <si>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</si>
  <si>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</si>
  <si>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</si>
  <si>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</si>
  <si>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</si>
  <si>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</si>
  <si>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</si>
  <si>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</si>
  <si>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</si>
  <si>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068100</t>
  </si>
  <si>
    <t>케이웨더</t>
  </si>
  <si>
    <t>106080</t>
  </si>
  <si>
    <t>케이이엠텍</t>
  </si>
  <si>
    <t>455180</t>
  </si>
  <si>
    <t>케이지에이</t>
  </si>
  <si>
    <t>381970</t>
  </si>
  <si>
    <t>케이카</t>
  </si>
  <si>
    <t>145270</t>
  </si>
  <si>
    <t>케이탑리츠</t>
  </si>
  <si>
    <t>036030</t>
  </si>
  <si>
    <t>케이티알파</t>
  </si>
  <si>
    <t>064820</t>
  </si>
  <si>
    <t>케이프</t>
  </si>
  <si>
    <t>024880</t>
  </si>
  <si>
    <t>케이피에프</t>
  </si>
  <si>
    <t>042040</t>
  </si>
  <si>
    <t>케이피엠테크</t>
  </si>
  <si>
    <t>054410</t>
  </si>
  <si>
    <t>케이피티유</t>
  </si>
  <si>
    <t>258610</t>
  </si>
  <si>
    <t>케일럼</t>
  </si>
  <si>
    <t>274090</t>
  </si>
  <si>
    <t>켄코아에어로스페이스</t>
  </si>
  <si>
    <t>402420</t>
  </si>
  <si>
    <t>켈스</t>
  </si>
  <si>
    <t>089010</t>
  </si>
  <si>
    <t>켐트로닉스</t>
  </si>
  <si>
    <t>220260</t>
  </si>
  <si>
    <t>켐트로스</t>
  </si>
  <si>
    <t>176590</t>
  </si>
  <si>
    <t>코나솔</t>
  </si>
  <si>
    <t>052400</t>
  </si>
  <si>
    <t>코나아이</t>
  </si>
  <si>
    <t>402030</t>
  </si>
  <si>
    <t>코난테크놀로지</t>
  </si>
  <si>
    <t>391710</t>
  </si>
  <si>
    <t>코닉오토메이션</t>
  </si>
  <si>
    <t>046070</t>
  </si>
  <si>
    <t>코다코</t>
  </si>
  <si>
    <t>047770</t>
  </si>
  <si>
    <t>코데즈컴바인</t>
  </si>
  <si>
    <t>080530</t>
  </si>
  <si>
    <t>코디</t>
  </si>
  <si>
    <t>417310</t>
  </si>
  <si>
    <t>코람코더원리츠</t>
  </si>
  <si>
    <t>357120</t>
  </si>
  <si>
    <t>코람코라이프인프라리츠</t>
  </si>
  <si>
    <t>104540</t>
  </si>
  <si>
    <t>코렌텍</t>
  </si>
  <si>
    <t>027050</t>
  </si>
  <si>
    <t>코리아나</t>
  </si>
  <si>
    <t>007815</t>
  </si>
  <si>
    <t>코리아써우</t>
  </si>
  <si>
    <t>007810</t>
  </si>
  <si>
    <t>코리아써키트</t>
  </si>
  <si>
    <t>00781K</t>
  </si>
  <si>
    <t>코리아써키트2우B</t>
  </si>
  <si>
    <t>190650</t>
  </si>
  <si>
    <t>코리아에셋투자증권</t>
  </si>
  <si>
    <t>123410</t>
  </si>
  <si>
    <t>코리아에프티</t>
  </si>
  <si>
    <t>003690</t>
  </si>
  <si>
    <t>코리안리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</si>
  <si>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</si>
  <si>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</si>
  <si>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</si>
  <si>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</si>
  <si>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</si>
  <si>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</si>
  <si>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</si>
  <si>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</si>
  <si>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</si>
  <si>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</si>
  <si>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360350</t>
  </si>
  <si>
    <t>코셈</t>
  </si>
  <si>
    <t>189350</t>
  </si>
  <si>
    <t>코셋</t>
  </si>
  <si>
    <t>082660</t>
  </si>
  <si>
    <t>코스나인</t>
  </si>
  <si>
    <t>043710</t>
  </si>
  <si>
    <t>코스리거글로벌</t>
  </si>
  <si>
    <t>192820</t>
  </si>
  <si>
    <t>코스맥스</t>
  </si>
  <si>
    <t>044820</t>
  </si>
  <si>
    <t>코스맥스비티아이</t>
  </si>
  <si>
    <t>222040</t>
  </si>
  <si>
    <t>코스맥스엔비티</t>
  </si>
  <si>
    <t>241710</t>
  </si>
  <si>
    <t>코스메카코리아</t>
  </si>
  <si>
    <t>005070</t>
  </si>
  <si>
    <t>코스모신소재</t>
  </si>
  <si>
    <t>005420</t>
  </si>
  <si>
    <t>코스모화학</t>
  </si>
  <si>
    <t>355150</t>
  </si>
  <si>
    <t>코스텍시스</t>
  </si>
  <si>
    <t>169670</t>
  </si>
  <si>
    <t>코스텍시스템</t>
  </si>
  <si>
    <t>071950</t>
  </si>
  <si>
    <t>코아스</t>
  </si>
  <si>
    <t>166480</t>
  </si>
  <si>
    <t>코아스템켐온</t>
  </si>
  <si>
    <t>045970</t>
  </si>
  <si>
    <t>코아시아</t>
  </si>
  <si>
    <t>196450</t>
  </si>
  <si>
    <t>코아시아씨엠</t>
  </si>
  <si>
    <t>384470</t>
  </si>
  <si>
    <t>코어라인소프트</t>
  </si>
  <si>
    <t>002020</t>
  </si>
  <si>
    <t>코오롱</t>
  </si>
  <si>
    <t>003070</t>
  </si>
  <si>
    <t>코오롱글로벌</t>
  </si>
  <si>
    <t>003075</t>
  </si>
  <si>
    <t>코오롱글로벌우</t>
  </si>
  <si>
    <t>102940</t>
  </si>
  <si>
    <t>코오롱생명과학</t>
  </si>
  <si>
    <t>002025</t>
  </si>
  <si>
    <t>코오롱우</t>
  </si>
  <si>
    <t>120110</t>
  </si>
  <si>
    <t>코오롱인더</t>
  </si>
  <si>
    <t>120115</t>
  </si>
  <si>
    <t>코오롱인더우</t>
  </si>
  <si>
    <t>950160</t>
  </si>
  <si>
    <t>코오롱티슈진</t>
  </si>
  <si>
    <t>021240</t>
  </si>
  <si>
    <t>코웨이</t>
  </si>
  <si>
    <t>056360</t>
  </si>
  <si>
    <t>코위버</t>
  </si>
  <si>
    <t>282880</t>
  </si>
  <si>
    <t>코윈테크</t>
  </si>
  <si>
    <t>121850</t>
  </si>
  <si>
    <t>코이즈</t>
  </si>
  <si>
    <t>448710</t>
  </si>
  <si>
    <t>코츠테크놀로지</t>
  </si>
  <si>
    <t>126730</t>
  </si>
  <si>
    <t>코칩</t>
  </si>
  <si>
    <t>015710</t>
  </si>
  <si>
    <t>코콤</t>
  </si>
  <si>
    <t>052330</t>
  </si>
  <si>
    <t>코텍</t>
  </si>
  <si>
    <t>322780</t>
  </si>
  <si>
    <t>코퍼스코리아</t>
  </si>
  <si>
    <t>036420</t>
  </si>
  <si>
    <t>콘텐트리중앙</t>
  </si>
  <si>
    <t>200130</t>
  </si>
  <si>
    <t>콜마비앤에이치</t>
  </si>
  <si>
    <t>024720</t>
  </si>
  <si>
    <t>콜마홀딩스</t>
  </si>
  <si>
    <t>294570</t>
  </si>
  <si>
    <t>쿠콘</t>
  </si>
  <si>
    <t>192400</t>
  </si>
  <si>
    <t>쿠쿠홀딩스</t>
  </si>
  <si>
    <t>284740</t>
  </si>
  <si>
    <t>쿠쿠홈시스</t>
  </si>
  <si>
    <t>464490</t>
  </si>
  <si>
    <t>쿼드메디슨</t>
  </si>
  <si>
    <t>317690</t>
  </si>
  <si>
    <t>퀀타매트릭스</t>
  </si>
  <si>
    <t>432720</t>
  </si>
  <si>
    <t>퀄리타스반도체</t>
  </si>
  <si>
    <t>456190</t>
  </si>
  <si>
    <t>큐라켐</t>
  </si>
  <si>
    <t>365270</t>
  </si>
  <si>
    <t>큐라클</t>
  </si>
  <si>
    <t>348080</t>
  </si>
  <si>
    <t>큐라티스</t>
  </si>
  <si>
    <t>060280</t>
  </si>
  <si>
    <t>큐렉소</t>
  </si>
  <si>
    <t>372320</t>
  </si>
  <si>
    <t>큐로셀</t>
  </si>
  <si>
    <t>051780</t>
  </si>
  <si>
    <t>큐로홀딩스</t>
  </si>
  <si>
    <t>115180</t>
  </si>
  <si>
    <t>큐리언트</t>
  </si>
  <si>
    <t>494120</t>
  </si>
  <si>
    <t>큐리오시스</t>
  </si>
  <si>
    <t>445680</t>
  </si>
  <si>
    <t>큐리옥스바이오시스템즈</t>
  </si>
  <si>
    <t>182360</t>
  </si>
  <si>
    <t>큐브엔터</t>
  </si>
  <si>
    <t>405100</t>
  </si>
  <si>
    <t>큐알티</t>
  </si>
  <si>
    <t>066310</t>
  </si>
  <si>
    <t>큐에스아이</t>
  </si>
  <si>
    <t>377460</t>
  </si>
  <si>
    <t>큐에이드</t>
  </si>
  <si>
    <t>136660</t>
  </si>
  <si>
    <t>큐엠씨</t>
  </si>
  <si>
    <t>016600</t>
  </si>
  <si>
    <t>큐캐피탈</t>
  </si>
  <si>
    <t>355390</t>
  </si>
  <si>
    <t>크라우드웍스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</si>
  <si>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</si>
  <si>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</si>
  <si>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</si>
  <si>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</si>
  <si>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</si>
  <si>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</si>
  <si>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</si>
  <si>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</si>
  <si>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</si>
  <si>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</si>
  <si>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096240</t>
  </si>
  <si>
    <t>크레버스</t>
  </si>
  <si>
    <t>040350</t>
  </si>
  <si>
    <t>크레오에스지</t>
  </si>
  <si>
    <t>215570</t>
  </si>
  <si>
    <t>크로넥스</t>
  </si>
  <si>
    <t>110790</t>
  </si>
  <si>
    <t>크리스에프앤씨</t>
  </si>
  <si>
    <t>900250</t>
  </si>
  <si>
    <t>크리스탈신소재</t>
  </si>
  <si>
    <t>045520</t>
  </si>
  <si>
    <t>크린앤사이언스</t>
  </si>
  <si>
    <t>214150</t>
  </si>
  <si>
    <t>클래시스</t>
  </si>
  <si>
    <t>466100</t>
  </si>
  <si>
    <t>클로봇</t>
  </si>
  <si>
    <t>237880</t>
  </si>
  <si>
    <t>클리오</t>
  </si>
  <si>
    <t>139670</t>
  </si>
  <si>
    <t>키네마스터</t>
  </si>
  <si>
    <t>020120</t>
  </si>
  <si>
    <t>키다리스튜디오</t>
  </si>
  <si>
    <t>475430</t>
  </si>
  <si>
    <t>키스트론</t>
  </si>
  <si>
    <t>487720</t>
  </si>
  <si>
    <t>키움제10호스팩</t>
  </si>
  <si>
    <t>489480</t>
  </si>
  <si>
    <t>키움제11호스팩</t>
  </si>
  <si>
    <t>039490</t>
  </si>
  <si>
    <t>키움증권</t>
  </si>
  <si>
    <t>466690</t>
  </si>
  <si>
    <t>키움히어로제1호스팩</t>
  </si>
  <si>
    <t>0131D0</t>
  </si>
  <si>
    <t>키움히어로제2호스팩</t>
  </si>
  <si>
    <t>054780</t>
  </si>
  <si>
    <t>키이스트</t>
  </si>
  <si>
    <t>256940</t>
  </si>
  <si>
    <t>킵스파마</t>
  </si>
  <si>
    <t>336040</t>
  </si>
  <si>
    <t>타스컴</t>
  </si>
  <si>
    <t>219130</t>
  </si>
  <si>
    <t>타이거일렉</t>
  </si>
  <si>
    <t>346010</t>
  </si>
  <si>
    <t>타이드</t>
  </si>
  <si>
    <t>318660</t>
  </si>
  <si>
    <t>타임기술</t>
  </si>
  <si>
    <t>476710</t>
  </si>
  <si>
    <t>타조이엔터테인먼트</t>
  </si>
  <si>
    <t>434190</t>
  </si>
  <si>
    <t>탈로스</t>
  </si>
  <si>
    <t>336680</t>
  </si>
  <si>
    <t>탑런토탈솔루션</t>
  </si>
  <si>
    <t>360070</t>
  </si>
  <si>
    <t>탑머티리얼</t>
  </si>
  <si>
    <t>180060</t>
  </si>
  <si>
    <t>탑선</t>
  </si>
  <si>
    <t>065130</t>
  </si>
  <si>
    <t>탑엔지니어링</t>
  </si>
  <si>
    <t>134580</t>
  </si>
  <si>
    <t>탑코미디어</t>
  </si>
  <si>
    <t>014580</t>
  </si>
  <si>
    <t>태경비케이</t>
  </si>
  <si>
    <t>015890</t>
  </si>
  <si>
    <t>태경산업</t>
  </si>
  <si>
    <t>006890</t>
  </si>
  <si>
    <t>태경케미컬</t>
  </si>
  <si>
    <t>023160</t>
  </si>
  <si>
    <t>태광</t>
  </si>
  <si>
    <t>003240</t>
  </si>
  <si>
    <t>태광산업</t>
  </si>
  <si>
    <t>011280</t>
  </si>
  <si>
    <t>태림포장</t>
  </si>
  <si>
    <t>323280</t>
  </si>
  <si>
    <t>태성</t>
  </si>
  <si>
    <t>053620</t>
  </si>
  <si>
    <t>태양</t>
  </si>
  <si>
    <t>052960</t>
  </si>
  <si>
    <t>태양3C</t>
  </si>
  <si>
    <t>004100</t>
  </si>
  <si>
    <t>태양금속</t>
  </si>
  <si>
    <t>004105</t>
  </si>
  <si>
    <t>태양금속우</t>
  </si>
  <si>
    <t>116100</t>
  </si>
  <si>
    <t>태양기계</t>
  </si>
  <si>
    <t>009410</t>
  </si>
  <si>
    <t>태영건설</t>
  </si>
  <si>
    <t>009415</t>
  </si>
  <si>
    <t>태영건설우</t>
  </si>
  <si>
    <t>044490</t>
  </si>
  <si>
    <t>태웅</t>
  </si>
  <si>
    <t>124560</t>
  </si>
  <si>
    <t>태웅로직스</t>
  </si>
  <si>
    <t>001420</t>
  </si>
  <si>
    <t>태원물산</t>
  </si>
  <si>
    <t>191420</t>
  </si>
  <si>
    <t>테고사이언스</t>
  </si>
  <si>
    <t>950250</t>
  </si>
  <si>
    <t>테라뷰</t>
  </si>
  <si>
    <t>073640</t>
  </si>
  <si>
    <t>테라사이언스</t>
  </si>
  <si>
    <t>066700</t>
  </si>
  <si>
    <t>테라젠이텍스</t>
  </si>
  <si>
    <t>095610</t>
  </si>
  <si>
    <t>테스</t>
  </si>
  <si>
    <t>055490</t>
  </si>
  <si>
    <t>테이팩스</t>
  </si>
  <si>
    <t>064520</t>
  </si>
  <si>
    <t>테크엘</t>
  </si>
  <si>
    <t>089030</t>
  </si>
  <si>
    <t>테크윙</t>
  </si>
  <si>
    <t>258050</t>
  </si>
  <si>
    <t>테크트랜스</t>
  </si>
  <si>
    <t>054450</t>
  </si>
  <si>
    <t>텔레칩스</t>
  </si>
  <si>
    <t>078000</t>
  </si>
  <si>
    <t>텔코웨어</t>
  </si>
  <si>
    <t>200230</t>
  </si>
  <si>
    <t>텔콘RF제약</t>
  </si>
  <si>
    <t>214420</t>
  </si>
  <si>
    <t>토니모리</t>
  </si>
  <si>
    <t>393210</t>
  </si>
  <si>
    <t>토마토시스템</t>
  </si>
  <si>
    <t>475960</t>
  </si>
  <si>
    <t>토모큐브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</si>
  <si>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</si>
  <si>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</si>
  <si>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</si>
  <si>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</si>
  <si>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</si>
  <si>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</si>
  <si>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</si>
  <si>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</si>
  <si>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</si>
  <si>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</si>
  <si>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</si>
  <si>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</si>
  <si>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417790</t>
  </si>
  <si>
    <t>트루엔</t>
  </si>
  <si>
    <t>091810</t>
  </si>
  <si>
    <t>트리니티항공</t>
  </si>
  <si>
    <t>290090</t>
  </si>
  <si>
    <t>트윔</t>
  </si>
  <si>
    <t>026150</t>
  </si>
  <si>
    <t>특수건설</t>
  </si>
  <si>
    <t>464280</t>
  </si>
  <si>
    <t>티디에스팜</t>
  </si>
  <si>
    <t>117730</t>
  </si>
  <si>
    <t>티로보틱스</t>
  </si>
  <si>
    <t>033830</t>
  </si>
  <si>
    <t>티비씨</t>
  </si>
  <si>
    <t>057680</t>
  </si>
  <si>
    <t>티사이언티픽</t>
  </si>
  <si>
    <t>204610</t>
  </si>
  <si>
    <t>티쓰리</t>
  </si>
  <si>
    <t>125020</t>
  </si>
  <si>
    <t>티씨머티리얼즈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</si>
  <si>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</si>
  <si>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</si>
  <si>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</si>
  <si>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</si>
  <si>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</si>
  <si>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</si>
  <si>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</si>
  <si>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</si>
  <si>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</si>
  <si>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</si>
  <si>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</si>
  <si>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</si>
  <si>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019180</t>
  </si>
  <si>
    <t>티에이치엔</t>
  </si>
  <si>
    <t>425420</t>
  </si>
  <si>
    <t>티에프이</t>
  </si>
  <si>
    <t>484810</t>
  </si>
  <si>
    <t>티엑스알로보틱스</t>
  </si>
  <si>
    <t>131100</t>
  </si>
  <si>
    <t>티엔엔터테인먼트</t>
  </si>
  <si>
    <t>356860</t>
  </si>
  <si>
    <t>티엘비</t>
  </si>
  <si>
    <t>413300</t>
  </si>
  <si>
    <t>티엘엔지니어링</t>
  </si>
  <si>
    <t>217590</t>
  </si>
  <si>
    <t>티엠씨</t>
  </si>
  <si>
    <t>363280</t>
  </si>
  <si>
    <t>티와이홀딩스</t>
  </si>
  <si>
    <t>36328K</t>
  </si>
  <si>
    <t>티와이홀딩스우</t>
  </si>
  <si>
    <t>321550</t>
  </si>
  <si>
    <t>티움바이오</t>
  </si>
  <si>
    <t>004870</t>
  </si>
  <si>
    <t>티웨이홀딩스</t>
  </si>
  <si>
    <t>425040</t>
  </si>
  <si>
    <t>티이엠씨</t>
  </si>
  <si>
    <t>241790</t>
  </si>
  <si>
    <t>티이엠씨씨엔에스</t>
  </si>
  <si>
    <t>022220</t>
  </si>
  <si>
    <t>티케이지애강</t>
  </si>
  <si>
    <t>104480</t>
  </si>
  <si>
    <t>티케이케미칼</t>
  </si>
  <si>
    <t>081150</t>
  </si>
  <si>
    <t>티플랙스</t>
  </si>
  <si>
    <t>130740</t>
  </si>
  <si>
    <t>티피씨글로벌</t>
  </si>
  <si>
    <t>217880</t>
  </si>
  <si>
    <t>틸론</t>
  </si>
  <si>
    <t>084730</t>
  </si>
  <si>
    <t>팅크웨어</t>
  </si>
  <si>
    <t>440110</t>
  </si>
  <si>
    <t>파두</t>
  </si>
  <si>
    <t>034230</t>
  </si>
  <si>
    <t>파라다이스</t>
  </si>
  <si>
    <t>290560</t>
  </si>
  <si>
    <t>파라택시스이더리움</t>
  </si>
  <si>
    <t>288330</t>
  </si>
  <si>
    <t>파라택시스코리아</t>
  </si>
  <si>
    <t>033540</t>
  </si>
  <si>
    <t>파라텍</t>
  </si>
  <si>
    <t>388870</t>
  </si>
  <si>
    <t>파로스아이바이오</t>
  </si>
  <si>
    <t>043200</t>
  </si>
  <si>
    <t>파루</t>
  </si>
  <si>
    <t>214450</t>
  </si>
  <si>
    <t>파마리서치</t>
  </si>
  <si>
    <t>217950</t>
  </si>
  <si>
    <t>파마리서치바이오</t>
  </si>
  <si>
    <t>005690</t>
  </si>
  <si>
    <t>파미셀</t>
  </si>
  <si>
    <t>177830</t>
  </si>
  <si>
    <t>파버나인</t>
  </si>
  <si>
    <t>037070</t>
  </si>
  <si>
    <t>파세코</t>
  </si>
  <si>
    <t>150900</t>
  </si>
  <si>
    <t>파수에이아이</t>
  </si>
  <si>
    <t>037030</t>
  </si>
  <si>
    <t>파워넷</t>
  </si>
  <si>
    <t>047310</t>
  </si>
  <si>
    <t>파워로직스</t>
  </si>
  <si>
    <t>368770</t>
  </si>
  <si>
    <t>파이버프로</t>
  </si>
  <si>
    <t>170790</t>
  </si>
  <si>
    <t>파이오링크</t>
  </si>
  <si>
    <t>049120</t>
  </si>
  <si>
    <t>파인디앤씨</t>
  </si>
  <si>
    <t>038950</t>
  </si>
  <si>
    <t>파인디지털</t>
  </si>
  <si>
    <t>387570</t>
  </si>
  <si>
    <t>파인메딕스</t>
  </si>
  <si>
    <t>441270</t>
  </si>
  <si>
    <t>파인엠텍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</si>
  <si>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</si>
  <si>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</si>
  <si>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</si>
  <si>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</si>
  <si>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</si>
  <si>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</si>
  <si>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</si>
  <si>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</si>
  <si>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</si>
  <si>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</si>
  <si>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202960</t>
  </si>
  <si>
    <t>판도라티비</t>
  </si>
  <si>
    <t>032800</t>
  </si>
  <si>
    <t>판타지오</t>
  </si>
  <si>
    <t>318010</t>
  </si>
  <si>
    <t>팜스빌</t>
  </si>
  <si>
    <t>036580</t>
  </si>
  <si>
    <t>팜스코</t>
  </si>
  <si>
    <t>027710</t>
  </si>
  <si>
    <t>팜스토리</t>
  </si>
  <si>
    <t>004720</t>
  </si>
  <si>
    <t>팜젠사이언스</t>
  </si>
  <si>
    <t>266350</t>
  </si>
  <si>
    <t>팡스카이</t>
  </si>
  <si>
    <t>225590</t>
  </si>
  <si>
    <t>패션플랫폼</t>
  </si>
  <si>
    <t>054300</t>
  </si>
  <si>
    <t>팬스타엔터프라이즈</t>
  </si>
  <si>
    <t>068050</t>
  </si>
  <si>
    <t>팬엔터테인먼트</t>
  </si>
  <si>
    <t>028670</t>
  </si>
  <si>
    <t>팬오션</t>
  </si>
  <si>
    <t>222110</t>
  </si>
  <si>
    <t>팬젠</t>
  </si>
  <si>
    <t>271830</t>
  </si>
  <si>
    <t>팸텍</t>
  </si>
  <si>
    <t>010820</t>
  </si>
  <si>
    <t>퍼스텍</t>
  </si>
  <si>
    <t>016800</t>
  </si>
  <si>
    <t>퍼시스</t>
  </si>
  <si>
    <t>263750</t>
  </si>
  <si>
    <t>펄어비스</t>
  </si>
  <si>
    <t>251970</t>
  </si>
  <si>
    <t>펌텍코리아</t>
  </si>
  <si>
    <t>187660</t>
  </si>
  <si>
    <t>페니트리움바이오</t>
  </si>
  <si>
    <t>0015S0</t>
  </si>
  <si>
    <t>페스카로</t>
  </si>
  <si>
    <t>001020</t>
  </si>
  <si>
    <t>페이퍼코리아</t>
  </si>
  <si>
    <t>327610</t>
  </si>
  <si>
    <t>펨토바이오메드</t>
  </si>
  <si>
    <t>168360</t>
  </si>
  <si>
    <t>펨트론</t>
  </si>
  <si>
    <t>087010</t>
  </si>
  <si>
    <t>펩트론</t>
  </si>
  <si>
    <t>090080</t>
  </si>
  <si>
    <t>평화산업</t>
  </si>
  <si>
    <t>010770</t>
  </si>
  <si>
    <t>평화홀딩스</t>
  </si>
  <si>
    <t>064800</t>
  </si>
  <si>
    <t>포니링크</t>
  </si>
  <si>
    <t>119500</t>
  </si>
  <si>
    <t>포메탈</t>
  </si>
  <si>
    <t>389140</t>
  </si>
  <si>
    <t>포바이포</t>
  </si>
  <si>
    <t>105760</t>
  </si>
  <si>
    <t>포스뱅크</t>
  </si>
  <si>
    <t>022100</t>
  </si>
  <si>
    <t>포스코DX</t>
  </si>
  <si>
    <t>058430</t>
  </si>
  <si>
    <t>포스코스틸리온</t>
  </si>
  <si>
    <t>009520</t>
  </si>
  <si>
    <t>포스코엠텍</t>
  </si>
  <si>
    <t>047050</t>
  </si>
  <si>
    <t>포스코인터내셔널</t>
  </si>
  <si>
    <t>003670</t>
  </si>
  <si>
    <t>포스코퓨처엠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</si>
  <si>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</si>
  <si>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</si>
  <si>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</si>
  <si>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</si>
  <si>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</si>
  <si>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</si>
  <si>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</si>
  <si>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포커스에이아이</t>
  </si>
  <si>
    <t>208710</t>
  </si>
  <si>
    <t>포톤</t>
  </si>
  <si>
    <t>472850</t>
  </si>
  <si>
    <t>폰드그룹</t>
  </si>
  <si>
    <t>039980</t>
  </si>
  <si>
    <t>폴라리스AI</t>
  </si>
  <si>
    <t>041910</t>
  </si>
  <si>
    <t>폴라리스AI파마</t>
  </si>
  <si>
    <t>234100</t>
  </si>
  <si>
    <t>폴라리스세원</t>
  </si>
  <si>
    <t>041020</t>
  </si>
  <si>
    <t>폴라리스오피스</t>
  </si>
  <si>
    <t>114630</t>
  </si>
  <si>
    <t>폴라리스우노</t>
  </si>
  <si>
    <t>290720</t>
  </si>
  <si>
    <t>푸드나무</t>
  </si>
  <si>
    <t>005670</t>
  </si>
  <si>
    <t>푸드웰</t>
  </si>
  <si>
    <t>094940</t>
  </si>
  <si>
    <t>푸른기술</t>
  </si>
  <si>
    <t>007330</t>
  </si>
  <si>
    <t>푸른저축은행</t>
  </si>
  <si>
    <t>017810</t>
  </si>
  <si>
    <t>풀무원</t>
  </si>
  <si>
    <t>093380</t>
  </si>
  <si>
    <t>풍강</t>
  </si>
  <si>
    <t>023900</t>
  </si>
  <si>
    <t>풍국주정</t>
  </si>
  <si>
    <t>103140</t>
  </si>
  <si>
    <t>풍산</t>
  </si>
  <si>
    <t>005810</t>
  </si>
  <si>
    <t>풍산홀딩스</t>
  </si>
  <si>
    <t>371950</t>
  </si>
  <si>
    <t>풍원정밀</t>
  </si>
  <si>
    <t>298060</t>
  </si>
  <si>
    <t>풍전약품</t>
  </si>
  <si>
    <t>370090</t>
  </si>
  <si>
    <t>퓨런티어</t>
  </si>
  <si>
    <t>445180</t>
  </si>
  <si>
    <t>퓨릿</t>
  </si>
  <si>
    <t>341170</t>
  </si>
  <si>
    <t>퓨쳐메디신</t>
  </si>
  <si>
    <t>220100</t>
  </si>
  <si>
    <t>퓨쳐켐</t>
  </si>
  <si>
    <t>035200</t>
  </si>
  <si>
    <t>프럼파스트</t>
  </si>
  <si>
    <t>334970</t>
  </si>
  <si>
    <t>프레스티지바이오로직스</t>
  </si>
  <si>
    <t>950210</t>
  </si>
  <si>
    <t>프레스티지바이오파마</t>
  </si>
  <si>
    <t>227100</t>
  </si>
  <si>
    <t>프로브잇</t>
  </si>
  <si>
    <t>321260</t>
  </si>
  <si>
    <t>프로이천</t>
  </si>
  <si>
    <t>296160</t>
  </si>
  <si>
    <t>프로젠</t>
  </si>
  <si>
    <t>053610</t>
  </si>
  <si>
    <t>프로텍</t>
  </si>
  <si>
    <t>468530</t>
  </si>
  <si>
    <t>프로티나</t>
  </si>
  <si>
    <t>303360</t>
  </si>
  <si>
    <t>프로티아</t>
  </si>
  <si>
    <t>377220</t>
  </si>
  <si>
    <t>프롬바이오</t>
  </si>
  <si>
    <t>335810</t>
  </si>
  <si>
    <t>프리시젼바이오</t>
  </si>
  <si>
    <t>053160</t>
  </si>
  <si>
    <t>프리엠스</t>
  </si>
  <si>
    <t>405000</t>
  </si>
  <si>
    <t>플라즈맵</t>
  </si>
  <si>
    <t>041590</t>
  </si>
  <si>
    <t>플래스크</t>
  </si>
  <si>
    <t>367000</t>
  </si>
  <si>
    <t>플래티어</t>
  </si>
  <si>
    <t>075130</t>
  </si>
  <si>
    <t>플랜티넷</t>
  </si>
  <si>
    <t>222670</t>
  </si>
  <si>
    <t>플럼라인생명과학</t>
  </si>
  <si>
    <t>009810</t>
  </si>
  <si>
    <t>플레이그램</t>
  </si>
  <si>
    <t>237820</t>
  </si>
  <si>
    <t>플레이디</t>
  </si>
  <si>
    <t>023770</t>
  </si>
  <si>
    <t>플레이위드</t>
  </si>
  <si>
    <t>019570</t>
  </si>
  <si>
    <t>플루토스</t>
  </si>
  <si>
    <t>300080</t>
  </si>
  <si>
    <t>플리토</t>
  </si>
  <si>
    <t>033790</t>
  </si>
  <si>
    <t>피노</t>
  </si>
  <si>
    <t>032580</t>
  </si>
  <si>
    <t>피델릭스</t>
  </si>
  <si>
    <t>051380</t>
  </si>
  <si>
    <t>피씨디렉트</t>
  </si>
  <si>
    <t>241820</t>
  </si>
  <si>
    <t>피씨엘</t>
  </si>
  <si>
    <t>452450</t>
  </si>
  <si>
    <t>피아이이</t>
  </si>
  <si>
    <t>237750</t>
  </si>
  <si>
    <t>피앤씨테크</t>
  </si>
  <si>
    <t>460940</t>
  </si>
  <si>
    <t>피앤에스로보틱스</t>
  </si>
  <si>
    <t>319660</t>
  </si>
  <si>
    <t>피에스케이</t>
  </si>
  <si>
    <t>031980</t>
  </si>
  <si>
    <t>피에스케이홀딩스</t>
  </si>
  <si>
    <t>002230</t>
  </si>
  <si>
    <t>피에스텍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</si>
  <si>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</si>
  <si>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</si>
  <si>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</si>
  <si>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</si>
  <si>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</si>
  <si>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</si>
  <si>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</si>
  <si>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피엔티</t>
  </si>
  <si>
    <t>257370</t>
  </si>
  <si>
    <t>피엔티엠에스</t>
  </si>
  <si>
    <t>147760</t>
  </si>
  <si>
    <t>피엠티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</si>
  <si>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</si>
  <si>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</si>
  <si>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</si>
  <si>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</si>
  <si>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</si>
  <si>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</si>
  <si>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</si>
  <si>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</si>
  <si>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087600</t>
  </si>
  <si>
    <t>픽셀플러스</t>
  </si>
  <si>
    <t>291810</t>
  </si>
  <si>
    <t>핀텔</t>
  </si>
  <si>
    <t>378340</t>
  </si>
  <si>
    <t>필에너지</t>
  </si>
  <si>
    <t>161580</t>
  </si>
  <si>
    <t>필옵틱스</t>
  </si>
  <si>
    <t>347770</t>
  </si>
  <si>
    <t>핌스</t>
  </si>
  <si>
    <t>163730</t>
  </si>
  <si>
    <t>핑거</t>
  </si>
  <si>
    <t>417180</t>
  </si>
  <si>
    <t>핑거스토리</t>
  </si>
  <si>
    <t>469880</t>
  </si>
  <si>
    <t>하나30호스팩</t>
  </si>
  <si>
    <t>469900</t>
  </si>
  <si>
    <t>하나31호스팩</t>
  </si>
  <si>
    <t>475240</t>
  </si>
  <si>
    <t>하나32호스팩</t>
  </si>
  <si>
    <t>475250</t>
  </si>
  <si>
    <t>하나33호스팩</t>
  </si>
  <si>
    <t>484130</t>
  </si>
  <si>
    <t>하나34호스팩</t>
  </si>
  <si>
    <t>0041L0</t>
  </si>
  <si>
    <t>하나35호스팩</t>
  </si>
  <si>
    <t>0101C0</t>
  </si>
  <si>
    <t>하나36호스팩</t>
  </si>
  <si>
    <t>086790</t>
  </si>
  <si>
    <t>하나금융지주</t>
  </si>
  <si>
    <t>299030</t>
  </si>
  <si>
    <t>하나기술</t>
  </si>
  <si>
    <t>067310</t>
  </si>
  <si>
    <t>하나마이크론</t>
  </si>
  <si>
    <t>166090</t>
  </si>
  <si>
    <t>하나머티리얼즈</t>
  </si>
  <si>
    <t>293480</t>
  </si>
  <si>
    <t>하나제약</t>
  </si>
  <si>
    <t>039130</t>
  </si>
  <si>
    <t>하나투어</t>
  </si>
  <si>
    <t>136480</t>
  </si>
  <si>
    <t>하림</t>
  </si>
  <si>
    <t>003380</t>
  </si>
  <si>
    <t>하림지주</t>
  </si>
  <si>
    <t>450330</t>
  </si>
  <si>
    <t>하스</t>
  </si>
  <si>
    <t>101670</t>
  </si>
  <si>
    <t>하이드로리튬</t>
  </si>
  <si>
    <t>365590</t>
  </si>
  <si>
    <t>하이딥</t>
  </si>
  <si>
    <t>149980</t>
  </si>
  <si>
    <t>하이로닉</t>
  </si>
  <si>
    <t>013030</t>
  </si>
  <si>
    <t>하이록코리아</t>
  </si>
  <si>
    <t>352820</t>
  </si>
  <si>
    <t>하이브</t>
  </si>
  <si>
    <t>126700</t>
  </si>
  <si>
    <t>하이비젼시스템</t>
  </si>
  <si>
    <t>071090</t>
  </si>
  <si>
    <t>하이스틸</t>
  </si>
  <si>
    <t>160190</t>
  </si>
  <si>
    <t>하이젠알앤엠</t>
  </si>
  <si>
    <t>221840</t>
  </si>
  <si>
    <t>하이즈항공</t>
  </si>
  <si>
    <t>106190</t>
  </si>
  <si>
    <t>하이텍팜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</si>
  <si>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</si>
  <si>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</si>
  <si>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</si>
  <si>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</si>
  <si>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</si>
  <si>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</si>
  <si>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</si>
  <si>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</si>
  <si>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065650</t>
  </si>
  <si>
    <t>하이퍼코퍼레이션</t>
  </si>
  <si>
    <t>066130</t>
  </si>
  <si>
    <t>하츠</t>
  </si>
  <si>
    <t>004590</t>
  </si>
  <si>
    <t>한국가구</t>
  </si>
  <si>
    <t>036460</t>
  </si>
  <si>
    <t>한국가스공사</t>
  </si>
  <si>
    <t>039340</t>
  </si>
  <si>
    <t>한국경제TV</t>
  </si>
  <si>
    <t>005430</t>
  </si>
  <si>
    <t>한국공항</t>
  </si>
  <si>
    <t>071050</t>
  </si>
  <si>
    <t>한국금융지주</t>
  </si>
  <si>
    <t>071055</t>
  </si>
  <si>
    <t>한국금융지주우</t>
  </si>
  <si>
    <t>034950</t>
  </si>
  <si>
    <t>한국기업평가</t>
  </si>
  <si>
    <t>010040</t>
  </si>
  <si>
    <t>한국내화</t>
  </si>
  <si>
    <t>025540</t>
  </si>
  <si>
    <t>한국단자</t>
  </si>
  <si>
    <t>222980</t>
  </si>
  <si>
    <t>한국맥널티</t>
  </si>
  <si>
    <t>010100</t>
  </si>
  <si>
    <t>한국무브넥스</t>
  </si>
  <si>
    <t>331660</t>
  </si>
  <si>
    <t>한국미라클피플사</t>
  </si>
  <si>
    <t>256840</t>
  </si>
  <si>
    <t>한국비엔씨</t>
  </si>
  <si>
    <t>219750</t>
  </si>
  <si>
    <t>한국비티비</t>
  </si>
  <si>
    <t>004090</t>
  </si>
  <si>
    <t>한국석유</t>
  </si>
  <si>
    <t>025550</t>
  </si>
  <si>
    <t>한국선재</t>
  </si>
  <si>
    <t>002200</t>
  </si>
  <si>
    <t>한국수출포장</t>
  </si>
  <si>
    <t>002960</t>
  </si>
  <si>
    <t>한국쉘석유</t>
  </si>
  <si>
    <t>017890</t>
  </si>
  <si>
    <t>한국알콜</t>
  </si>
  <si>
    <t>000240</t>
  </si>
  <si>
    <t>한국앤컴퍼니</t>
  </si>
  <si>
    <t>080720</t>
  </si>
  <si>
    <t>한국유니온제약</t>
  </si>
  <si>
    <t>123890</t>
  </si>
  <si>
    <t>한국자산신탁</t>
  </si>
  <si>
    <t>015760</t>
  </si>
  <si>
    <t>한국전력</t>
  </si>
  <si>
    <t>041460</t>
  </si>
  <si>
    <t>한국전자인증</t>
  </si>
  <si>
    <t>006200</t>
  </si>
  <si>
    <t>한국전자홀딩스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</si>
  <si>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</si>
  <si>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</si>
  <si>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</si>
  <si>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</si>
  <si>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</si>
  <si>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</si>
  <si>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</si>
  <si>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</si>
  <si>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464440</t>
  </si>
  <si>
    <t>한국제13호스팩</t>
  </si>
  <si>
    <t>479880</t>
  </si>
  <si>
    <t>한국제15호스팩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</si>
  <si>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</si>
  <si>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</si>
  <si>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</si>
  <si>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</si>
  <si>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</si>
  <si>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</si>
  <si>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</si>
  <si>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</si>
  <si>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</si>
  <si>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</si>
  <si>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062970</t>
  </si>
  <si>
    <t>한국첨단소재</t>
  </si>
  <si>
    <t>017960</t>
  </si>
  <si>
    <t>한국카본</t>
  </si>
  <si>
    <t>023760</t>
  </si>
  <si>
    <t>한국캐피탈</t>
  </si>
  <si>
    <t>054040</t>
  </si>
  <si>
    <t>한국컴퓨터</t>
  </si>
  <si>
    <t>161890</t>
  </si>
  <si>
    <t>한국콜마</t>
  </si>
  <si>
    <t>021650</t>
  </si>
  <si>
    <t>한국큐빅</t>
  </si>
  <si>
    <t>161390</t>
  </si>
  <si>
    <t>한국타이어앤테크놀로지</t>
  </si>
  <si>
    <t>034830</t>
  </si>
  <si>
    <t>한국토지신탁</t>
  </si>
  <si>
    <t>007280</t>
  </si>
  <si>
    <t>한국특강</t>
  </si>
  <si>
    <t>032300</t>
  </si>
  <si>
    <t>한국파마</t>
  </si>
  <si>
    <t>037230</t>
  </si>
  <si>
    <t>한국팩키지</t>
  </si>
  <si>
    <t>448900</t>
  </si>
  <si>
    <t>한국피아이엠</t>
  </si>
  <si>
    <t>047810</t>
  </si>
  <si>
    <t>한국항공우주</t>
  </si>
  <si>
    <t>123690</t>
  </si>
  <si>
    <t>한국화장품</t>
  </si>
  <si>
    <t>003350</t>
  </si>
  <si>
    <t>한국화장품제조</t>
  </si>
  <si>
    <t>030520</t>
  </si>
  <si>
    <t>한글과컴퓨터</t>
  </si>
  <si>
    <t>052600</t>
  </si>
  <si>
    <t>한네트</t>
  </si>
  <si>
    <t>011500</t>
  </si>
  <si>
    <t>한농화성</t>
  </si>
  <si>
    <t>002390</t>
  </si>
  <si>
    <t>한독</t>
  </si>
  <si>
    <t>256150</t>
  </si>
  <si>
    <t>한독크린텍</t>
  </si>
  <si>
    <t>092460</t>
  </si>
  <si>
    <t>한라IMS</t>
  </si>
  <si>
    <t>125490</t>
  </si>
  <si>
    <t>한라캐스트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</si>
  <si>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</si>
  <si>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</si>
  <si>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</si>
  <si>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</si>
  <si>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</si>
  <si>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</si>
  <si>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</si>
  <si>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</si>
  <si>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452190</t>
  </si>
  <si>
    <t>한빛레이저</t>
  </si>
  <si>
    <t>047080</t>
  </si>
  <si>
    <t>한빛소프트</t>
  </si>
  <si>
    <t>009240</t>
  </si>
  <si>
    <t>한샘</t>
  </si>
  <si>
    <t>452280</t>
  </si>
  <si>
    <t>한선엔지니어링</t>
  </si>
  <si>
    <t>020000</t>
  </si>
  <si>
    <t>한섬</t>
  </si>
  <si>
    <t>003680</t>
  </si>
  <si>
    <t>한성기업</t>
  </si>
  <si>
    <t>066980</t>
  </si>
  <si>
    <t>한성크린텍</t>
  </si>
  <si>
    <t>105630</t>
  </si>
  <si>
    <t>한세실업</t>
  </si>
  <si>
    <t>069640</t>
  </si>
  <si>
    <t>한세엠케이</t>
  </si>
  <si>
    <t>016450</t>
  </si>
  <si>
    <t>한세예스24홀딩스</t>
  </si>
  <si>
    <t>009180</t>
  </si>
  <si>
    <t>한솔로지스틱스</t>
  </si>
  <si>
    <t>114810</t>
  </si>
  <si>
    <t>한솔아이원스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</si>
  <si>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</si>
  <si>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</si>
  <si>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</si>
  <si>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</si>
  <si>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</si>
  <si>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</si>
  <si>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</si>
  <si>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</si>
  <si>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</si>
  <si>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</si>
  <si>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042520</t>
  </si>
  <si>
    <t>한스바이오메드</t>
  </si>
  <si>
    <t>004960</t>
  </si>
  <si>
    <t>한신공영</t>
  </si>
  <si>
    <t>011700</t>
  </si>
  <si>
    <t>한신기계</t>
  </si>
  <si>
    <t>430690</t>
  </si>
  <si>
    <t>한싹</t>
  </si>
  <si>
    <t>078350</t>
  </si>
  <si>
    <t>한양디지텍</t>
  </si>
  <si>
    <t>045100</t>
  </si>
  <si>
    <t>한양이엔지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</si>
  <si>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</si>
  <si>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</si>
  <si>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</si>
  <si>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</si>
  <si>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</si>
  <si>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</si>
  <si>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</si>
  <si>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</si>
  <si>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320000</t>
  </si>
  <si>
    <t>한울반도체</t>
  </si>
  <si>
    <t>091440</t>
  </si>
  <si>
    <t>한울소재과학</t>
  </si>
  <si>
    <t>276730</t>
  </si>
  <si>
    <t>한울앤제주</t>
  </si>
  <si>
    <t>014130</t>
  </si>
  <si>
    <t>한익스프레스</t>
  </si>
  <si>
    <t>024740</t>
  </si>
  <si>
    <t>한일단조</t>
  </si>
  <si>
    <t>005860</t>
  </si>
  <si>
    <t>한일사료</t>
  </si>
  <si>
    <t>300720</t>
  </si>
  <si>
    <t>한일시멘트</t>
  </si>
  <si>
    <t>002220</t>
  </si>
  <si>
    <t>한일철강</t>
  </si>
  <si>
    <t>003300</t>
  </si>
  <si>
    <t>한일홀딩스</t>
  </si>
  <si>
    <t>007770</t>
  </si>
  <si>
    <t>한일화학</t>
  </si>
  <si>
    <t>051600</t>
  </si>
  <si>
    <t>한전KPS</t>
  </si>
  <si>
    <t>052690</t>
  </si>
  <si>
    <t>한전기술</t>
  </si>
  <si>
    <t>130660</t>
  </si>
  <si>
    <t>한전산업</t>
  </si>
  <si>
    <t>198940</t>
  </si>
  <si>
    <t>한주라이트메탈</t>
  </si>
  <si>
    <t>058450</t>
  </si>
  <si>
    <t>한주에이알티</t>
  </si>
  <si>
    <t>107640</t>
  </si>
  <si>
    <t>한중엔시에스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</si>
  <si>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</si>
  <si>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</si>
  <si>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</si>
  <si>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</si>
  <si>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</si>
  <si>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</si>
  <si>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</si>
  <si>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</si>
  <si>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</si>
  <si>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</si>
  <si>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079170</t>
  </si>
  <si>
    <t>한창산업</t>
  </si>
  <si>
    <t>009460</t>
  </si>
  <si>
    <t>한창제지</t>
  </si>
  <si>
    <t>372910</t>
  </si>
  <si>
    <t>한컴라이프케어</t>
  </si>
  <si>
    <t>054920</t>
  </si>
  <si>
    <t>한컴위드</t>
  </si>
  <si>
    <t>457370</t>
  </si>
  <si>
    <t>한켐</t>
  </si>
  <si>
    <t>002680</t>
  </si>
  <si>
    <t>한탑</t>
  </si>
  <si>
    <t>098070</t>
  </si>
  <si>
    <t>한텍</t>
  </si>
  <si>
    <t>408470</t>
  </si>
  <si>
    <t>한패스</t>
  </si>
  <si>
    <t>000880</t>
  </si>
  <si>
    <t>00088K</t>
  </si>
  <si>
    <t>한화3우B</t>
  </si>
  <si>
    <t>452260</t>
  </si>
  <si>
    <t>한화갤러리아</t>
  </si>
  <si>
    <t>45226K</t>
  </si>
  <si>
    <t>한화갤러리아우</t>
  </si>
  <si>
    <t>451800</t>
  </si>
  <si>
    <t>한화리츠</t>
  </si>
  <si>
    <t>489790</t>
  </si>
  <si>
    <t>한화비전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</si>
  <si>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</si>
  <si>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</si>
  <si>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</si>
  <si>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</si>
  <si>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</si>
  <si>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</si>
  <si>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</si>
  <si>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</si>
  <si>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</si>
  <si>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</si>
  <si>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</si>
  <si>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</si>
  <si>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082740</t>
  </si>
  <si>
    <t>한화엔진</t>
  </si>
  <si>
    <t>042660</t>
  </si>
  <si>
    <t>한화오션</t>
  </si>
  <si>
    <t>003530</t>
  </si>
  <si>
    <t>한화투자증권</t>
  </si>
  <si>
    <t>003535</t>
  </si>
  <si>
    <t>한화투자증권우</t>
  </si>
  <si>
    <t>498390</t>
  </si>
  <si>
    <t>한화플러스제5호스팩</t>
  </si>
  <si>
    <t>195870</t>
  </si>
  <si>
    <t>해성디에스</t>
  </si>
  <si>
    <t>034810</t>
  </si>
  <si>
    <t>해성산업</t>
  </si>
  <si>
    <t>03481K</t>
  </si>
  <si>
    <t>해성산업1우</t>
  </si>
  <si>
    <t>059270</t>
  </si>
  <si>
    <t>해성에어로보틱스</t>
  </si>
  <si>
    <t>076610</t>
  </si>
  <si>
    <t>해성옵틱스</t>
  </si>
  <si>
    <t>101530</t>
  </si>
  <si>
    <t>해태제과식품</t>
  </si>
  <si>
    <t>220180</t>
  </si>
  <si>
    <t>핸디소프트</t>
  </si>
  <si>
    <t>143210</t>
  </si>
  <si>
    <t>핸즈코퍼레이션</t>
  </si>
  <si>
    <t>900270</t>
  </si>
  <si>
    <t>헝셩그룹</t>
  </si>
  <si>
    <t>214180</t>
  </si>
  <si>
    <t>헥토이노베이션</t>
  </si>
  <si>
    <t>234340</t>
  </si>
  <si>
    <t>헥토파이낸셜</t>
  </si>
  <si>
    <t>084990</t>
  </si>
  <si>
    <t>헬릭스미스</t>
  </si>
  <si>
    <t>000720</t>
  </si>
  <si>
    <t>현대건설</t>
  </si>
  <si>
    <t>000725</t>
  </si>
  <si>
    <t>현대건설우</t>
  </si>
  <si>
    <t>170030</t>
  </si>
  <si>
    <t>현대공업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</si>
  <si>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</si>
  <si>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</si>
  <si>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</si>
  <si>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</si>
  <si>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</si>
  <si>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</si>
  <si>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</si>
  <si>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</si>
  <si>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</si>
  <si>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</si>
  <si>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319400</t>
  </si>
  <si>
    <t>현대무벡스</t>
  </si>
  <si>
    <t>048410</t>
  </si>
  <si>
    <t>현대바이오</t>
  </si>
  <si>
    <t>052260</t>
  </si>
  <si>
    <t>현대바이오랜드</t>
  </si>
  <si>
    <t>069960</t>
  </si>
  <si>
    <t>현대백화점</t>
  </si>
  <si>
    <t>004560</t>
  </si>
  <si>
    <t>현대비앤지스틸</t>
  </si>
  <si>
    <t>016790</t>
  </si>
  <si>
    <t>현대사료</t>
  </si>
  <si>
    <t>004310</t>
  </si>
  <si>
    <t>현대약품</t>
  </si>
  <si>
    <t>041440</t>
  </si>
  <si>
    <t>현대에버다임</t>
  </si>
  <si>
    <t>039010</t>
  </si>
  <si>
    <t>현대에이치티</t>
  </si>
  <si>
    <t>017800</t>
  </si>
  <si>
    <t>현대엘리베이터</t>
  </si>
  <si>
    <t>307950</t>
  </si>
  <si>
    <t>현대오토에버</t>
  </si>
  <si>
    <t>011210</t>
  </si>
  <si>
    <t>현대위아</t>
  </si>
  <si>
    <t>090850</t>
  </si>
  <si>
    <t>현대이지웰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</si>
  <si>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</si>
  <si>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</si>
  <si>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</si>
  <si>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</si>
  <si>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</si>
  <si>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</si>
  <si>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</si>
  <si>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</si>
  <si>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</si>
  <si>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</si>
  <si>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</si>
  <si>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</si>
  <si>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</si>
  <si>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</si>
  <si>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</si>
  <si>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</si>
  <si>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</si>
  <si>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</si>
  <si>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</si>
  <si>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</si>
  <si>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</si>
  <si>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</si>
  <si>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</si>
  <si>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</si>
  <si>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460930</t>
  </si>
  <si>
    <t>현대힘스</t>
  </si>
  <si>
    <t>092300</t>
  </si>
  <si>
    <t>현우산업</t>
  </si>
  <si>
    <t>011080</t>
  </si>
  <si>
    <t>형지I&amp;C</t>
  </si>
  <si>
    <t>308100</t>
  </si>
  <si>
    <t>형지글로벌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</si>
  <si>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</si>
  <si>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</si>
  <si>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</si>
  <si>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</si>
  <si>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</si>
  <si>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</si>
  <si>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</si>
  <si>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</si>
  <si>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</si>
  <si>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</si>
  <si>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064240</t>
  </si>
  <si>
    <t>홈캐스트</t>
  </si>
  <si>
    <t>039610</t>
  </si>
  <si>
    <t>화성밸브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</si>
  <si>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</si>
  <si>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</si>
  <si>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</si>
  <si>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</si>
  <si>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</si>
  <si>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</si>
  <si>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</si>
  <si>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</si>
  <si>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</si>
  <si>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</si>
  <si>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126640</t>
  </si>
  <si>
    <t>화신정공</t>
  </si>
  <si>
    <t>133820</t>
  </si>
  <si>
    <t>화인베스틸</t>
  </si>
  <si>
    <t>127980</t>
  </si>
  <si>
    <t>화인써키트</t>
  </si>
  <si>
    <t>061250</t>
  </si>
  <si>
    <t>화일약품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</si>
  <si>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</si>
  <si>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</si>
  <si>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</si>
  <si>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</si>
  <si>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</si>
  <si>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</si>
  <si>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</si>
  <si>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</si>
  <si>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</si>
  <si>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</si>
  <si>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</si>
  <si>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</si>
  <si>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097870</t>
  </si>
  <si>
    <t>효성오앤비</t>
  </si>
  <si>
    <t>298040</t>
  </si>
  <si>
    <t>효성중공업</t>
  </si>
  <si>
    <t>298020</t>
  </si>
  <si>
    <t>효성티앤씨</t>
  </si>
  <si>
    <t>298000</t>
  </si>
  <si>
    <t>효성화학</t>
  </si>
  <si>
    <t>093370</t>
  </si>
  <si>
    <t>후성</t>
  </si>
  <si>
    <t>290270</t>
  </si>
  <si>
    <t>휴네시온</t>
  </si>
  <si>
    <t>005870</t>
  </si>
  <si>
    <t>휴니드</t>
  </si>
  <si>
    <t>353190</t>
  </si>
  <si>
    <t>휴럼</t>
  </si>
  <si>
    <t>090710</t>
  </si>
  <si>
    <t>휴림로봇</t>
  </si>
  <si>
    <t>078590</t>
  </si>
  <si>
    <t>휴림에이텍</t>
  </si>
  <si>
    <t>205470</t>
  </si>
  <si>
    <t>휴마시스</t>
  </si>
  <si>
    <t>115160</t>
  </si>
  <si>
    <t>휴맥스</t>
  </si>
  <si>
    <t>028080</t>
  </si>
  <si>
    <t>휴맥스홀딩스</t>
  </si>
  <si>
    <t>175140</t>
  </si>
  <si>
    <t>휴먼테크놀로지</t>
  </si>
  <si>
    <t>200670</t>
  </si>
  <si>
    <t>휴메딕스</t>
  </si>
  <si>
    <t>079980</t>
  </si>
  <si>
    <t>휴비스</t>
  </si>
  <si>
    <t>065510</t>
  </si>
  <si>
    <t>휴비츠</t>
  </si>
  <si>
    <t>005010</t>
  </si>
  <si>
    <t>휴스틸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</si>
  <si>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</si>
  <si>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</si>
  <si>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</si>
  <si>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</si>
  <si>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</si>
  <si>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</si>
  <si>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</si>
  <si>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</si>
  <si>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</si>
  <si>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</si>
  <si>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</si>
  <si>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</si>
  <si>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</si>
  <si>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</si>
  <si>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000540</t>
  </si>
  <si>
    <t>흥국화재</t>
  </si>
  <si>
    <t>000545</t>
  </si>
  <si>
    <t>흥국화재우</t>
  </si>
  <si>
    <t>003280</t>
  </si>
  <si>
    <t>흥아해운</t>
  </si>
  <si>
    <t>037440</t>
  </si>
  <si>
    <t>희림</t>
  </si>
  <si>
    <t>238490</t>
  </si>
  <si>
    <t>힘스</t>
  </si>
  <si>
    <t>2020.07.10</t>
    <phoneticPr fontId="10" type="noConversion"/>
  </si>
  <si>
    <t>매수</t>
  </si>
  <si>
    <t>081000</t>
    <phoneticPr fontId="10" type="noConversion"/>
  </si>
  <si>
    <t>2020.07.13</t>
    <phoneticPr fontId="10" type="noConversion"/>
  </si>
  <si>
    <t>매도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</si>
</sst>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yyyy\-mm\-dd"/>
    <numFmt numFmtId="177" formatCode="\+#,##0;\-#,##0;&quot;-&quot;"/>
    <numFmt numFmtId="179" formatCode="0.0%"/>
    <numFmt numFmtId="180" formatCode="\+0.0%;\-0.0%;&quot;-&quot;"/>
    <numFmt numFmtId="181" formatCode="\+#,##0;\-#,##0"/>
    <numFmt numFmtId="182" formatCode="\+0.00%;\-0.00%"/>
    <numFmt numFmtId="183" formatCode="0.000"/>
    <numFmt numFmtId="184" formatCode="0.000%"/>
    <numFmt numFmtId="185" formatCode="0.0"/>
  </numFmts>
  <fonts count="16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i/>
      <sz val="9"/>
      <color rgb="FF888888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i/>
      <sz val="9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3"/>
      <color rgb="FFFFFFFF"/>
      <name val="맑은 고딕"/>
      <family val="3"/>
      <charset val="129"/>
    </font>
    <font>
      <i/>
      <sz val="9"/>
      <color rgb="FF888888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EEF3FA"/>
      </patternFill>
    </fill>
    <fill>
      <patternFill patternType="solid">
        <fgColor rgb="FFF2F2F2"/>
      </patternFill>
    </fill>
    <fill>
      <patternFill patternType="solid">
        <fgColor rgb="FFF5F5F5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FFF2CC"/>
      </patternFill>
    </fill>
    <fill>
      <patternFill patternType="solid">
        <fgColor rgb="FF4B0082"/>
      </patternFill>
    </fill>
    <fill>
      <patternFill patternType="solid">
        <fgColor rgb="FF5B2C8E"/>
      </patternFill>
    </fill>
    <fill>
      <patternFill patternType="solid">
        <fgColor rgb="FF375623"/>
      </patternFill>
    </fill>
    <fill>
      <patternFill patternType="solid">
        <fgColor rgb="FFEEF3FA"/>
      </patternFill>
    </fill>
    <fill>
      <patternFill patternType="solid">
        <fgColor rgb="FFC55A11"/>
      </patternFill>
    </fill>
    <fill>
      <patternFill patternType="solid">
        <fgColor rgb="FF17375E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CECEC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7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0" fillId="4" borderId="2" xfId="0" applyFill="1" applyBorder="1"/>
    <xf numFmtId="3" fontId="0" fillId="3" borderId="2" xfId="0" applyNumberFormat="1" applyFill="1" applyBorder="1" applyAlignment="1">
      <alignment horizontal="right" vertical="center"/>
    </xf>
    <xf numFmtId="3" fontId="0" fillId="4" borderId="2" xfId="0" applyNumberFormat="1" applyFill="1" applyBorder="1" applyAlignment="1">
      <alignment horizontal="right" vertical="center"/>
    </xf>
    <xf numFmtId="0" fontId="0" fillId="3" borderId="2" xfId="0" applyFill="1" applyBorder="1"/>
    <xf numFmtId="177" fontId="0" fillId="4" borderId="2" xfId="0" applyNumberForma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9" fontId="0" fillId="4" borderId="2" xfId="0" applyNumberForma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80" fontId="0" fillId="4" borderId="2" xfId="0" applyNumberFormat="1" applyFill="1" applyBorder="1" applyAlignment="1">
      <alignment horizontal="right" vertical="center"/>
    </xf>
    <xf numFmtId="49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3" fontId="9" fillId="0" borderId="2" xfId="0" applyNumberFormat="1" applyFont="1" applyBorder="1" applyAlignment="1">
      <alignment horizontal="right" vertical="center"/>
    </xf>
    <xf numFmtId="181" fontId="9" fillId="0" borderId="2" xfId="0" applyNumberFormat="1" applyFont="1" applyBorder="1" applyAlignment="1">
      <alignment horizontal="right" vertical="center"/>
    </xf>
    <xf numFmtId="182" fontId="9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12" fillId="0" borderId="0" xfId="0" applyFont="1"/>
    <xf numFmtId="0" fontId="15" fillId="15" borderId="5" xfId="0" applyFont="1" applyFill="1" applyBorder="1" applyAlignment="1">
      <alignment horizontal="center" vertical="center" wrapText="1"/>
    </xf>
    <xf numFmtId="0" fontId="15" fillId="16" borderId="5" xfId="0" applyFont="1" applyFill="1" applyBorder="1" applyAlignment="1">
      <alignment horizontal="center" vertical="center" wrapText="1"/>
    </xf>
    <xf numFmtId="49" fontId="14" fillId="13" borderId="6" xfId="0" applyNumberFormat="1" applyFont="1" applyFill="1" applyBorder="1" applyAlignment="1">
      <alignment horizontal="center" vertical="center"/>
    </xf>
    <xf numFmtId="0" fontId="14" fillId="13" borderId="6" xfId="0" applyFont="1" applyFill="1" applyBorder="1" applyAlignment="1">
      <alignment horizontal="center" vertical="center"/>
    </xf>
    <xf numFmtId="0" fontId="14" fillId="17" borderId="6" xfId="0" applyFont="1" applyFill="1" applyBorder="1" applyAlignment="1">
      <alignment horizontal="left" vertical="center"/>
    </xf>
    <xf numFmtId="3" fontId="14" fillId="17" borderId="6" xfId="0" applyNumberFormat="1" applyFont="1" applyFill="1" applyBorder="1" applyAlignment="1">
      <alignment horizontal="right" vertical="center"/>
    </xf>
    <xf numFmtId="177" fontId="14" fillId="17" borderId="6" xfId="0" applyNumberFormat="1" applyFont="1" applyFill="1" applyBorder="1" applyAlignment="1">
      <alignment horizontal="right" vertical="center"/>
    </xf>
    <xf numFmtId="182" fontId="14" fillId="17" borderId="6" xfId="0" applyNumberFormat="1" applyFont="1" applyFill="1" applyBorder="1" applyAlignment="1">
      <alignment horizontal="right" vertical="center"/>
    </xf>
    <xf numFmtId="0" fontId="13" fillId="12" borderId="5" xfId="0" applyFont="1" applyFill="1" applyBorder="1" applyAlignment="1">
      <alignment horizontal="center" vertical="center"/>
    </xf>
    <xf numFmtId="0" fontId="0" fillId="13" borderId="6" xfId="0" applyFill="1" applyBorder="1"/>
    <xf numFmtId="0" fontId="13" fillId="14" borderId="5" xfId="0" applyFont="1" applyFill="1" applyBorder="1" applyAlignment="1">
      <alignment horizontal="center" vertical="center"/>
    </xf>
    <xf numFmtId="176" fontId="14" fillId="13" borderId="6" xfId="0" applyNumberFormat="1" applyFont="1" applyFill="1" applyBorder="1" applyAlignment="1">
      <alignment horizontal="center" vertical="center"/>
    </xf>
    <xf numFmtId="183" fontId="14" fillId="13" borderId="6" xfId="0" applyNumberFormat="1" applyFont="1" applyFill="1" applyBorder="1" applyAlignment="1">
      <alignment horizontal="right" vertical="center"/>
    </xf>
    <xf numFmtId="0" fontId="14" fillId="13" borderId="6" xfId="0" applyFont="1" applyFill="1" applyBorder="1" applyAlignment="1">
      <alignment horizontal="left" vertical="center"/>
    </xf>
    <xf numFmtId="0" fontId="13" fillId="15" borderId="5" xfId="0" applyFont="1" applyFill="1" applyBorder="1" applyAlignment="1">
      <alignment horizontal="center" vertical="center"/>
    </xf>
    <xf numFmtId="0" fontId="13" fillId="16" borderId="5" xfId="0" applyFont="1" applyFill="1" applyBorder="1" applyAlignment="1">
      <alignment horizontal="center" vertical="center"/>
    </xf>
    <xf numFmtId="3" fontId="14" fillId="13" borderId="6" xfId="0" applyNumberFormat="1" applyFont="1" applyFill="1" applyBorder="1" applyAlignment="1">
      <alignment horizontal="right" vertical="center"/>
    </xf>
    <xf numFmtId="184" fontId="14" fillId="18" borderId="6" xfId="0" applyNumberFormat="1" applyFont="1" applyFill="1" applyBorder="1" applyAlignment="1">
      <alignment horizontal="right" vertical="center"/>
    </xf>
    <xf numFmtId="185" fontId="14" fillId="13" borderId="6" xfId="0" applyNumberFormat="1" applyFont="1" applyFill="1" applyBorder="1" applyAlignment="1">
      <alignment horizontal="right" vertical="center"/>
    </xf>
    <xf numFmtId="176" fontId="14" fillId="19" borderId="6" xfId="0" applyNumberFormat="1" applyFont="1" applyFill="1" applyBorder="1" applyAlignment="1">
      <alignment horizontal="center" vertical="center"/>
    </xf>
    <xf numFmtId="49" fontId="14" fillId="19" borderId="6" xfId="0" applyNumberFormat="1" applyFont="1" applyFill="1" applyBorder="1" applyAlignment="1">
      <alignment horizontal="center" vertical="center"/>
    </xf>
    <xf numFmtId="0" fontId="14" fillId="19" borderId="6" xfId="0" applyFont="1" applyFill="1" applyBorder="1" applyAlignment="1">
      <alignment horizontal="left" vertical="center"/>
    </xf>
    <xf numFmtId="0" fontId="14" fillId="19" borderId="6" xfId="0" applyFont="1" applyFill="1" applyBorder="1" applyAlignment="1">
      <alignment horizontal="center" vertical="center"/>
    </xf>
    <xf numFmtId="3" fontId="14" fillId="19" borderId="6" xfId="0" applyNumberFormat="1" applyFont="1" applyFill="1" applyBorder="1" applyAlignment="1">
      <alignment horizontal="right" vertical="center"/>
    </xf>
    <xf numFmtId="177" fontId="14" fillId="19" borderId="6" xfId="0" applyNumberFormat="1" applyFont="1" applyFill="1" applyBorder="1" applyAlignment="1">
      <alignment horizontal="right" vertical="center"/>
    </xf>
    <xf numFmtId="182" fontId="14" fillId="19" borderId="6" xfId="0" applyNumberFormat="1" applyFont="1" applyFill="1" applyBorder="1" applyAlignment="1">
      <alignment horizontal="right" vertical="center"/>
    </xf>
    <xf numFmtId="176" fontId="14" fillId="20" borderId="6" xfId="0" applyNumberFormat="1" applyFont="1" applyFill="1" applyBorder="1" applyAlignment="1">
      <alignment horizontal="center" vertical="center"/>
    </xf>
    <xf numFmtId="49" fontId="14" fillId="20" borderId="6" xfId="0" applyNumberFormat="1" applyFont="1" applyFill="1" applyBorder="1" applyAlignment="1">
      <alignment horizontal="center" vertical="center"/>
    </xf>
    <xf numFmtId="0" fontId="14" fillId="20" borderId="6" xfId="0" applyFont="1" applyFill="1" applyBorder="1" applyAlignment="1">
      <alignment horizontal="center" vertical="center"/>
    </xf>
    <xf numFmtId="3" fontId="14" fillId="20" borderId="6" xfId="0" applyNumberFormat="1" applyFont="1" applyFill="1" applyBorder="1" applyAlignment="1">
      <alignment horizontal="right" vertical="center"/>
    </xf>
    <xf numFmtId="0" fontId="14" fillId="21" borderId="6" xfId="0" applyFont="1" applyFill="1" applyBorder="1" applyAlignment="1">
      <alignment horizontal="center" vertical="center"/>
    </xf>
    <xf numFmtId="0" fontId="14" fillId="22" borderId="6" xfId="0" applyFont="1" applyFill="1" applyBorder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0" fillId="0" borderId="0" xfId="0"/>
    <xf numFmtId="0" fontId="11" fillId="12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7" fillId="5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1" fillId="8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0" fontId="1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4"/>
  <sheetViews>
    <sheetView tabSelected="1" workbookViewId="0">
      <pane ySplit="3" topLeftCell="A4" activePane="bottomLeft" state="frozen"/>
      <selection pane="bottomLeft" activeCell="E26" sqref="A26:E27"/>
    </sheetView>
  </sheetViews>
  <sheetFormatPr defaultRowHeight="17" x14ac:dyDescent="0.45"/>
  <cols>
    <col min="1" max="1" width="11" customWidth="1"/>
    <col min="2" max="2" width="9" customWidth="1"/>
    <col min="3" max="3" width="14" customWidth="1"/>
    <col min="4" max="4" width="10" customWidth="1"/>
    <col min="5" max="5" width="20" customWidth="1"/>
    <col min="6" max="6" width="13" customWidth="1"/>
    <col min="7" max="7" width="10" customWidth="1"/>
    <col min="8" max="8" width="14" customWidth="1"/>
    <col min="9" max="9" width="9" customWidth="1"/>
    <col min="10" max="10" width="11" customWidth="1"/>
    <col min="11" max="11" width="8" customWidth="1"/>
    <col min="12" max="12" width="11" customWidth="1"/>
    <col min="13" max="13" width="28" customWidth="1"/>
  </cols>
  <sheetData>
    <row r="1" spans="1:13" ht="26" customHeight="1" x14ac:dyDescent="0.4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x14ac:dyDescent="0.45">
      <c r="A2" s="25" t="s">
        <v>1</v>
      </c>
      <c r="H2" s="25" t="s">
        <v>2</v>
      </c>
    </row>
    <row r="3" spans="1:13" ht="20" customHeight="1" x14ac:dyDescent="0.45">
      <c r="A3" s="40" t="s">
        <v>3</v>
      </c>
      <c r="B3" s="40" t="s">
        <v>4</v>
      </c>
      <c r="C3" s="40" t="s">
        <v>5</v>
      </c>
      <c r="D3" s="40" t="s">
        <v>6</v>
      </c>
      <c r="E3" s="41" t="s">
        <v>7</v>
      </c>
      <c r="F3" s="40" t="s">
        <v>8</v>
      </c>
      <c r="G3" s="40" t="s">
        <v>9</v>
      </c>
      <c r="H3" s="41" t="s">
        <v>10</v>
      </c>
      <c r="I3" s="41" t="s">
        <v>11</v>
      </c>
      <c r="J3" s="41" t="s">
        <v>12</v>
      </c>
      <c r="K3" s="41" t="s">
        <v>13</v>
      </c>
      <c r="L3" s="41" t="s">
        <v>14</v>
      </c>
      <c r="M3" s="40" t="s">
        <v>15</v>
      </c>
    </row>
    <row r="5" spans="1:13" ht="18" customHeight="1" x14ac:dyDescent="0.45">
      <c r="A5" s="37" t="s">
        <v>5886</v>
      </c>
      <c r="B5" s="29" t="s">
        <v>5887</v>
      </c>
      <c r="C5" s="29" t="s">
        <v>25</v>
      </c>
      <c r="D5" s="28" t="s">
        <v>5888</v>
      </c>
      <c r="E5" s="30" t="str">
        <f>IFERROR(VLOOKUP(D5,KRX종목마스터!$A:$B,2,FALSE),"")</f>
        <v>일진다이아</v>
      </c>
      <c r="F5" s="42">
        <v>47000</v>
      </c>
      <c r="G5" s="42">
        <v>70</v>
      </c>
      <c r="H5" s="31">
        <f t="shared" ref="H5:H68" si="0">IF(AND(F5&lt;&gt;"",G5&lt;&gt;""),F5*G5,"")</f>
        <v>3290000</v>
      </c>
      <c r="I5" s="43">
        <f ca="1">IFERROR(SUMPRODUCT((참고!$A$31:$A$130=C5)*(참고!$B$31:$B$130&lt;=A5)*(참고!$B$31:$B$130=_xludf.MAXIFS(참고!$B$31:$B$130,참고!$A$31:$A$130,C5,참고!$B$31:$B$130,"&lt;="&amp;A5))*참고!$C$31:$C$130)/100,0)</f>
        <v>0</v>
      </c>
      <c r="J5" s="31">
        <f t="shared" ref="J5:J68" ca="1" si="1">IF(H5="","",ROUND(H5*I5,0))</f>
        <v>0</v>
      </c>
      <c r="K5" s="43">
        <f>IF(B5="매도",IFERROR(SUMPRODUCT((참고!$A$31:$A$130=C5)*(참고!$B$31:$B$130&lt;=A5)*(참고!$B$31:$B$130=_xludf.MAXIFS(참고!$B$31:$B$130,참고!$A$31:$A$130,C5,참고!$B$31:$B$130,"&lt;="&amp;A5))*참고!$D$31:$D$130)/100,0),0)</f>
        <v>0</v>
      </c>
      <c r="L5" s="31">
        <f t="shared" ref="L5:L68" si="2">IF(H5="","",ROUND(H5*K5,0))</f>
        <v>0</v>
      </c>
      <c r="M5" s="39"/>
    </row>
    <row r="6" spans="1:13" ht="18" customHeight="1" x14ac:dyDescent="0.45">
      <c r="A6" s="37" t="s">
        <v>5889</v>
      </c>
      <c r="B6" s="29" t="s">
        <v>5890</v>
      </c>
      <c r="C6" s="29" t="s">
        <v>25</v>
      </c>
      <c r="D6" s="28" t="s">
        <v>5888</v>
      </c>
      <c r="E6" s="30" t="str">
        <f>IFERROR(VLOOKUP(D6,KRX종목마스터!$A:$B,2,FALSE),"")</f>
        <v>일진다이아</v>
      </c>
      <c r="F6" s="42">
        <v>51100</v>
      </c>
      <c r="G6" s="42">
        <v>64</v>
      </c>
      <c r="H6" s="31">
        <f t="shared" si="0"/>
        <v>3270400</v>
      </c>
      <c r="I6" s="43">
        <f ca="1">IFERROR(SUMPRODUCT((참고!$A$31:$A$130=C6)*(참고!$B$31:$B$130&lt;=A6)*(참고!$B$31:$B$130=_xludf.MAXIFS(참고!$B$31:$B$130,참고!$A$31:$A$130,C6,참고!$B$31:$B$130,"&lt;="&amp;A6))*참고!$C$31:$C$130)/100,0)</f>
        <v>0</v>
      </c>
      <c r="J6" s="31">
        <f t="shared" ca="1" si="1"/>
        <v>0</v>
      </c>
      <c r="K6" s="43">
        <f ca="1">IF(B6="매도",IFERROR(SUMPRODUCT((참고!$A$31:$A$130=C6)*(참고!$B$31:$B$130&lt;=A6)*(참고!$B$31:$B$130=_xludf.MAXIFS(참고!$B$31:$B$130,참고!$A$31:$A$130,C6,참고!$B$31:$B$130,"&lt;="&amp;A6))*참고!$D$31:$D$130)/100,0),0)</f>
        <v>0</v>
      </c>
      <c r="L6" s="31">
        <f t="shared" ca="1" si="2"/>
        <v>0</v>
      </c>
      <c r="M6" s="39"/>
    </row>
    <row r="7" spans="1:13" ht="18" customHeight="1" x14ac:dyDescent="0.45">
      <c r="A7" s="37"/>
      <c r="B7" s="29"/>
      <c r="C7" s="29"/>
      <c r="D7" s="28"/>
      <c r="E7" s="30" t="str">
        <f>IFERROR(VLOOKUP(D7,KRX종목마스터!$A:$B,2,FALSE),"")</f>
        <v/>
      </c>
      <c r="F7" s="42"/>
      <c r="G7" s="42"/>
      <c r="H7" s="31" t="str">
        <f t="shared" si="0"/>
        <v/>
      </c>
      <c r="I7" s="43">
        <f ca="1">IFERROR(SUMPRODUCT((참고!$A$31:$A$130=C7)*(참고!$B$31:$B$130&lt;=A7)*(참고!$B$31:$B$130=_xludf.MAXIFS(참고!$B$31:$B$130,참고!$A$31:$A$130,C7,참고!$B$31:$B$130,"&lt;="&amp;A7))*참고!$C$31:$C$130)/100,0)</f>
        <v>0</v>
      </c>
      <c r="J7" s="31" t="str">
        <f t="shared" si="1"/>
        <v/>
      </c>
      <c r="K7" s="43">
        <f>IF(B7="매도",IFERROR(SUMPRODUCT((참고!$A$31:$A$130=C7)*(참고!$B$31:$B$130&lt;=A7)*(참고!$B$31:$B$130=_xludf.MAXIFS(참고!$B$31:$B$130,참고!$A$31:$A$130,C7,참고!$B$31:$B$130,"&lt;="&amp;A7))*참고!$D$31:$D$130)/100,0),0)</f>
        <v>0</v>
      </c>
      <c r="L7" s="31" t="str">
        <f t="shared" si="2"/>
        <v/>
      </c>
      <c r="M7" s="39"/>
    </row>
    <row r="8" spans="1:13" ht="18" customHeight="1" x14ac:dyDescent="0.45">
      <c r="A8" s="37"/>
      <c r="B8" s="29"/>
      <c r="C8" s="29"/>
      <c r="D8" s="28"/>
      <c r="E8" s="30" t="str">
        <f>IFERROR(VLOOKUP(D8,KRX종목마스터!$A:$B,2,FALSE),"")</f>
        <v/>
      </c>
      <c r="F8" s="42"/>
      <c r="G8" s="42"/>
      <c r="H8" s="31" t="str">
        <f t="shared" si="0"/>
        <v/>
      </c>
      <c r="I8" s="43">
        <f ca="1">IFERROR(SUMPRODUCT((참고!$A$31:$A$130=C8)*(참고!$B$31:$B$130&lt;=A8)*(참고!$B$31:$B$130=_xludf.MAXIFS(참고!$B$31:$B$130,참고!$A$31:$A$130,C8,참고!$B$31:$B$130,"&lt;="&amp;A8))*참고!$C$31:$C$130)/100,0)</f>
        <v>0</v>
      </c>
      <c r="J8" s="31" t="str">
        <f t="shared" si="1"/>
        <v/>
      </c>
      <c r="K8" s="43">
        <f>IF(B8="매도",IFERROR(SUMPRODUCT((참고!$A$31:$A$130=C8)*(참고!$B$31:$B$130&lt;=A8)*(참고!$B$31:$B$130=_xludf.MAXIFS(참고!$B$31:$B$130,참고!$A$31:$A$130,C8,참고!$B$31:$B$130,"&lt;="&amp;A8))*참고!$D$31:$D$130)/100,0),0)</f>
        <v>0</v>
      </c>
      <c r="L8" s="31" t="str">
        <f t="shared" si="2"/>
        <v/>
      </c>
      <c r="M8" s="39"/>
    </row>
    <row r="9" spans="1:13" ht="18" customHeight="1" x14ac:dyDescent="0.45">
      <c r="A9" s="37"/>
      <c r="B9" s="29"/>
      <c r="C9" s="29"/>
      <c r="D9" s="28"/>
      <c r="E9" s="30" t="str">
        <f>IFERROR(VLOOKUP(D9,KRX종목마스터!$A:$B,2,FALSE),"")</f>
        <v/>
      </c>
      <c r="F9" s="42"/>
      <c r="G9" s="42"/>
      <c r="H9" s="31" t="str">
        <f t="shared" si="0"/>
        <v/>
      </c>
      <c r="I9" s="43">
        <f ca="1">IFERROR(SUMPRODUCT((참고!$A$31:$A$130=C9)*(참고!$B$31:$B$130&lt;=A9)*(참고!$B$31:$B$130=_xludf.MAXIFS(참고!$B$31:$B$130,참고!$A$31:$A$130,C9,참고!$B$31:$B$130,"&lt;="&amp;A9))*참고!$C$31:$C$130)/100,0)</f>
        <v>0</v>
      </c>
      <c r="J9" s="31" t="str">
        <f t="shared" si="1"/>
        <v/>
      </c>
      <c r="K9" s="43">
        <f>IF(B9="매도",IFERROR(SUMPRODUCT((참고!$A$31:$A$130=C9)*(참고!$B$31:$B$130&lt;=A9)*(참고!$B$31:$B$130=_xludf.MAXIFS(참고!$B$31:$B$130,참고!$A$31:$A$130,C9,참고!$B$31:$B$130,"&lt;="&amp;A9))*참고!$D$31:$D$130)/100,0),0)</f>
        <v>0</v>
      </c>
      <c r="L9" s="31" t="str">
        <f t="shared" si="2"/>
        <v/>
      </c>
      <c r="M9" s="39"/>
    </row>
    <row r="10" spans="1:13" ht="18" customHeight="1" x14ac:dyDescent="0.45">
      <c r="A10" s="37"/>
      <c r="B10" s="29"/>
      <c r="C10" s="29"/>
      <c r="D10" s="28"/>
      <c r="E10" s="30" t="str">
        <f>IFERROR(VLOOKUP(D10,KRX종목마스터!$A:$B,2,FALSE),"")</f>
        <v/>
      </c>
      <c r="F10" s="42"/>
      <c r="G10" s="42"/>
      <c r="H10" s="31" t="str">
        <f t="shared" si="0"/>
        <v/>
      </c>
      <c r="I10" s="43">
        <f ca="1">IFERROR(SUMPRODUCT((참고!$A$31:$A$130=C10)*(참고!$B$31:$B$130&lt;=A10)*(참고!$B$31:$B$130=_xludf.MAXIFS(참고!$B$31:$B$130,참고!$A$31:$A$130,C10,참고!$B$31:$B$130,"&lt;="&amp;A10))*참고!$C$31:$C$130)/100,0)</f>
        <v>0</v>
      </c>
      <c r="J10" s="31" t="str">
        <f t="shared" si="1"/>
        <v/>
      </c>
      <c r="K10" s="43">
        <f>IF(B10="매도",IFERROR(SUMPRODUCT((참고!$A$31:$A$130=C10)*(참고!$B$31:$B$130&lt;=A10)*(참고!$B$31:$B$130=_xludf.MAXIFS(참고!$B$31:$B$130,참고!$A$31:$A$130,C10,참고!$B$31:$B$130,"&lt;="&amp;A10))*참고!$D$31:$D$130)/100,0),0)</f>
        <v>0</v>
      </c>
      <c r="L10" s="31" t="str">
        <f t="shared" si="2"/>
        <v/>
      </c>
      <c r="M10" s="39"/>
    </row>
    <row r="11" spans="1:13" ht="18" customHeight="1" x14ac:dyDescent="0.45">
      <c r="A11" s="37"/>
      <c r="B11" s="29"/>
      <c r="C11" s="29"/>
      <c r="D11" s="28"/>
      <c r="E11" s="30" t="str">
        <f>IFERROR(VLOOKUP(D11,KRX종목마스터!$A:$B,2,FALSE),"")</f>
        <v/>
      </c>
      <c r="F11" s="42"/>
      <c r="G11" s="42"/>
      <c r="H11" s="31" t="str">
        <f t="shared" si="0"/>
        <v/>
      </c>
      <c r="I11" s="43">
        <f ca="1">IFERROR(SUMPRODUCT((참고!$A$31:$A$130=C11)*(참고!$B$31:$B$130&lt;=A11)*(참고!$B$31:$B$130=_xludf.MAXIFS(참고!$B$31:$B$130,참고!$A$31:$A$130,C11,참고!$B$31:$B$130,"&lt;="&amp;A11))*참고!$C$31:$C$130)/100,0)</f>
        <v>0</v>
      </c>
      <c r="J11" s="31" t="str">
        <f t="shared" si="1"/>
        <v/>
      </c>
      <c r="K11" s="43">
        <f>IF(B11="매도",IFERROR(SUMPRODUCT((참고!$A$31:$A$130=C11)*(참고!$B$31:$B$130&lt;=A11)*(참고!$B$31:$B$130=_xludf.MAXIFS(참고!$B$31:$B$130,참고!$A$31:$A$130,C11,참고!$B$31:$B$130,"&lt;="&amp;A11))*참고!$D$31:$D$130)/100,0),0)</f>
        <v>0</v>
      </c>
      <c r="L11" s="31" t="str">
        <f t="shared" si="2"/>
        <v/>
      </c>
      <c r="M11" s="39"/>
    </row>
    <row r="12" spans="1:13" ht="18" customHeight="1" x14ac:dyDescent="0.45">
      <c r="A12" s="37"/>
      <c r="B12" s="29"/>
      <c r="C12" s="29"/>
      <c r="D12" s="28"/>
      <c r="E12" s="30" t="str">
        <f>IFERROR(VLOOKUP(D12,KRX종목마스터!$A:$B,2,FALSE),"")</f>
        <v/>
      </c>
      <c r="F12" s="42"/>
      <c r="G12" s="42"/>
      <c r="H12" s="31" t="str">
        <f t="shared" si="0"/>
        <v/>
      </c>
      <c r="I12" s="43">
        <f ca="1">IFERROR(SUMPRODUCT((참고!$A$31:$A$130=C12)*(참고!$B$31:$B$130&lt;=A12)*(참고!$B$31:$B$130=_xludf.MAXIFS(참고!$B$31:$B$130,참고!$A$31:$A$130,C12,참고!$B$31:$B$130,"&lt;="&amp;A12))*참고!$C$31:$C$130)/100,0)</f>
        <v>0</v>
      </c>
      <c r="J12" s="31" t="str">
        <f t="shared" si="1"/>
        <v/>
      </c>
      <c r="K12" s="43">
        <f>IF(B12="매도",IFERROR(SUMPRODUCT((참고!$A$31:$A$130=C12)*(참고!$B$31:$B$130&lt;=A12)*(참고!$B$31:$B$130=_xludf.MAXIFS(참고!$B$31:$B$130,참고!$A$31:$A$130,C12,참고!$B$31:$B$130,"&lt;="&amp;A12))*참고!$D$31:$D$130)/100,0),0)</f>
        <v>0</v>
      </c>
      <c r="L12" s="31" t="str">
        <f t="shared" si="2"/>
        <v/>
      </c>
      <c r="M12" s="39"/>
    </row>
    <row r="13" spans="1:13" ht="18" customHeight="1" x14ac:dyDescent="0.45">
      <c r="A13" s="37"/>
      <c r="B13" s="29"/>
      <c r="C13" s="29"/>
      <c r="D13" s="28"/>
      <c r="E13" s="30" t="str">
        <f>IFERROR(VLOOKUP(D13,KRX종목마스터!$A:$B,2,FALSE),"")</f>
        <v/>
      </c>
      <c r="F13" s="42"/>
      <c r="G13" s="42"/>
      <c r="H13" s="31" t="str">
        <f t="shared" si="0"/>
        <v/>
      </c>
      <c r="I13" s="43">
        <f ca="1">IFERROR(SUMPRODUCT((참고!$A$31:$A$130=C13)*(참고!$B$31:$B$130&lt;=A13)*(참고!$B$31:$B$130=_xludf.MAXIFS(참고!$B$31:$B$130,참고!$A$31:$A$130,C13,참고!$B$31:$B$130,"&lt;="&amp;A13))*참고!$C$31:$C$130)/100,0)</f>
        <v>0</v>
      </c>
      <c r="J13" s="31" t="str">
        <f t="shared" si="1"/>
        <v/>
      </c>
      <c r="K13" s="43">
        <f>IF(B13="매도",IFERROR(SUMPRODUCT((참고!$A$31:$A$130=C13)*(참고!$B$31:$B$130&lt;=A13)*(참고!$B$31:$B$130=_xludf.MAXIFS(참고!$B$31:$B$130,참고!$A$31:$A$130,C13,참고!$B$31:$B$130,"&lt;="&amp;A13))*참고!$D$31:$D$130)/100,0),0)</f>
        <v>0</v>
      </c>
      <c r="L13" s="31" t="str">
        <f t="shared" si="2"/>
        <v/>
      </c>
      <c r="M13" s="39"/>
    </row>
    <row r="14" spans="1:13" ht="18" customHeight="1" x14ac:dyDescent="0.45">
      <c r="A14" s="37"/>
      <c r="B14" s="29"/>
      <c r="C14" s="29"/>
      <c r="D14" s="28"/>
      <c r="E14" s="30" t="str">
        <f>IFERROR(VLOOKUP(D14,KRX종목마스터!$A:$B,2,FALSE),"")</f>
        <v/>
      </c>
      <c r="F14" s="42"/>
      <c r="G14" s="42"/>
      <c r="H14" s="31" t="str">
        <f t="shared" si="0"/>
        <v/>
      </c>
      <c r="I14" s="43">
        <f ca="1">IFERROR(SUMPRODUCT((참고!$A$31:$A$130=C14)*(참고!$B$31:$B$130&lt;=A14)*(참고!$B$31:$B$130=_xludf.MAXIFS(참고!$B$31:$B$130,참고!$A$31:$A$130,C14,참고!$B$31:$B$130,"&lt;="&amp;A14))*참고!$C$31:$C$130)/100,0)</f>
        <v>0</v>
      </c>
      <c r="J14" s="31" t="str">
        <f t="shared" si="1"/>
        <v/>
      </c>
      <c r="K14" s="43">
        <f>IF(B14="매도",IFERROR(SUMPRODUCT((참고!$A$31:$A$130=C14)*(참고!$B$31:$B$130&lt;=A14)*(참고!$B$31:$B$130=_xludf.MAXIFS(참고!$B$31:$B$130,참고!$A$31:$A$130,C14,참고!$B$31:$B$130,"&lt;="&amp;A14))*참고!$D$31:$D$130)/100,0),0)</f>
        <v>0</v>
      </c>
      <c r="L14" s="31" t="str">
        <f t="shared" si="2"/>
        <v/>
      </c>
      <c r="M14" s="39"/>
    </row>
    <row r="15" spans="1:13" ht="18" customHeight="1" x14ac:dyDescent="0.45">
      <c r="A15" s="37"/>
      <c r="B15" s="29"/>
      <c r="C15" s="29"/>
      <c r="D15" s="28"/>
      <c r="E15" s="30" t="str">
        <f>IFERROR(VLOOKUP(D15,KRX종목마스터!$A:$B,2,FALSE),"")</f>
        <v/>
      </c>
      <c r="F15" s="42"/>
      <c r="G15" s="42"/>
      <c r="H15" s="31" t="str">
        <f t="shared" si="0"/>
        <v/>
      </c>
      <c r="I15" s="43">
        <f ca="1">IFERROR(SUMPRODUCT((참고!$A$31:$A$130=C15)*(참고!$B$31:$B$130&lt;=A15)*(참고!$B$31:$B$130=_xludf.MAXIFS(참고!$B$31:$B$130,참고!$A$31:$A$130,C15,참고!$B$31:$B$130,"&lt;="&amp;A15))*참고!$C$31:$C$130)/100,0)</f>
        <v>0</v>
      </c>
      <c r="J15" s="31" t="str">
        <f t="shared" si="1"/>
        <v/>
      </c>
      <c r="K15" s="43">
        <f>IF(B15="매도",IFERROR(SUMPRODUCT((참고!$A$31:$A$130=C15)*(참고!$B$31:$B$130&lt;=A15)*(참고!$B$31:$B$130=_xludf.MAXIFS(참고!$B$31:$B$130,참고!$A$31:$A$130,C15,참고!$B$31:$B$130,"&lt;="&amp;A15))*참고!$D$31:$D$130)/100,0),0)</f>
        <v>0</v>
      </c>
      <c r="L15" s="31" t="str">
        <f t="shared" si="2"/>
        <v/>
      </c>
      <c r="M15" s="39"/>
    </row>
    <row r="16" spans="1:13" ht="18" customHeight="1" x14ac:dyDescent="0.45">
      <c r="A16" s="37"/>
      <c r="B16" s="29"/>
      <c r="C16" s="29"/>
      <c r="D16" s="28"/>
      <c r="E16" s="30" t="str">
        <f>IFERROR(VLOOKUP(D16,KRX종목마스터!$A:$B,2,FALSE),"")</f>
        <v/>
      </c>
      <c r="F16" s="42"/>
      <c r="G16" s="42"/>
      <c r="H16" s="31" t="str">
        <f t="shared" si="0"/>
        <v/>
      </c>
      <c r="I16" s="43">
        <f ca="1">IFERROR(SUMPRODUCT((참고!$A$31:$A$130=C16)*(참고!$B$31:$B$130&lt;=A16)*(참고!$B$31:$B$130=_xludf.MAXIFS(참고!$B$31:$B$130,참고!$A$31:$A$130,C16,참고!$B$31:$B$130,"&lt;="&amp;A16))*참고!$C$31:$C$130)/100,0)</f>
        <v>0</v>
      </c>
      <c r="J16" s="31" t="str">
        <f t="shared" si="1"/>
        <v/>
      </c>
      <c r="K16" s="43">
        <f>IF(B16="매도",IFERROR(SUMPRODUCT((참고!$A$31:$A$130=C16)*(참고!$B$31:$B$130&lt;=A16)*(참고!$B$31:$B$130=_xludf.MAXIFS(참고!$B$31:$B$130,참고!$A$31:$A$130,C16,참고!$B$31:$B$130,"&lt;="&amp;A16))*참고!$D$31:$D$130)/100,0),0)</f>
        <v>0</v>
      </c>
      <c r="L16" s="31" t="str">
        <f t="shared" si="2"/>
        <v/>
      </c>
      <c r="M16" s="39"/>
    </row>
    <row r="17" spans="1:13" ht="18" customHeight="1" x14ac:dyDescent="0.45">
      <c r="A17" s="37"/>
      <c r="B17" s="29"/>
      <c r="C17" s="29"/>
      <c r="D17" s="28"/>
      <c r="E17" s="30" t="str">
        <f>IFERROR(VLOOKUP(D17,KRX종목마스터!$A:$B,2,FALSE),"")</f>
        <v/>
      </c>
      <c r="F17" s="42"/>
      <c r="G17" s="42"/>
      <c r="H17" s="31" t="str">
        <f t="shared" si="0"/>
        <v/>
      </c>
      <c r="I17" s="43">
        <f ca="1">IFERROR(SUMPRODUCT((참고!$A$31:$A$130=C17)*(참고!$B$31:$B$130&lt;=A17)*(참고!$B$31:$B$130=_xludf.MAXIFS(참고!$B$31:$B$130,참고!$A$31:$A$130,C17,참고!$B$31:$B$130,"&lt;="&amp;A17))*참고!$C$31:$C$130)/100,0)</f>
        <v>0</v>
      </c>
      <c r="J17" s="31" t="str">
        <f t="shared" si="1"/>
        <v/>
      </c>
      <c r="K17" s="43">
        <f>IF(B17="매도",IFERROR(SUMPRODUCT((참고!$A$31:$A$130=C17)*(참고!$B$31:$B$130&lt;=A17)*(참고!$B$31:$B$130=_xludf.MAXIFS(참고!$B$31:$B$130,참고!$A$31:$A$130,C17,참고!$B$31:$B$130,"&lt;="&amp;A17))*참고!$D$31:$D$130)/100,0),0)</f>
        <v>0</v>
      </c>
      <c r="L17" s="31" t="str">
        <f t="shared" si="2"/>
        <v/>
      </c>
      <c r="M17" s="39"/>
    </row>
    <row r="18" spans="1:13" ht="18" customHeight="1" x14ac:dyDescent="0.45">
      <c r="A18" s="37"/>
      <c r="B18" s="29"/>
      <c r="C18" s="29"/>
      <c r="D18" s="28"/>
      <c r="E18" s="30" t="str">
        <f>IFERROR(VLOOKUP(D18,KRX종목마스터!$A:$B,2,FALSE),"")</f>
        <v/>
      </c>
      <c r="F18" s="42"/>
      <c r="G18" s="42"/>
      <c r="H18" s="31" t="str">
        <f t="shared" si="0"/>
        <v/>
      </c>
      <c r="I18" s="43">
        <f ca="1">IFERROR(SUMPRODUCT((참고!$A$31:$A$130=C18)*(참고!$B$31:$B$130&lt;=A18)*(참고!$B$31:$B$130=_xludf.MAXIFS(참고!$B$31:$B$130,참고!$A$31:$A$130,C18,참고!$B$31:$B$130,"&lt;="&amp;A18))*참고!$C$31:$C$130)/100,0)</f>
        <v>0</v>
      </c>
      <c r="J18" s="31" t="str">
        <f t="shared" si="1"/>
        <v/>
      </c>
      <c r="K18" s="43">
        <f>IF(B18="매도",IFERROR(SUMPRODUCT((참고!$A$31:$A$130=C18)*(참고!$B$31:$B$130&lt;=A18)*(참고!$B$31:$B$130=_xludf.MAXIFS(참고!$B$31:$B$130,참고!$A$31:$A$130,C18,참고!$B$31:$B$130,"&lt;="&amp;A18))*참고!$D$31:$D$130)/100,0),0)</f>
        <v>0</v>
      </c>
      <c r="L18" s="31" t="str">
        <f t="shared" si="2"/>
        <v/>
      </c>
      <c r="M18" s="39"/>
    </row>
    <row r="19" spans="1:13" ht="18" customHeight="1" x14ac:dyDescent="0.45">
      <c r="A19" s="37"/>
      <c r="B19" s="29"/>
      <c r="C19" s="29"/>
      <c r="D19" s="28"/>
      <c r="E19" s="30" t="str">
        <f>IFERROR(VLOOKUP(D19,KRX종목마스터!$A:$B,2,FALSE),"")</f>
        <v/>
      </c>
      <c r="F19" s="42"/>
      <c r="G19" s="42"/>
      <c r="H19" s="31" t="str">
        <f t="shared" si="0"/>
        <v/>
      </c>
      <c r="I19" s="43">
        <f ca="1">IFERROR(SUMPRODUCT((참고!$A$31:$A$130=C19)*(참고!$B$31:$B$130&lt;=A19)*(참고!$B$31:$B$130=_xludf.MAXIFS(참고!$B$31:$B$130,참고!$A$31:$A$130,C19,참고!$B$31:$B$130,"&lt;="&amp;A19))*참고!$C$31:$C$130)/100,0)</f>
        <v>0</v>
      </c>
      <c r="J19" s="31" t="str">
        <f t="shared" si="1"/>
        <v/>
      </c>
      <c r="K19" s="43">
        <f>IF(B19="매도",IFERROR(SUMPRODUCT((참고!$A$31:$A$130=C19)*(참고!$B$31:$B$130&lt;=A19)*(참고!$B$31:$B$130=_xludf.MAXIFS(참고!$B$31:$B$130,참고!$A$31:$A$130,C19,참고!$B$31:$B$130,"&lt;="&amp;A19))*참고!$D$31:$D$130)/100,0),0)</f>
        <v>0</v>
      </c>
      <c r="L19" s="31" t="str">
        <f t="shared" si="2"/>
        <v/>
      </c>
      <c r="M19" s="39"/>
    </row>
    <row r="20" spans="1:13" ht="18" customHeight="1" x14ac:dyDescent="0.45">
      <c r="A20" s="37"/>
      <c r="B20" s="29"/>
      <c r="C20" s="29"/>
      <c r="D20" s="28"/>
      <c r="E20" s="30" t="str">
        <f>IFERROR(VLOOKUP(D20,KRX종목마스터!$A:$B,2,FALSE),"")</f>
        <v/>
      </c>
      <c r="F20" s="42"/>
      <c r="G20" s="42"/>
      <c r="H20" s="31" t="str">
        <f t="shared" si="0"/>
        <v/>
      </c>
      <c r="I20" s="43">
        <f ca="1">IFERROR(SUMPRODUCT((참고!$A$31:$A$130=C20)*(참고!$B$31:$B$130&lt;=A20)*(참고!$B$31:$B$130=_xludf.MAXIFS(참고!$B$31:$B$130,참고!$A$31:$A$130,C20,참고!$B$31:$B$130,"&lt;="&amp;A20))*참고!$C$31:$C$130)/100,0)</f>
        <v>0</v>
      </c>
      <c r="J20" s="31" t="str">
        <f t="shared" si="1"/>
        <v/>
      </c>
      <c r="K20" s="43">
        <f>IF(B20="매도",IFERROR(SUMPRODUCT((참고!$A$31:$A$130=C20)*(참고!$B$31:$B$130&lt;=A20)*(참고!$B$31:$B$130=_xludf.MAXIFS(참고!$B$31:$B$130,참고!$A$31:$A$130,C20,참고!$B$31:$B$130,"&lt;="&amp;A20))*참고!$D$31:$D$130)/100,0),0)</f>
        <v>0</v>
      </c>
      <c r="L20" s="31" t="str">
        <f t="shared" si="2"/>
        <v/>
      </c>
      <c r="M20" s="39"/>
    </row>
    <row r="21" spans="1:13" ht="18" customHeight="1" x14ac:dyDescent="0.45">
      <c r="A21" s="37"/>
      <c r="B21" s="29"/>
      <c r="C21" s="29"/>
      <c r="D21" s="28"/>
      <c r="E21" s="30" t="str">
        <f>IFERROR(VLOOKUP(D21,KRX종목마스터!$A:$B,2,FALSE),"")</f>
        <v/>
      </c>
      <c r="F21" s="42"/>
      <c r="G21" s="42"/>
      <c r="H21" s="31" t="str">
        <f t="shared" si="0"/>
        <v/>
      </c>
      <c r="I21" s="43">
        <f ca="1">IFERROR(SUMPRODUCT((참고!$A$31:$A$130=C21)*(참고!$B$31:$B$130&lt;=A21)*(참고!$B$31:$B$130=_xludf.MAXIFS(참고!$B$31:$B$130,참고!$A$31:$A$130,C21,참고!$B$31:$B$130,"&lt;="&amp;A21))*참고!$C$31:$C$130)/100,0)</f>
        <v>0</v>
      </c>
      <c r="J21" s="31" t="str">
        <f t="shared" si="1"/>
        <v/>
      </c>
      <c r="K21" s="43">
        <f>IF(B21="매도",IFERROR(SUMPRODUCT((참고!$A$31:$A$130=C21)*(참고!$B$31:$B$130&lt;=A21)*(참고!$B$31:$B$130=_xludf.MAXIFS(참고!$B$31:$B$130,참고!$A$31:$A$130,C21,참고!$B$31:$B$130,"&lt;="&amp;A21))*참고!$D$31:$D$130)/100,0),0)</f>
        <v>0</v>
      </c>
      <c r="L21" s="31" t="str">
        <f t="shared" si="2"/>
        <v/>
      </c>
      <c r="M21" s="39"/>
    </row>
    <row r="22" spans="1:13" ht="18" customHeight="1" x14ac:dyDescent="0.45">
      <c r="A22" s="37"/>
      <c r="B22" s="29"/>
      <c r="C22" s="29"/>
      <c r="D22" s="28"/>
      <c r="E22" s="30" t="str">
        <f>IFERROR(VLOOKUP(D22,KRX종목마스터!$A:$B,2,FALSE),"")</f>
        <v/>
      </c>
      <c r="F22" s="42"/>
      <c r="G22" s="42"/>
      <c r="H22" s="31" t="str">
        <f t="shared" si="0"/>
        <v/>
      </c>
      <c r="I22" s="43">
        <f ca="1">IFERROR(SUMPRODUCT((참고!$A$31:$A$130=C22)*(참고!$B$31:$B$130&lt;=A22)*(참고!$B$31:$B$130=_xludf.MAXIFS(참고!$B$31:$B$130,참고!$A$31:$A$130,C22,참고!$B$31:$B$130,"&lt;="&amp;A22))*참고!$C$31:$C$130)/100,0)</f>
        <v>0</v>
      </c>
      <c r="J22" s="31" t="str">
        <f t="shared" si="1"/>
        <v/>
      </c>
      <c r="K22" s="43">
        <f>IF(B22="매도",IFERROR(SUMPRODUCT((참고!$A$31:$A$130=C22)*(참고!$B$31:$B$130&lt;=A22)*(참고!$B$31:$B$130=_xludf.MAXIFS(참고!$B$31:$B$130,참고!$A$31:$A$130,C22,참고!$B$31:$B$130,"&lt;="&amp;A22))*참고!$D$31:$D$130)/100,0),0)</f>
        <v>0</v>
      </c>
      <c r="L22" s="31" t="str">
        <f t="shared" si="2"/>
        <v/>
      </c>
      <c r="M22" s="39"/>
    </row>
    <row r="23" spans="1:13" ht="18" customHeight="1" x14ac:dyDescent="0.45">
      <c r="A23" s="37"/>
      <c r="B23" s="29"/>
      <c r="C23" s="29"/>
      <c r="D23" s="28"/>
      <c r="E23" s="30" t="str">
        <f>IFERROR(VLOOKUP(D23,KRX종목마스터!$A:$B,2,FALSE),"")</f>
        <v/>
      </c>
      <c r="F23" s="42"/>
      <c r="G23" s="42"/>
      <c r="H23" s="31" t="str">
        <f t="shared" si="0"/>
        <v/>
      </c>
      <c r="I23" s="43">
        <f ca="1">IFERROR(SUMPRODUCT((참고!$A$31:$A$130=C23)*(참고!$B$31:$B$130&lt;=A23)*(참고!$B$31:$B$130=_xludf.MAXIFS(참고!$B$31:$B$130,참고!$A$31:$A$130,C23,참고!$B$31:$B$130,"&lt;="&amp;A23))*참고!$C$31:$C$130)/100,0)</f>
        <v>0</v>
      </c>
      <c r="J23" s="31" t="str">
        <f t="shared" si="1"/>
        <v/>
      </c>
      <c r="K23" s="43">
        <f>IF(B23="매도",IFERROR(SUMPRODUCT((참고!$A$31:$A$130=C23)*(참고!$B$31:$B$130&lt;=A23)*(참고!$B$31:$B$130=_xludf.MAXIFS(참고!$B$31:$B$130,참고!$A$31:$A$130,C23,참고!$B$31:$B$130,"&lt;="&amp;A23))*참고!$D$31:$D$130)/100,0),0)</f>
        <v>0</v>
      </c>
      <c r="L23" s="31" t="str">
        <f t="shared" si="2"/>
        <v/>
      </c>
      <c r="M23" s="39"/>
    </row>
    <row r="24" spans="1:13" ht="18" customHeight="1" x14ac:dyDescent="0.45">
      <c r="A24" s="37"/>
      <c r="B24" s="29"/>
      <c r="C24" s="29"/>
      <c r="D24" s="28"/>
      <c r="E24" s="30" t="str">
        <f>IFERROR(VLOOKUP(D24,KRX종목마스터!$A:$B,2,FALSE),"")</f>
        <v/>
      </c>
      <c r="F24" s="42"/>
      <c r="G24" s="42"/>
      <c r="H24" s="31" t="str">
        <f t="shared" si="0"/>
        <v/>
      </c>
      <c r="I24" s="43">
        <f ca="1">IFERROR(SUMPRODUCT((참고!$A$31:$A$130=C24)*(참고!$B$31:$B$130&lt;=A24)*(참고!$B$31:$B$130=_xludf.MAXIFS(참고!$B$31:$B$130,참고!$A$31:$A$130,C24,참고!$B$31:$B$130,"&lt;="&amp;A24))*참고!$C$31:$C$130)/100,0)</f>
        <v>0</v>
      </c>
      <c r="J24" s="31" t="str">
        <f t="shared" si="1"/>
        <v/>
      </c>
      <c r="K24" s="43">
        <f>IF(B24="매도",IFERROR(SUMPRODUCT((참고!$A$31:$A$130=C24)*(참고!$B$31:$B$130&lt;=A24)*(참고!$B$31:$B$130=_xludf.MAXIFS(참고!$B$31:$B$130,참고!$A$31:$A$130,C24,참고!$B$31:$B$130,"&lt;="&amp;A24))*참고!$D$31:$D$130)/100,0),0)</f>
        <v>0</v>
      </c>
      <c r="L24" s="31" t="str">
        <f t="shared" si="2"/>
        <v/>
      </c>
      <c r="M24" s="39"/>
    </row>
    <row r="25" spans="1:13" ht="18" customHeight="1" x14ac:dyDescent="0.45">
      <c r="A25" s="37"/>
      <c r="B25" s="29"/>
      <c r="C25" s="29"/>
      <c r="D25" s="28"/>
      <c r="E25" s="30" t="str">
        <f>IFERROR(VLOOKUP(D25,KRX종목마스터!$A:$B,2,FALSE),"")</f>
        <v/>
      </c>
      <c r="F25" s="42"/>
      <c r="G25" s="42"/>
      <c r="H25" s="31" t="str">
        <f t="shared" si="0"/>
        <v/>
      </c>
      <c r="I25" s="43">
        <f ca="1">IFERROR(SUMPRODUCT((참고!$A$31:$A$130=C25)*(참고!$B$31:$B$130&lt;=A25)*(참고!$B$31:$B$130=_xludf.MAXIFS(참고!$B$31:$B$130,참고!$A$31:$A$130,C25,참고!$B$31:$B$130,"&lt;="&amp;A25))*참고!$C$31:$C$130)/100,0)</f>
        <v>0</v>
      </c>
      <c r="J25" s="31" t="str">
        <f t="shared" si="1"/>
        <v/>
      </c>
      <c r="K25" s="43">
        <f>IF(B25="매도",IFERROR(SUMPRODUCT((참고!$A$31:$A$130=C25)*(참고!$B$31:$B$130&lt;=A25)*(참고!$B$31:$B$130=_xludf.MAXIFS(참고!$B$31:$B$130,참고!$A$31:$A$130,C25,참고!$B$31:$B$130,"&lt;="&amp;A25))*참고!$D$31:$D$130)/100,0),0)</f>
        <v>0</v>
      </c>
      <c r="L25" s="31" t="str">
        <f t="shared" si="2"/>
        <v/>
      </c>
      <c r="M25" s="39"/>
    </row>
    <row r="26" spans="1:13" ht="18" customHeight="1" x14ac:dyDescent="0.45">
      <c r="A26" s="37"/>
      <c r="B26" s="29"/>
      <c r="C26" s="29"/>
      <c r="D26" s="28"/>
      <c r="E26" s="30" t="str">
        <f>IFERROR(VLOOKUP(D26,KRX종목마스터!$A:$B,2,FALSE),"")</f>
        <v/>
      </c>
      <c r="F26" s="42"/>
      <c r="G26" s="42"/>
      <c r="H26" s="31" t="str">
        <f t="shared" si="0"/>
        <v/>
      </c>
      <c r="I26" s="43">
        <f ca="1">IFERROR(SUMPRODUCT((참고!$A$31:$A$130=C26)*(참고!$B$31:$B$130&lt;=A26)*(참고!$B$31:$B$130=_xludf.MAXIFS(참고!$B$31:$B$130,참고!$A$31:$A$130,C26,참고!$B$31:$B$130,"&lt;="&amp;A26))*참고!$C$31:$C$130)/100,0)</f>
        <v>0</v>
      </c>
      <c r="J26" s="31" t="str">
        <f t="shared" si="1"/>
        <v/>
      </c>
      <c r="K26" s="43">
        <f>IF(B26="매도",IFERROR(SUMPRODUCT((참고!$A$31:$A$130=C26)*(참고!$B$31:$B$130&lt;=A26)*(참고!$B$31:$B$130=_xludf.MAXIFS(참고!$B$31:$B$130,참고!$A$31:$A$130,C26,참고!$B$31:$B$130,"&lt;="&amp;A26))*참고!$D$31:$D$130)/100,0),0)</f>
        <v>0</v>
      </c>
      <c r="L26" s="31" t="str">
        <f t="shared" si="2"/>
        <v/>
      </c>
      <c r="M26" s="39"/>
    </row>
    <row r="27" spans="1:13" ht="18" customHeight="1" x14ac:dyDescent="0.45">
      <c r="A27" s="37"/>
      <c r="B27" s="29"/>
      <c r="C27" s="29"/>
      <c r="D27" s="28"/>
      <c r="E27" s="30" t="str">
        <f>IFERROR(VLOOKUP(D27,KRX종목마스터!$A:$B,2,FALSE),"")</f>
        <v/>
      </c>
      <c r="F27" s="42"/>
      <c r="G27" s="42"/>
      <c r="H27" s="31" t="str">
        <f t="shared" si="0"/>
        <v/>
      </c>
      <c r="I27" s="43">
        <f ca="1">IFERROR(SUMPRODUCT((참고!$A$31:$A$130=C27)*(참고!$B$31:$B$130&lt;=A27)*(참고!$B$31:$B$130=_xludf.MAXIFS(참고!$B$31:$B$130,참고!$A$31:$A$130,C27,참고!$B$31:$B$130,"&lt;="&amp;A27))*참고!$C$31:$C$130)/100,0)</f>
        <v>0</v>
      </c>
      <c r="J27" s="31" t="str">
        <f t="shared" si="1"/>
        <v/>
      </c>
      <c r="K27" s="43">
        <f>IF(B27="매도",IFERROR(SUMPRODUCT((참고!$A$31:$A$130=C27)*(참고!$B$31:$B$130&lt;=A27)*(참고!$B$31:$B$130=_xludf.MAXIFS(참고!$B$31:$B$130,참고!$A$31:$A$130,C27,참고!$B$31:$B$130,"&lt;="&amp;A27))*참고!$D$31:$D$130)/100,0),0)</f>
        <v>0</v>
      </c>
      <c r="L27" s="31" t="str">
        <f t="shared" si="2"/>
        <v/>
      </c>
      <c r="M27" s="39"/>
    </row>
    <row r="28" spans="1:13" ht="18" customHeight="1" x14ac:dyDescent="0.45">
      <c r="A28" s="37"/>
      <c r="B28" s="29"/>
      <c r="C28" s="29"/>
      <c r="D28" s="28"/>
      <c r="E28" s="30" t="str">
        <f>IFERROR(VLOOKUP(D28,KRX종목마스터!$A:$B,2,FALSE),"")</f>
        <v/>
      </c>
      <c r="F28" s="42"/>
      <c r="G28" s="42"/>
      <c r="H28" s="31" t="str">
        <f t="shared" si="0"/>
        <v/>
      </c>
      <c r="I28" s="43">
        <f ca="1">IFERROR(SUMPRODUCT((참고!$A$31:$A$130=C28)*(참고!$B$31:$B$130&lt;=A28)*(참고!$B$31:$B$130=_xludf.MAXIFS(참고!$B$31:$B$130,참고!$A$31:$A$130,C28,참고!$B$31:$B$130,"&lt;="&amp;A28))*참고!$C$31:$C$130)/100,0)</f>
        <v>0</v>
      </c>
      <c r="J28" s="31" t="str">
        <f t="shared" si="1"/>
        <v/>
      </c>
      <c r="K28" s="43">
        <f>IF(B28="매도",IFERROR(SUMPRODUCT((참고!$A$31:$A$130=C28)*(참고!$B$31:$B$130&lt;=A28)*(참고!$B$31:$B$130=_xludf.MAXIFS(참고!$B$31:$B$130,참고!$A$31:$A$130,C28,참고!$B$31:$B$130,"&lt;="&amp;A28))*참고!$D$31:$D$130)/100,0),0)</f>
        <v>0</v>
      </c>
      <c r="L28" s="31" t="str">
        <f t="shared" si="2"/>
        <v/>
      </c>
      <c r="M28" s="39"/>
    </row>
    <row r="29" spans="1:13" ht="18" customHeight="1" x14ac:dyDescent="0.45">
      <c r="A29" s="37"/>
      <c r="B29" s="29"/>
      <c r="C29" s="29"/>
      <c r="D29" s="28"/>
      <c r="E29" s="30" t="str">
        <f>IFERROR(VLOOKUP(D29,KRX종목마스터!$A:$B,2,FALSE),"")</f>
        <v/>
      </c>
      <c r="F29" s="42"/>
      <c r="G29" s="42"/>
      <c r="H29" s="31" t="str">
        <f t="shared" si="0"/>
        <v/>
      </c>
      <c r="I29" s="43">
        <f ca="1">IFERROR(SUMPRODUCT((참고!$A$31:$A$130=C29)*(참고!$B$31:$B$130&lt;=A29)*(참고!$B$31:$B$130=_xludf.MAXIFS(참고!$B$31:$B$130,참고!$A$31:$A$130,C29,참고!$B$31:$B$130,"&lt;="&amp;A29))*참고!$C$31:$C$130)/100,0)</f>
        <v>0</v>
      </c>
      <c r="J29" s="31" t="str">
        <f t="shared" si="1"/>
        <v/>
      </c>
      <c r="K29" s="43">
        <f>IF(B29="매도",IFERROR(SUMPRODUCT((참고!$A$31:$A$130=C29)*(참고!$B$31:$B$130&lt;=A29)*(참고!$B$31:$B$130=_xludf.MAXIFS(참고!$B$31:$B$130,참고!$A$31:$A$130,C29,참고!$B$31:$B$130,"&lt;="&amp;A29))*참고!$D$31:$D$130)/100,0),0)</f>
        <v>0</v>
      </c>
      <c r="L29" s="31" t="str">
        <f t="shared" si="2"/>
        <v/>
      </c>
      <c r="M29" s="39"/>
    </row>
    <row r="30" spans="1:13" ht="18" customHeight="1" x14ac:dyDescent="0.45">
      <c r="A30" s="37"/>
      <c r="B30" s="29"/>
      <c r="C30" s="29"/>
      <c r="D30" s="28"/>
      <c r="E30" s="30" t="str">
        <f>IFERROR(VLOOKUP(D30,KRX종목마스터!$A:$B,2,FALSE),"")</f>
        <v/>
      </c>
      <c r="F30" s="42"/>
      <c r="G30" s="42"/>
      <c r="H30" s="31" t="str">
        <f t="shared" si="0"/>
        <v/>
      </c>
      <c r="I30" s="43">
        <f ca="1">IFERROR(SUMPRODUCT((참고!$A$31:$A$130=C30)*(참고!$B$31:$B$130&lt;=A30)*(참고!$B$31:$B$130=_xludf.MAXIFS(참고!$B$31:$B$130,참고!$A$31:$A$130,C30,참고!$B$31:$B$130,"&lt;="&amp;A30))*참고!$C$31:$C$130)/100,0)</f>
        <v>0</v>
      </c>
      <c r="J30" s="31" t="str">
        <f t="shared" si="1"/>
        <v/>
      </c>
      <c r="K30" s="43">
        <f>IF(B30="매도",IFERROR(SUMPRODUCT((참고!$A$31:$A$130=C30)*(참고!$B$31:$B$130&lt;=A30)*(참고!$B$31:$B$130=_xludf.MAXIFS(참고!$B$31:$B$130,참고!$A$31:$A$130,C30,참고!$B$31:$B$130,"&lt;="&amp;A30))*참고!$D$31:$D$130)/100,0),0)</f>
        <v>0</v>
      </c>
      <c r="L30" s="31" t="str">
        <f t="shared" si="2"/>
        <v/>
      </c>
      <c r="M30" s="39"/>
    </row>
    <row r="31" spans="1:13" ht="18" customHeight="1" x14ac:dyDescent="0.45">
      <c r="A31" s="37"/>
      <c r="B31" s="29"/>
      <c r="C31" s="29"/>
      <c r="D31" s="28"/>
      <c r="E31" s="30" t="str">
        <f>IFERROR(VLOOKUP(D31,KRX종목마스터!$A:$B,2,FALSE),"")</f>
        <v/>
      </c>
      <c r="F31" s="42"/>
      <c r="G31" s="42"/>
      <c r="H31" s="31" t="str">
        <f t="shared" si="0"/>
        <v/>
      </c>
      <c r="I31" s="43">
        <f ca="1">IFERROR(SUMPRODUCT((참고!$A$31:$A$130=C31)*(참고!$B$31:$B$130&lt;=A31)*(참고!$B$31:$B$130=_xludf.MAXIFS(참고!$B$31:$B$130,참고!$A$31:$A$130,C31,참고!$B$31:$B$130,"&lt;="&amp;A31))*참고!$C$31:$C$130)/100,0)</f>
        <v>0</v>
      </c>
      <c r="J31" s="31" t="str">
        <f t="shared" si="1"/>
        <v/>
      </c>
      <c r="K31" s="43">
        <f>IF(B31="매도",IFERROR(SUMPRODUCT((참고!$A$31:$A$130=C31)*(참고!$B$31:$B$130&lt;=A31)*(참고!$B$31:$B$130=_xludf.MAXIFS(참고!$B$31:$B$130,참고!$A$31:$A$130,C31,참고!$B$31:$B$130,"&lt;="&amp;A31))*참고!$D$31:$D$130)/100,0),0)</f>
        <v>0</v>
      </c>
      <c r="L31" s="31" t="str">
        <f t="shared" si="2"/>
        <v/>
      </c>
      <c r="M31" s="39"/>
    </row>
    <row r="32" spans="1:13" ht="18" customHeight="1" x14ac:dyDescent="0.45">
      <c r="A32" s="37"/>
      <c r="B32" s="29"/>
      <c r="C32" s="29"/>
      <c r="D32" s="28"/>
      <c r="E32" s="30" t="str">
        <f>IFERROR(VLOOKUP(D32,KRX종목마스터!$A:$B,2,FALSE),"")</f>
        <v/>
      </c>
      <c r="F32" s="42"/>
      <c r="G32" s="42"/>
      <c r="H32" s="31" t="str">
        <f t="shared" si="0"/>
        <v/>
      </c>
      <c r="I32" s="43">
        <f ca="1">IFERROR(SUMPRODUCT((참고!$A$31:$A$130=C32)*(참고!$B$31:$B$130&lt;=A32)*(참고!$B$31:$B$130=_xludf.MAXIFS(참고!$B$31:$B$130,참고!$A$31:$A$130,C32,참고!$B$31:$B$130,"&lt;="&amp;A32))*참고!$C$31:$C$130)/100,0)</f>
        <v>0</v>
      </c>
      <c r="J32" s="31" t="str">
        <f t="shared" si="1"/>
        <v/>
      </c>
      <c r="K32" s="43">
        <f>IF(B32="매도",IFERROR(SUMPRODUCT((참고!$A$31:$A$130=C32)*(참고!$B$31:$B$130&lt;=A32)*(참고!$B$31:$B$130=_xludf.MAXIFS(참고!$B$31:$B$130,참고!$A$31:$A$130,C32,참고!$B$31:$B$130,"&lt;="&amp;A32))*참고!$D$31:$D$130)/100,0),0)</f>
        <v>0</v>
      </c>
      <c r="L32" s="31" t="str">
        <f t="shared" si="2"/>
        <v/>
      </c>
      <c r="M32" s="39"/>
    </row>
    <row r="33" spans="1:13" ht="18" customHeight="1" x14ac:dyDescent="0.45">
      <c r="A33" s="37"/>
      <c r="B33" s="29"/>
      <c r="C33" s="29"/>
      <c r="D33" s="28"/>
      <c r="E33" s="30" t="str">
        <f>IFERROR(VLOOKUP(D33,KRX종목마스터!$A:$B,2,FALSE),"")</f>
        <v/>
      </c>
      <c r="F33" s="42"/>
      <c r="G33" s="42"/>
      <c r="H33" s="31" t="str">
        <f t="shared" si="0"/>
        <v/>
      </c>
      <c r="I33" s="43">
        <f ca="1">IFERROR(SUMPRODUCT((참고!$A$31:$A$130=C33)*(참고!$B$31:$B$130&lt;=A33)*(참고!$B$31:$B$130=_xludf.MAXIFS(참고!$B$31:$B$130,참고!$A$31:$A$130,C33,참고!$B$31:$B$130,"&lt;="&amp;A33))*참고!$C$31:$C$130)/100,0)</f>
        <v>0</v>
      </c>
      <c r="J33" s="31" t="str">
        <f t="shared" si="1"/>
        <v/>
      </c>
      <c r="K33" s="43">
        <f>IF(B33="매도",IFERROR(SUMPRODUCT((참고!$A$31:$A$130=C33)*(참고!$B$31:$B$130&lt;=A33)*(참고!$B$31:$B$130=_xludf.MAXIFS(참고!$B$31:$B$130,참고!$A$31:$A$130,C33,참고!$B$31:$B$130,"&lt;="&amp;A33))*참고!$D$31:$D$130)/100,0),0)</f>
        <v>0</v>
      </c>
      <c r="L33" s="31" t="str">
        <f t="shared" si="2"/>
        <v/>
      </c>
      <c r="M33" s="39"/>
    </row>
    <row r="34" spans="1:13" ht="18" customHeight="1" x14ac:dyDescent="0.45">
      <c r="A34" s="37"/>
      <c r="B34" s="29"/>
      <c r="C34" s="29"/>
      <c r="D34" s="28"/>
      <c r="E34" s="30" t="str">
        <f>IFERROR(VLOOKUP(D34,KRX종목마스터!$A:$B,2,FALSE),"")</f>
        <v/>
      </c>
      <c r="F34" s="42"/>
      <c r="G34" s="42"/>
      <c r="H34" s="31" t="str">
        <f t="shared" si="0"/>
        <v/>
      </c>
      <c r="I34" s="43">
        <f ca="1">IFERROR(SUMPRODUCT((참고!$A$31:$A$130=C34)*(참고!$B$31:$B$130&lt;=A34)*(참고!$B$31:$B$130=_xludf.MAXIFS(참고!$B$31:$B$130,참고!$A$31:$A$130,C34,참고!$B$31:$B$130,"&lt;="&amp;A34))*참고!$C$31:$C$130)/100,0)</f>
        <v>0</v>
      </c>
      <c r="J34" s="31" t="str">
        <f t="shared" si="1"/>
        <v/>
      </c>
      <c r="K34" s="43">
        <f>IF(B34="매도",IFERROR(SUMPRODUCT((참고!$A$31:$A$130=C34)*(참고!$B$31:$B$130&lt;=A34)*(참고!$B$31:$B$130=_xludf.MAXIFS(참고!$B$31:$B$130,참고!$A$31:$A$130,C34,참고!$B$31:$B$130,"&lt;="&amp;A34))*참고!$D$31:$D$130)/100,0),0)</f>
        <v>0</v>
      </c>
      <c r="L34" s="31" t="str">
        <f t="shared" si="2"/>
        <v/>
      </c>
      <c r="M34" s="39"/>
    </row>
    <row r="35" spans="1:13" ht="18" customHeight="1" x14ac:dyDescent="0.45">
      <c r="A35" s="37"/>
      <c r="B35" s="29"/>
      <c r="C35" s="29"/>
      <c r="D35" s="28"/>
      <c r="E35" s="30" t="str">
        <f>IFERROR(VLOOKUP(D35,KRX종목마스터!$A:$B,2,FALSE),"")</f>
        <v/>
      </c>
      <c r="F35" s="42"/>
      <c r="G35" s="42"/>
      <c r="H35" s="31" t="str">
        <f t="shared" si="0"/>
        <v/>
      </c>
      <c r="I35" s="43">
        <f ca="1">IFERROR(SUMPRODUCT((참고!$A$31:$A$130=C35)*(참고!$B$31:$B$130&lt;=A35)*(참고!$B$31:$B$130=_xludf.MAXIFS(참고!$B$31:$B$130,참고!$A$31:$A$130,C35,참고!$B$31:$B$130,"&lt;="&amp;A35))*참고!$C$31:$C$130)/100,0)</f>
        <v>0</v>
      </c>
      <c r="J35" s="31" t="str">
        <f t="shared" si="1"/>
        <v/>
      </c>
      <c r="K35" s="43">
        <f>IF(B35="매도",IFERROR(SUMPRODUCT((참고!$A$31:$A$130=C35)*(참고!$B$31:$B$130&lt;=A35)*(참고!$B$31:$B$130=_xludf.MAXIFS(참고!$B$31:$B$130,참고!$A$31:$A$130,C35,참고!$B$31:$B$130,"&lt;="&amp;A35))*참고!$D$31:$D$130)/100,0),0)</f>
        <v>0</v>
      </c>
      <c r="L35" s="31" t="str">
        <f t="shared" si="2"/>
        <v/>
      </c>
      <c r="M35" s="39"/>
    </row>
    <row r="36" spans="1:13" ht="18" customHeight="1" x14ac:dyDescent="0.45">
      <c r="A36" s="37"/>
      <c r="B36" s="29"/>
      <c r="C36" s="29"/>
      <c r="D36" s="28"/>
      <c r="E36" s="30" t="str">
        <f>IFERROR(VLOOKUP(D36,KRX종목마스터!$A:$B,2,FALSE),"")</f>
        <v/>
      </c>
      <c r="F36" s="42"/>
      <c r="G36" s="42"/>
      <c r="H36" s="31" t="str">
        <f t="shared" si="0"/>
        <v/>
      </c>
      <c r="I36" s="43">
        <f ca="1">IFERROR(SUMPRODUCT((참고!$A$31:$A$130=C36)*(참고!$B$31:$B$130&lt;=A36)*(참고!$B$31:$B$130=_xludf.MAXIFS(참고!$B$31:$B$130,참고!$A$31:$A$130,C36,참고!$B$31:$B$130,"&lt;="&amp;A36))*참고!$C$31:$C$130)/100,0)</f>
        <v>0</v>
      </c>
      <c r="J36" s="31" t="str">
        <f t="shared" si="1"/>
        <v/>
      </c>
      <c r="K36" s="43">
        <f>IF(B36="매도",IFERROR(SUMPRODUCT((참고!$A$31:$A$130=C36)*(참고!$B$31:$B$130&lt;=A36)*(참고!$B$31:$B$130=_xludf.MAXIFS(참고!$B$31:$B$130,참고!$A$31:$A$130,C36,참고!$B$31:$B$130,"&lt;="&amp;A36))*참고!$D$31:$D$130)/100,0),0)</f>
        <v>0</v>
      </c>
      <c r="L36" s="31" t="str">
        <f t="shared" si="2"/>
        <v/>
      </c>
      <c r="M36" s="39"/>
    </row>
    <row r="37" spans="1:13" ht="18" customHeight="1" x14ac:dyDescent="0.45">
      <c r="A37" s="37"/>
      <c r="B37" s="29"/>
      <c r="C37" s="29"/>
      <c r="D37" s="28"/>
      <c r="E37" s="30" t="str">
        <f>IFERROR(VLOOKUP(D37,KRX종목마스터!$A:$B,2,FALSE),"")</f>
        <v/>
      </c>
      <c r="F37" s="42"/>
      <c r="G37" s="42"/>
      <c r="H37" s="31" t="str">
        <f t="shared" si="0"/>
        <v/>
      </c>
      <c r="I37" s="43">
        <f ca="1">IFERROR(SUMPRODUCT((참고!$A$31:$A$130=C37)*(참고!$B$31:$B$130&lt;=A37)*(참고!$B$31:$B$130=_xludf.MAXIFS(참고!$B$31:$B$130,참고!$A$31:$A$130,C37,참고!$B$31:$B$130,"&lt;="&amp;A37))*참고!$C$31:$C$130)/100,0)</f>
        <v>0</v>
      </c>
      <c r="J37" s="31" t="str">
        <f t="shared" si="1"/>
        <v/>
      </c>
      <c r="K37" s="43">
        <f>IF(B37="매도",IFERROR(SUMPRODUCT((참고!$A$31:$A$130=C37)*(참고!$B$31:$B$130&lt;=A37)*(참고!$B$31:$B$130=_xludf.MAXIFS(참고!$B$31:$B$130,참고!$A$31:$A$130,C37,참고!$B$31:$B$130,"&lt;="&amp;A37))*참고!$D$31:$D$130)/100,0),0)</f>
        <v>0</v>
      </c>
      <c r="L37" s="31" t="str">
        <f t="shared" si="2"/>
        <v/>
      </c>
      <c r="M37" s="39"/>
    </row>
    <row r="38" spans="1:13" ht="18" customHeight="1" x14ac:dyDescent="0.45">
      <c r="A38" s="37"/>
      <c r="B38" s="29"/>
      <c r="C38" s="29"/>
      <c r="D38" s="28"/>
      <c r="E38" s="30" t="str">
        <f>IFERROR(VLOOKUP(D38,KRX종목마스터!$A:$B,2,FALSE),"")</f>
        <v/>
      </c>
      <c r="F38" s="42"/>
      <c r="G38" s="42"/>
      <c r="H38" s="31" t="str">
        <f t="shared" si="0"/>
        <v/>
      </c>
      <c r="I38" s="43">
        <f ca="1">IFERROR(SUMPRODUCT((참고!$A$31:$A$130=C38)*(참고!$B$31:$B$130&lt;=A38)*(참고!$B$31:$B$130=_xludf.MAXIFS(참고!$B$31:$B$130,참고!$A$31:$A$130,C38,참고!$B$31:$B$130,"&lt;="&amp;A38))*참고!$C$31:$C$130)/100,0)</f>
        <v>0</v>
      </c>
      <c r="J38" s="31" t="str">
        <f t="shared" si="1"/>
        <v/>
      </c>
      <c r="K38" s="43">
        <f>IF(B38="매도",IFERROR(SUMPRODUCT((참고!$A$31:$A$130=C38)*(참고!$B$31:$B$130&lt;=A38)*(참고!$B$31:$B$130=_xludf.MAXIFS(참고!$B$31:$B$130,참고!$A$31:$A$130,C38,참고!$B$31:$B$130,"&lt;="&amp;A38))*참고!$D$31:$D$130)/100,0),0)</f>
        <v>0</v>
      </c>
      <c r="L38" s="31" t="str">
        <f t="shared" si="2"/>
        <v/>
      </c>
      <c r="M38" s="39"/>
    </row>
    <row r="39" spans="1:13" ht="18" customHeight="1" x14ac:dyDescent="0.45">
      <c r="A39" s="37"/>
      <c r="B39" s="29"/>
      <c r="C39" s="29"/>
      <c r="D39" s="28"/>
      <c r="E39" s="30" t="str">
        <f>IFERROR(VLOOKUP(D39,KRX종목마스터!$A:$B,2,FALSE),"")</f>
        <v/>
      </c>
      <c r="F39" s="42"/>
      <c r="G39" s="42"/>
      <c r="H39" s="31" t="str">
        <f t="shared" si="0"/>
        <v/>
      </c>
      <c r="I39" s="43">
        <f ca="1">IFERROR(SUMPRODUCT((참고!$A$31:$A$130=C39)*(참고!$B$31:$B$130&lt;=A39)*(참고!$B$31:$B$130=_xludf.MAXIFS(참고!$B$31:$B$130,참고!$A$31:$A$130,C39,참고!$B$31:$B$130,"&lt;="&amp;A39))*참고!$C$31:$C$130)/100,0)</f>
        <v>0</v>
      </c>
      <c r="J39" s="31" t="str">
        <f t="shared" si="1"/>
        <v/>
      </c>
      <c r="K39" s="43">
        <f>IF(B39="매도",IFERROR(SUMPRODUCT((참고!$A$31:$A$130=C39)*(참고!$B$31:$B$130&lt;=A39)*(참고!$B$31:$B$130=_xludf.MAXIFS(참고!$B$31:$B$130,참고!$A$31:$A$130,C39,참고!$B$31:$B$130,"&lt;="&amp;A39))*참고!$D$31:$D$130)/100,0),0)</f>
        <v>0</v>
      </c>
      <c r="L39" s="31" t="str">
        <f t="shared" si="2"/>
        <v/>
      </c>
      <c r="M39" s="39"/>
    </row>
    <row r="40" spans="1:13" ht="18" customHeight="1" x14ac:dyDescent="0.45">
      <c r="A40" s="37"/>
      <c r="B40" s="29"/>
      <c r="C40" s="29"/>
      <c r="D40" s="28"/>
      <c r="E40" s="30" t="str">
        <f>IFERROR(VLOOKUP(D40,KRX종목마스터!$A:$B,2,FALSE),"")</f>
        <v/>
      </c>
      <c r="F40" s="42"/>
      <c r="G40" s="42"/>
      <c r="H40" s="31" t="str">
        <f t="shared" si="0"/>
        <v/>
      </c>
      <c r="I40" s="43">
        <f ca="1">IFERROR(SUMPRODUCT((참고!$A$31:$A$130=C40)*(참고!$B$31:$B$130&lt;=A40)*(참고!$B$31:$B$130=_xludf.MAXIFS(참고!$B$31:$B$130,참고!$A$31:$A$130,C40,참고!$B$31:$B$130,"&lt;="&amp;A40))*참고!$C$31:$C$130)/100,0)</f>
        <v>0</v>
      </c>
      <c r="J40" s="31" t="str">
        <f t="shared" si="1"/>
        <v/>
      </c>
      <c r="K40" s="43">
        <f>IF(B40="매도",IFERROR(SUMPRODUCT((참고!$A$31:$A$130=C40)*(참고!$B$31:$B$130&lt;=A40)*(참고!$B$31:$B$130=_xludf.MAXIFS(참고!$B$31:$B$130,참고!$A$31:$A$130,C40,참고!$B$31:$B$130,"&lt;="&amp;A40))*참고!$D$31:$D$130)/100,0),0)</f>
        <v>0</v>
      </c>
      <c r="L40" s="31" t="str">
        <f t="shared" si="2"/>
        <v/>
      </c>
      <c r="M40" s="39"/>
    </row>
    <row r="41" spans="1:13" ht="18" customHeight="1" x14ac:dyDescent="0.45">
      <c r="A41" s="37"/>
      <c r="B41" s="29"/>
      <c r="C41" s="29"/>
      <c r="D41" s="28"/>
      <c r="E41" s="30" t="str">
        <f>IFERROR(VLOOKUP(D41,KRX종목마스터!$A:$B,2,FALSE),"")</f>
        <v/>
      </c>
      <c r="F41" s="42"/>
      <c r="G41" s="42"/>
      <c r="H41" s="31" t="str">
        <f t="shared" si="0"/>
        <v/>
      </c>
      <c r="I41" s="43">
        <f ca="1">IFERROR(SUMPRODUCT((참고!$A$31:$A$130=C41)*(참고!$B$31:$B$130&lt;=A41)*(참고!$B$31:$B$130=_xludf.MAXIFS(참고!$B$31:$B$130,참고!$A$31:$A$130,C41,참고!$B$31:$B$130,"&lt;="&amp;A41))*참고!$C$31:$C$130)/100,0)</f>
        <v>0</v>
      </c>
      <c r="J41" s="31" t="str">
        <f t="shared" si="1"/>
        <v/>
      </c>
      <c r="K41" s="43">
        <f>IF(B41="매도",IFERROR(SUMPRODUCT((참고!$A$31:$A$130=C41)*(참고!$B$31:$B$130&lt;=A41)*(참고!$B$31:$B$130=_xludf.MAXIFS(참고!$B$31:$B$130,참고!$A$31:$A$130,C41,참고!$B$31:$B$130,"&lt;="&amp;A41))*참고!$D$31:$D$130)/100,0),0)</f>
        <v>0</v>
      </c>
      <c r="L41" s="31" t="str">
        <f t="shared" si="2"/>
        <v/>
      </c>
      <c r="M41" s="39"/>
    </row>
    <row r="42" spans="1:13" ht="18" customHeight="1" x14ac:dyDescent="0.45">
      <c r="A42" s="37"/>
      <c r="B42" s="29"/>
      <c r="C42" s="29"/>
      <c r="D42" s="28"/>
      <c r="E42" s="30" t="str">
        <f>IFERROR(VLOOKUP(D42,KRX종목마스터!$A:$B,2,FALSE),"")</f>
        <v/>
      </c>
      <c r="F42" s="42"/>
      <c r="G42" s="42"/>
      <c r="H42" s="31" t="str">
        <f t="shared" si="0"/>
        <v/>
      </c>
      <c r="I42" s="43">
        <f ca="1">IFERROR(SUMPRODUCT((참고!$A$31:$A$130=C42)*(참고!$B$31:$B$130&lt;=A42)*(참고!$B$31:$B$130=_xludf.MAXIFS(참고!$B$31:$B$130,참고!$A$31:$A$130,C42,참고!$B$31:$B$130,"&lt;="&amp;A42))*참고!$C$31:$C$130)/100,0)</f>
        <v>0</v>
      </c>
      <c r="J42" s="31" t="str">
        <f t="shared" si="1"/>
        <v/>
      </c>
      <c r="K42" s="43">
        <f>IF(B42="매도",IFERROR(SUMPRODUCT((참고!$A$31:$A$130=C42)*(참고!$B$31:$B$130&lt;=A42)*(참고!$B$31:$B$130=_xludf.MAXIFS(참고!$B$31:$B$130,참고!$A$31:$A$130,C42,참고!$B$31:$B$130,"&lt;="&amp;A42))*참고!$D$31:$D$130)/100,0),0)</f>
        <v>0</v>
      </c>
      <c r="L42" s="31" t="str">
        <f t="shared" si="2"/>
        <v/>
      </c>
      <c r="M42" s="39"/>
    </row>
    <row r="43" spans="1:13" ht="18" customHeight="1" x14ac:dyDescent="0.45">
      <c r="A43" s="37"/>
      <c r="B43" s="29"/>
      <c r="C43" s="29"/>
      <c r="D43" s="28"/>
      <c r="E43" s="30" t="str">
        <f>IFERROR(VLOOKUP(D43,KRX종목마스터!$A:$B,2,FALSE),"")</f>
        <v/>
      </c>
      <c r="F43" s="42"/>
      <c r="G43" s="42"/>
      <c r="H43" s="31" t="str">
        <f t="shared" si="0"/>
        <v/>
      </c>
      <c r="I43" s="43">
        <f ca="1">IFERROR(SUMPRODUCT((참고!$A$31:$A$130=C43)*(참고!$B$31:$B$130&lt;=A43)*(참고!$B$31:$B$130=_xludf.MAXIFS(참고!$B$31:$B$130,참고!$A$31:$A$130,C43,참고!$B$31:$B$130,"&lt;="&amp;A43))*참고!$C$31:$C$130)/100,0)</f>
        <v>0</v>
      </c>
      <c r="J43" s="31" t="str">
        <f t="shared" si="1"/>
        <v/>
      </c>
      <c r="K43" s="43">
        <f>IF(B43="매도",IFERROR(SUMPRODUCT((참고!$A$31:$A$130=C43)*(참고!$B$31:$B$130&lt;=A43)*(참고!$B$31:$B$130=_xludf.MAXIFS(참고!$B$31:$B$130,참고!$A$31:$A$130,C43,참고!$B$31:$B$130,"&lt;="&amp;A43))*참고!$D$31:$D$130)/100,0),0)</f>
        <v>0</v>
      </c>
      <c r="L43" s="31" t="str">
        <f t="shared" si="2"/>
        <v/>
      </c>
      <c r="M43" s="39"/>
    </row>
    <row r="44" spans="1:13" ht="18" customHeight="1" x14ac:dyDescent="0.45">
      <c r="A44" s="37"/>
      <c r="B44" s="29"/>
      <c r="C44" s="29"/>
      <c r="D44" s="28"/>
      <c r="E44" s="30" t="str">
        <f>IFERROR(VLOOKUP(D44,KRX종목마스터!$A:$B,2,FALSE),"")</f>
        <v/>
      </c>
      <c r="F44" s="42"/>
      <c r="G44" s="42"/>
      <c r="H44" s="31" t="str">
        <f t="shared" si="0"/>
        <v/>
      </c>
      <c r="I44" s="43">
        <f ca="1">IFERROR(SUMPRODUCT((참고!$A$31:$A$130=C44)*(참고!$B$31:$B$130&lt;=A44)*(참고!$B$31:$B$130=_xludf.MAXIFS(참고!$B$31:$B$130,참고!$A$31:$A$130,C44,참고!$B$31:$B$130,"&lt;="&amp;A44))*참고!$C$31:$C$130)/100,0)</f>
        <v>0</v>
      </c>
      <c r="J44" s="31" t="str">
        <f t="shared" si="1"/>
        <v/>
      </c>
      <c r="K44" s="43">
        <f>IF(B44="매도",IFERROR(SUMPRODUCT((참고!$A$31:$A$130=C44)*(참고!$B$31:$B$130&lt;=A44)*(참고!$B$31:$B$130=_xludf.MAXIFS(참고!$B$31:$B$130,참고!$A$31:$A$130,C44,참고!$B$31:$B$130,"&lt;="&amp;A44))*참고!$D$31:$D$130)/100,0),0)</f>
        <v>0</v>
      </c>
      <c r="L44" s="31" t="str">
        <f t="shared" si="2"/>
        <v/>
      </c>
      <c r="M44" s="39"/>
    </row>
    <row r="45" spans="1:13" ht="18" customHeight="1" x14ac:dyDescent="0.45">
      <c r="A45" s="37"/>
      <c r="B45" s="29"/>
      <c r="C45" s="29"/>
      <c r="D45" s="28"/>
      <c r="E45" s="30" t="str">
        <f>IFERROR(VLOOKUP(D45,KRX종목마스터!$A:$B,2,FALSE),"")</f>
        <v/>
      </c>
      <c r="F45" s="42"/>
      <c r="G45" s="42"/>
      <c r="H45" s="31" t="str">
        <f t="shared" si="0"/>
        <v/>
      </c>
      <c r="I45" s="43">
        <f ca="1">IFERROR(SUMPRODUCT((참고!$A$31:$A$130=C45)*(참고!$B$31:$B$130&lt;=A45)*(참고!$B$31:$B$130=_xludf.MAXIFS(참고!$B$31:$B$130,참고!$A$31:$A$130,C45,참고!$B$31:$B$130,"&lt;="&amp;A45))*참고!$C$31:$C$130)/100,0)</f>
        <v>0</v>
      </c>
      <c r="J45" s="31" t="str">
        <f t="shared" si="1"/>
        <v/>
      </c>
      <c r="K45" s="43">
        <f>IF(B45="매도",IFERROR(SUMPRODUCT((참고!$A$31:$A$130=C45)*(참고!$B$31:$B$130&lt;=A45)*(참고!$B$31:$B$130=_xludf.MAXIFS(참고!$B$31:$B$130,참고!$A$31:$A$130,C45,참고!$B$31:$B$130,"&lt;="&amp;A45))*참고!$D$31:$D$130)/100,0),0)</f>
        <v>0</v>
      </c>
      <c r="L45" s="31" t="str">
        <f t="shared" si="2"/>
        <v/>
      </c>
      <c r="M45" s="39"/>
    </row>
    <row r="46" spans="1:13" ht="18" customHeight="1" x14ac:dyDescent="0.45">
      <c r="A46" s="37"/>
      <c r="B46" s="29"/>
      <c r="C46" s="29"/>
      <c r="D46" s="28"/>
      <c r="E46" s="30" t="str">
        <f>IFERROR(VLOOKUP(D46,KRX종목마스터!$A:$B,2,FALSE),"")</f>
        <v/>
      </c>
      <c r="F46" s="42"/>
      <c r="G46" s="42"/>
      <c r="H46" s="31" t="str">
        <f t="shared" si="0"/>
        <v/>
      </c>
      <c r="I46" s="43">
        <f ca="1">IFERROR(SUMPRODUCT((참고!$A$31:$A$130=C46)*(참고!$B$31:$B$130&lt;=A46)*(참고!$B$31:$B$130=_xludf.MAXIFS(참고!$B$31:$B$130,참고!$A$31:$A$130,C46,참고!$B$31:$B$130,"&lt;="&amp;A46))*참고!$C$31:$C$130)/100,0)</f>
        <v>0</v>
      </c>
      <c r="J46" s="31" t="str">
        <f t="shared" si="1"/>
        <v/>
      </c>
      <c r="K46" s="43">
        <f>IF(B46="매도",IFERROR(SUMPRODUCT((참고!$A$31:$A$130=C46)*(참고!$B$31:$B$130&lt;=A46)*(참고!$B$31:$B$130=_xludf.MAXIFS(참고!$B$31:$B$130,참고!$A$31:$A$130,C46,참고!$B$31:$B$130,"&lt;="&amp;A46))*참고!$D$31:$D$130)/100,0),0)</f>
        <v>0</v>
      </c>
      <c r="L46" s="31" t="str">
        <f t="shared" si="2"/>
        <v/>
      </c>
      <c r="M46" s="39"/>
    </row>
    <row r="47" spans="1:13" ht="18" customHeight="1" x14ac:dyDescent="0.45">
      <c r="A47" s="37"/>
      <c r="B47" s="29"/>
      <c r="C47" s="29"/>
      <c r="D47" s="28"/>
      <c r="E47" s="30" t="str">
        <f>IFERROR(VLOOKUP(D47,KRX종목마스터!$A:$B,2,FALSE),"")</f>
        <v/>
      </c>
      <c r="F47" s="42"/>
      <c r="G47" s="42"/>
      <c r="H47" s="31" t="str">
        <f t="shared" si="0"/>
        <v/>
      </c>
      <c r="I47" s="43">
        <f ca="1">IFERROR(SUMPRODUCT((참고!$A$31:$A$130=C47)*(참고!$B$31:$B$130&lt;=A47)*(참고!$B$31:$B$130=_xludf.MAXIFS(참고!$B$31:$B$130,참고!$A$31:$A$130,C47,참고!$B$31:$B$130,"&lt;="&amp;A47))*참고!$C$31:$C$130)/100,0)</f>
        <v>0</v>
      </c>
      <c r="J47" s="31" t="str">
        <f t="shared" si="1"/>
        <v/>
      </c>
      <c r="K47" s="43">
        <f>IF(B47="매도",IFERROR(SUMPRODUCT((참고!$A$31:$A$130=C47)*(참고!$B$31:$B$130&lt;=A47)*(참고!$B$31:$B$130=_xludf.MAXIFS(참고!$B$31:$B$130,참고!$A$31:$A$130,C47,참고!$B$31:$B$130,"&lt;="&amp;A47))*참고!$D$31:$D$130)/100,0),0)</f>
        <v>0</v>
      </c>
      <c r="L47" s="31" t="str">
        <f t="shared" si="2"/>
        <v/>
      </c>
      <c r="M47" s="39"/>
    </row>
    <row r="48" spans="1:13" ht="18" customHeight="1" x14ac:dyDescent="0.45">
      <c r="A48" s="37"/>
      <c r="B48" s="29"/>
      <c r="C48" s="29"/>
      <c r="D48" s="28"/>
      <c r="E48" s="30" t="str">
        <f>IFERROR(VLOOKUP(D48,KRX종목마스터!$A:$B,2,FALSE),"")</f>
        <v/>
      </c>
      <c r="F48" s="42"/>
      <c r="G48" s="42"/>
      <c r="H48" s="31" t="str">
        <f t="shared" si="0"/>
        <v/>
      </c>
      <c r="I48" s="43">
        <f ca="1">IFERROR(SUMPRODUCT((참고!$A$31:$A$130=C48)*(참고!$B$31:$B$130&lt;=A48)*(참고!$B$31:$B$130=_xludf.MAXIFS(참고!$B$31:$B$130,참고!$A$31:$A$130,C48,참고!$B$31:$B$130,"&lt;="&amp;A48))*참고!$C$31:$C$130)/100,0)</f>
        <v>0</v>
      </c>
      <c r="J48" s="31" t="str">
        <f t="shared" si="1"/>
        <v/>
      </c>
      <c r="K48" s="43">
        <f>IF(B48="매도",IFERROR(SUMPRODUCT((참고!$A$31:$A$130=C48)*(참고!$B$31:$B$130&lt;=A48)*(참고!$B$31:$B$130=_xludf.MAXIFS(참고!$B$31:$B$130,참고!$A$31:$A$130,C48,참고!$B$31:$B$130,"&lt;="&amp;A48))*참고!$D$31:$D$130)/100,0),0)</f>
        <v>0</v>
      </c>
      <c r="L48" s="31" t="str">
        <f t="shared" si="2"/>
        <v/>
      </c>
      <c r="M48" s="39"/>
    </row>
    <row r="49" spans="1:13" ht="18" customHeight="1" x14ac:dyDescent="0.45">
      <c r="A49" s="37"/>
      <c r="B49" s="29"/>
      <c r="C49" s="29"/>
      <c r="D49" s="28"/>
      <c r="E49" s="30" t="str">
        <f>IFERROR(VLOOKUP(D49,KRX종목마스터!$A:$B,2,FALSE),"")</f>
        <v/>
      </c>
      <c r="F49" s="42"/>
      <c r="G49" s="42"/>
      <c r="H49" s="31" t="str">
        <f t="shared" si="0"/>
        <v/>
      </c>
      <c r="I49" s="43">
        <f ca="1">IFERROR(SUMPRODUCT((참고!$A$31:$A$130=C49)*(참고!$B$31:$B$130&lt;=A49)*(참고!$B$31:$B$130=_xludf.MAXIFS(참고!$B$31:$B$130,참고!$A$31:$A$130,C49,참고!$B$31:$B$130,"&lt;="&amp;A49))*참고!$C$31:$C$130)/100,0)</f>
        <v>0</v>
      </c>
      <c r="J49" s="31" t="str">
        <f t="shared" si="1"/>
        <v/>
      </c>
      <c r="K49" s="43">
        <f>IF(B49="매도",IFERROR(SUMPRODUCT((참고!$A$31:$A$130=C49)*(참고!$B$31:$B$130&lt;=A49)*(참고!$B$31:$B$130=_xludf.MAXIFS(참고!$B$31:$B$130,참고!$A$31:$A$130,C49,참고!$B$31:$B$130,"&lt;="&amp;A49))*참고!$D$31:$D$130)/100,0),0)</f>
        <v>0</v>
      </c>
      <c r="L49" s="31" t="str">
        <f t="shared" si="2"/>
        <v/>
      </c>
      <c r="M49" s="39"/>
    </row>
    <row r="50" spans="1:13" ht="18" customHeight="1" x14ac:dyDescent="0.45">
      <c r="A50" s="37"/>
      <c r="B50" s="29"/>
      <c r="C50" s="29"/>
      <c r="D50" s="28"/>
      <c r="E50" s="30" t="str">
        <f>IFERROR(VLOOKUP(D50,KRX종목마스터!$A:$B,2,FALSE),"")</f>
        <v/>
      </c>
      <c r="F50" s="42"/>
      <c r="G50" s="42"/>
      <c r="H50" s="31" t="str">
        <f t="shared" si="0"/>
        <v/>
      </c>
      <c r="I50" s="43">
        <f ca="1">IFERROR(SUMPRODUCT((참고!$A$31:$A$130=C50)*(참고!$B$31:$B$130&lt;=A50)*(참고!$B$31:$B$130=_xludf.MAXIFS(참고!$B$31:$B$130,참고!$A$31:$A$130,C50,참고!$B$31:$B$130,"&lt;="&amp;A50))*참고!$C$31:$C$130)/100,0)</f>
        <v>0</v>
      </c>
      <c r="J50" s="31" t="str">
        <f t="shared" si="1"/>
        <v/>
      </c>
      <c r="K50" s="43">
        <f>IF(B50="매도",IFERROR(SUMPRODUCT((참고!$A$31:$A$130=C50)*(참고!$B$31:$B$130&lt;=A50)*(참고!$B$31:$B$130=_xludf.MAXIFS(참고!$B$31:$B$130,참고!$A$31:$A$130,C50,참고!$B$31:$B$130,"&lt;="&amp;A50))*참고!$D$31:$D$130)/100,0),0)</f>
        <v>0</v>
      </c>
      <c r="L50" s="31" t="str">
        <f t="shared" si="2"/>
        <v/>
      </c>
      <c r="M50" s="39"/>
    </row>
    <row r="51" spans="1:13" ht="18" customHeight="1" x14ac:dyDescent="0.45">
      <c r="A51" s="37"/>
      <c r="B51" s="29"/>
      <c r="C51" s="29"/>
      <c r="D51" s="28"/>
      <c r="E51" s="30" t="str">
        <f>IFERROR(VLOOKUP(D51,KRX종목마스터!$A:$B,2,FALSE),"")</f>
        <v/>
      </c>
      <c r="F51" s="42"/>
      <c r="G51" s="42"/>
      <c r="H51" s="31" t="str">
        <f t="shared" si="0"/>
        <v/>
      </c>
      <c r="I51" s="43">
        <f ca="1">IFERROR(SUMPRODUCT((참고!$A$31:$A$130=C51)*(참고!$B$31:$B$130&lt;=A51)*(참고!$B$31:$B$130=_xludf.MAXIFS(참고!$B$31:$B$130,참고!$A$31:$A$130,C51,참고!$B$31:$B$130,"&lt;="&amp;A51))*참고!$C$31:$C$130)/100,0)</f>
        <v>0</v>
      </c>
      <c r="J51" s="31" t="str">
        <f t="shared" si="1"/>
        <v/>
      </c>
      <c r="K51" s="43">
        <f>IF(B51="매도",IFERROR(SUMPRODUCT((참고!$A$31:$A$130=C51)*(참고!$B$31:$B$130&lt;=A51)*(참고!$B$31:$B$130=_xludf.MAXIFS(참고!$B$31:$B$130,참고!$A$31:$A$130,C51,참고!$B$31:$B$130,"&lt;="&amp;A51))*참고!$D$31:$D$130)/100,0),0)</f>
        <v>0</v>
      </c>
      <c r="L51" s="31" t="str">
        <f t="shared" si="2"/>
        <v/>
      </c>
      <c r="M51" s="39"/>
    </row>
    <row r="52" spans="1:13" ht="18" customHeight="1" x14ac:dyDescent="0.45">
      <c r="A52" s="37"/>
      <c r="B52" s="29"/>
      <c r="C52" s="29"/>
      <c r="D52" s="28"/>
      <c r="E52" s="30" t="str">
        <f>IFERROR(VLOOKUP(D52,KRX종목마스터!$A:$B,2,FALSE),"")</f>
        <v/>
      </c>
      <c r="F52" s="42"/>
      <c r="G52" s="42"/>
      <c r="H52" s="31" t="str">
        <f t="shared" si="0"/>
        <v/>
      </c>
      <c r="I52" s="43">
        <f ca="1">IFERROR(SUMPRODUCT((참고!$A$31:$A$130=C52)*(참고!$B$31:$B$130&lt;=A52)*(참고!$B$31:$B$130=_xludf.MAXIFS(참고!$B$31:$B$130,참고!$A$31:$A$130,C52,참고!$B$31:$B$130,"&lt;="&amp;A52))*참고!$C$31:$C$130)/100,0)</f>
        <v>0</v>
      </c>
      <c r="J52" s="31" t="str">
        <f t="shared" si="1"/>
        <v/>
      </c>
      <c r="K52" s="43">
        <f>IF(B52="매도",IFERROR(SUMPRODUCT((참고!$A$31:$A$130=C52)*(참고!$B$31:$B$130&lt;=A52)*(참고!$B$31:$B$130=_xludf.MAXIFS(참고!$B$31:$B$130,참고!$A$31:$A$130,C52,참고!$B$31:$B$130,"&lt;="&amp;A52))*참고!$D$31:$D$130)/100,0),0)</f>
        <v>0</v>
      </c>
      <c r="L52" s="31" t="str">
        <f t="shared" si="2"/>
        <v/>
      </c>
      <c r="M52" s="39"/>
    </row>
    <row r="53" spans="1:13" ht="18" customHeight="1" x14ac:dyDescent="0.45">
      <c r="A53" s="37"/>
      <c r="B53" s="29"/>
      <c r="C53" s="29"/>
      <c r="D53" s="28"/>
      <c r="E53" s="30" t="str">
        <f>IFERROR(VLOOKUP(D53,KRX종목마스터!$A:$B,2,FALSE),"")</f>
        <v/>
      </c>
      <c r="F53" s="42"/>
      <c r="G53" s="42"/>
      <c r="H53" s="31" t="str">
        <f t="shared" si="0"/>
        <v/>
      </c>
      <c r="I53" s="43">
        <f ca="1">IFERROR(SUMPRODUCT((참고!$A$31:$A$130=C53)*(참고!$B$31:$B$130&lt;=A53)*(참고!$B$31:$B$130=_xludf.MAXIFS(참고!$B$31:$B$130,참고!$A$31:$A$130,C53,참고!$B$31:$B$130,"&lt;="&amp;A53))*참고!$C$31:$C$130)/100,0)</f>
        <v>0</v>
      </c>
      <c r="J53" s="31" t="str">
        <f t="shared" si="1"/>
        <v/>
      </c>
      <c r="K53" s="43">
        <f>IF(B53="매도",IFERROR(SUMPRODUCT((참고!$A$31:$A$130=C53)*(참고!$B$31:$B$130&lt;=A53)*(참고!$B$31:$B$130=_xludf.MAXIFS(참고!$B$31:$B$130,참고!$A$31:$A$130,C53,참고!$B$31:$B$130,"&lt;="&amp;A53))*참고!$D$31:$D$130)/100,0),0)</f>
        <v>0</v>
      </c>
      <c r="L53" s="31" t="str">
        <f t="shared" si="2"/>
        <v/>
      </c>
      <c r="M53" s="39"/>
    </row>
    <row r="54" spans="1:13" ht="18" customHeight="1" x14ac:dyDescent="0.45">
      <c r="A54" s="37"/>
      <c r="B54" s="29"/>
      <c r="C54" s="29"/>
      <c r="D54" s="28"/>
      <c r="E54" s="30" t="str">
        <f>IFERROR(VLOOKUP(D54,KRX종목마스터!$A:$B,2,FALSE),"")</f>
        <v/>
      </c>
      <c r="F54" s="42"/>
      <c r="G54" s="42"/>
      <c r="H54" s="31" t="str">
        <f t="shared" si="0"/>
        <v/>
      </c>
      <c r="I54" s="43">
        <f ca="1">IFERROR(SUMPRODUCT((참고!$A$31:$A$130=C54)*(참고!$B$31:$B$130&lt;=A54)*(참고!$B$31:$B$130=_xludf.MAXIFS(참고!$B$31:$B$130,참고!$A$31:$A$130,C54,참고!$B$31:$B$130,"&lt;="&amp;A54))*참고!$C$31:$C$130)/100,0)</f>
        <v>0</v>
      </c>
      <c r="J54" s="31" t="str">
        <f t="shared" si="1"/>
        <v/>
      </c>
      <c r="K54" s="43">
        <f>IF(B54="매도",IFERROR(SUMPRODUCT((참고!$A$31:$A$130=C54)*(참고!$B$31:$B$130&lt;=A54)*(참고!$B$31:$B$130=_xludf.MAXIFS(참고!$B$31:$B$130,참고!$A$31:$A$130,C54,참고!$B$31:$B$130,"&lt;="&amp;A54))*참고!$D$31:$D$130)/100,0),0)</f>
        <v>0</v>
      </c>
      <c r="L54" s="31" t="str">
        <f t="shared" si="2"/>
        <v/>
      </c>
      <c r="M54" s="39"/>
    </row>
    <row r="55" spans="1:13" ht="18" customHeight="1" x14ac:dyDescent="0.45">
      <c r="A55" s="37"/>
      <c r="B55" s="29"/>
      <c r="C55" s="29"/>
      <c r="D55" s="28"/>
      <c r="E55" s="30" t="str">
        <f>IFERROR(VLOOKUP(D55,KRX종목마스터!$A:$B,2,FALSE),"")</f>
        <v/>
      </c>
      <c r="F55" s="42"/>
      <c r="G55" s="42"/>
      <c r="H55" s="31" t="str">
        <f t="shared" si="0"/>
        <v/>
      </c>
      <c r="I55" s="43">
        <f ca="1">IFERROR(SUMPRODUCT((참고!$A$31:$A$130=C55)*(참고!$B$31:$B$130&lt;=A55)*(참고!$B$31:$B$130=_xludf.MAXIFS(참고!$B$31:$B$130,참고!$A$31:$A$130,C55,참고!$B$31:$B$130,"&lt;="&amp;A55))*참고!$C$31:$C$130)/100,0)</f>
        <v>0</v>
      </c>
      <c r="J55" s="31" t="str">
        <f t="shared" si="1"/>
        <v/>
      </c>
      <c r="K55" s="43">
        <f>IF(B55="매도",IFERROR(SUMPRODUCT((참고!$A$31:$A$130=C55)*(참고!$B$31:$B$130&lt;=A55)*(참고!$B$31:$B$130=_xludf.MAXIFS(참고!$B$31:$B$130,참고!$A$31:$A$130,C55,참고!$B$31:$B$130,"&lt;="&amp;A55))*참고!$D$31:$D$130)/100,0),0)</f>
        <v>0</v>
      </c>
      <c r="L55" s="31" t="str">
        <f t="shared" si="2"/>
        <v/>
      </c>
      <c r="M55" s="39"/>
    </row>
    <row r="56" spans="1:13" ht="18" customHeight="1" x14ac:dyDescent="0.45">
      <c r="A56" s="37"/>
      <c r="B56" s="29"/>
      <c r="C56" s="29"/>
      <c r="D56" s="28"/>
      <c r="E56" s="30" t="str">
        <f>IFERROR(VLOOKUP(D56,KRX종목마스터!$A:$B,2,FALSE),"")</f>
        <v/>
      </c>
      <c r="F56" s="42"/>
      <c r="G56" s="42"/>
      <c r="H56" s="31" t="str">
        <f t="shared" si="0"/>
        <v/>
      </c>
      <c r="I56" s="43">
        <f ca="1">IFERROR(SUMPRODUCT((참고!$A$31:$A$130=C56)*(참고!$B$31:$B$130&lt;=A56)*(참고!$B$31:$B$130=_xludf.MAXIFS(참고!$B$31:$B$130,참고!$A$31:$A$130,C56,참고!$B$31:$B$130,"&lt;="&amp;A56))*참고!$C$31:$C$130)/100,0)</f>
        <v>0</v>
      </c>
      <c r="J56" s="31" t="str">
        <f t="shared" si="1"/>
        <v/>
      </c>
      <c r="K56" s="43">
        <f>IF(B56="매도",IFERROR(SUMPRODUCT((참고!$A$31:$A$130=C56)*(참고!$B$31:$B$130&lt;=A56)*(참고!$B$31:$B$130=_xludf.MAXIFS(참고!$B$31:$B$130,참고!$A$31:$A$130,C56,참고!$B$31:$B$130,"&lt;="&amp;A56))*참고!$D$31:$D$130)/100,0),0)</f>
        <v>0</v>
      </c>
      <c r="L56" s="31" t="str">
        <f t="shared" si="2"/>
        <v/>
      </c>
      <c r="M56" s="39"/>
    </row>
    <row r="57" spans="1:13" ht="18" customHeight="1" x14ac:dyDescent="0.45">
      <c r="A57" s="37"/>
      <c r="B57" s="29"/>
      <c r="C57" s="29"/>
      <c r="D57" s="28"/>
      <c r="E57" s="30" t="str">
        <f>IFERROR(VLOOKUP(D57,KRX종목마스터!$A:$B,2,FALSE),"")</f>
        <v/>
      </c>
      <c r="F57" s="42"/>
      <c r="G57" s="42"/>
      <c r="H57" s="31" t="str">
        <f t="shared" si="0"/>
        <v/>
      </c>
      <c r="I57" s="43">
        <f ca="1">IFERROR(SUMPRODUCT((참고!$A$31:$A$130=C57)*(참고!$B$31:$B$130&lt;=A57)*(참고!$B$31:$B$130=_xludf.MAXIFS(참고!$B$31:$B$130,참고!$A$31:$A$130,C57,참고!$B$31:$B$130,"&lt;="&amp;A57))*참고!$C$31:$C$130)/100,0)</f>
        <v>0</v>
      </c>
      <c r="J57" s="31" t="str">
        <f t="shared" si="1"/>
        <v/>
      </c>
      <c r="K57" s="43">
        <f>IF(B57="매도",IFERROR(SUMPRODUCT((참고!$A$31:$A$130=C57)*(참고!$B$31:$B$130&lt;=A57)*(참고!$B$31:$B$130=_xludf.MAXIFS(참고!$B$31:$B$130,참고!$A$31:$A$130,C57,참고!$B$31:$B$130,"&lt;="&amp;A57))*참고!$D$31:$D$130)/100,0),0)</f>
        <v>0</v>
      </c>
      <c r="L57" s="31" t="str">
        <f t="shared" si="2"/>
        <v/>
      </c>
      <c r="M57" s="39"/>
    </row>
    <row r="58" spans="1:13" ht="18" customHeight="1" x14ac:dyDescent="0.45">
      <c r="A58" s="37"/>
      <c r="B58" s="29"/>
      <c r="C58" s="29"/>
      <c r="D58" s="28"/>
      <c r="E58" s="30" t="str">
        <f>IFERROR(VLOOKUP(D58,KRX종목마스터!$A:$B,2,FALSE),"")</f>
        <v/>
      </c>
      <c r="F58" s="42"/>
      <c r="G58" s="42"/>
      <c r="H58" s="31" t="str">
        <f t="shared" si="0"/>
        <v/>
      </c>
      <c r="I58" s="43">
        <f ca="1">IFERROR(SUMPRODUCT((참고!$A$31:$A$130=C58)*(참고!$B$31:$B$130&lt;=A58)*(참고!$B$31:$B$130=_xludf.MAXIFS(참고!$B$31:$B$130,참고!$A$31:$A$130,C58,참고!$B$31:$B$130,"&lt;="&amp;A58))*참고!$C$31:$C$130)/100,0)</f>
        <v>0</v>
      </c>
      <c r="J58" s="31" t="str">
        <f t="shared" si="1"/>
        <v/>
      </c>
      <c r="K58" s="43">
        <f>IF(B58="매도",IFERROR(SUMPRODUCT((참고!$A$31:$A$130=C58)*(참고!$B$31:$B$130&lt;=A58)*(참고!$B$31:$B$130=_xludf.MAXIFS(참고!$B$31:$B$130,참고!$A$31:$A$130,C58,참고!$B$31:$B$130,"&lt;="&amp;A58))*참고!$D$31:$D$130)/100,0),0)</f>
        <v>0</v>
      </c>
      <c r="L58" s="31" t="str">
        <f t="shared" si="2"/>
        <v/>
      </c>
      <c r="M58" s="39"/>
    </row>
    <row r="59" spans="1:13" ht="18" customHeight="1" x14ac:dyDescent="0.45">
      <c r="A59" s="37"/>
      <c r="B59" s="29"/>
      <c r="C59" s="29"/>
      <c r="D59" s="28"/>
      <c r="E59" s="30" t="str">
        <f>IFERROR(VLOOKUP(D59,KRX종목마스터!$A:$B,2,FALSE),"")</f>
        <v/>
      </c>
      <c r="F59" s="42"/>
      <c r="G59" s="42"/>
      <c r="H59" s="31" t="str">
        <f t="shared" si="0"/>
        <v/>
      </c>
      <c r="I59" s="43">
        <f ca="1">IFERROR(SUMPRODUCT((참고!$A$31:$A$130=C59)*(참고!$B$31:$B$130&lt;=A59)*(참고!$B$31:$B$130=_xludf.MAXIFS(참고!$B$31:$B$130,참고!$A$31:$A$130,C59,참고!$B$31:$B$130,"&lt;="&amp;A59))*참고!$C$31:$C$130)/100,0)</f>
        <v>0</v>
      </c>
      <c r="J59" s="31" t="str">
        <f t="shared" si="1"/>
        <v/>
      </c>
      <c r="K59" s="43">
        <f>IF(B59="매도",IFERROR(SUMPRODUCT((참고!$A$31:$A$130=C59)*(참고!$B$31:$B$130&lt;=A59)*(참고!$B$31:$B$130=_xludf.MAXIFS(참고!$B$31:$B$130,참고!$A$31:$A$130,C59,참고!$B$31:$B$130,"&lt;="&amp;A59))*참고!$D$31:$D$130)/100,0),0)</f>
        <v>0</v>
      </c>
      <c r="L59" s="31" t="str">
        <f t="shared" si="2"/>
        <v/>
      </c>
      <c r="M59" s="39"/>
    </row>
    <row r="60" spans="1:13" ht="18" customHeight="1" x14ac:dyDescent="0.45">
      <c r="A60" s="37"/>
      <c r="B60" s="29"/>
      <c r="C60" s="29"/>
      <c r="D60" s="28"/>
      <c r="E60" s="30" t="str">
        <f>IFERROR(VLOOKUP(D60,KRX종목마스터!$A:$B,2,FALSE),"")</f>
        <v/>
      </c>
      <c r="F60" s="42"/>
      <c r="G60" s="42"/>
      <c r="H60" s="31" t="str">
        <f t="shared" si="0"/>
        <v/>
      </c>
      <c r="I60" s="43">
        <f ca="1">IFERROR(SUMPRODUCT((참고!$A$31:$A$130=C60)*(참고!$B$31:$B$130&lt;=A60)*(참고!$B$31:$B$130=_xludf.MAXIFS(참고!$B$31:$B$130,참고!$A$31:$A$130,C60,참고!$B$31:$B$130,"&lt;="&amp;A60))*참고!$C$31:$C$130)/100,0)</f>
        <v>0</v>
      </c>
      <c r="J60" s="31" t="str">
        <f t="shared" si="1"/>
        <v/>
      </c>
      <c r="K60" s="43">
        <f>IF(B60="매도",IFERROR(SUMPRODUCT((참고!$A$31:$A$130=C60)*(참고!$B$31:$B$130&lt;=A60)*(참고!$B$31:$B$130=_xludf.MAXIFS(참고!$B$31:$B$130,참고!$A$31:$A$130,C60,참고!$B$31:$B$130,"&lt;="&amp;A60))*참고!$D$31:$D$130)/100,0),0)</f>
        <v>0</v>
      </c>
      <c r="L60" s="31" t="str">
        <f t="shared" si="2"/>
        <v/>
      </c>
      <c r="M60" s="39"/>
    </row>
    <row r="61" spans="1:13" ht="18" customHeight="1" x14ac:dyDescent="0.45">
      <c r="A61" s="37"/>
      <c r="B61" s="29"/>
      <c r="C61" s="29"/>
      <c r="D61" s="28"/>
      <c r="E61" s="30" t="str">
        <f>IFERROR(VLOOKUP(D61,KRX종목마스터!$A:$B,2,FALSE),"")</f>
        <v/>
      </c>
      <c r="F61" s="42"/>
      <c r="G61" s="42"/>
      <c r="H61" s="31" t="str">
        <f t="shared" si="0"/>
        <v/>
      </c>
      <c r="I61" s="43">
        <f ca="1">IFERROR(SUMPRODUCT((참고!$A$31:$A$130=C61)*(참고!$B$31:$B$130&lt;=A61)*(참고!$B$31:$B$130=_xludf.MAXIFS(참고!$B$31:$B$130,참고!$A$31:$A$130,C61,참고!$B$31:$B$130,"&lt;="&amp;A61))*참고!$C$31:$C$130)/100,0)</f>
        <v>0</v>
      </c>
      <c r="J61" s="31" t="str">
        <f t="shared" si="1"/>
        <v/>
      </c>
      <c r="K61" s="43">
        <f>IF(B61="매도",IFERROR(SUMPRODUCT((참고!$A$31:$A$130=C61)*(참고!$B$31:$B$130&lt;=A61)*(참고!$B$31:$B$130=_xludf.MAXIFS(참고!$B$31:$B$130,참고!$A$31:$A$130,C61,참고!$B$31:$B$130,"&lt;="&amp;A61))*참고!$D$31:$D$130)/100,0),0)</f>
        <v>0</v>
      </c>
      <c r="L61" s="31" t="str">
        <f t="shared" si="2"/>
        <v/>
      </c>
      <c r="M61" s="39"/>
    </row>
    <row r="62" spans="1:13" ht="18" customHeight="1" x14ac:dyDescent="0.45">
      <c r="A62" s="37"/>
      <c r="B62" s="29"/>
      <c r="C62" s="29"/>
      <c r="D62" s="28"/>
      <c r="E62" s="30" t="str">
        <f>IFERROR(VLOOKUP(D62,KRX종목마스터!$A:$B,2,FALSE),"")</f>
        <v/>
      </c>
      <c r="F62" s="42"/>
      <c r="G62" s="42"/>
      <c r="H62" s="31" t="str">
        <f t="shared" si="0"/>
        <v/>
      </c>
      <c r="I62" s="43">
        <f ca="1">IFERROR(SUMPRODUCT((참고!$A$31:$A$130=C62)*(참고!$B$31:$B$130&lt;=A62)*(참고!$B$31:$B$130=_xludf.MAXIFS(참고!$B$31:$B$130,참고!$A$31:$A$130,C62,참고!$B$31:$B$130,"&lt;="&amp;A62))*참고!$C$31:$C$130)/100,0)</f>
        <v>0</v>
      </c>
      <c r="J62" s="31" t="str">
        <f t="shared" si="1"/>
        <v/>
      </c>
      <c r="K62" s="43">
        <f>IF(B62="매도",IFERROR(SUMPRODUCT((참고!$A$31:$A$130=C62)*(참고!$B$31:$B$130&lt;=A62)*(참고!$B$31:$B$130=_xludf.MAXIFS(참고!$B$31:$B$130,참고!$A$31:$A$130,C62,참고!$B$31:$B$130,"&lt;="&amp;A62))*참고!$D$31:$D$130)/100,0),0)</f>
        <v>0</v>
      </c>
      <c r="L62" s="31" t="str">
        <f t="shared" si="2"/>
        <v/>
      </c>
      <c r="M62" s="39"/>
    </row>
    <row r="63" spans="1:13" ht="18" customHeight="1" x14ac:dyDescent="0.45">
      <c r="A63" s="37"/>
      <c r="B63" s="29"/>
      <c r="C63" s="29"/>
      <c r="D63" s="28"/>
      <c r="E63" s="30" t="str">
        <f>IFERROR(VLOOKUP(D63,KRX종목마스터!$A:$B,2,FALSE),"")</f>
        <v/>
      </c>
      <c r="F63" s="42"/>
      <c r="G63" s="42"/>
      <c r="H63" s="31" t="str">
        <f t="shared" si="0"/>
        <v/>
      </c>
      <c r="I63" s="43">
        <f ca="1">IFERROR(SUMPRODUCT((참고!$A$31:$A$130=C63)*(참고!$B$31:$B$130&lt;=A63)*(참고!$B$31:$B$130=_xludf.MAXIFS(참고!$B$31:$B$130,참고!$A$31:$A$130,C63,참고!$B$31:$B$130,"&lt;="&amp;A63))*참고!$C$31:$C$130)/100,0)</f>
        <v>0</v>
      </c>
      <c r="J63" s="31" t="str">
        <f t="shared" si="1"/>
        <v/>
      </c>
      <c r="K63" s="43">
        <f>IF(B63="매도",IFERROR(SUMPRODUCT((참고!$A$31:$A$130=C63)*(참고!$B$31:$B$130&lt;=A63)*(참고!$B$31:$B$130=_xludf.MAXIFS(참고!$B$31:$B$130,참고!$A$31:$A$130,C63,참고!$B$31:$B$130,"&lt;="&amp;A63))*참고!$D$31:$D$130)/100,0),0)</f>
        <v>0</v>
      </c>
      <c r="L63" s="31" t="str">
        <f t="shared" si="2"/>
        <v/>
      </c>
      <c r="M63" s="39"/>
    </row>
    <row r="64" spans="1:13" ht="18" customHeight="1" x14ac:dyDescent="0.45">
      <c r="A64" s="37"/>
      <c r="B64" s="29"/>
      <c r="C64" s="29"/>
      <c r="D64" s="28"/>
      <c r="E64" s="30" t="str">
        <f>IFERROR(VLOOKUP(D64,KRX종목마스터!$A:$B,2,FALSE),"")</f>
        <v/>
      </c>
      <c r="F64" s="42"/>
      <c r="G64" s="42"/>
      <c r="H64" s="31" t="str">
        <f t="shared" si="0"/>
        <v/>
      </c>
      <c r="I64" s="43">
        <f ca="1">IFERROR(SUMPRODUCT((참고!$A$31:$A$130=C64)*(참고!$B$31:$B$130&lt;=A64)*(참고!$B$31:$B$130=_xludf.MAXIFS(참고!$B$31:$B$130,참고!$A$31:$A$130,C64,참고!$B$31:$B$130,"&lt;="&amp;A64))*참고!$C$31:$C$130)/100,0)</f>
        <v>0</v>
      </c>
      <c r="J64" s="31" t="str">
        <f t="shared" si="1"/>
        <v/>
      </c>
      <c r="K64" s="43">
        <f>IF(B64="매도",IFERROR(SUMPRODUCT((참고!$A$31:$A$130=C64)*(참고!$B$31:$B$130&lt;=A64)*(참고!$B$31:$B$130=_xludf.MAXIFS(참고!$B$31:$B$130,참고!$A$31:$A$130,C64,참고!$B$31:$B$130,"&lt;="&amp;A64))*참고!$D$31:$D$130)/100,0),0)</f>
        <v>0</v>
      </c>
      <c r="L64" s="31" t="str">
        <f t="shared" si="2"/>
        <v/>
      </c>
      <c r="M64" s="39"/>
    </row>
    <row r="65" spans="1:13" ht="18" customHeight="1" x14ac:dyDescent="0.45">
      <c r="A65" s="37"/>
      <c r="B65" s="29"/>
      <c r="C65" s="29"/>
      <c r="D65" s="28"/>
      <c r="E65" s="30" t="str">
        <f>IFERROR(VLOOKUP(D65,KRX종목마스터!$A:$B,2,FALSE),"")</f>
        <v/>
      </c>
      <c r="F65" s="42"/>
      <c r="G65" s="42"/>
      <c r="H65" s="31" t="str">
        <f t="shared" si="0"/>
        <v/>
      </c>
      <c r="I65" s="43">
        <f ca="1">IFERROR(SUMPRODUCT((참고!$A$31:$A$130=C65)*(참고!$B$31:$B$130&lt;=A65)*(참고!$B$31:$B$130=_xludf.MAXIFS(참고!$B$31:$B$130,참고!$A$31:$A$130,C65,참고!$B$31:$B$130,"&lt;="&amp;A65))*참고!$C$31:$C$130)/100,0)</f>
        <v>0</v>
      </c>
      <c r="J65" s="31" t="str">
        <f t="shared" si="1"/>
        <v/>
      </c>
      <c r="K65" s="43">
        <f>IF(B65="매도",IFERROR(SUMPRODUCT((참고!$A$31:$A$130=C65)*(참고!$B$31:$B$130&lt;=A65)*(참고!$B$31:$B$130=_xludf.MAXIFS(참고!$B$31:$B$130,참고!$A$31:$A$130,C65,참고!$B$31:$B$130,"&lt;="&amp;A65))*참고!$D$31:$D$130)/100,0),0)</f>
        <v>0</v>
      </c>
      <c r="L65" s="31" t="str">
        <f t="shared" si="2"/>
        <v/>
      </c>
      <c r="M65" s="39"/>
    </row>
    <row r="66" spans="1:13" ht="18" customHeight="1" x14ac:dyDescent="0.45">
      <c r="A66" s="37"/>
      <c r="B66" s="29"/>
      <c r="C66" s="29"/>
      <c r="D66" s="28"/>
      <c r="E66" s="30" t="str">
        <f>IFERROR(VLOOKUP(D66,KRX종목마스터!$A:$B,2,FALSE),"")</f>
        <v/>
      </c>
      <c r="F66" s="42"/>
      <c r="G66" s="42"/>
      <c r="H66" s="31" t="str">
        <f t="shared" si="0"/>
        <v/>
      </c>
      <c r="I66" s="43">
        <f ca="1">IFERROR(SUMPRODUCT((참고!$A$31:$A$130=C66)*(참고!$B$31:$B$130&lt;=A66)*(참고!$B$31:$B$130=_xludf.MAXIFS(참고!$B$31:$B$130,참고!$A$31:$A$130,C66,참고!$B$31:$B$130,"&lt;="&amp;A66))*참고!$C$31:$C$130)/100,0)</f>
        <v>0</v>
      </c>
      <c r="J66" s="31" t="str">
        <f t="shared" si="1"/>
        <v/>
      </c>
      <c r="K66" s="43">
        <f>IF(B66="매도",IFERROR(SUMPRODUCT((참고!$A$31:$A$130=C66)*(참고!$B$31:$B$130&lt;=A66)*(참고!$B$31:$B$130=_xludf.MAXIFS(참고!$B$31:$B$130,참고!$A$31:$A$130,C66,참고!$B$31:$B$130,"&lt;="&amp;A66))*참고!$D$31:$D$130)/100,0),0)</f>
        <v>0</v>
      </c>
      <c r="L66" s="31" t="str">
        <f t="shared" si="2"/>
        <v/>
      </c>
      <c r="M66" s="39"/>
    </row>
    <row r="67" spans="1:13" ht="18" customHeight="1" x14ac:dyDescent="0.45">
      <c r="A67" s="37"/>
      <c r="B67" s="29"/>
      <c r="C67" s="29"/>
      <c r="D67" s="28"/>
      <c r="E67" s="30" t="str">
        <f>IFERROR(VLOOKUP(D67,KRX종목마스터!$A:$B,2,FALSE),"")</f>
        <v/>
      </c>
      <c r="F67" s="42"/>
      <c r="G67" s="42"/>
      <c r="H67" s="31" t="str">
        <f t="shared" si="0"/>
        <v/>
      </c>
      <c r="I67" s="43">
        <f ca="1">IFERROR(SUMPRODUCT((참고!$A$31:$A$130=C67)*(참고!$B$31:$B$130&lt;=A67)*(참고!$B$31:$B$130=_xludf.MAXIFS(참고!$B$31:$B$130,참고!$A$31:$A$130,C67,참고!$B$31:$B$130,"&lt;="&amp;A67))*참고!$C$31:$C$130)/100,0)</f>
        <v>0</v>
      </c>
      <c r="J67" s="31" t="str">
        <f t="shared" si="1"/>
        <v/>
      </c>
      <c r="K67" s="43">
        <f>IF(B67="매도",IFERROR(SUMPRODUCT((참고!$A$31:$A$130=C67)*(참고!$B$31:$B$130&lt;=A67)*(참고!$B$31:$B$130=_xludf.MAXIFS(참고!$B$31:$B$130,참고!$A$31:$A$130,C67,참고!$B$31:$B$130,"&lt;="&amp;A67))*참고!$D$31:$D$130)/100,0),0)</f>
        <v>0</v>
      </c>
      <c r="L67" s="31" t="str">
        <f t="shared" si="2"/>
        <v/>
      </c>
      <c r="M67" s="39"/>
    </row>
    <row r="68" spans="1:13" ht="18" customHeight="1" x14ac:dyDescent="0.45">
      <c r="A68" s="37"/>
      <c r="B68" s="29"/>
      <c r="C68" s="29"/>
      <c r="D68" s="28"/>
      <c r="E68" s="30" t="str">
        <f>IFERROR(VLOOKUP(D68,KRX종목마스터!$A:$B,2,FALSE),"")</f>
        <v/>
      </c>
      <c r="F68" s="42"/>
      <c r="G68" s="42"/>
      <c r="H68" s="31" t="str">
        <f t="shared" si="0"/>
        <v/>
      </c>
      <c r="I68" s="43">
        <f ca="1">IFERROR(SUMPRODUCT((참고!$A$31:$A$130=C68)*(참고!$B$31:$B$130&lt;=A68)*(참고!$B$31:$B$130=_xludf.MAXIFS(참고!$B$31:$B$130,참고!$A$31:$A$130,C68,참고!$B$31:$B$130,"&lt;="&amp;A68))*참고!$C$31:$C$130)/100,0)</f>
        <v>0</v>
      </c>
      <c r="J68" s="31" t="str">
        <f t="shared" si="1"/>
        <v/>
      </c>
      <c r="K68" s="43">
        <f>IF(B68="매도",IFERROR(SUMPRODUCT((참고!$A$31:$A$130=C68)*(참고!$B$31:$B$130&lt;=A68)*(참고!$B$31:$B$130=_xludf.MAXIFS(참고!$B$31:$B$130,참고!$A$31:$A$130,C68,참고!$B$31:$B$130,"&lt;="&amp;A68))*참고!$D$31:$D$130)/100,0),0)</f>
        <v>0</v>
      </c>
      <c r="L68" s="31" t="str">
        <f t="shared" si="2"/>
        <v/>
      </c>
      <c r="M68" s="39"/>
    </row>
    <row r="69" spans="1:13" ht="18" customHeight="1" x14ac:dyDescent="0.45">
      <c r="A69" s="37"/>
      <c r="B69" s="29"/>
      <c r="C69" s="29"/>
      <c r="D69" s="28"/>
      <c r="E69" s="30" t="str">
        <f>IFERROR(VLOOKUP(D69,KRX종목마스터!$A:$B,2,FALSE),"")</f>
        <v/>
      </c>
      <c r="F69" s="42"/>
      <c r="G69" s="42"/>
      <c r="H69" s="31" t="str">
        <f t="shared" ref="H69:H132" si="3">IF(AND(F69&lt;&gt;"",G69&lt;&gt;""),F69*G69,"")</f>
        <v/>
      </c>
      <c r="I69" s="43">
        <f ca="1">IFERROR(SUMPRODUCT((참고!$A$31:$A$130=C69)*(참고!$B$31:$B$130&lt;=A69)*(참고!$B$31:$B$130=_xludf.MAXIFS(참고!$B$31:$B$130,참고!$A$31:$A$130,C69,참고!$B$31:$B$130,"&lt;="&amp;A69))*참고!$C$31:$C$130)/100,0)</f>
        <v>0</v>
      </c>
      <c r="J69" s="31" t="str">
        <f t="shared" ref="J69:J132" si="4">IF(H69="","",ROUND(H69*I69,0))</f>
        <v/>
      </c>
      <c r="K69" s="43">
        <f>IF(B69="매도",IFERROR(SUMPRODUCT((참고!$A$31:$A$130=C69)*(참고!$B$31:$B$130&lt;=A69)*(참고!$B$31:$B$130=_xludf.MAXIFS(참고!$B$31:$B$130,참고!$A$31:$A$130,C69,참고!$B$31:$B$130,"&lt;="&amp;A69))*참고!$D$31:$D$130)/100,0),0)</f>
        <v>0</v>
      </c>
      <c r="L69" s="31" t="str">
        <f t="shared" ref="L69:L132" si="5">IF(H69="","",ROUND(H69*K69,0))</f>
        <v/>
      </c>
      <c r="M69" s="39"/>
    </row>
    <row r="70" spans="1:13" ht="18" customHeight="1" x14ac:dyDescent="0.45">
      <c r="A70" s="37"/>
      <c r="B70" s="29"/>
      <c r="C70" s="29"/>
      <c r="D70" s="28"/>
      <c r="E70" s="30" t="str">
        <f>IFERROR(VLOOKUP(D70,KRX종목마스터!$A:$B,2,FALSE),"")</f>
        <v/>
      </c>
      <c r="F70" s="42"/>
      <c r="G70" s="42"/>
      <c r="H70" s="31" t="str">
        <f t="shared" si="3"/>
        <v/>
      </c>
      <c r="I70" s="43">
        <f ca="1">IFERROR(SUMPRODUCT((참고!$A$31:$A$130=C70)*(참고!$B$31:$B$130&lt;=A70)*(참고!$B$31:$B$130=_xludf.MAXIFS(참고!$B$31:$B$130,참고!$A$31:$A$130,C70,참고!$B$31:$B$130,"&lt;="&amp;A70))*참고!$C$31:$C$130)/100,0)</f>
        <v>0</v>
      </c>
      <c r="J70" s="31" t="str">
        <f t="shared" si="4"/>
        <v/>
      </c>
      <c r="K70" s="43">
        <f>IF(B70="매도",IFERROR(SUMPRODUCT((참고!$A$31:$A$130=C70)*(참고!$B$31:$B$130&lt;=A70)*(참고!$B$31:$B$130=_xludf.MAXIFS(참고!$B$31:$B$130,참고!$A$31:$A$130,C70,참고!$B$31:$B$130,"&lt;="&amp;A70))*참고!$D$31:$D$130)/100,0),0)</f>
        <v>0</v>
      </c>
      <c r="L70" s="31" t="str">
        <f t="shared" si="5"/>
        <v/>
      </c>
      <c r="M70" s="39"/>
    </row>
    <row r="71" spans="1:13" ht="18" customHeight="1" x14ac:dyDescent="0.45">
      <c r="A71" s="37"/>
      <c r="B71" s="29"/>
      <c r="C71" s="29"/>
      <c r="D71" s="28"/>
      <c r="E71" s="30" t="str">
        <f>IFERROR(VLOOKUP(D71,KRX종목마스터!$A:$B,2,FALSE),"")</f>
        <v/>
      </c>
      <c r="F71" s="42"/>
      <c r="G71" s="42"/>
      <c r="H71" s="31" t="str">
        <f t="shared" si="3"/>
        <v/>
      </c>
      <c r="I71" s="43">
        <f ca="1">IFERROR(SUMPRODUCT((참고!$A$31:$A$130=C71)*(참고!$B$31:$B$130&lt;=A71)*(참고!$B$31:$B$130=_xludf.MAXIFS(참고!$B$31:$B$130,참고!$A$31:$A$130,C71,참고!$B$31:$B$130,"&lt;="&amp;A71))*참고!$C$31:$C$130)/100,0)</f>
        <v>0</v>
      </c>
      <c r="J71" s="31" t="str">
        <f t="shared" si="4"/>
        <v/>
      </c>
      <c r="K71" s="43">
        <f>IF(B71="매도",IFERROR(SUMPRODUCT((참고!$A$31:$A$130=C71)*(참고!$B$31:$B$130&lt;=A71)*(참고!$B$31:$B$130=_xludf.MAXIFS(참고!$B$31:$B$130,참고!$A$31:$A$130,C71,참고!$B$31:$B$130,"&lt;="&amp;A71))*참고!$D$31:$D$130)/100,0),0)</f>
        <v>0</v>
      </c>
      <c r="L71" s="31" t="str">
        <f t="shared" si="5"/>
        <v/>
      </c>
      <c r="M71" s="39"/>
    </row>
    <row r="72" spans="1:13" ht="18" customHeight="1" x14ac:dyDescent="0.45">
      <c r="A72" s="37"/>
      <c r="B72" s="29"/>
      <c r="C72" s="29"/>
      <c r="D72" s="28"/>
      <c r="E72" s="30" t="str">
        <f>IFERROR(VLOOKUP(D72,KRX종목마스터!$A:$B,2,FALSE),"")</f>
        <v/>
      </c>
      <c r="F72" s="42"/>
      <c r="G72" s="42"/>
      <c r="H72" s="31" t="str">
        <f t="shared" si="3"/>
        <v/>
      </c>
      <c r="I72" s="43">
        <f ca="1">IFERROR(SUMPRODUCT((참고!$A$31:$A$130=C72)*(참고!$B$31:$B$130&lt;=A72)*(참고!$B$31:$B$130=_xludf.MAXIFS(참고!$B$31:$B$130,참고!$A$31:$A$130,C72,참고!$B$31:$B$130,"&lt;="&amp;A72))*참고!$C$31:$C$130)/100,0)</f>
        <v>0</v>
      </c>
      <c r="J72" s="31" t="str">
        <f t="shared" si="4"/>
        <v/>
      </c>
      <c r="K72" s="43">
        <f>IF(B72="매도",IFERROR(SUMPRODUCT((참고!$A$31:$A$130=C72)*(참고!$B$31:$B$130&lt;=A72)*(참고!$B$31:$B$130=_xludf.MAXIFS(참고!$B$31:$B$130,참고!$A$31:$A$130,C72,참고!$B$31:$B$130,"&lt;="&amp;A72))*참고!$D$31:$D$130)/100,0),0)</f>
        <v>0</v>
      </c>
      <c r="L72" s="31" t="str">
        <f t="shared" si="5"/>
        <v/>
      </c>
      <c r="M72" s="39"/>
    </row>
    <row r="73" spans="1:13" ht="18" customHeight="1" x14ac:dyDescent="0.45">
      <c r="A73" s="37"/>
      <c r="B73" s="29"/>
      <c r="C73" s="29"/>
      <c r="D73" s="28"/>
      <c r="E73" s="30" t="str">
        <f>IFERROR(VLOOKUP(D73,KRX종목마스터!$A:$B,2,FALSE),"")</f>
        <v/>
      </c>
      <c r="F73" s="42"/>
      <c r="G73" s="42"/>
      <c r="H73" s="31" t="str">
        <f t="shared" si="3"/>
        <v/>
      </c>
      <c r="I73" s="43">
        <f ca="1">IFERROR(SUMPRODUCT((참고!$A$31:$A$130=C73)*(참고!$B$31:$B$130&lt;=A73)*(참고!$B$31:$B$130=_xludf.MAXIFS(참고!$B$31:$B$130,참고!$A$31:$A$130,C73,참고!$B$31:$B$130,"&lt;="&amp;A73))*참고!$C$31:$C$130)/100,0)</f>
        <v>0</v>
      </c>
      <c r="J73" s="31" t="str">
        <f t="shared" si="4"/>
        <v/>
      </c>
      <c r="K73" s="43">
        <f>IF(B73="매도",IFERROR(SUMPRODUCT((참고!$A$31:$A$130=C73)*(참고!$B$31:$B$130&lt;=A73)*(참고!$B$31:$B$130=_xludf.MAXIFS(참고!$B$31:$B$130,참고!$A$31:$A$130,C73,참고!$B$31:$B$130,"&lt;="&amp;A73))*참고!$D$31:$D$130)/100,0),0)</f>
        <v>0</v>
      </c>
      <c r="L73" s="31" t="str">
        <f t="shared" si="5"/>
        <v/>
      </c>
      <c r="M73" s="39"/>
    </row>
    <row r="74" spans="1:13" ht="18" customHeight="1" x14ac:dyDescent="0.45">
      <c r="A74" s="37"/>
      <c r="B74" s="29"/>
      <c r="C74" s="29"/>
      <c r="D74" s="28"/>
      <c r="E74" s="30" t="str">
        <f>IFERROR(VLOOKUP(D74,KRX종목마스터!$A:$B,2,FALSE),"")</f>
        <v/>
      </c>
      <c r="F74" s="42"/>
      <c r="G74" s="42"/>
      <c r="H74" s="31" t="str">
        <f t="shared" si="3"/>
        <v/>
      </c>
      <c r="I74" s="43">
        <f ca="1">IFERROR(SUMPRODUCT((참고!$A$31:$A$130=C74)*(참고!$B$31:$B$130&lt;=A74)*(참고!$B$31:$B$130=_xludf.MAXIFS(참고!$B$31:$B$130,참고!$A$31:$A$130,C74,참고!$B$31:$B$130,"&lt;="&amp;A74))*참고!$C$31:$C$130)/100,0)</f>
        <v>0</v>
      </c>
      <c r="J74" s="31" t="str">
        <f t="shared" si="4"/>
        <v/>
      </c>
      <c r="K74" s="43">
        <f>IF(B74="매도",IFERROR(SUMPRODUCT((참고!$A$31:$A$130=C74)*(참고!$B$31:$B$130&lt;=A74)*(참고!$B$31:$B$130=_xludf.MAXIFS(참고!$B$31:$B$130,참고!$A$31:$A$130,C74,참고!$B$31:$B$130,"&lt;="&amp;A74))*참고!$D$31:$D$130)/100,0),0)</f>
        <v>0</v>
      </c>
      <c r="L74" s="31" t="str">
        <f t="shared" si="5"/>
        <v/>
      </c>
      <c r="M74" s="39"/>
    </row>
    <row r="75" spans="1:13" ht="18" customHeight="1" x14ac:dyDescent="0.45">
      <c r="A75" s="37"/>
      <c r="B75" s="29"/>
      <c r="C75" s="29"/>
      <c r="D75" s="28"/>
      <c r="E75" s="30" t="str">
        <f>IFERROR(VLOOKUP(D75,KRX종목마스터!$A:$B,2,FALSE),"")</f>
        <v/>
      </c>
      <c r="F75" s="42"/>
      <c r="G75" s="42"/>
      <c r="H75" s="31" t="str">
        <f t="shared" si="3"/>
        <v/>
      </c>
      <c r="I75" s="43">
        <f ca="1">IFERROR(SUMPRODUCT((참고!$A$31:$A$130=C75)*(참고!$B$31:$B$130&lt;=A75)*(참고!$B$31:$B$130=_xludf.MAXIFS(참고!$B$31:$B$130,참고!$A$31:$A$130,C75,참고!$B$31:$B$130,"&lt;="&amp;A75))*참고!$C$31:$C$130)/100,0)</f>
        <v>0</v>
      </c>
      <c r="J75" s="31" t="str">
        <f t="shared" si="4"/>
        <v/>
      </c>
      <c r="K75" s="43">
        <f>IF(B75="매도",IFERROR(SUMPRODUCT((참고!$A$31:$A$130=C75)*(참고!$B$31:$B$130&lt;=A75)*(참고!$B$31:$B$130=_xludf.MAXIFS(참고!$B$31:$B$130,참고!$A$31:$A$130,C75,참고!$B$31:$B$130,"&lt;="&amp;A75))*참고!$D$31:$D$130)/100,0),0)</f>
        <v>0</v>
      </c>
      <c r="L75" s="31" t="str">
        <f t="shared" si="5"/>
        <v/>
      </c>
      <c r="M75" s="39"/>
    </row>
    <row r="76" spans="1:13" ht="18" customHeight="1" x14ac:dyDescent="0.45">
      <c r="A76" s="37"/>
      <c r="B76" s="29"/>
      <c r="C76" s="29"/>
      <c r="D76" s="28"/>
      <c r="E76" s="30" t="str">
        <f>IFERROR(VLOOKUP(D76,KRX종목마스터!$A:$B,2,FALSE),"")</f>
        <v/>
      </c>
      <c r="F76" s="42"/>
      <c r="G76" s="42"/>
      <c r="H76" s="31" t="str">
        <f t="shared" si="3"/>
        <v/>
      </c>
      <c r="I76" s="43">
        <f ca="1">IFERROR(SUMPRODUCT((참고!$A$31:$A$130=C76)*(참고!$B$31:$B$130&lt;=A76)*(참고!$B$31:$B$130=_xludf.MAXIFS(참고!$B$31:$B$130,참고!$A$31:$A$130,C76,참고!$B$31:$B$130,"&lt;="&amp;A76))*참고!$C$31:$C$130)/100,0)</f>
        <v>0</v>
      </c>
      <c r="J76" s="31" t="str">
        <f t="shared" si="4"/>
        <v/>
      </c>
      <c r="K76" s="43">
        <f>IF(B76="매도",IFERROR(SUMPRODUCT((참고!$A$31:$A$130=C76)*(참고!$B$31:$B$130&lt;=A76)*(참고!$B$31:$B$130=_xludf.MAXIFS(참고!$B$31:$B$130,참고!$A$31:$A$130,C76,참고!$B$31:$B$130,"&lt;="&amp;A76))*참고!$D$31:$D$130)/100,0),0)</f>
        <v>0</v>
      </c>
      <c r="L76" s="31" t="str">
        <f t="shared" si="5"/>
        <v/>
      </c>
      <c r="M76" s="39"/>
    </row>
    <row r="77" spans="1:13" ht="18" customHeight="1" x14ac:dyDescent="0.45">
      <c r="A77" s="37"/>
      <c r="B77" s="29"/>
      <c r="C77" s="29"/>
      <c r="D77" s="28"/>
      <c r="E77" s="30" t="str">
        <f>IFERROR(VLOOKUP(D77,KRX종목마스터!$A:$B,2,FALSE),"")</f>
        <v/>
      </c>
      <c r="F77" s="42"/>
      <c r="G77" s="42"/>
      <c r="H77" s="31" t="str">
        <f t="shared" si="3"/>
        <v/>
      </c>
      <c r="I77" s="43">
        <f ca="1">IFERROR(SUMPRODUCT((참고!$A$31:$A$130=C77)*(참고!$B$31:$B$130&lt;=A77)*(참고!$B$31:$B$130=_xludf.MAXIFS(참고!$B$31:$B$130,참고!$A$31:$A$130,C77,참고!$B$31:$B$130,"&lt;="&amp;A77))*참고!$C$31:$C$130)/100,0)</f>
        <v>0</v>
      </c>
      <c r="J77" s="31" t="str">
        <f t="shared" si="4"/>
        <v/>
      </c>
      <c r="K77" s="43">
        <f>IF(B77="매도",IFERROR(SUMPRODUCT((참고!$A$31:$A$130=C77)*(참고!$B$31:$B$130&lt;=A77)*(참고!$B$31:$B$130=_xludf.MAXIFS(참고!$B$31:$B$130,참고!$A$31:$A$130,C77,참고!$B$31:$B$130,"&lt;="&amp;A77))*참고!$D$31:$D$130)/100,0),0)</f>
        <v>0</v>
      </c>
      <c r="L77" s="31" t="str">
        <f t="shared" si="5"/>
        <v/>
      </c>
      <c r="M77" s="39"/>
    </row>
    <row r="78" spans="1:13" ht="18" customHeight="1" x14ac:dyDescent="0.45">
      <c r="A78" s="37"/>
      <c r="B78" s="29"/>
      <c r="C78" s="29"/>
      <c r="D78" s="28"/>
      <c r="E78" s="30" t="str">
        <f>IFERROR(VLOOKUP(D78,KRX종목마스터!$A:$B,2,FALSE),"")</f>
        <v/>
      </c>
      <c r="F78" s="42"/>
      <c r="G78" s="42"/>
      <c r="H78" s="31" t="str">
        <f t="shared" si="3"/>
        <v/>
      </c>
      <c r="I78" s="43">
        <f ca="1">IFERROR(SUMPRODUCT((참고!$A$31:$A$130=C78)*(참고!$B$31:$B$130&lt;=A78)*(참고!$B$31:$B$130=_xludf.MAXIFS(참고!$B$31:$B$130,참고!$A$31:$A$130,C78,참고!$B$31:$B$130,"&lt;="&amp;A78))*참고!$C$31:$C$130)/100,0)</f>
        <v>0</v>
      </c>
      <c r="J78" s="31" t="str">
        <f t="shared" si="4"/>
        <v/>
      </c>
      <c r="K78" s="43">
        <f>IF(B78="매도",IFERROR(SUMPRODUCT((참고!$A$31:$A$130=C78)*(참고!$B$31:$B$130&lt;=A78)*(참고!$B$31:$B$130=_xludf.MAXIFS(참고!$B$31:$B$130,참고!$A$31:$A$130,C78,참고!$B$31:$B$130,"&lt;="&amp;A78))*참고!$D$31:$D$130)/100,0),0)</f>
        <v>0</v>
      </c>
      <c r="L78" s="31" t="str">
        <f t="shared" si="5"/>
        <v/>
      </c>
      <c r="M78" s="39"/>
    </row>
    <row r="79" spans="1:13" ht="18" customHeight="1" x14ac:dyDescent="0.45">
      <c r="A79" s="37"/>
      <c r="B79" s="29"/>
      <c r="C79" s="29"/>
      <c r="D79" s="28"/>
      <c r="E79" s="30" t="str">
        <f>IFERROR(VLOOKUP(D79,KRX종목마스터!$A:$B,2,FALSE),"")</f>
        <v/>
      </c>
      <c r="F79" s="42"/>
      <c r="G79" s="42"/>
      <c r="H79" s="31" t="str">
        <f t="shared" si="3"/>
        <v/>
      </c>
      <c r="I79" s="43">
        <f ca="1">IFERROR(SUMPRODUCT((참고!$A$31:$A$130=C79)*(참고!$B$31:$B$130&lt;=A79)*(참고!$B$31:$B$130=_xludf.MAXIFS(참고!$B$31:$B$130,참고!$A$31:$A$130,C79,참고!$B$31:$B$130,"&lt;="&amp;A79))*참고!$C$31:$C$130)/100,0)</f>
        <v>0</v>
      </c>
      <c r="J79" s="31" t="str">
        <f t="shared" si="4"/>
        <v/>
      </c>
      <c r="K79" s="43">
        <f>IF(B79="매도",IFERROR(SUMPRODUCT((참고!$A$31:$A$130=C79)*(참고!$B$31:$B$130&lt;=A79)*(참고!$B$31:$B$130=_xludf.MAXIFS(참고!$B$31:$B$130,참고!$A$31:$A$130,C79,참고!$B$31:$B$130,"&lt;="&amp;A79))*참고!$D$31:$D$130)/100,0),0)</f>
        <v>0</v>
      </c>
      <c r="L79" s="31" t="str">
        <f t="shared" si="5"/>
        <v/>
      </c>
      <c r="M79" s="39"/>
    </row>
    <row r="80" spans="1:13" ht="18" customHeight="1" x14ac:dyDescent="0.45">
      <c r="A80" s="37"/>
      <c r="B80" s="29"/>
      <c r="C80" s="29"/>
      <c r="D80" s="28"/>
      <c r="E80" s="30" t="str">
        <f>IFERROR(VLOOKUP(D80,KRX종목마스터!$A:$B,2,FALSE),"")</f>
        <v/>
      </c>
      <c r="F80" s="42"/>
      <c r="G80" s="42"/>
      <c r="H80" s="31" t="str">
        <f t="shared" si="3"/>
        <v/>
      </c>
      <c r="I80" s="43">
        <f ca="1">IFERROR(SUMPRODUCT((참고!$A$31:$A$130=C80)*(참고!$B$31:$B$130&lt;=A80)*(참고!$B$31:$B$130=_xludf.MAXIFS(참고!$B$31:$B$130,참고!$A$31:$A$130,C80,참고!$B$31:$B$130,"&lt;="&amp;A80))*참고!$C$31:$C$130)/100,0)</f>
        <v>0</v>
      </c>
      <c r="J80" s="31" t="str">
        <f t="shared" si="4"/>
        <v/>
      </c>
      <c r="K80" s="43">
        <f>IF(B80="매도",IFERROR(SUMPRODUCT((참고!$A$31:$A$130=C80)*(참고!$B$31:$B$130&lt;=A80)*(참고!$B$31:$B$130=_xludf.MAXIFS(참고!$B$31:$B$130,참고!$A$31:$A$130,C80,참고!$B$31:$B$130,"&lt;="&amp;A80))*참고!$D$31:$D$130)/100,0),0)</f>
        <v>0</v>
      </c>
      <c r="L80" s="31" t="str">
        <f t="shared" si="5"/>
        <v/>
      </c>
      <c r="M80" s="39"/>
    </row>
    <row r="81" spans="1:13" ht="18" customHeight="1" x14ac:dyDescent="0.45">
      <c r="A81" s="37"/>
      <c r="B81" s="29"/>
      <c r="C81" s="29"/>
      <c r="D81" s="28"/>
      <c r="E81" s="30" t="str">
        <f>IFERROR(VLOOKUP(D81,KRX종목마스터!$A:$B,2,FALSE),"")</f>
        <v/>
      </c>
      <c r="F81" s="42"/>
      <c r="G81" s="42"/>
      <c r="H81" s="31" t="str">
        <f t="shared" si="3"/>
        <v/>
      </c>
      <c r="I81" s="43">
        <f ca="1">IFERROR(SUMPRODUCT((참고!$A$31:$A$130=C81)*(참고!$B$31:$B$130&lt;=A81)*(참고!$B$31:$B$130=_xludf.MAXIFS(참고!$B$31:$B$130,참고!$A$31:$A$130,C81,참고!$B$31:$B$130,"&lt;="&amp;A81))*참고!$C$31:$C$130)/100,0)</f>
        <v>0</v>
      </c>
      <c r="J81" s="31" t="str">
        <f t="shared" si="4"/>
        <v/>
      </c>
      <c r="K81" s="43">
        <f>IF(B81="매도",IFERROR(SUMPRODUCT((참고!$A$31:$A$130=C81)*(참고!$B$31:$B$130&lt;=A81)*(참고!$B$31:$B$130=_xludf.MAXIFS(참고!$B$31:$B$130,참고!$A$31:$A$130,C81,참고!$B$31:$B$130,"&lt;="&amp;A81))*참고!$D$31:$D$130)/100,0),0)</f>
        <v>0</v>
      </c>
      <c r="L81" s="31" t="str">
        <f t="shared" si="5"/>
        <v/>
      </c>
      <c r="M81" s="39"/>
    </row>
    <row r="82" spans="1:13" ht="18" customHeight="1" x14ac:dyDescent="0.45">
      <c r="A82" s="37"/>
      <c r="B82" s="29"/>
      <c r="C82" s="29"/>
      <c r="D82" s="28"/>
      <c r="E82" s="30" t="str">
        <f>IFERROR(VLOOKUP(D82,KRX종목마스터!$A:$B,2,FALSE),"")</f>
        <v/>
      </c>
      <c r="F82" s="42"/>
      <c r="G82" s="42"/>
      <c r="H82" s="31" t="str">
        <f t="shared" si="3"/>
        <v/>
      </c>
      <c r="I82" s="43">
        <f ca="1">IFERROR(SUMPRODUCT((참고!$A$31:$A$130=C82)*(참고!$B$31:$B$130&lt;=A82)*(참고!$B$31:$B$130=_xludf.MAXIFS(참고!$B$31:$B$130,참고!$A$31:$A$130,C82,참고!$B$31:$B$130,"&lt;="&amp;A82))*참고!$C$31:$C$130)/100,0)</f>
        <v>0</v>
      </c>
      <c r="J82" s="31" t="str">
        <f t="shared" si="4"/>
        <v/>
      </c>
      <c r="K82" s="43">
        <f>IF(B82="매도",IFERROR(SUMPRODUCT((참고!$A$31:$A$130=C82)*(참고!$B$31:$B$130&lt;=A82)*(참고!$B$31:$B$130=_xludf.MAXIFS(참고!$B$31:$B$130,참고!$A$31:$A$130,C82,참고!$B$31:$B$130,"&lt;="&amp;A82))*참고!$D$31:$D$130)/100,0),0)</f>
        <v>0</v>
      </c>
      <c r="L82" s="31" t="str">
        <f t="shared" si="5"/>
        <v/>
      </c>
      <c r="M82" s="39"/>
    </row>
    <row r="83" spans="1:13" ht="18" customHeight="1" x14ac:dyDescent="0.45">
      <c r="A83" s="37"/>
      <c r="B83" s="29"/>
      <c r="C83" s="29"/>
      <c r="D83" s="28"/>
      <c r="E83" s="30" t="str">
        <f>IFERROR(VLOOKUP(D83,KRX종목마스터!$A:$B,2,FALSE),"")</f>
        <v/>
      </c>
      <c r="F83" s="42"/>
      <c r="G83" s="42"/>
      <c r="H83" s="31" t="str">
        <f t="shared" si="3"/>
        <v/>
      </c>
      <c r="I83" s="43">
        <f ca="1">IFERROR(SUMPRODUCT((참고!$A$31:$A$130=C83)*(참고!$B$31:$B$130&lt;=A83)*(참고!$B$31:$B$130=_xludf.MAXIFS(참고!$B$31:$B$130,참고!$A$31:$A$130,C83,참고!$B$31:$B$130,"&lt;="&amp;A83))*참고!$C$31:$C$130)/100,0)</f>
        <v>0</v>
      </c>
      <c r="J83" s="31" t="str">
        <f t="shared" si="4"/>
        <v/>
      </c>
      <c r="K83" s="43">
        <f>IF(B83="매도",IFERROR(SUMPRODUCT((참고!$A$31:$A$130=C83)*(참고!$B$31:$B$130&lt;=A83)*(참고!$B$31:$B$130=_xludf.MAXIFS(참고!$B$31:$B$130,참고!$A$31:$A$130,C83,참고!$B$31:$B$130,"&lt;="&amp;A83))*참고!$D$31:$D$130)/100,0),0)</f>
        <v>0</v>
      </c>
      <c r="L83" s="31" t="str">
        <f t="shared" si="5"/>
        <v/>
      </c>
      <c r="M83" s="39"/>
    </row>
    <row r="84" spans="1:13" ht="18" customHeight="1" x14ac:dyDescent="0.45">
      <c r="A84" s="37"/>
      <c r="B84" s="29"/>
      <c r="C84" s="29"/>
      <c r="D84" s="28"/>
      <c r="E84" s="30" t="str">
        <f>IFERROR(VLOOKUP(D84,KRX종목마스터!$A:$B,2,FALSE),"")</f>
        <v/>
      </c>
      <c r="F84" s="42"/>
      <c r="G84" s="42"/>
      <c r="H84" s="31" t="str">
        <f t="shared" si="3"/>
        <v/>
      </c>
      <c r="I84" s="43">
        <f ca="1">IFERROR(SUMPRODUCT((참고!$A$31:$A$130=C84)*(참고!$B$31:$B$130&lt;=A84)*(참고!$B$31:$B$130=_xludf.MAXIFS(참고!$B$31:$B$130,참고!$A$31:$A$130,C84,참고!$B$31:$B$130,"&lt;="&amp;A84))*참고!$C$31:$C$130)/100,0)</f>
        <v>0</v>
      </c>
      <c r="J84" s="31" t="str">
        <f t="shared" si="4"/>
        <v/>
      </c>
      <c r="K84" s="43">
        <f>IF(B84="매도",IFERROR(SUMPRODUCT((참고!$A$31:$A$130=C84)*(참고!$B$31:$B$130&lt;=A84)*(참고!$B$31:$B$130=_xludf.MAXIFS(참고!$B$31:$B$130,참고!$A$31:$A$130,C84,참고!$B$31:$B$130,"&lt;="&amp;A84))*참고!$D$31:$D$130)/100,0),0)</f>
        <v>0</v>
      </c>
      <c r="L84" s="31" t="str">
        <f t="shared" si="5"/>
        <v/>
      </c>
      <c r="M84" s="39"/>
    </row>
    <row r="85" spans="1:13" ht="18" customHeight="1" x14ac:dyDescent="0.45">
      <c r="A85" s="37"/>
      <c r="B85" s="29"/>
      <c r="C85" s="29"/>
      <c r="D85" s="28"/>
      <c r="E85" s="30" t="str">
        <f>IFERROR(VLOOKUP(D85,KRX종목마스터!$A:$B,2,FALSE),"")</f>
        <v/>
      </c>
      <c r="F85" s="42"/>
      <c r="G85" s="42"/>
      <c r="H85" s="31" t="str">
        <f t="shared" si="3"/>
        <v/>
      </c>
      <c r="I85" s="43">
        <f ca="1">IFERROR(SUMPRODUCT((참고!$A$31:$A$130=C85)*(참고!$B$31:$B$130&lt;=A85)*(참고!$B$31:$B$130=_xludf.MAXIFS(참고!$B$31:$B$130,참고!$A$31:$A$130,C85,참고!$B$31:$B$130,"&lt;="&amp;A85))*참고!$C$31:$C$130)/100,0)</f>
        <v>0</v>
      </c>
      <c r="J85" s="31" t="str">
        <f t="shared" si="4"/>
        <v/>
      </c>
      <c r="K85" s="43">
        <f>IF(B85="매도",IFERROR(SUMPRODUCT((참고!$A$31:$A$130=C85)*(참고!$B$31:$B$130&lt;=A85)*(참고!$B$31:$B$130=_xludf.MAXIFS(참고!$B$31:$B$130,참고!$A$31:$A$130,C85,참고!$B$31:$B$130,"&lt;="&amp;A85))*참고!$D$31:$D$130)/100,0),0)</f>
        <v>0</v>
      </c>
      <c r="L85" s="31" t="str">
        <f t="shared" si="5"/>
        <v/>
      </c>
      <c r="M85" s="39"/>
    </row>
    <row r="86" spans="1:13" ht="18" customHeight="1" x14ac:dyDescent="0.45">
      <c r="A86" s="37"/>
      <c r="B86" s="29"/>
      <c r="C86" s="29"/>
      <c r="D86" s="28"/>
      <c r="E86" s="30" t="str">
        <f>IFERROR(VLOOKUP(D86,KRX종목마스터!$A:$B,2,FALSE),"")</f>
        <v/>
      </c>
      <c r="F86" s="42"/>
      <c r="G86" s="42"/>
      <c r="H86" s="31" t="str">
        <f t="shared" si="3"/>
        <v/>
      </c>
      <c r="I86" s="43">
        <f ca="1">IFERROR(SUMPRODUCT((참고!$A$31:$A$130=C86)*(참고!$B$31:$B$130&lt;=A86)*(참고!$B$31:$B$130=_xludf.MAXIFS(참고!$B$31:$B$130,참고!$A$31:$A$130,C86,참고!$B$31:$B$130,"&lt;="&amp;A86))*참고!$C$31:$C$130)/100,0)</f>
        <v>0</v>
      </c>
      <c r="J86" s="31" t="str">
        <f t="shared" si="4"/>
        <v/>
      </c>
      <c r="K86" s="43">
        <f>IF(B86="매도",IFERROR(SUMPRODUCT((참고!$A$31:$A$130=C86)*(참고!$B$31:$B$130&lt;=A86)*(참고!$B$31:$B$130=_xludf.MAXIFS(참고!$B$31:$B$130,참고!$A$31:$A$130,C86,참고!$B$31:$B$130,"&lt;="&amp;A86))*참고!$D$31:$D$130)/100,0),0)</f>
        <v>0</v>
      </c>
      <c r="L86" s="31" t="str">
        <f t="shared" si="5"/>
        <v/>
      </c>
      <c r="M86" s="39"/>
    </row>
    <row r="87" spans="1:13" ht="18" customHeight="1" x14ac:dyDescent="0.45">
      <c r="A87" s="37"/>
      <c r="B87" s="29"/>
      <c r="C87" s="29"/>
      <c r="D87" s="28"/>
      <c r="E87" s="30" t="str">
        <f>IFERROR(VLOOKUP(D87,KRX종목마스터!$A:$B,2,FALSE),"")</f>
        <v/>
      </c>
      <c r="F87" s="42"/>
      <c r="G87" s="42"/>
      <c r="H87" s="31" t="str">
        <f t="shared" si="3"/>
        <v/>
      </c>
      <c r="I87" s="43">
        <f ca="1">IFERROR(SUMPRODUCT((참고!$A$31:$A$130=C87)*(참고!$B$31:$B$130&lt;=A87)*(참고!$B$31:$B$130=_xludf.MAXIFS(참고!$B$31:$B$130,참고!$A$31:$A$130,C87,참고!$B$31:$B$130,"&lt;="&amp;A87))*참고!$C$31:$C$130)/100,0)</f>
        <v>0</v>
      </c>
      <c r="J87" s="31" t="str">
        <f t="shared" si="4"/>
        <v/>
      </c>
      <c r="K87" s="43">
        <f>IF(B87="매도",IFERROR(SUMPRODUCT((참고!$A$31:$A$130=C87)*(참고!$B$31:$B$130&lt;=A87)*(참고!$B$31:$B$130=_xludf.MAXIFS(참고!$B$31:$B$130,참고!$A$31:$A$130,C87,참고!$B$31:$B$130,"&lt;="&amp;A87))*참고!$D$31:$D$130)/100,0),0)</f>
        <v>0</v>
      </c>
      <c r="L87" s="31" t="str">
        <f t="shared" si="5"/>
        <v/>
      </c>
      <c r="M87" s="39"/>
    </row>
    <row r="88" spans="1:13" ht="18" customHeight="1" x14ac:dyDescent="0.45">
      <c r="A88" s="37"/>
      <c r="B88" s="29"/>
      <c r="C88" s="29"/>
      <c r="D88" s="28"/>
      <c r="E88" s="30" t="str">
        <f>IFERROR(VLOOKUP(D88,KRX종목마스터!$A:$B,2,FALSE),"")</f>
        <v/>
      </c>
      <c r="F88" s="42"/>
      <c r="G88" s="42"/>
      <c r="H88" s="31" t="str">
        <f t="shared" si="3"/>
        <v/>
      </c>
      <c r="I88" s="43">
        <f ca="1">IFERROR(SUMPRODUCT((참고!$A$31:$A$130=C88)*(참고!$B$31:$B$130&lt;=A88)*(참고!$B$31:$B$130=_xludf.MAXIFS(참고!$B$31:$B$130,참고!$A$31:$A$130,C88,참고!$B$31:$B$130,"&lt;="&amp;A88))*참고!$C$31:$C$130)/100,0)</f>
        <v>0</v>
      </c>
      <c r="J88" s="31" t="str">
        <f t="shared" si="4"/>
        <v/>
      </c>
      <c r="K88" s="43">
        <f>IF(B88="매도",IFERROR(SUMPRODUCT((참고!$A$31:$A$130=C88)*(참고!$B$31:$B$130&lt;=A88)*(참고!$B$31:$B$130=_xludf.MAXIFS(참고!$B$31:$B$130,참고!$A$31:$A$130,C88,참고!$B$31:$B$130,"&lt;="&amp;A88))*참고!$D$31:$D$130)/100,0),0)</f>
        <v>0</v>
      </c>
      <c r="L88" s="31" t="str">
        <f t="shared" si="5"/>
        <v/>
      </c>
      <c r="M88" s="39"/>
    </row>
    <row r="89" spans="1:13" ht="18" customHeight="1" x14ac:dyDescent="0.45">
      <c r="A89" s="37"/>
      <c r="B89" s="29"/>
      <c r="C89" s="29"/>
      <c r="D89" s="28"/>
      <c r="E89" s="30" t="str">
        <f>IFERROR(VLOOKUP(D89,KRX종목마스터!$A:$B,2,FALSE),"")</f>
        <v/>
      </c>
      <c r="F89" s="42"/>
      <c r="G89" s="42"/>
      <c r="H89" s="31" t="str">
        <f t="shared" si="3"/>
        <v/>
      </c>
      <c r="I89" s="43">
        <f ca="1">IFERROR(SUMPRODUCT((참고!$A$31:$A$130=C89)*(참고!$B$31:$B$130&lt;=A89)*(참고!$B$31:$B$130=_xludf.MAXIFS(참고!$B$31:$B$130,참고!$A$31:$A$130,C89,참고!$B$31:$B$130,"&lt;="&amp;A89))*참고!$C$31:$C$130)/100,0)</f>
        <v>0</v>
      </c>
      <c r="J89" s="31" t="str">
        <f t="shared" si="4"/>
        <v/>
      </c>
      <c r="K89" s="43">
        <f>IF(B89="매도",IFERROR(SUMPRODUCT((참고!$A$31:$A$130=C89)*(참고!$B$31:$B$130&lt;=A89)*(참고!$B$31:$B$130=_xludf.MAXIFS(참고!$B$31:$B$130,참고!$A$31:$A$130,C89,참고!$B$31:$B$130,"&lt;="&amp;A89))*참고!$D$31:$D$130)/100,0),0)</f>
        <v>0</v>
      </c>
      <c r="L89" s="31" t="str">
        <f t="shared" si="5"/>
        <v/>
      </c>
      <c r="M89" s="39"/>
    </row>
    <row r="90" spans="1:13" ht="18" customHeight="1" x14ac:dyDescent="0.45">
      <c r="A90" s="37"/>
      <c r="B90" s="29"/>
      <c r="C90" s="29"/>
      <c r="D90" s="28"/>
      <c r="E90" s="30" t="str">
        <f>IFERROR(VLOOKUP(D90,KRX종목마스터!$A:$B,2,FALSE),"")</f>
        <v/>
      </c>
      <c r="F90" s="42"/>
      <c r="G90" s="42"/>
      <c r="H90" s="31" t="str">
        <f t="shared" si="3"/>
        <v/>
      </c>
      <c r="I90" s="43">
        <f ca="1">IFERROR(SUMPRODUCT((참고!$A$31:$A$130=C90)*(참고!$B$31:$B$130&lt;=A90)*(참고!$B$31:$B$130=_xludf.MAXIFS(참고!$B$31:$B$130,참고!$A$31:$A$130,C90,참고!$B$31:$B$130,"&lt;="&amp;A90))*참고!$C$31:$C$130)/100,0)</f>
        <v>0</v>
      </c>
      <c r="J90" s="31" t="str">
        <f t="shared" si="4"/>
        <v/>
      </c>
      <c r="K90" s="43">
        <f>IF(B90="매도",IFERROR(SUMPRODUCT((참고!$A$31:$A$130=C90)*(참고!$B$31:$B$130&lt;=A90)*(참고!$B$31:$B$130=_xludf.MAXIFS(참고!$B$31:$B$130,참고!$A$31:$A$130,C90,참고!$B$31:$B$130,"&lt;="&amp;A90))*참고!$D$31:$D$130)/100,0),0)</f>
        <v>0</v>
      </c>
      <c r="L90" s="31" t="str">
        <f t="shared" si="5"/>
        <v/>
      </c>
      <c r="M90" s="39"/>
    </row>
    <row r="91" spans="1:13" ht="18" customHeight="1" x14ac:dyDescent="0.45">
      <c r="A91" s="37"/>
      <c r="B91" s="29"/>
      <c r="C91" s="29"/>
      <c r="D91" s="28"/>
      <c r="E91" s="30" t="str">
        <f>IFERROR(VLOOKUP(D91,KRX종목마스터!$A:$B,2,FALSE),"")</f>
        <v/>
      </c>
      <c r="F91" s="42"/>
      <c r="G91" s="42"/>
      <c r="H91" s="31" t="str">
        <f t="shared" si="3"/>
        <v/>
      </c>
      <c r="I91" s="43">
        <f ca="1">IFERROR(SUMPRODUCT((참고!$A$31:$A$130=C91)*(참고!$B$31:$B$130&lt;=A91)*(참고!$B$31:$B$130=_xludf.MAXIFS(참고!$B$31:$B$130,참고!$A$31:$A$130,C91,참고!$B$31:$B$130,"&lt;="&amp;A91))*참고!$C$31:$C$130)/100,0)</f>
        <v>0</v>
      </c>
      <c r="J91" s="31" t="str">
        <f t="shared" si="4"/>
        <v/>
      </c>
      <c r="K91" s="43">
        <f>IF(B91="매도",IFERROR(SUMPRODUCT((참고!$A$31:$A$130=C91)*(참고!$B$31:$B$130&lt;=A91)*(참고!$B$31:$B$130=_xludf.MAXIFS(참고!$B$31:$B$130,참고!$A$31:$A$130,C91,참고!$B$31:$B$130,"&lt;="&amp;A91))*참고!$D$31:$D$130)/100,0),0)</f>
        <v>0</v>
      </c>
      <c r="L91" s="31" t="str">
        <f t="shared" si="5"/>
        <v/>
      </c>
      <c r="M91" s="39"/>
    </row>
    <row r="92" spans="1:13" ht="18" customHeight="1" x14ac:dyDescent="0.45">
      <c r="A92" s="37"/>
      <c r="B92" s="29"/>
      <c r="C92" s="29"/>
      <c r="D92" s="28"/>
      <c r="E92" s="30" t="str">
        <f>IFERROR(VLOOKUP(D92,KRX종목마스터!$A:$B,2,FALSE),"")</f>
        <v/>
      </c>
      <c r="F92" s="42"/>
      <c r="G92" s="42"/>
      <c r="H92" s="31" t="str">
        <f t="shared" si="3"/>
        <v/>
      </c>
      <c r="I92" s="43">
        <f ca="1">IFERROR(SUMPRODUCT((참고!$A$31:$A$130=C92)*(참고!$B$31:$B$130&lt;=A92)*(참고!$B$31:$B$130=_xludf.MAXIFS(참고!$B$31:$B$130,참고!$A$31:$A$130,C92,참고!$B$31:$B$130,"&lt;="&amp;A92))*참고!$C$31:$C$130)/100,0)</f>
        <v>0</v>
      </c>
      <c r="J92" s="31" t="str">
        <f t="shared" si="4"/>
        <v/>
      </c>
      <c r="K92" s="43">
        <f>IF(B92="매도",IFERROR(SUMPRODUCT((참고!$A$31:$A$130=C92)*(참고!$B$31:$B$130&lt;=A92)*(참고!$B$31:$B$130=_xludf.MAXIFS(참고!$B$31:$B$130,참고!$A$31:$A$130,C92,참고!$B$31:$B$130,"&lt;="&amp;A92))*참고!$D$31:$D$130)/100,0),0)</f>
        <v>0</v>
      </c>
      <c r="L92" s="31" t="str">
        <f t="shared" si="5"/>
        <v/>
      </c>
      <c r="M92" s="39"/>
    </row>
    <row r="93" spans="1:13" ht="18" customHeight="1" x14ac:dyDescent="0.45">
      <c r="A93" s="37"/>
      <c r="B93" s="29"/>
      <c r="C93" s="29"/>
      <c r="D93" s="28"/>
      <c r="E93" s="30" t="str">
        <f>IFERROR(VLOOKUP(D93,KRX종목마스터!$A:$B,2,FALSE),"")</f>
        <v/>
      </c>
      <c r="F93" s="42"/>
      <c r="G93" s="42"/>
      <c r="H93" s="31" t="str">
        <f t="shared" si="3"/>
        <v/>
      </c>
      <c r="I93" s="43">
        <f ca="1">IFERROR(SUMPRODUCT((참고!$A$31:$A$130=C93)*(참고!$B$31:$B$130&lt;=A93)*(참고!$B$31:$B$130=_xludf.MAXIFS(참고!$B$31:$B$130,참고!$A$31:$A$130,C93,참고!$B$31:$B$130,"&lt;="&amp;A93))*참고!$C$31:$C$130)/100,0)</f>
        <v>0</v>
      </c>
      <c r="J93" s="31" t="str">
        <f t="shared" si="4"/>
        <v/>
      </c>
      <c r="K93" s="43">
        <f>IF(B93="매도",IFERROR(SUMPRODUCT((참고!$A$31:$A$130=C93)*(참고!$B$31:$B$130&lt;=A93)*(참고!$B$31:$B$130=_xludf.MAXIFS(참고!$B$31:$B$130,참고!$A$31:$A$130,C93,참고!$B$31:$B$130,"&lt;="&amp;A93))*참고!$D$31:$D$130)/100,0),0)</f>
        <v>0</v>
      </c>
      <c r="L93" s="31" t="str">
        <f t="shared" si="5"/>
        <v/>
      </c>
      <c r="M93" s="39"/>
    </row>
    <row r="94" spans="1:13" ht="18" customHeight="1" x14ac:dyDescent="0.45">
      <c r="A94" s="37"/>
      <c r="B94" s="29"/>
      <c r="C94" s="29"/>
      <c r="D94" s="28"/>
      <c r="E94" s="30" t="str">
        <f>IFERROR(VLOOKUP(D94,KRX종목마스터!$A:$B,2,FALSE),"")</f>
        <v/>
      </c>
      <c r="F94" s="42"/>
      <c r="G94" s="42"/>
      <c r="H94" s="31" t="str">
        <f t="shared" si="3"/>
        <v/>
      </c>
      <c r="I94" s="43">
        <f ca="1">IFERROR(SUMPRODUCT((참고!$A$31:$A$130=C94)*(참고!$B$31:$B$130&lt;=A94)*(참고!$B$31:$B$130=_xludf.MAXIFS(참고!$B$31:$B$130,참고!$A$31:$A$130,C94,참고!$B$31:$B$130,"&lt;="&amp;A94))*참고!$C$31:$C$130)/100,0)</f>
        <v>0</v>
      </c>
      <c r="J94" s="31" t="str">
        <f t="shared" si="4"/>
        <v/>
      </c>
      <c r="K94" s="43">
        <f>IF(B94="매도",IFERROR(SUMPRODUCT((참고!$A$31:$A$130=C94)*(참고!$B$31:$B$130&lt;=A94)*(참고!$B$31:$B$130=_xludf.MAXIFS(참고!$B$31:$B$130,참고!$A$31:$A$130,C94,참고!$B$31:$B$130,"&lt;="&amp;A94))*참고!$D$31:$D$130)/100,0),0)</f>
        <v>0</v>
      </c>
      <c r="L94" s="31" t="str">
        <f t="shared" si="5"/>
        <v/>
      </c>
      <c r="M94" s="39"/>
    </row>
    <row r="95" spans="1:13" ht="18" customHeight="1" x14ac:dyDescent="0.45">
      <c r="A95" s="37"/>
      <c r="B95" s="29"/>
      <c r="C95" s="29"/>
      <c r="D95" s="28"/>
      <c r="E95" s="30" t="str">
        <f>IFERROR(VLOOKUP(D95,KRX종목마스터!$A:$B,2,FALSE),"")</f>
        <v/>
      </c>
      <c r="F95" s="42"/>
      <c r="G95" s="42"/>
      <c r="H95" s="31" t="str">
        <f t="shared" si="3"/>
        <v/>
      </c>
      <c r="I95" s="43">
        <f ca="1">IFERROR(SUMPRODUCT((참고!$A$31:$A$130=C95)*(참고!$B$31:$B$130&lt;=A95)*(참고!$B$31:$B$130=_xludf.MAXIFS(참고!$B$31:$B$130,참고!$A$31:$A$130,C95,참고!$B$31:$B$130,"&lt;="&amp;A95))*참고!$C$31:$C$130)/100,0)</f>
        <v>0</v>
      </c>
      <c r="J95" s="31" t="str">
        <f t="shared" si="4"/>
        <v/>
      </c>
      <c r="K95" s="43">
        <f>IF(B95="매도",IFERROR(SUMPRODUCT((참고!$A$31:$A$130=C95)*(참고!$B$31:$B$130&lt;=A95)*(참고!$B$31:$B$130=_xludf.MAXIFS(참고!$B$31:$B$130,참고!$A$31:$A$130,C95,참고!$B$31:$B$130,"&lt;="&amp;A95))*참고!$D$31:$D$130)/100,0),0)</f>
        <v>0</v>
      </c>
      <c r="L95" s="31" t="str">
        <f t="shared" si="5"/>
        <v/>
      </c>
      <c r="M95" s="39"/>
    </row>
    <row r="96" spans="1:13" ht="18" customHeight="1" x14ac:dyDescent="0.45">
      <c r="A96" s="37"/>
      <c r="B96" s="29"/>
      <c r="C96" s="29"/>
      <c r="D96" s="28"/>
      <c r="E96" s="30" t="str">
        <f>IFERROR(VLOOKUP(D96,KRX종목마스터!$A:$B,2,FALSE),"")</f>
        <v/>
      </c>
      <c r="F96" s="42"/>
      <c r="G96" s="42"/>
      <c r="H96" s="31" t="str">
        <f t="shared" si="3"/>
        <v/>
      </c>
      <c r="I96" s="43">
        <f ca="1">IFERROR(SUMPRODUCT((참고!$A$31:$A$130=C96)*(참고!$B$31:$B$130&lt;=A96)*(참고!$B$31:$B$130=_xludf.MAXIFS(참고!$B$31:$B$130,참고!$A$31:$A$130,C96,참고!$B$31:$B$130,"&lt;="&amp;A96))*참고!$C$31:$C$130)/100,0)</f>
        <v>0</v>
      </c>
      <c r="J96" s="31" t="str">
        <f t="shared" si="4"/>
        <v/>
      </c>
      <c r="K96" s="43">
        <f>IF(B96="매도",IFERROR(SUMPRODUCT((참고!$A$31:$A$130=C96)*(참고!$B$31:$B$130&lt;=A96)*(참고!$B$31:$B$130=_xludf.MAXIFS(참고!$B$31:$B$130,참고!$A$31:$A$130,C96,참고!$B$31:$B$130,"&lt;="&amp;A96))*참고!$D$31:$D$130)/100,0),0)</f>
        <v>0</v>
      </c>
      <c r="L96" s="31" t="str">
        <f t="shared" si="5"/>
        <v/>
      </c>
      <c r="M96" s="39"/>
    </row>
    <row r="97" spans="1:13" ht="18" customHeight="1" x14ac:dyDescent="0.45">
      <c r="A97" s="37"/>
      <c r="B97" s="29"/>
      <c r="C97" s="29"/>
      <c r="D97" s="28"/>
      <c r="E97" s="30" t="str">
        <f>IFERROR(VLOOKUP(D97,KRX종목마스터!$A:$B,2,FALSE),"")</f>
        <v/>
      </c>
      <c r="F97" s="42"/>
      <c r="G97" s="42"/>
      <c r="H97" s="31" t="str">
        <f t="shared" si="3"/>
        <v/>
      </c>
      <c r="I97" s="43">
        <f ca="1">IFERROR(SUMPRODUCT((참고!$A$31:$A$130=C97)*(참고!$B$31:$B$130&lt;=A97)*(참고!$B$31:$B$130=_xludf.MAXIFS(참고!$B$31:$B$130,참고!$A$31:$A$130,C97,참고!$B$31:$B$130,"&lt;="&amp;A97))*참고!$C$31:$C$130)/100,0)</f>
        <v>0</v>
      </c>
      <c r="J97" s="31" t="str">
        <f t="shared" si="4"/>
        <v/>
      </c>
      <c r="K97" s="43">
        <f>IF(B97="매도",IFERROR(SUMPRODUCT((참고!$A$31:$A$130=C97)*(참고!$B$31:$B$130&lt;=A97)*(참고!$B$31:$B$130=_xludf.MAXIFS(참고!$B$31:$B$130,참고!$A$31:$A$130,C97,참고!$B$31:$B$130,"&lt;="&amp;A97))*참고!$D$31:$D$130)/100,0),0)</f>
        <v>0</v>
      </c>
      <c r="L97" s="31" t="str">
        <f t="shared" si="5"/>
        <v/>
      </c>
      <c r="M97" s="39"/>
    </row>
    <row r="98" spans="1:13" ht="18" customHeight="1" x14ac:dyDescent="0.45">
      <c r="A98" s="37"/>
      <c r="B98" s="29"/>
      <c r="C98" s="29"/>
      <c r="D98" s="28"/>
      <c r="E98" s="30" t="str">
        <f>IFERROR(VLOOKUP(D98,KRX종목마스터!$A:$B,2,FALSE),"")</f>
        <v/>
      </c>
      <c r="F98" s="42"/>
      <c r="G98" s="42"/>
      <c r="H98" s="31" t="str">
        <f t="shared" si="3"/>
        <v/>
      </c>
      <c r="I98" s="43">
        <f ca="1">IFERROR(SUMPRODUCT((참고!$A$31:$A$130=C98)*(참고!$B$31:$B$130&lt;=A98)*(참고!$B$31:$B$130=_xludf.MAXIFS(참고!$B$31:$B$130,참고!$A$31:$A$130,C98,참고!$B$31:$B$130,"&lt;="&amp;A98))*참고!$C$31:$C$130)/100,0)</f>
        <v>0</v>
      </c>
      <c r="J98" s="31" t="str">
        <f t="shared" si="4"/>
        <v/>
      </c>
      <c r="K98" s="43">
        <f>IF(B98="매도",IFERROR(SUMPRODUCT((참고!$A$31:$A$130=C98)*(참고!$B$31:$B$130&lt;=A98)*(참고!$B$31:$B$130=_xludf.MAXIFS(참고!$B$31:$B$130,참고!$A$31:$A$130,C98,참고!$B$31:$B$130,"&lt;="&amp;A98))*참고!$D$31:$D$130)/100,0),0)</f>
        <v>0</v>
      </c>
      <c r="L98" s="31" t="str">
        <f t="shared" si="5"/>
        <v/>
      </c>
      <c r="M98" s="39"/>
    </row>
    <row r="99" spans="1:13" ht="18" customHeight="1" x14ac:dyDescent="0.45">
      <c r="A99" s="37"/>
      <c r="B99" s="29"/>
      <c r="C99" s="29"/>
      <c r="D99" s="28"/>
      <c r="E99" s="30" t="str">
        <f>IFERROR(VLOOKUP(D99,KRX종목마스터!$A:$B,2,FALSE),"")</f>
        <v/>
      </c>
      <c r="F99" s="42"/>
      <c r="G99" s="42"/>
      <c r="H99" s="31" t="str">
        <f t="shared" si="3"/>
        <v/>
      </c>
      <c r="I99" s="43">
        <f ca="1">IFERROR(SUMPRODUCT((참고!$A$31:$A$130=C99)*(참고!$B$31:$B$130&lt;=A99)*(참고!$B$31:$B$130=_xludf.MAXIFS(참고!$B$31:$B$130,참고!$A$31:$A$130,C99,참고!$B$31:$B$130,"&lt;="&amp;A99))*참고!$C$31:$C$130)/100,0)</f>
        <v>0</v>
      </c>
      <c r="J99" s="31" t="str">
        <f t="shared" si="4"/>
        <v/>
      </c>
      <c r="K99" s="43">
        <f>IF(B99="매도",IFERROR(SUMPRODUCT((참고!$A$31:$A$130=C99)*(참고!$B$31:$B$130&lt;=A99)*(참고!$B$31:$B$130=_xludf.MAXIFS(참고!$B$31:$B$130,참고!$A$31:$A$130,C99,참고!$B$31:$B$130,"&lt;="&amp;A99))*참고!$D$31:$D$130)/100,0),0)</f>
        <v>0</v>
      </c>
      <c r="L99" s="31" t="str">
        <f t="shared" si="5"/>
        <v/>
      </c>
      <c r="M99" s="39"/>
    </row>
    <row r="100" spans="1:13" ht="18" customHeight="1" x14ac:dyDescent="0.45">
      <c r="A100" s="37"/>
      <c r="B100" s="29"/>
      <c r="C100" s="29"/>
      <c r="D100" s="28"/>
      <c r="E100" s="30" t="str">
        <f>IFERROR(VLOOKUP(D100,KRX종목마스터!$A:$B,2,FALSE),"")</f>
        <v/>
      </c>
      <c r="F100" s="42"/>
      <c r="G100" s="42"/>
      <c r="H100" s="31" t="str">
        <f t="shared" si="3"/>
        <v/>
      </c>
      <c r="I100" s="43">
        <f ca="1">IFERROR(SUMPRODUCT((참고!$A$31:$A$130=C100)*(참고!$B$31:$B$130&lt;=A100)*(참고!$B$31:$B$130=_xludf.MAXIFS(참고!$B$31:$B$130,참고!$A$31:$A$130,C100,참고!$B$31:$B$130,"&lt;="&amp;A100))*참고!$C$31:$C$130)/100,0)</f>
        <v>0</v>
      </c>
      <c r="J100" s="31" t="str">
        <f t="shared" si="4"/>
        <v/>
      </c>
      <c r="K100" s="43">
        <f>IF(B100="매도",IFERROR(SUMPRODUCT((참고!$A$31:$A$130=C100)*(참고!$B$31:$B$130&lt;=A100)*(참고!$B$31:$B$130=_xludf.MAXIFS(참고!$B$31:$B$130,참고!$A$31:$A$130,C100,참고!$B$31:$B$130,"&lt;="&amp;A100))*참고!$D$31:$D$130)/100,0),0)</f>
        <v>0</v>
      </c>
      <c r="L100" s="31" t="str">
        <f t="shared" si="5"/>
        <v/>
      </c>
      <c r="M100" s="39"/>
    </row>
    <row r="101" spans="1:13" ht="18" customHeight="1" x14ac:dyDescent="0.45">
      <c r="A101" s="37"/>
      <c r="B101" s="29"/>
      <c r="C101" s="29"/>
      <c r="D101" s="28"/>
      <c r="E101" s="30" t="str">
        <f>IFERROR(VLOOKUP(D101,KRX종목마스터!$A:$B,2,FALSE),"")</f>
        <v/>
      </c>
      <c r="F101" s="42"/>
      <c r="G101" s="42"/>
      <c r="H101" s="31" t="str">
        <f t="shared" si="3"/>
        <v/>
      </c>
      <c r="I101" s="43">
        <f ca="1">IFERROR(SUMPRODUCT((참고!$A$31:$A$130=C101)*(참고!$B$31:$B$130&lt;=A101)*(참고!$B$31:$B$130=_xludf.MAXIFS(참고!$B$31:$B$130,참고!$A$31:$A$130,C101,참고!$B$31:$B$130,"&lt;="&amp;A101))*참고!$C$31:$C$130)/100,0)</f>
        <v>0</v>
      </c>
      <c r="J101" s="31" t="str">
        <f t="shared" si="4"/>
        <v/>
      </c>
      <c r="K101" s="43">
        <f>IF(B101="매도",IFERROR(SUMPRODUCT((참고!$A$31:$A$130=C101)*(참고!$B$31:$B$130&lt;=A101)*(참고!$B$31:$B$130=_xludf.MAXIFS(참고!$B$31:$B$130,참고!$A$31:$A$130,C101,참고!$B$31:$B$130,"&lt;="&amp;A101))*참고!$D$31:$D$130)/100,0),0)</f>
        <v>0</v>
      </c>
      <c r="L101" s="31" t="str">
        <f t="shared" si="5"/>
        <v/>
      </c>
      <c r="M101" s="39"/>
    </row>
    <row r="102" spans="1:13" ht="18" customHeight="1" x14ac:dyDescent="0.45">
      <c r="A102" s="37"/>
      <c r="B102" s="29"/>
      <c r="C102" s="29"/>
      <c r="D102" s="28"/>
      <c r="E102" s="30" t="str">
        <f>IFERROR(VLOOKUP(D102,KRX종목마스터!$A:$B,2,FALSE),"")</f>
        <v/>
      </c>
      <c r="F102" s="42"/>
      <c r="G102" s="42"/>
      <c r="H102" s="31" t="str">
        <f t="shared" si="3"/>
        <v/>
      </c>
      <c r="I102" s="43">
        <f ca="1">IFERROR(SUMPRODUCT((참고!$A$31:$A$130=C102)*(참고!$B$31:$B$130&lt;=A102)*(참고!$B$31:$B$130=_xludf.MAXIFS(참고!$B$31:$B$130,참고!$A$31:$A$130,C102,참고!$B$31:$B$130,"&lt;="&amp;A102))*참고!$C$31:$C$130)/100,0)</f>
        <v>0</v>
      </c>
      <c r="J102" s="31" t="str">
        <f t="shared" si="4"/>
        <v/>
      </c>
      <c r="K102" s="43">
        <f>IF(B102="매도",IFERROR(SUMPRODUCT((참고!$A$31:$A$130=C102)*(참고!$B$31:$B$130&lt;=A102)*(참고!$B$31:$B$130=_xludf.MAXIFS(참고!$B$31:$B$130,참고!$A$31:$A$130,C102,참고!$B$31:$B$130,"&lt;="&amp;A102))*참고!$D$31:$D$130)/100,0),0)</f>
        <v>0</v>
      </c>
      <c r="L102" s="31" t="str">
        <f t="shared" si="5"/>
        <v/>
      </c>
      <c r="M102" s="39"/>
    </row>
    <row r="103" spans="1:13" ht="18" customHeight="1" x14ac:dyDescent="0.45">
      <c r="A103" s="37"/>
      <c r="B103" s="29"/>
      <c r="C103" s="29"/>
      <c r="D103" s="28"/>
      <c r="E103" s="30" t="str">
        <f>IFERROR(VLOOKUP(D103,KRX종목마스터!$A:$B,2,FALSE),"")</f>
        <v/>
      </c>
      <c r="F103" s="42"/>
      <c r="G103" s="42"/>
      <c r="H103" s="31" t="str">
        <f t="shared" si="3"/>
        <v/>
      </c>
      <c r="I103" s="43">
        <f ca="1">IFERROR(SUMPRODUCT((참고!$A$31:$A$130=C103)*(참고!$B$31:$B$130&lt;=A103)*(참고!$B$31:$B$130=_xludf.MAXIFS(참고!$B$31:$B$130,참고!$A$31:$A$130,C103,참고!$B$31:$B$130,"&lt;="&amp;A103))*참고!$C$31:$C$130)/100,0)</f>
        <v>0</v>
      </c>
      <c r="J103" s="31" t="str">
        <f t="shared" si="4"/>
        <v/>
      </c>
      <c r="K103" s="43">
        <f>IF(B103="매도",IFERROR(SUMPRODUCT((참고!$A$31:$A$130=C103)*(참고!$B$31:$B$130&lt;=A103)*(참고!$B$31:$B$130=_xludf.MAXIFS(참고!$B$31:$B$130,참고!$A$31:$A$130,C103,참고!$B$31:$B$130,"&lt;="&amp;A103))*참고!$D$31:$D$130)/100,0),0)</f>
        <v>0</v>
      </c>
      <c r="L103" s="31" t="str">
        <f t="shared" si="5"/>
        <v/>
      </c>
      <c r="M103" s="39"/>
    </row>
    <row r="104" spans="1:13" ht="18" customHeight="1" x14ac:dyDescent="0.45">
      <c r="A104" s="37"/>
      <c r="B104" s="29"/>
      <c r="C104" s="29"/>
      <c r="D104" s="28"/>
      <c r="E104" s="30" t="str">
        <f>IFERROR(VLOOKUP(D104,KRX종목마스터!$A:$B,2,FALSE),"")</f>
        <v/>
      </c>
      <c r="F104" s="42"/>
      <c r="G104" s="42"/>
      <c r="H104" s="31" t="str">
        <f t="shared" si="3"/>
        <v/>
      </c>
      <c r="I104" s="43">
        <f ca="1">IFERROR(SUMPRODUCT((참고!$A$31:$A$130=C104)*(참고!$B$31:$B$130&lt;=A104)*(참고!$B$31:$B$130=_xludf.MAXIFS(참고!$B$31:$B$130,참고!$A$31:$A$130,C104,참고!$B$31:$B$130,"&lt;="&amp;A104))*참고!$C$31:$C$130)/100,0)</f>
        <v>0</v>
      </c>
      <c r="J104" s="31" t="str">
        <f t="shared" si="4"/>
        <v/>
      </c>
      <c r="K104" s="43">
        <f>IF(B104="매도",IFERROR(SUMPRODUCT((참고!$A$31:$A$130=C104)*(참고!$B$31:$B$130&lt;=A104)*(참고!$B$31:$B$130=_xludf.MAXIFS(참고!$B$31:$B$130,참고!$A$31:$A$130,C104,참고!$B$31:$B$130,"&lt;="&amp;A104))*참고!$D$31:$D$130)/100,0),0)</f>
        <v>0</v>
      </c>
      <c r="L104" s="31" t="str">
        <f t="shared" si="5"/>
        <v/>
      </c>
      <c r="M104" s="39"/>
    </row>
    <row r="105" spans="1:13" ht="18" customHeight="1" x14ac:dyDescent="0.45">
      <c r="A105" s="37"/>
      <c r="B105" s="29"/>
      <c r="C105" s="29"/>
      <c r="D105" s="28"/>
      <c r="E105" s="30" t="str">
        <f>IFERROR(VLOOKUP(D105,KRX종목마스터!$A:$B,2,FALSE),"")</f>
        <v/>
      </c>
      <c r="F105" s="42"/>
      <c r="G105" s="42"/>
      <c r="H105" s="31" t="str">
        <f t="shared" si="3"/>
        <v/>
      </c>
      <c r="I105" s="43">
        <f ca="1">IFERROR(SUMPRODUCT((참고!$A$31:$A$130=C105)*(참고!$B$31:$B$130&lt;=A105)*(참고!$B$31:$B$130=_xludf.MAXIFS(참고!$B$31:$B$130,참고!$A$31:$A$130,C105,참고!$B$31:$B$130,"&lt;="&amp;A105))*참고!$C$31:$C$130)/100,0)</f>
        <v>0</v>
      </c>
      <c r="J105" s="31" t="str">
        <f t="shared" si="4"/>
        <v/>
      </c>
      <c r="K105" s="43">
        <f>IF(B105="매도",IFERROR(SUMPRODUCT((참고!$A$31:$A$130=C105)*(참고!$B$31:$B$130&lt;=A105)*(참고!$B$31:$B$130=_xludf.MAXIFS(참고!$B$31:$B$130,참고!$A$31:$A$130,C105,참고!$B$31:$B$130,"&lt;="&amp;A105))*참고!$D$31:$D$130)/100,0),0)</f>
        <v>0</v>
      </c>
      <c r="L105" s="31" t="str">
        <f t="shared" si="5"/>
        <v/>
      </c>
      <c r="M105" s="39"/>
    </row>
    <row r="106" spans="1:13" ht="18" customHeight="1" x14ac:dyDescent="0.45">
      <c r="A106" s="37"/>
      <c r="B106" s="29"/>
      <c r="C106" s="29"/>
      <c r="D106" s="28"/>
      <c r="E106" s="30" t="str">
        <f>IFERROR(VLOOKUP(D106,KRX종목마스터!$A:$B,2,FALSE),"")</f>
        <v/>
      </c>
      <c r="F106" s="42"/>
      <c r="G106" s="42"/>
      <c r="H106" s="31" t="str">
        <f t="shared" si="3"/>
        <v/>
      </c>
      <c r="I106" s="43">
        <f ca="1">IFERROR(SUMPRODUCT((참고!$A$31:$A$130=C106)*(참고!$B$31:$B$130&lt;=A106)*(참고!$B$31:$B$130=_xludf.MAXIFS(참고!$B$31:$B$130,참고!$A$31:$A$130,C106,참고!$B$31:$B$130,"&lt;="&amp;A106))*참고!$C$31:$C$130)/100,0)</f>
        <v>0</v>
      </c>
      <c r="J106" s="31" t="str">
        <f t="shared" si="4"/>
        <v/>
      </c>
      <c r="K106" s="43">
        <f>IF(B106="매도",IFERROR(SUMPRODUCT((참고!$A$31:$A$130=C106)*(참고!$B$31:$B$130&lt;=A106)*(참고!$B$31:$B$130=_xludf.MAXIFS(참고!$B$31:$B$130,참고!$A$31:$A$130,C106,참고!$B$31:$B$130,"&lt;="&amp;A106))*참고!$D$31:$D$130)/100,0),0)</f>
        <v>0</v>
      </c>
      <c r="L106" s="31" t="str">
        <f t="shared" si="5"/>
        <v/>
      </c>
      <c r="M106" s="39"/>
    </row>
    <row r="107" spans="1:13" ht="18" customHeight="1" x14ac:dyDescent="0.45">
      <c r="A107" s="37"/>
      <c r="B107" s="29"/>
      <c r="C107" s="29"/>
      <c r="D107" s="28"/>
      <c r="E107" s="30" t="str">
        <f>IFERROR(VLOOKUP(D107,KRX종목마스터!$A:$B,2,FALSE),"")</f>
        <v/>
      </c>
      <c r="F107" s="42"/>
      <c r="G107" s="42"/>
      <c r="H107" s="31" t="str">
        <f t="shared" si="3"/>
        <v/>
      </c>
      <c r="I107" s="43">
        <f ca="1">IFERROR(SUMPRODUCT((참고!$A$31:$A$130=C107)*(참고!$B$31:$B$130&lt;=A107)*(참고!$B$31:$B$130=_xludf.MAXIFS(참고!$B$31:$B$130,참고!$A$31:$A$130,C107,참고!$B$31:$B$130,"&lt;="&amp;A107))*참고!$C$31:$C$130)/100,0)</f>
        <v>0</v>
      </c>
      <c r="J107" s="31" t="str">
        <f t="shared" si="4"/>
        <v/>
      </c>
      <c r="K107" s="43">
        <f>IF(B107="매도",IFERROR(SUMPRODUCT((참고!$A$31:$A$130=C107)*(참고!$B$31:$B$130&lt;=A107)*(참고!$B$31:$B$130=_xludf.MAXIFS(참고!$B$31:$B$130,참고!$A$31:$A$130,C107,참고!$B$31:$B$130,"&lt;="&amp;A107))*참고!$D$31:$D$130)/100,0),0)</f>
        <v>0</v>
      </c>
      <c r="L107" s="31" t="str">
        <f t="shared" si="5"/>
        <v/>
      </c>
      <c r="M107" s="39"/>
    </row>
    <row r="108" spans="1:13" ht="18" customHeight="1" x14ac:dyDescent="0.45">
      <c r="A108" s="37"/>
      <c r="B108" s="29"/>
      <c r="C108" s="29"/>
      <c r="D108" s="28"/>
      <c r="E108" s="30" t="str">
        <f>IFERROR(VLOOKUP(D108,KRX종목마스터!$A:$B,2,FALSE),"")</f>
        <v/>
      </c>
      <c r="F108" s="42"/>
      <c r="G108" s="42"/>
      <c r="H108" s="31" t="str">
        <f t="shared" si="3"/>
        <v/>
      </c>
      <c r="I108" s="43">
        <f ca="1">IFERROR(SUMPRODUCT((참고!$A$31:$A$130=C108)*(참고!$B$31:$B$130&lt;=A108)*(참고!$B$31:$B$130=_xludf.MAXIFS(참고!$B$31:$B$130,참고!$A$31:$A$130,C108,참고!$B$31:$B$130,"&lt;="&amp;A108))*참고!$C$31:$C$130)/100,0)</f>
        <v>0</v>
      </c>
      <c r="J108" s="31" t="str">
        <f t="shared" si="4"/>
        <v/>
      </c>
      <c r="K108" s="43">
        <f>IF(B108="매도",IFERROR(SUMPRODUCT((참고!$A$31:$A$130=C108)*(참고!$B$31:$B$130&lt;=A108)*(참고!$B$31:$B$130=_xludf.MAXIFS(참고!$B$31:$B$130,참고!$A$31:$A$130,C108,참고!$B$31:$B$130,"&lt;="&amp;A108))*참고!$D$31:$D$130)/100,0),0)</f>
        <v>0</v>
      </c>
      <c r="L108" s="31" t="str">
        <f t="shared" si="5"/>
        <v/>
      </c>
      <c r="M108" s="39"/>
    </row>
    <row r="109" spans="1:13" ht="18" customHeight="1" x14ac:dyDescent="0.45">
      <c r="A109" s="37"/>
      <c r="B109" s="29"/>
      <c r="C109" s="29"/>
      <c r="D109" s="28"/>
      <c r="E109" s="30" t="str">
        <f>IFERROR(VLOOKUP(D109,KRX종목마스터!$A:$B,2,FALSE),"")</f>
        <v/>
      </c>
      <c r="F109" s="42"/>
      <c r="G109" s="42"/>
      <c r="H109" s="31" t="str">
        <f t="shared" si="3"/>
        <v/>
      </c>
      <c r="I109" s="43">
        <f ca="1">IFERROR(SUMPRODUCT((참고!$A$31:$A$130=C109)*(참고!$B$31:$B$130&lt;=A109)*(참고!$B$31:$B$130=_xludf.MAXIFS(참고!$B$31:$B$130,참고!$A$31:$A$130,C109,참고!$B$31:$B$130,"&lt;="&amp;A109))*참고!$C$31:$C$130)/100,0)</f>
        <v>0</v>
      </c>
      <c r="J109" s="31" t="str">
        <f t="shared" si="4"/>
        <v/>
      </c>
      <c r="K109" s="43">
        <f>IF(B109="매도",IFERROR(SUMPRODUCT((참고!$A$31:$A$130=C109)*(참고!$B$31:$B$130&lt;=A109)*(참고!$B$31:$B$130=_xludf.MAXIFS(참고!$B$31:$B$130,참고!$A$31:$A$130,C109,참고!$B$31:$B$130,"&lt;="&amp;A109))*참고!$D$31:$D$130)/100,0),0)</f>
        <v>0</v>
      </c>
      <c r="L109" s="31" t="str">
        <f t="shared" si="5"/>
        <v/>
      </c>
      <c r="M109" s="39"/>
    </row>
    <row r="110" spans="1:13" ht="18" customHeight="1" x14ac:dyDescent="0.45">
      <c r="A110" s="37"/>
      <c r="B110" s="29"/>
      <c r="C110" s="29"/>
      <c r="D110" s="28"/>
      <c r="E110" s="30" t="str">
        <f>IFERROR(VLOOKUP(D110,KRX종목마스터!$A:$B,2,FALSE),"")</f>
        <v/>
      </c>
      <c r="F110" s="42"/>
      <c r="G110" s="42"/>
      <c r="H110" s="31" t="str">
        <f t="shared" si="3"/>
        <v/>
      </c>
      <c r="I110" s="43">
        <f ca="1">IFERROR(SUMPRODUCT((참고!$A$31:$A$130=C110)*(참고!$B$31:$B$130&lt;=A110)*(참고!$B$31:$B$130=_xludf.MAXIFS(참고!$B$31:$B$130,참고!$A$31:$A$130,C110,참고!$B$31:$B$130,"&lt;="&amp;A110))*참고!$C$31:$C$130)/100,0)</f>
        <v>0</v>
      </c>
      <c r="J110" s="31" t="str">
        <f t="shared" si="4"/>
        <v/>
      </c>
      <c r="K110" s="43">
        <f>IF(B110="매도",IFERROR(SUMPRODUCT((참고!$A$31:$A$130=C110)*(참고!$B$31:$B$130&lt;=A110)*(참고!$B$31:$B$130=_xludf.MAXIFS(참고!$B$31:$B$130,참고!$A$31:$A$130,C110,참고!$B$31:$B$130,"&lt;="&amp;A110))*참고!$D$31:$D$130)/100,0),0)</f>
        <v>0</v>
      </c>
      <c r="L110" s="31" t="str">
        <f t="shared" si="5"/>
        <v/>
      </c>
      <c r="M110" s="39"/>
    </row>
    <row r="111" spans="1:13" ht="18" customHeight="1" x14ac:dyDescent="0.45">
      <c r="A111" s="37"/>
      <c r="B111" s="29"/>
      <c r="C111" s="29"/>
      <c r="D111" s="28"/>
      <c r="E111" s="30" t="str">
        <f>IFERROR(VLOOKUP(D111,KRX종목마스터!$A:$B,2,FALSE),"")</f>
        <v/>
      </c>
      <c r="F111" s="42"/>
      <c r="G111" s="42"/>
      <c r="H111" s="31" t="str">
        <f t="shared" si="3"/>
        <v/>
      </c>
      <c r="I111" s="43">
        <f ca="1">IFERROR(SUMPRODUCT((참고!$A$31:$A$130=C111)*(참고!$B$31:$B$130&lt;=A111)*(참고!$B$31:$B$130=_xludf.MAXIFS(참고!$B$31:$B$130,참고!$A$31:$A$130,C111,참고!$B$31:$B$130,"&lt;="&amp;A111))*참고!$C$31:$C$130)/100,0)</f>
        <v>0</v>
      </c>
      <c r="J111" s="31" t="str">
        <f t="shared" si="4"/>
        <v/>
      </c>
      <c r="K111" s="43">
        <f>IF(B111="매도",IFERROR(SUMPRODUCT((참고!$A$31:$A$130=C111)*(참고!$B$31:$B$130&lt;=A111)*(참고!$B$31:$B$130=_xludf.MAXIFS(참고!$B$31:$B$130,참고!$A$31:$A$130,C111,참고!$B$31:$B$130,"&lt;="&amp;A111))*참고!$D$31:$D$130)/100,0),0)</f>
        <v>0</v>
      </c>
      <c r="L111" s="31" t="str">
        <f t="shared" si="5"/>
        <v/>
      </c>
      <c r="M111" s="39"/>
    </row>
    <row r="112" spans="1:13" ht="18" customHeight="1" x14ac:dyDescent="0.45">
      <c r="A112" s="37"/>
      <c r="B112" s="29"/>
      <c r="C112" s="29"/>
      <c r="D112" s="28"/>
      <c r="E112" s="30" t="str">
        <f>IFERROR(VLOOKUP(D112,KRX종목마스터!$A:$B,2,FALSE),"")</f>
        <v/>
      </c>
      <c r="F112" s="42"/>
      <c r="G112" s="42"/>
      <c r="H112" s="31" t="str">
        <f t="shared" si="3"/>
        <v/>
      </c>
      <c r="I112" s="43">
        <f ca="1">IFERROR(SUMPRODUCT((참고!$A$31:$A$130=C112)*(참고!$B$31:$B$130&lt;=A112)*(참고!$B$31:$B$130=_xludf.MAXIFS(참고!$B$31:$B$130,참고!$A$31:$A$130,C112,참고!$B$31:$B$130,"&lt;="&amp;A112))*참고!$C$31:$C$130)/100,0)</f>
        <v>0</v>
      </c>
      <c r="J112" s="31" t="str">
        <f t="shared" si="4"/>
        <v/>
      </c>
      <c r="K112" s="43">
        <f>IF(B112="매도",IFERROR(SUMPRODUCT((참고!$A$31:$A$130=C112)*(참고!$B$31:$B$130&lt;=A112)*(참고!$B$31:$B$130=_xludf.MAXIFS(참고!$B$31:$B$130,참고!$A$31:$A$130,C112,참고!$B$31:$B$130,"&lt;="&amp;A112))*참고!$D$31:$D$130)/100,0),0)</f>
        <v>0</v>
      </c>
      <c r="L112" s="31" t="str">
        <f t="shared" si="5"/>
        <v/>
      </c>
      <c r="M112" s="39"/>
    </row>
    <row r="113" spans="1:13" ht="18" customHeight="1" x14ac:dyDescent="0.45">
      <c r="A113" s="37"/>
      <c r="B113" s="29"/>
      <c r="C113" s="29"/>
      <c r="D113" s="28"/>
      <c r="E113" s="30" t="str">
        <f>IFERROR(VLOOKUP(D113,KRX종목마스터!$A:$B,2,FALSE),"")</f>
        <v/>
      </c>
      <c r="F113" s="42"/>
      <c r="G113" s="42"/>
      <c r="H113" s="31" t="str">
        <f t="shared" si="3"/>
        <v/>
      </c>
      <c r="I113" s="43">
        <f ca="1">IFERROR(SUMPRODUCT((참고!$A$31:$A$130=C113)*(참고!$B$31:$B$130&lt;=A113)*(참고!$B$31:$B$130=_xludf.MAXIFS(참고!$B$31:$B$130,참고!$A$31:$A$130,C113,참고!$B$31:$B$130,"&lt;="&amp;A113))*참고!$C$31:$C$130)/100,0)</f>
        <v>0</v>
      </c>
      <c r="J113" s="31" t="str">
        <f t="shared" si="4"/>
        <v/>
      </c>
      <c r="K113" s="43">
        <f>IF(B113="매도",IFERROR(SUMPRODUCT((참고!$A$31:$A$130=C113)*(참고!$B$31:$B$130&lt;=A113)*(참고!$B$31:$B$130=_xludf.MAXIFS(참고!$B$31:$B$130,참고!$A$31:$A$130,C113,참고!$B$31:$B$130,"&lt;="&amp;A113))*참고!$D$31:$D$130)/100,0),0)</f>
        <v>0</v>
      </c>
      <c r="L113" s="31" t="str">
        <f t="shared" si="5"/>
        <v/>
      </c>
      <c r="M113" s="39"/>
    </row>
    <row r="114" spans="1:13" ht="18" customHeight="1" x14ac:dyDescent="0.45">
      <c r="A114" s="37"/>
      <c r="B114" s="29"/>
      <c r="C114" s="29"/>
      <c r="D114" s="28"/>
      <c r="E114" s="30" t="str">
        <f>IFERROR(VLOOKUP(D114,KRX종목마스터!$A:$B,2,FALSE),"")</f>
        <v/>
      </c>
      <c r="F114" s="42"/>
      <c r="G114" s="42"/>
      <c r="H114" s="31" t="str">
        <f t="shared" si="3"/>
        <v/>
      </c>
      <c r="I114" s="43">
        <f ca="1">IFERROR(SUMPRODUCT((참고!$A$31:$A$130=C114)*(참고!$B$31:$B$130&lt;=A114)*(참고!$B$31:$B$130=_xludf.MAXIFS(참고!$B$31:$B$130,참고!$A$31:$A$130,C114,참고!$B$31:$B$130,"&lt;="&amp;A114))*참고!$C$31:$C$130)/100,0)</f>
        <v>0</v>
      </c>
      <c r="J114" s="31" t="str">
        <f t="shared" si="4"/>
        <v/>
      </c>
      <c r="K114" s="43">
        <f>IF(B114="매도",IFERROR(SUMPRODUCT((참고!$A$31:$A$130=C114)*(참고!$B$31:$B$130&lt;=A114)*(참고!$B$31:$B$130=_xludf.MAXIFS(참고!$B$31:$B$130,참고!$A$31:$A$130,C114,참고!$B$31:$B$130,"&lt;="&amp;A114))*참고!$D$31:$D$130)/100,0),0)</f>
        <v>0</v>
      </c>
      <c r="L114" s="31" t="str">
        <f t="shared" si="5"/>
        <v/>
      </c>
      <c r="M114" s="39"/>
    </row>
    <row r="115" spans="1:13" ht="18" customHeight="1" x14ac:dyDescent="0.45">
      <c r="A115" s="37"/>
      <c r="B115" s="29"/>
      <c r="C115" s="29"/>
      <c r="D115" s="28"/>
      <c r="E115" s="30" t="str">
        <f>IFERROR(VLOOKUP(D115,KRX종목마스터!$A:$B,2,FALSE),"")</f>
        <v/>
      </c>
      <c r="F115" s="42"/>
      <c r="G115" s="42"/>
      <c r="H115" s="31" t="str">
        <f t="shared" si="3"/>
        <v/>
      </c>
      <c r="I115" s="43">
        <f ca="1">IFERROR(SUMPRODUCT((참고!$A$31:$A$130=C115)*(참고!$B$31:$B$130&lt;=A115)*(참고!$B$31:$B$130=_xludf.MAXIFS(참고!$B$31:$B$130,참고!$A$31:$A$130,C115,참고!$B$31:$B$130,"&lt;="&amp;A115))*참고!$C$31:$C$130)/100,0)</f>
        <v>0</v>
      </c>
      <c r="J115" s="31" t="str">
        <f t="shared" si="4"/>
        <v/>
      </c>
      <c r="K115" s="43">
        <f>IF(B115="매도",IFERROR(SUMPRODUCT((참고!$A$31:$A$130=C115)*(참고!$B$31:$B$130&lt;=A115)*(참고!$B$31:$B$130=_xludf.MAXIFS(참고!$B$31:$B$130,참고!$A$31:$A$130,C115,참고!$B$31:$B$130,"&lt;="&amp;A115))*참고!$D$31:$D$130)/100,0),0)</f>
        <v>0</v>
      </c>
      <c r="L115" s="31" t="str">
        <f t="shared" si="5"/>
        <v/>
      </c>
      <c r="M115" s="39"/>
    </row>
    <row r="116" spans="1:13" ht="18" customHeight="1" x14ac:dyDescent="0.45">
      <c r="A116" s="37"/>
      <c r="B116" s="29"/>
      <c r="C116" s="29"/>
      <c r="D116" s="28"/>
      <c r="E116" s="30" t="str">
        <f>IFERROR(VLOOKUP(D116,KRX종목마스터!$A:$B,2,FALSE),"")</f>
        <v/>
      </c>
      <c r="F116" s="42"/>
      <c r="G116" s="42"/>
      <c r="H116" s="31" t="str">
        <f t="shared" si="3"/>
        <v/>
      </c>
      <c r="I116" s="43">
        <f ca="1">IFERROR(SUMPRODUCT((참고!$A$31:$A$130=C116)*(참고!$B$31:$B$130&lt;=A116)*(참고!$B$31:$B$130=_xludf.MAXIFS(참고!$B$31:$B$130,참고!$A$31:$A$130,C116,참고!$B$31:$B$130,"&lt;="&amp;A116))*참고!$C$31:$C$130)/100,0)</f>
        <v>0</v>
      </c>
      <c r="J116" s="31" t="str">
        <f t="shared" si="4"/>
        <v/>
      </c>
      <c r="K116" s="43">
        <f>IF(B116="매도",IFERROR(SUMPRODUCT((참고!$A$31:$A$130=C116)*(참고!$B$31:$B$130&lt;=A116)*(참고!$B$31:$B$130=_xludf.MAXIFS(참고!$B$31:$B$130,참고!$A$31:$A$130,C116,참고!$B$31:$B$130,"&lt;="&amp;A116))*참고!$D$31:$D$130)/100,0),0)</f>
        <v>0</v>
      </c>
      <c r="L116" s="31" t="str">
        <f t="shared" si="5"/>
        <v/>
      </c>
      <c r="M116" s="39"/>
    </row>
    <row r="117" spans="1:13" ht="18" customHeight="1" x14ac:dyDescent="0.45">
      <c r="A117" s="37"/>
      <c r="B117" s="29"/>
      <c r="C117" s="29"/>
      <c r="D117" s="28"/>
      <c r="E117" s="30" t="str">
        <f>IFERROR(VLOOKUP(D117,KRX종목마스터!$A:$B,2,FALSE),"")</f>
        <v/>
      </c>
      <c r="F117" s="42"/>
      <c r="G117" s="42"/>
      <c r="H117" s="31" t="str">
        <f t="shared" si="3"/>
        <v/>
      </c>
      <c r="I117" s="43">
        <f ca="1">IFERROR(SUMPRODUCT((참고!$A$31:$A$130=C117)*(참고!$B$31:$B$130&lt;=A117)*(참고!$B$31:$B$130=_xludf.MAXIFS(참고!$B$31:$B$130,참고!$A$31:$A$130,C117,참고!$B$31:$B$130,"&lt;="&amp;A117))*참고!$C$31:$C$130)/100,0)</f>
        <v>0</v>
      </c>
      <c r="J117" s="31" t="str">
        <f t="shared" si="4"/>
        <v/>
      </c>
      <c r="K117" s="43">
        <f>IF(B117="매도",IFERROR(SUMPRODUCT((참고!$A$31:$A$130=C117)*(참고!$B$31:$B$130&lt;=A117)*(참고!$B$31:$B$130=_xludf.MAXIFS(참고!$B$31:$B$130,참고!$A$31:$A$130,C117,참고!$B$31:$B$130,"&lt;="&amp;A117))*참고!$D$31:$D$130)/100,0),0)</f>
        <v>0</v>
      </c>
      <c r="L117" s="31" t="str">
        <f t="shared" si="5"/>
        <v/>
      </c>
      <c r="M117" s="39"/>
    </row>
    <row r="118" spans="1:13" ht="18" customHeight="1" x14ac:dyDescent="0.45">
      <c r="A118" s="37"/>
      <c r="B118" s="29"/>
      <c r="C118" s="29"/>
      <c r="D118" s="28"/>
      <c r="E118" s="30" t="str">
        <f>IFERROR(VLOOKUP(D118,KRX종목마스터!$A:$B,2,FALSE),"")</f>
        <v/>
      </c>
      <c r="F118" s="42"/>
      <c r="G118" s="42"/>
      <c r="H118" s="31" t="str">
        <f t="shared" si="3"/>
        <v/>
      </c>
      <c r="I118" s="43">
        <f ca="1">IFERROR(SUMPRODUCT((참고!$A$31:$A$130=C118)*(참고!$B$31:$B$130&lt;=A118)*(참고!$B$31:$B$130=_xludf.MAXIFS(참고!$B$31:$B$130,참고!$A$31:$A$130,C118,참고!$B$31:$B$130,"&lt;="&amp;A118))*참고!$C$31:$C$130)/100,0)</f>
        <v>0</v>
      </c>
      <c r="J118" s="31" t="str">
        <f t="shared" si="4"/>
        <v/>
      </c>
      <c r="K118" s="43">
        <f>IF(B118="매도",IFERROR(SUMPRODUCT((참고!$A$31:$A$130=C118)*(참고!$B$31:$B$130&lt;=A118)*(참고!$B$31:$B$130=_xludf.MAXIFS(참고!$B$31:$B$130,참고!$A$31:$A$130,C118,참고!$B$31:$B$130,"&lt;="&amp;A118))*참고!$D$31:$D$130)/100,0),0)</f>
        <v>0</v>
      </c>
      <c r="L118" s="31" t="str">
        <f t="shared" si="5"/>
        <v/>
      </c>
      <c r="M118" s="39"/>
    </row>
    <row r="119" spans="1:13" ht="18" customHeight="1" x14ac:dyDescent="0.45">
      <c r="A119" s="37"/>
      <c r="B119" s="29"/>
      <c r="C119" s="29"/>
      <c r="D119" s="28"/>
      <c r="E119" s="30" t="str">
        <f>IFERROR(VLOOKUP(D119,KRX종목마스터!$A:$B,2,FALSE),"")</f>
        <v/>
      </c>
      <c r="F119" s="42"/>
      <c r="G119" s="42"/>
      <c r="H119" s="31" t="str">
        <f t="shared" si="3"/>
        <v/>
      </c>
      <c r="I119" s="43">
        <f ca="1">IFERROR(SUMPRODUCT((참고!$A$31:$A$130=C119)*(참고!$B$31:$B$130&lt;=A119)*(참고!$B$31:$B$130=_xludf.MAXIFS(참고!$B$31:$B$130,참고!$A$31:$A$130,C119,참고!$B$31:$B$130,"&lt;="&amp;A119))*참고!$C$31:$C$130)/100,0)</f>
        <v>0</v>
      </c>
      <c r="J119" s="31" t="str">
        <f t="shared" si="4"/>
        <v/>
      </c>
      <c r="K119" s="43">
        <f>IF(B119="매도",IFERROR(SUMPRODUCT((참고!$A$31:$A$130=C119)*(참고!$B$31:$B$130&lt;=A119)*(참고!$B$31:$B$130=_xludf.MAXIFS(참고!$B$31:$B$130,참고!$A$31:$A$130,C119,참고!$B$31:$B$130,"&lt;="&amp;A119))*참고!$D$31:$D$130)/100,0),0)</f>
        <v>0</v>
      </c>
      <c r="L119" s="31" t="str">
        <f t="shared" si="5"/>
        <v/>
      </c>
      <c r="M119" s="39"/>
    </row>
    <row r="120" spans="1:13" ht="18" customHeight="1" x14ac:dyDescent="0.45">
      <c r="A120" s="37"/>
      <c r="B120" s="29"/>
      <c r="C120" s="29"/>
      <c r="D120" s="28"/>
      <c r="E120" s="30" t="str">
        <f>IFERROR(VLOOKUP(D120,KRX종목마스터!$A:$B,2,FALSE),"")</f>
        <v/>
      </c>
      <c r="F120" s="42"/>
      <c r="G120" s="42"/>
      <c r="H120" s="31" t="str">
        <f t="shared" si="3"/>
        <v/>
      </c>
      <c r="I120" s="43">
        <f ca="1">IFERROR(SUMPRODUCT((참고!$A$31:$A$130=C120)*(참고!$B$31:$B$130&lt;=A120)*(참고!$B$31:$B$130=_xludf.MAXIFS(참고!$B$31:$B$130,참고!$A$31:$A$130,C120,참고!$B$31:$B$130,"&lt;="&amp;A120))*참고!$C$31:$C$130)/100,0)</f>
        <v>0</v>
      </c>
      <c r="J120" s="31" t="str">
        <f t="shared" si="4"/>
        <v/>
      </c>
      <c r="K120" s="43">
        <f>IF(B120="매도",IFERROR(SUMPRODUCT((참고!$A$31:$A$130=C120)*(참고!$B$31:$B$130&lt;=A120)*(참고!$B$31:$B$130=_xludf.MAXIFS(참고!$B$31:$B$130,참고!$A$31:$A$130,C120,참고!$B$31:$B$130,"&lt;="&amp;A120))*참고!$D$31:$D$130)/100,0),0)</f>
        <v>0</v>
      </c>
      <c r="L120" s="31" t="str">
        <f t="shared" si="5"/>
        <v/>
      </c>
      <c r="M120" s="39"/>
    </row>
    <row r="121" spans="1:13" ht="18" customHeight="1" x14ac:dyDescent="0.45">
      <c r="A121" s="37"/>
      <c r="B121" s="29"/>
      <c r="C121" s="29"/>
      <c r="D121" s="28"/>
      <c r="E121" s="30" t="str">
        <f>IFERROR(VLOOKUP(D121,KRX종목마스터!$A:$B,2,FALSE),"")</f>
        <v/>
      </c>
      <c r="F121" s="42"/>
      <c r="G121" s="42"/>
      <c r="H121" s="31" t="str">
        <f t="shared" si="3"/>
        <v/>
      </c>
      <c r="I121" s="43">
        <f ca="1">IFERROR(SUMPRODUCT((참고!$A$31:$A$130=C121)*(참고!$B$31:$B$130&lt;=A121)*(참고!$B$31:$B$130=_xludf.MAXIFS(참고!$B$31:$B$130,참고!$A$31:$A$130,C121,참고!$B$31:$B$130,"&lt;="&amp;A121))*참고!$C$31:$C$130)/100,0)</f>
        <v>0</v>
      </c>
      <c r="J121" s="31" t="str">
        <f t="shared" si="4"/>
        <v/>
      </c>
      <c r="K121" s="43">
        <f>IF(B121="매도",IFERROR(SUMPRODUCT((참고!$A$31:$A$130=C121)*(참고!$B$31:$B$130&lt;=A121)*(참고!$B$31:$B$130=_xludf.MAXIFS(참고!$B$31:$B$130,참고!$A$31:$A$130,C121,참고!$B$31:$B$130,"&lt;="&amp;A121))*참고!$D$31:$D$130)/100,0),0)</f>
        <v>0</v>
      </c>
      <c r="L121" s="31" t="str">
        <f t="shared" si="5"/>
        <v/>
      </c>
      <c r="M121" s="39"/>
    </row>
    <row r="122" spans="1:13" ht="18" customHeight="1" x14ac:dyDescent="0.45">
      <c r="A122" s="37"/>
      <c r="B122" s="29"/>
      <c r="C122" s="29"/>
      <c r="D122" s="28"/>
      <c r="E122" s="30" t="str">
        <f>IFERROR(VLOOKUP(D122,KRX종목마스터!$A:$B,2,FALSE),"")</f>
        <v/>
      </c>
      <c r="F122" s="42"/>
      <c r="G122" s="42"/>
      <c r="H122" s="31" t="str">
        <f t="shared" si="3"/>
        <v/>
      </c>
      <c r="I122" s="43">
        <f ca="1">IFERROR(SUMPRODUCT((참고!$A$31:$A$130=C122)*(참고!$B$31:$B$130&lt;=A122)*(참고!$B$31:$B$130=_xludf.MAXIFS(참고!$B$31:$B$130,참고!$A$31:$A$130,C122,참고!$B$31:$B$130,"&lt;="&amp;A122))*참고!$C$31:$C$130)/100,0)</f>
        <v>0</v>
      </c>
      <c r="J122" s="31" t="str">
        <f t="shared" si="4"/>
        <v/>
      </c>
      <c r="K122" s="43">
        <f>IF(B122="매도",IFERROR(SUMPRODUCT((참고!$A$31:$A$130=C122)*(참고!$B$31:$B$130&lt;=A122)*(참고!$B$31:$B$130=_xludf.MAXIFS(참고!$B$31:$B$130,참고!$A$31:$A$130,C122,참고!$B$31:$B$130,"&lt;="&amp;A122))*참고!$D$31:$D$130)/100,0),0)</f>
        <v>0</v>
      </c>
      <c r="L122" s="31" t="str">
        <f t="shared" si="5"/>
        <v/>
      </c>
      <c r="M122" s="39"/>
    </row>
    <row r="123" spans="1:13" ht="18" customHeight="1" x14ac:dyDescent="0.45">
      <c r="A123" s="37"/>
      <c r="B123" s="29"/>
      <c r="C123" s="29"/>
      <c r="D123" s="28"/>
      <c r="E123" s="30" t="str">
        <f>IFERROR(VLOOKUP(D123,KRX종목마스터!$A:$B,2,FALSE),"")</f>
        <v/>
      </c>
      <c r="F123" s="42"/>
      <c r="G123" s="42"/>
      <c r="H123" s="31" t="str">
        <f t="shared" si="3"/>
        <v/>
      </c>
      <c r="I123" s="43">
        <f ca="1">IFERROR(SUMPRODUCT((참고!$A$31:$A$130=C123)*(참고!$B$31:$B$130&lt;=A123)*(참고!$B$31:$B$130=_xludf.MAXIFS(참고!$B$31:$B$130,참고!$A$31:$A$130,C123,참고!$B$31:$B$130,"&lt;="&amp;A123))*참고!$C$31:$C$130)/100,0)</f>
        <v>0</v>
      </c>
      <c r="J123" s="31" t="str">
        <f t="shared" si="4"/>
        <v/>
      </c>
      <c r="K123" s="43">
        <f>IF(B123="매도",IFERROR(SUMPRODUCT((참고!$A$31:$A$130=C123)*(참고!$B$31:$B$130&lt;=A123)*(참고!$B$31:$B$130=_xludf.MAXIFS(참고!$B$31:$B$130,참고!$A$31:$A$130,C123,참고!$B$31:$B$130,"&lt;="&amp;A123))*참고!$D$31:$D$130)/100,0),0)</f>
        <v>0</v>
      </c>
      <c r="L123" s="31" t="str">
        <f t="shared" si="5"/>
        <v/>
      </c>
      <c r="M123" s="39"/>
    </row>
    <row r="124" spans="1:13" ht="18" customHeight="1" x14ac:dyDescent="0.45">
      <c r="A124" s="37"/>
      <c r="B124" s="29"/>
      <c r="C124" s="29"/>
      <c r="D124" s="28"/>
      <c r="E124" s="30" t="str">
        <f>IFERROR(VLOOKUP(D124,KRX종목마스터!$A:$B,2,FALSE),"")</f>
        <v/>
      </c>
      <c r="F124" s="42"/>
      <c r="G124" s="42"/>
      <c r="H124" s="31" t="str">
        <f t="shared" si="3"/>
        <v/>
      </c>
      <c r="I124" s="43">
        <f ca="1">IFERROR(SUMPRODUCT((참고!$A$31:$A$130=C124)*(참고!$B$31:$B$130&lt;=A124)*(참고!$B$31:$B$130=_xludf.MAXIFS(참고!$B$31:$B$130,참고!$A$31:$A$130,C124,참고!$B$31:$B$130,"&lt;="&amp;A124))*참고!$C$31:$C$130)/100,0)</f>
        <v>0</v>
      </c>
      <c r="J124" s="31" t="str">
        <f t="shared" si="4"/>
        <v/>
      </c>
      <c r="K124" s="43">
        <f>IF(B124="매도",IFERROR(SUMPRODUCT((참고!$A$31:$A$130=C124)*(참고!$B$31:$B$130&lt;=A124)*(참고!$B$31:$B$130=_xludf.MAXIFS(참고!$B$31:$B$130,참고!$A$31:$A$130,C124,참고!$B$31:$B$130,"&lt;="&amp;A124))*참고!$D$31:$D$130)/100,0),0)</f>
        <v>0</v>
      </c>
      <c r="L124" s="31" t="str">
        <f t="shared" si="5"/>
        <v/>
      </c>
      <c r="M124" s="39"/>
    </row>
    <row r="125" spans="1:13" ht="18" customHeight="1" x14ac:dyDescent="0.45">
      <c r="A125" s="37"/>
      <c r="B125" s="29"/>
      <c r="C125" s="29"/>
      <c r="D125" s="28"/>
      <c r="E125" s="30" t="str">
        <f>IFERROR(VLOOKUP(D125,KRX종목마스터!$A:$B,2,FALSE),"")</f>
        <v/>
      </c>
      <c r="F125" s="42"/>
      <c r="G125" s="42"/>
      <c r="H125" s="31" t="str">
        <f t="shared" si="3"/>
        <v/>
      </c>
      <c r="I125" s="43">
        <f ca="1">IFERROR(SUMPRODUCT((참고!$A$31:$A$130=C125)*(참고!$B$31:$B$130&lt;=A125)*(참고!$B$31:$B$130=_xludf.MAXIFS(참고!$B$31:$B$130,참고!$A$31:$A$130,C125,참고!$B$31:$B$130,"&lt;="&amp;A125))*참고!$C$31:$C$130)/100,0)</f>
        <v>0</v>
      </c>
      <c r="J125" s="31" t="str">
        <f t="shared" si="4"/>
        <v/>
      </c>
      <c r="K125" s="43">
        <f>IF(B125="매도",IFERROR(SUMPRODUCT((참고!$A$31:$A$130=C125)*(참고!$B$31:$B$130&lt;=A125)*(참고!$B$31:$B$130=_xludf.MAXIFS(참고!$B$31:$B$130,참고!$A$31:$A$130,C125,참고!$B$31:$B$130,"&lt;="&amp;A125))*참고!$D$31:$D$130)/100,0),0)</f>
        <v>0</v>
      </c>
      <c r="L125" s="31" t="str">
        <f t="shared" si="5"/>
        <v/>
      </c>
      <c r="M125" s="39"/>
    </row>
    <row r="126" spans="1:13" ht="18" customHeight="1" x14ac:dyDescent="0.45">
      <c r="A126" s="37"/>
      <c r="B126" s="29"/>
      <c r="C126" s="29"/>
      <c r="D126" s="28"/>
      <c r="E126" s="30" t="str">
        <f>IFERROR(VLOOKUP(D126,KRX종목마스터!$A:$B,2,FALSE),"")</f>
        <v/>
      </c>
      <c r="F126" s="42"/>
      <c r="G126" s="42"/>
      <c r="H126" s="31" t="str">
        <f t="shared" si="3"/>
        <v/>
      </c>
      <c r="I126" s="43">
        <f ca="1">IFERROR(SUMPRODUCT((참고!$A$31:$A$130=C126)*(참고!$B$31:$B$130&lt;=A126)*(참고!$B$31:$B$130=_xludf.MAXIFS(참고!$B$31:$B$130,참고!$A$31:$A$130,C126,참고!$B$31:$B$130,"&lt;="&amp;A126))*참고!$C$31:$C$130)/100,0)</f>
        <v>0</v>
      </c>
      <c r="J126" s="31" t="str">
        <f t="shared" si="4"/>
        <v/>
      </c>
      <c r="K126" s="43">
        <f>IF(B126="매도",IFERROR(SUMPRODUCT((참고!$A$31:$A$130=C126)*(참고!$B$31:$B$130&lt;=A126)*(참고!$B$31:$B$130=_xludf.MAXIFS(참고!$B$31:$B$130,참고!$A$31:$A$130,C126,참고!$B$31:$B$130,"&lt;="&amp;A126))*참고!$D$31:$D$130)/100,0),0)</f>
        <v>0</v>
      </c>
      <c r="L126" s="31" t="str">
        <f t="shared" si="5"/>
        <v/>
      </c>
      <c r="M126" s="39"/>
    </row>
    <row r="127" spans="1:13" ht="18" customHeight="1" x14ac:dyDescent="0.45">
      <c r="A127" s="37"/>
      <c r="B127" s="29"/>
      <c r="C127" s="29"/>
      <c r="D127" s="28"/>
      <c r="E127" s="30" t="str">
        <f>IFERROR(VLOOKUP(D127,KRX종목마스터!$A:$B,2,FALSE),"")</f>
        <v/>
      </c>
      <c r="F127" s="42"/>
      <c r="G127" s="42"/>
      <c r="H127" s="31" t="str">
        <f t="shared" si="3"/>
        <v/>
      </c>
      <c r="I127" s="43">
        <f ca="1">IFERROR(SUMPRODUCT((참고!$A$31:$A$130=C127)*(참고!$B$31:$B$130&lt;=A127)*(참고!$B$31:$B$130=_xludf.MAXIFS(참고!$B$31:$B$130,참고!$A$31:$A$130,C127,참고!$B$31:$B$130,"&lt;="&amp;A127))*참고!$C$31:$C$130)/100,0)</f>
        <v>0</v>
      </c>
      <c r="J127" s="31" t="str">
        <f t="shared" si="4"/>
        <v/>
      </c>
      <c r="K127" s="43">
        <f>IF(B127="매도",IFERROR(SUMPRODUCT((참고!$A$31:$A$130=C127)*(참고!$B$31:$B$130&lt;=A127)*(참고!$B$31:$B$130=_xludf.MAXIFS(참고!$B$31:$B$130,참고!$A$31:$A$130,C127,참고!$B$31:$B$130,"&lt;="&amp;A127))*참고!$D$31:$D$130)/100,0),0)</f>
        <v>0</v>
      </c>
      <c r="L127" s="31" t="str">
        <f t="shared" si="5"/>
        <v/>
      </c>
      <c r="M127" s="39"/>
    </row>
    <row r="128" spans="1:13" ht="18" customHeight="1" x14ac:dyDescent="0.45">
      <c r="A128" s="37"/>
      <c r="B128" s="29"/>
      <c r="C128" s="29"/>
      <c r="D128" s="28"/>
      <c r="E128" s="30" t="str">
        <f>IFERROR(VLOOKUP(D128,KRX종목마스터!$A:$B,2,FALSE),"")</f>
        <v/>
      </c>
      <c r="F128" s="42"/>
      <c r="G128" s="42"/>
      <c r="H128" s="31" t="str">
        <f t="shared" si="3"/>
        <v/>
      </c>
      <c r="I128" s="43">
        <f ca="1">IFERROR(SUMPRODUCT((참고!$A$31:$A$130=C128)*(참고!$B$31:$B$130&lt;=A128)*(참고!$B$31:$B$130=_xludf.MAXIFS(참고!$B$31:$B$130,참고!$A$31:$A$130,C128,참고!$B$31:$B$130,"&lt;="&amp;A128))*참고!$C$31:$C$130)/100,0)</f>
        <v>0</v>
      </c>
      <c r="J128" s="31" t="str">
        <f t="shared" si="4"/>
        <v/>
      </c>
      <c r="K128" s="43">
        <f>IF(B128="매도",IFERROR(SUMPRODUCT((참고!$A$31:$A$130=C128)*(참고!$B$31:$B$130&lt;=A128)*(참고!$B$31:$B$130=_xludf.MAXIFS(참고!$B$31:$B$130,참고!$A$31:$A$130,C128,참고!$B$31:$B$130,"&lt;="&amp;A128))*참고!$D$31:$D$130)/100,0),0)</f>
        <v>0</v>
      </c>
      <c r="L128" s="31" t="str">
        <f t="shared" si="5"/>
        <v/>
      </c>
      <c r="M128" s="39"/>
    </row>
    <row r="129" spans="1:13" ht="18" customHeight="1" x14ac:dyDescent="0.45">
      <c r="A129" s="37"/>
      <c r="B129" s="29"/>
      <c r="C129" s="29"/>
      <c r="D129" s="28"/>
      <c r="E129" s="30" t="str">
        <f>IFERROR(VLOOKUP(D129,KRX종목마스터!$A:$B,2,FALSE),"")</f>
        <v/>
      </c>
      <c r="F129" s="42"/>
      <c r="G129" s="42"/>
      <c r="H129" s="31" t="str">
        <f t="shared" si="3"/>
        <v/>
      </c>
      <c r="I129" s="43">
        <f ca="1">IFERROR(SUMPRODUCT((참고!$A$31:$A$130=C129)*(참고!$B$31:$B$130&lt;=A129)*(참고!$B$31:$B$130=_xludf.MAXIFS(참고!$B$31:$B$130,참고!$A$31:$A$130,C129,참고!$B$31:$B$130,"&lt;="&amp;A129))*참고!$C$31:$C$130)/100,0)</f>
        <v>0</v>
      </c>
      <c r="J129" s="31" t="str">
        <f t="shared" si="4"/>
        <v/>
      </c>
      <c r="K129" s="43">
        <f>IF(B129="매도",IFERROR(SUMPRODUCT((참고!$A$31:$A$130=C129)*(참고!$B$31:$B$130&lt;=A129)*(참고!$B$31:$B$130=_xludf.MAXIFS(참고!$B$31:$B$130,참고!$A$31:$A$130,C129,참고!$B$31:$B$130,"&lt;="&amp;A129))*참고!$D$31:$D$130)/100,0),0)</f>
        <v>0</v>
      </c>
      <c r="L129" s="31" t="str">
        <f t="shared" si="5"/>
        <v/>
      </c>
      <c r="M129" s="39"/>
    </row>
    <row r="130" spans="1:13" ht="18" customHeight="1" x14ac:dyDescent="0.45">
      <c r="A130" s="37"/>
      <c r="B130" s="29"/>
      <c r="C130" s="29"/>
      <c r="D130" s="28"/>
      <c r="E130" s="30" t="str">
        <f>IFERROR(VLOOKUP(D130,KRX종목마스터!$A:$B,2,FALSE),"")</f>
        <v/>
      </c>
      <c r="F130" s="42"/>
      <c r="G130" s="42"/>
      <c r="H130" s="31" t="str">
        <f t="shared" si="3"/>
        <v/>
      </c>
      <c r="I130" s="43">
        <f ca="1">IFERROR(SUMPRODUCT((참고!$A$31:$A$130=C130)*(참고!$B$31:$B$130&lt;=A130)*(참고!$B$31:$B$130=_xludf.MAXIFS(참고!$B$31:$B$130,참고!$A$31:$A$130,C130,참고!$B$31:$B$130,"&lt;="&amp;A130))*참고!$C$31:$C$130)/100,0)</f>
        <v>0</v>
      </c>
      <c r="J130" s="31" t="str">
        <f t="shared" si="4"/>
        <v/>
      </c>
      <c r="K130" s="43">
        <f>IF(B130="매도",IFERROR(SUMPRODUCT((참고!$A$31:$A$130=C130)*(참고!$B$31:$B$130&lt;=A130)*(참고!$B$31:$B$130=_xludf.MAXIFS(참고!$B$31:$B$130,참고!$A$31:$A$130,C130,참고!$B$31:$B$130,"&lt;="&amp;A130))*참고!$D$31:$D$130)/100,0),0)</f>
        <v>0</v>
      </c>
      <c r="L130" s="31" t="str">
        <f t="shared" si="5"/>
        <v/>
      </c>
      <c r="M130" s="39"/>
    </row>
    <row r="131" spans="1:13" ht="18" customHeight="1" x14ac:dyDescent="0.45">
      <c r="A131" s="37"/>
      <c r="B131" s="29"/>
      <c r="C131" s="29"/>
      <c r="D131" s="28"/>
      <c r="E131" s="30" t="str">
        <f>IFERROR(VLOOKUP(D131,KRX종목마스터!$A:$B,2,FALSE),"")</f>
        <v/>
      </c>
      <c r="F131" s="42"/>
      <c r="G131" s="42"/>
      <c r="H131" s="31" t="str">
        <f t="shared" si="3"/>
        <v/>
      </c>
      <c r="I131" s="43">
        <f ca="1">IFERROR(SUMPRODUCT((참고!$A$31:$A$130=C131)*(참고!$B$31:$B$130&lt;=A131)*(참고!$B$31:$B$130=_xludf.MAXIFS(참고!$B$31:$B$130,참고!$A$31:$A$130,C131,참고!$B$31:$B$130,"&lt;="&amp;A131))*참고!$C$31:$C$130)/100,0)</f>
        <v>0</v>
      </c>
      <c r="J131" s="31" t="str">
        <f t="shared" si="4"/>
        <v/>
      </c>
      <c r="K131" s="43">
        <f>IF(B131="매도",IFERROR(SUMPRODUCT((참고!$A$31:$A$130=C131)*(참고!$B$31:$B$130&lt;=A131)*(참고!$B$31:$B$130=_xludf.MAXIFS(참고!$B$31:$B$130,참고!$A$31:$A$130,C131,참고!$B$31:$B$130,"&lt;="&amp;A131))*참고!$D$31:$D$130)/100,0),0)</f>
        <v>0</v>
      </c>
      <c r="L131" s="31" t="str">
        <f t="shared" si="5"/>
        <v/>
      </c>
      <c r="M131" s="39"/>
    </row>
    <row r="132" spans="1:13" ht="18" customHeight="1" x14ac:dyDescent="0.45">
      <c r="A132" s="37"/>
      <c r="B132" s="29"/>
      <c r="C132" s="29"/>
      <c r="D132" s="28"/>
      <c r="E132" s="30" t="str">
        <f>IFERROR(VLOOKUP(D132,KRX종목마스터!$A:$B,2,FALSE),"")</f>
        <v/>
      </c>
      <c r="F132" s="42"/>
      <c r="G132" s="42"/>
      <c r="H132" s="31" t="str">
        <f t="shared" si="3"/>
        <v/>
      </c>
      <c r="I132" s="43">
        <f ca="1">IFERROR(SUMPRODUCT((참고!$A$31:$A$130=C132)*(참고!$B$31:$B$130&lt;=A132)*(참고!$B$31:$B$130=_xludf.MAXIFS(참고!$B$31:$B$130,참고!$A$31:$A$130,C132,참고!$B$31:$B$130,"&lt;="&amp;A132))*참고!$C$31:$C$130)/100,0)</f>
        <v>0</v>
      </c>
      <c r="J132" s="31" t="str">
        <f t="shared" si="4"/>
        <v/>
      </c>
      <c r="K132" s="43">
        <f>IF(B132="매도",IFERROR(SUMPRODUCT((참고!$A$31:$A$130=C132)*(참고!$B$31:$B$130&lt;=A132)*(참고!$B$31:$B$130=_xludf.MAXIFS(참고!$B$31:$B$130,참고!$A$31:$A$130,C132,참고!$B$31:$B$130,"&lt;="&amp;A132))*참고!$D$31:$D$130)/100,0),0)</f>
        <v>0</v>
      </c>
      <c r="L132" s="31" t="str">
        <f t="shared" si="5"/>
        <v/>
      </c>
      <c r="M132" s="39"/>
    </row>
    <row r="133" spans="1:13" ht="18" customHeight="1" x14ac:dyDescent="0.45">
      <c r="A133" s="37"/>
      <c r="B133" s="29"/>
      <c r="C133" s="29"/>
      <c r="D133" s="28"/>
      <c r="E133" s="30" t="str">
        <f>IFERROR(VLOOKUP(D133,KRX종목마스터!$A:$B,2,FALSE),"")</f>
        <v/>
      </c>
      <c r="F133" s="42"/>
      <c r="G133" s="42"/>
      <c r="H133" s="31" t="str">
        <f t="shared" ref="H133:H196" si="6">IF(AND(F133&lt;&gt;"",G133&lt;&gt;""),F133*G133,"")</f>
        <v/>
      </c>
      <c r="I133" s="43">
        <f ca="1">IFERROR(SUMPRODUCT((참고!$A$31:$A$130=C133)*(참고!$B$31:$B$130&lt;=A133)*(참고!$B$31:$B$130=_xludf.MAXIFS(참고!$B$31:$B$130,참고!$A$31:$A$130,C133,참고!$B$31:$B$130,"&lt;="&amp;A133))*참고!$C$31:$C$130)/100,0)</f>
        <v>0</v>
      </c>
      <c r="J133" s="31" t="str">
        <f t="shared" ref="J133:J196" si="7">IF(H133="","",ROUND(H133*I133,0))</f>
        <v/>
      </c>
      <c r="K133" s="43">
        <f>IF(B133="매도",IFERROR(SUMPRODUCT((참고!$A$31:$A$130=C133)*(참고!$B$31:$B$130&lt;=A133)*(참고!$B$31:$B$130=_xludf.MAXIFS(참고!$B$31:$B$130,참고!$A$31:$A$130,C133,참고!$B$31:$B$130,"&lt;="&amp;A133))*참고!$D$31:$D$130)/100,0),0)</f>
        <v>0</v>
      </c>
      <c r="L133" s="31" t="str">
        <f t="shared" ref="L133:L196" si="8">IF(H133="","",ROUND(H133*K133,0))</f>
        <v/>
      </c>
      <c r="M133" s="39"/>
    </row>
    <row r="134" spans="1:13" ht="18" customHeight="1" x14ac:dyDescent="0.45">
      <c r="A134" s="37"/>
      <c r="B134" s="29"/>
      <c r="C134" s="29"/>
      <c r="D134" s="28"/>
      <c r="E134" s="30" t="str">
        <f>IFERROR(VLOOKUP(D134,KRX종목마스터!$A:$B,2,FALSE),"")</f>
        <v/>
      </c>
      <c r="F134" s="42"/>
      <c r="G134" s="42"/>
      <c r="H134" s="31" t="str">
        <f t="shared" si="6"/>
        <v/>
      </c>
      <c r="I134" s="43">
        <f ca="1">IFERROR(SUMPRODUCT((참고!$A$31:$A$130=C134)*(참고!$B$31:$B$130&lt;=A134)*(참고!$B$31:$B$130=_xludf.MAXIFS(참고!$B$31:$B$130,참고!$A$31:$A$130,C134,참고!$B$31:$B$130,"&lt;="&amp;A134))*참고!$C$31:$C$130)/100,0)</f>
        <v>0</v>
      </c>
      <c r="J134" s="31" t="str">
        <f t="shared" si="7"/>
        <v/>
      </c>
      <c r="K134" s="43">
        <f>IF(B134="매도",IFERROR(SUMPRODUCT((참고!$A$31:$A$130=C134)*(참고!$B$31:$B$130&lt;=A134)*(참고!$B$31:$B$130=_xludf.MAXIFS(참고!$B$31:$B$130,참고!$A$31:$A$130,C134,참고!$B$31:$B$130,"&lt;="&amp;A134))*참고!$D$31:$D$130)/100,0),0)</f>
        <v>0</v>
      </c>
      <c r="L134" s="31" t="str">
        <f t="shared" si="8"/>
        <v/>
      </c>
      <c r="M134" s="39"/>
    </row>
    <row r="135" spans="1:13" ht="18" customHeight="1" x14ac:dyDescent="0.45">
      <c r="A135" s="37"/>
      <c r="B135" s="29"/>
      <c r="C135" s="29"/>
      <c r="D135" s="28"/>
      <c r="E135" s="30" t="str">
        <f>IFERROR(VLOOKUP(D135,KRX종목마스터!$A:$B,2,FALSE),"")</f>
        <v/>
      </c>
      <c r="F135" s="42"/>
      <c r="G135" s="42"/>
      <c r="H135" s="31" t="str">
        <f t="shared" si="6"/>
        <v/>
      </c>
      <c r="I135" s="43">
        <f ca="1">IFERROR(SUMPRODUCT((참고!$A$31:$A$130=C135)*(참고!$B$31:$B$130&lt;=A135)*(참고!$B$31:$B$130=_xludf.MAXIFS(참고!$B$31:$B$130,참고!$A$31:$A$130,C135,참고!$B$31:$B$130,"&lt;="&amp;A135))*참고!$C$31:$C$130)/100,0)</f>
        <v>0</v>
      </c>
      <c r="J135" s="31" t="str">
        <f t="shared" si="7"/>
        <v/>
      </c>
      <c r="K135" s="43">
        <f>IF(B135="매도",IFERROR(SUMPRODUCT((참고!$A$31:$A$130=C135)*(참고!$B$31:$B$130&lt;=A135)*(참고!$B$31:$B$130=_xludf.MAXIFS(참고!$B$31:$B$130,참고!$A$31:$A$130,C135,참고!$B$31:$B$130,"&lt;="&amp;A135))*참고!$D$31:$D$130)/100,0),0)</f>
        <v>0</v>
      </c>
      <c r="L135" s="31" t="str">
        <f t="shared" si="8"/>
        <v/>
      </c>
      <c r="M135" s="39"/>
    </row>
    <row r="136" spans="1:13" ht="18" customHeight="1" x14ac:dyDescent="0.45">
      <c r="A136" s="37"/>
      <c r="B136" s="29"/>
      <c r="C136" s="29"/>
      <c r="D136" s="28"/>
      <c r="E136" s="30" t="str">
        <f>IFERROR(VLOOKUP(D136,KRX종목마스터!$A:$B,2,FALSE),"")</f>
        <v/>
      </c>
      <c r="F136" s="42"/>
      <c r="G136" s="42"/>
      <c r="H136" s="31" t="str">
        <f t="shared" si="6"/>
        <v/>
      </c>
      <c r="I136" s="43">
        <f ca="1">IFERROR(SUMPRODUCT((참고!$A$31:$A$130=C136)*(참고!$B$31:$B$130&lt;=A136)*(참고!$B$31:$B$130=_xludf.MAXIFS(참고!$B$31:$B$130,참고!$A$31:$A$130,C136,참고!$B$31:$B$130,"&lt;="&amp;A136))*참고!$C$31:$C$130)/100,0)</f>
        <v>0</v>
      </c>
      <c r="J136" s="31" t="str">
        <f t="shared" si="7"/>
        <v/>
      </c>
      <c r="K136" s="43">
        <f>IF(B136="매도",IFERROR(SUMPRODUCT((참고!$A$31:$A$130=C136)*(참고!$B$31:$B$130&lt;=A136)*(참고!$B$31:$B$130=_xludf.MAXIFS(참고!$B$31:$B$130,참고!$A$31:$A$130,C136,참고!$B$31:$B$130,"&lt;="&amp;A136))*참고!$D$31:$D$130)/100,0),0)</f>
        <v>0</v>
      </c>
      <c r="L136" s="31" t="str">
        <f t="shared" si="8"/>
        <v/>
      </c>
      <c r="M136" s="39"/>
    </row>
    <row r="137" spans="1:13" ht="18" customHeight="1" x14ac:dyDescent="0.45">
      <c r="A137" s="37"/>
      <c r="B137" s="29"/>
      <c r="C137" s="29"/>
      <c r="D137" s="28"/>
      <c r="E137" s="30" t="str">
        <f>IFERROR(VLOOKUP(D137,KRX종목마스터!$A:$B,2,FALSE),"")</f>
        <v/>
      </c>
      <c r="F137" s="42"/>
      <c r="G137" s="42"/>
      <c r="H137" s="31" t="str">
        <f t="shared" si="6"/>
        <v/>
      </c>
      <c r="I137" s="43">
        <f ca="1">IFERROR(SUMPRODUCT((참고!$A$31:$A$130=C137)*(참고!$B$31:$B$130&lt;=A137)*(참고!$B$31:$B$130=_xludf.MAXIFS(참고!$B$31:$B$130,참고!$A$31:$A$130,C137,참고!$B$31:$B$130,"&lt;="&amp;A137))*참고!$C$31:$C$130)/100,0)</f>
        <v>0</v>
      </c>
      <c r="J137" s="31" t="str">
        <f t="shared" si="7"/>
        <v/>
      </c>
      <c r="K137" s="43">
        <f>IF(B137="매도",IFERROR(SUMPRODUCT((참고!$A$31:$A$130=C137)*(참고!$B$31:$B$130&lt;=A137)*(참고!$B$31:$B$130=_xludf.MAXIFS(참고!$B$31:$B$130,참고!$A$31:$A$130,C137,참고!$B$31:$B$130,"&lt;="&amp;A137))*참고!$D$31:$D$130)/100,0),0)</f>
        <v>0</v>
      </c>
      <c r="L137" s="31" t="str">
        <f t="shared" si="8"/>
        <v/>
      </c>
      <c r="M137" s="39"/>
    </row>
    <row r="138" spans="1:13" ht="18" customHeight="1" x14ac:dyDescent="0.45">
      <c r="A138" s="37"/>
      <c r="B138" s="29"/>
      <c r="C138" s="29"/>
      <c r="D138" s="28"/>
      <c r="E138" s="30" t="str">
        <f>IFERROR(VLOOKUP(D138,KRX종목마스터!$A:$B,2,FALSE),"")</f>
        <v/>
      </c>
      <c r="F138" s="42"/>
      <c r="G138" s="42"/>
      <c r="H138" s="31" t="str">
        <f t="shared" si="6"/>
        <v/>
      </c>
      <c r="I138" s="43">
        <f ca="1">IFERROR(SUMPRODUCT((참고!$A$31:$A$130=C138)*(참고!$B$31:$B$130&lt;=A138)*(참고!$B$31:$B$130=_xludf.MAXIFS(참고!$B$31:$B$130,참고!$A$31:$A$130,C138,참고!$B$31:$B$130,"&lt;="&amp;A138))*참고!$C$31:$C$130)/100,0)</f>
        <v>0</v>
      </c>
      <c r="J138" s="31" t="str">
        <f t="shared" si="7"/>
        <v/>
      </c>
      <c r="K138" s="43">
        <f>IF(B138="매도",IFERROR(SUMPRODUCT((참고!$A$31:$A$130=C138)*(참고!$B$31:$B$130&lt;=A138)*(참고!$B$31:$B$130=_xludf.MAXIFS(참고!$B$31:$B$130,참고!$A$31:$A$130,C138,참고!$B$31:$B$130,"&lt;="&amp;A138))*참고!$D$31:$D$130)/100,0),0)</f>
        <v>0</v>
      </c>
      <c r="L138" s="31" t="str">
        <f t="shared" si="8"/>
        <v/>
      </c>
      <c r="M138" s="39"/>
    </row>
    <row r="139" spans="1:13" ht="18" customHeight="1" x14ac:dyDescent="0.45">
      <c r="A139" s="37"/>
      <c r="B139" s="29"/>
      <c r="C139" s="29"/>
      <c r="D139" s="28"/>
      <c r="E139" s="30" t="str">
        <f>IFERROR(VLOOKUP(D139,KRX종목마스터!$A:$B,2,FALSE),"")</f>
        <v/>
      </c>
      <c r="F139" s="42"/>
      <c r="G139" s="42"/>
      <c r="H139" s="31" t="str">
        <f t="shared" si="6"/>
        <v/>
      </c>
      <c r="I139" s="43">
        <f ca="1">IFERROR(SUMPRODUCT((참고!$A$31:$A$130=C139)*(참고!$B$31:$B$130&lt;=A139)*(참고!$B$31:$B$130=_xludf.MAXIFS(참고!$B$31:$B$130,참고!$A$31:$A$130,C139,참고!$B$31:$B$130,"&lt;="&amp;A139))*참고!$C$31:$C$130)/100,0)</f>
        <v>0</v>
      </c>
      <c r="J139" s="31" t="str">
        <f t="shared" si="7"/>
        <v/>
      </c>
      <c r="K139" s="43">
        <f>IF(B139="매도",IFERROR(SUMPRODUCT((참고!$A$31:$A$130=C139)*(참고!$B$31:$B$130&lt;=A139)*(참고!$B$31:$B$130=_xludf.MAXIFS(참고!$B$31:$B$130,참고!$A$31:$A$130,C139,참고!$B$31:$B$130,"&lt;="&amp;A139))*참고!$D$31:$D$130)/100,0),0)</f>
        <v>0</v>
      </c>
      <c r="L139" s="31" t="str">
        <f t="shared" si="8"/>
        <v/>
      </c>
      <c r="M139" s="39"/>
    </row>
    <row r="140" spans="1:13" ht="18" customHeight="1" x14ac:dyDescent="0.45">
      <c r="A140" s="37"/>
      <c r="B140" s="29"/>
      <c r="C140" s="29"/>
      <c r="D140" s="28"/>
      <c r="E140" s="30" t="str">
        <f>IFERROR(VLOOKUP(D140,KRX종목마스터!$A:$B,2,FALSE),"")</f>
        <v/>
      </c>
      <c r="F140" s="42"/>
      <c r="G140" s="42"/>
      <c r="H140" s="31" t="str">
        <f t="shared" si="6"/>
        <v/>
      </c>
      <c r="I140" s="43">
        <f ca="1">IFERROR(SUMPRODUCT((참고!$A$31:$A$130=C140)*(참고!$B$31:$B$130&lt;=A140)*(참고!$B$31:$B$130=_xludf.MAXIFS(참고!$B$31:$B$130,참고!$A$31:$A$130,C140,참고!$B$31:$B$130,"&lt;="&amp;A140))*참고!$C$31:$C$130)/100,0)</f>
        <v>0</v>
      </c>
      <c r="J140" s="31" t="str">
        <f t="shared" si="7"/>
        <v/>
      </c>
      <c r="K140" s="43">
        <f>IF(B140="매도",IFERROR(SUMPRODUCT((참고!$A$31:$A$130=C140)*(참고!$B$31:$B$130&lt;=A140)*(참고!$B$31:$B$130=_xludf.MAXIFS(참고!$B$31:$B$130,참고!$A$31:$A$130,C140,참고!$B$31:$B$130,"&lt;="&amp;A140))*참고!$D$31:$D$130)/100,0),0)</f>
        <v>0</v>
      </c>
      <c r="L140" s="31" t="str">
        <f t="shared" si="8"/>
        <v/>
      </c>
      <c r="M140" s="39"/>
    </row>
    <row r="141" spans="1:13" ht="18" customHeight="1" x14ac:dyDescent="0.45">
      <c r="A141" s="37"/>
      <c r="B141" s="29"/>
      <c r="C141" s="29"/>
      <c r="D141" s="28"/>
      <c r="E141" s="30" t="str">
        <f>IFERROR(VLOOKUP(D141,KRX종목마스터!$A:$B,2,FALSE),"")</f>
        <v/>
      </c>
      <c r="F141" s="42"/>
      <c r="G141" s="42"/>
      <c r="H141" s="31" t="str">
        <f t="shared" si="6"/>
        <v/>
      </c>
      <c r="I141" s="43">
        <f ca="1">IFERROR(SUMPRODUCT((참고!$A$31:$A$130=C141)*(참고!$B$31:$B$130&lt;=A141)*(참고!$B$31:$B$130=_xludf.MAXIFS(참고!$B$31:$B$130,참고!$A$31:$A$130,C141,참고!$B$31:$B$130,"&lt;="&amp;A141))*참고!$C$31:$C$130)/100,0)</f>
        <v>0</v>
      </c>
      <c r="J141" s="31" t="str">
        <f t="shared" si="7"/>
        <v/>
      </c>
      <c r="K141" s="43">
        <f>IF(B141="매도",IFERROR(SUMPRODUCT((참고!$A$31:$A$130=C141)*(참고!$B$31:$B$130&lt;=A141)*(참고!$B$31:$B$130=_xludf.MAXIFS(참고!$B$31:$B$130,참고!$A$31:$A$130,C141,참고!$B$31:$B$130,"&lt;="&amp;A141))*참고!$D$31:$D$130)/100,0),0)</f>
        <v>0</v>
      </c>
      <c r="L141" s="31" t="str">
        <f t="shared" si="8"/>
        <v/>
      </c>
      <c r="M141" s="39"/>
    </row>
    <row r="142" spans="1:13" ht="18" customHeight="1" x14ac:dyDescent="0.45">
      <c r="A142" s="37"/>
      <c r="B142" s="29"/>
      <c r="C142" s="29"/>
      <c r="D142" s="28"/>
      <c r="E142" s="30" t="str">
        <f>IFERROR(VLOOKUP(D142,KRX종목마스터!$A:$B,2,FALSE),"")</f>
        <v/>
      </c>
      <c r="F142" s="42"/>
      <c r="G142" s="42"/>
      <c r="H142" s="31" t="str">
        <f t="shared" si="6"/>
        <v/>
      </c>
      <c r="I142" s="43">
        <f ca="1">IFERROR(SUMPRODUCT((참고!$A$31:$A$130=C142)*(참고!$B$31:$B$130&lt;=A142)*(참고!$B$31:$B$130=_xludf.MAXIFS(참고!$B$31:$B$130,참고!$A$31:$A$130,C142,참고!$B$31:$B$130,"&lt;="&amp;A142))*참고!$C$31:$C$130)/100,0)</f>
        <v>0</v>
      </c>
      <c r="J142" s="31" t="str">
        <f t="shared" si="7"/>
        <v/>
      </c>
      <c r="K142" s="43">
        <f>IF(B142="매도",IFERROR(SUMPRODUCT((참고!$A$31:$A$130=C142)*(참고!$B$31:$B$130&lt;=A142)*(참고!$B$31:$B$130=_xludf.MAXIFS(참고!$B$31:$B$130,참고!$A$31:$A$130,C142,참고!$B$31:$B$130,"&lt;="&amp;A142))*참고!$D$31:$D$130)/100,0),0)</f>
        <v>0</v>
      </c>
      <c r="L142" s="31" t="str">
        <f t="shared" si="8"/>
        <v/>
      </c>
      <c r="M142" s="39"/>
    </row>
    <row r="143" spans="1:13" ht="18" customHeight="1" x14ac:dyDescent="0.45">
      <c r="A143" s="37"/>
      <c r="B143" s="29"/>
      <c r="C143" s="29"/>
      <c r="D143" s="28"/>
      <c r="E143" s="30" t="str">
        <f>IFERROR(VLOOKUP(D143,KRX종목마스터!$A:$B,2,FALSE),"")</f>
        <v/>
      </c>
      <c r="F143" s="42"/>
      <c r="G143" s="42"/>
      <c r="H143" s="31" t="str">
        <f t="shared" si="6"/>
        <v/>
      </c>
      <c r="I143" s="43">
        <f ca="1">IFERROR(SUMPRODUCT((참고!$A$31:$A$130=C143)*(참고!$B$31:$B$130&lt;=A143)*(참고!$B$31:$B$130=_xludf.MAXIFS(참고!$B$31:$B$130,참고!$A$31:$A$130,C143,참고!$B$31:$B$130,"&lt;="&amp;A143))*참고!$C$31:$C$130)/100,0)</f>
        <v>0</v>
      </c>
      <c r="J143" s="31" t="str">
        <f t="shared" si="7"/>
        <v/>
      </c>
      <c r="K143" s="43">
        <f>IF(B143="매도",IFERROR(SUMPRODUCT((참고!$A$31:$A$130=C143)*(참고!$B$31:$B$130&lt;=A143)*(참고!$B$31:$B$130=_xludf.MAXIFS(참고!$B$31:$B$130,참고!$A$31:$A$130,C143,참고!$B$31:$B$130,"&lt;="&amp;A143))*참고!$D$31:$D$130)/100,0),0)</f>
        <v>0</v>
      </c>
      <c r="L143" s="31" t="str">
        <f t="shared" si="8"/>
        <v/>
      </c>
      <c r="M143" s="39"/>
    </row>
    <row r="144" spans="1:13" ht="18" customHeight="1" x14ac:dyDescent="0.45">
      <c r="A144" s="37"/>
      <c r="B144" s="29"/>
      <c r="C144" s="29"/>
      <c r="D144" s="28"/>
      <c r="E144" s="30" t="str">
        <f>IFERROR(VLOOKUP(D144,KRX종목마스터!$A:$B,2,FALSE),"")</f>
        <v/>
      </c>
      <c r="F144" s="42"/>
      <c r="G144" s="42"/>
      <c r="H144" s="31" t="str">
        <f t="shared" si="6"/>
        <v/>
      </c>
      <c r="I144" s="43">
        <f ca="1">IFERROR(SUMPRODUCT((참고!$A$31:$A$130=C144)*(참고!$B$31:$B$130&lt;=A144)*(참고!$B$31:$B$130=_xludf.MAXIFS(참고!$B$31:$B$130,참고!$A$31:$A$130,C144,참고!$B$31:$B$130,"&lt;="&amp;A144))*참고!$C$31:$C$130)/100,0)</f>
        <v>0</v>
      </c>
      <c r="J144" s="31" t="str">
        <f t="shared" si="7"/>
        <v/>
      </c>
      <c r="K144" s="43">
        <f>IF(B144="매도",IFERROR(SUMPRODUCT((참고!$A$31:$A$130=C144)*(참고!$B$31:$B$130&lt;=A144)*(참고!$B$31:$B$130=_xludf.MAXIFS(참고!$B$31:$B$130,참고!$A$31:$A$130,C144,참고!$B$31:$B$130,"&lt;="&amp;A144))*참고!$D$31:$D$130)/100,0),0)</f>
        <v>0</v>
      </c>
      <c r="L144" s="31" t="str">
        <f t="shared" si="8"/>
        <v/>
      </c>
      <c r="M144" s="39"/>
    </row>
    <row r="145" spans="1:13" ht="18" customHeight="1" x14ac:dyDescent="0.45">
      <c r="A145" s="37"/>
      <c r="B145" s="29"/>
      <c r="C145" s="29"/>
      <c r="D145" s="28"/>
      <c r="E145" s="30" t="str">
        <f>IFERROR(VLOOKUP(D145,KRX종목마스터!$A:$B,2,FALSE),"")</f>
        <v/>
      </c>
      <c r="F145" s="42"/>
      <c r="G145" s="42"/>
      <c r="H145" s="31" t="str">
        <f t="shared" si="6"/>
        <v/>
      </c>
      <c r="I145" s="43">
        <f ca="1">IFERROR(SUMPRODUCT((참고!$A$31:$A$130=C145)*(참고!$B$31:$B$130&lt;=A145)*(참고!$B$31:$B$130=_xludf.MAXIFS(참고!$B$31:$B$130,참고!$A$31:$A$130,C145,참고!$B$31:$B$130,"&lt;="&amp;A145))*참고!$C$31:$C$130)/100,0)</f>
        <v>0</v>
      </c>
      <c r="J145" s="31" t="str">
        <f t="shared" si="7"/>
        <v/>
      </c>
      <c r="K145" s="43">
        <f>IF(B145="매도",IFERROR(SUMPRODUCT((참고!$A$31:$A$130=C145)*(참고!$B$31:$B$130&lt;=A145)*(참고!$B$31:$B$130=_xludf.MAXIFS(참고!$B$31:$B$130,참고!$A$31:$A$130,C145,참고!$B$31:$B$130,"&lt;="&amp;A145))*참고!$D$31:$D$130)/100,0),0)</f>
        <v>0</v>
      </c>
      <c r="L145" s="31" t="str">
        <f t="shared" si="8"/>
        <v/>
      </c>
      <c r="M145" s="39"/>
    </row>
    <row r="146" spans="1:13" ht="18" customHeight="1" x14ac:dyDescent="0.45">
      <c r="A146" s="37"/>
      <c r="B146" s="29"/>
      <c r="C146" s="29"/>
      <c r="D146" s="28"/>
      <c r="E146" s="30" t="str">
        <f>IFERROR(VLOOKUP(D146,KRX종목마스터!$A:$B,2,FALSE),"")</f>
        <v/>
      </c>
      <c r="F146" s="42"/>
      <c r="G146" s="42"/>
      <c r="H146" s="31" t="str">
        <f t="shared" si="6"/>
        <v/>
      </c>
      <c r="I146" s="43">
        <f ca="1">IFERROR(SUMPRODUCT((참고!$A$31:$A$130=C146)*(참고!$B$31:$B$130&lt;=A146)*(참고!$B$31:$B$130=_xludf.MAXIFS(참고!$B$31:$B$130,참고!$A$31:$A$130,C146,참고!$B$31:$B$130,"&lt;="&amp;A146))*참고!$C$31:$C$130)/100,0)</f>
        <v>0</v>
      </c>
      <c r="J146" s="31" t="str">
        <f t="shared" si="7"/>
        <v/>
      </c>
      <c r="K146" s="43">
        <f>IF(B146="매도",IFERROR(SUMPRODUCT((참고!$A$31:$A$130=C146)*(참고!$B$31:$B$130&lt;=A146)*(참고!$B$31:$B$130=_xludf.MAXIFS(참고!$B$31:$B$130,참고!$A$31:$A$130,C146,참고!$B$31:$B$130,"&lt;="&amp;A146))*참고!$D$31:$D$130)/100,0),0)</f>
        <v>0</v>
      </c>
      <c r="L146" s="31" t="str">
        <f t="shared" si="8"/>
        <v/>
      </c>
      <c r="M146" s="39"/>
    </row>
    <row r="147" spans="1:13" ht="18" customHeight="1" x14ac:dyDescent="0.45">
      <c r="A147" s="37"/>
      <c r="B147" s="29"/>
      <c r="C147" s="29"/>
      <c r="D147" s="28"/>
      <c r="E147" s="30" t="str">
        <f>IFERROR(VLOOKUP(D147,KRX종목마스터!$A:$B,2,FALSE),"")</f>
        <v/>
      </c>
      <c r="F147" s="42"/>
      <c r="G147" s="42"/>
      <c r="H147" s="31" t="str">
        <f t="shared" si="6"/>
        <v/>
      </c>
      <c r="I147" s="43">
        <f ca="1">IFERROR(SUMPRODUCT((참고!$A$31:$A$130=C147)*(참고!$B$31:$B$130&lt;=A147)*(참고!$B$31:$B$130=_xludf.MAXIFS(참고!$B$31:$B$130,참고!$A$31:$A$130,C147,참고!$B$31:$B$130,"&lt;="&amp;A147))*참고!$C$31:$C$130)/100,0)</f>
        <v>0</v>
      </c>
      <c r="J147" s="31" t="str">
        <f t="shared" si="7"/>
        <v/>
      </c>
      <c r="K147" s="43">
        <f>IF(B147="매도",IFERROR(SUMPRODUCT((참고!$A$31:$A$130=C147)*(참고!$B$31:$B$130&lt;=A147)*(참고!$B$31:$B$130=_xludf.MAXIFS(참고!$B$31:$B$130,참고!$A$31:$A$130,C147,참고!$B$31:$B$130,"&lt;="&amp;A147))*참고!$D$31:$D$130)/100,0),0)</f>
        <v>0</v>
      </c>
      <c r="L147" s="31" t="str">
        <f t="shared" si="8"/>
        <v/>
      </c>
      <c r="M147" s="39"/>
    </row>
    <row r="148" spans="1:13" ht="18" customHeight="1" x14ac:dyDescent="0.45">
      <c r="A148" s="37"/>
      <c r="B148" s="29"/>
      <c r="C148" s="29"/>
      <c r="D148" s="28"/>
      <c r="E148" s="30" t="str">
        <f>IFERROR(VLOOKUP(D148,KRX종목마스터!$A:$B,2,FALSE),"")</f>
        <v/>
      </c>
      <c r="F148" s="42"/>
      <c r="G148" s="42"/>
      <c r="H148" s="31" t="str">
        <f t="shared" si="6"/>
        <v/>
      </c>
      <c r="I148" s="43">
        <f ca="1">IFERROR(SUMPRODUCT((참고!$A$31:$A$130=C148)*(참고!$B$31:$B$130&lt;=A148)*(참고!$B$31:$B$130=_xludf.MAXIFS(참고!$B$31:$B$130,참고!$A$31:$A$130,C148,참고!$B$31:$B$130,"&lt;="&amp;A148))*참고!$C$31:$C$130)/100,0)</f>
        <v>0</v>
      </c>
      <c r="J148" s="31" t="str">
        <f t="shared" si="7"/>
        <v/>
      </c>
      <c r="K148" s="43">
        <f>IF(B148="매도",IFERROR(SUMPRODUCT((참고!$A$31:$A$130=C148)*(참고!$B$31:$B$130&lt;=A148)*(참고!$B$31:$B$130=_xludf.MAXIFS(참고!$B$31:$B$130,참고!$A$31:$A$130,C148,참고!$B$31:$B$130,"&lt;="&amp;A148))*참고!$D$31:$D$130)/100,0),0)</f>
        <v>0</v>
      </c>
      <c r="L148" s="31" t="str">
        <f t="shared" si="8"/>
        <v/>
      </c>
      <c r="M148" s="39"/>
    </row>
    <row r="149" spans="1:13" ht="18" customHeight="1" x14ac:dyDescent="0.45">
      <c r="A149" s="37"/>
      <c r="B149" s="29"/>
      <c r="C149" s="29"/>
      <c r="D149" s="28"/>
      <c r="E149" s="30" t="str">
        <f>IFERROR(VLOOKUP(D149,KRX종목마스터!$A:$B,2,FALSE),"")</f>
        <v/>
      </c>
      <c r="F149" s="42"/>
      <c r="G149" s="42"/>
      <c r="H149" s="31" t="str">
        <f t="shared" si="6"/>
        <v/>
      </c>
      <c r="I149" s="43">
        <f ca="1">IFERROR(SUMPRODUCT((참고!$A$31:$A$130=C149)*(참고!$B$31:$B$130&lt;=A149)*(참고!$B$31:$B$130=_xludf.MAXIFS(참고!$B$31:$B$130,참고!$A$31:$A$130,C149,참고!$B$31:$B$130,"&lt;="&amp;A149))*참고!$C$31:$C$130)/100,0)</f>
        <v>0</v>
      </c>
      <c r="J149" s="31" t="str">
        <f t="shared" si="7"/>
        <v/>
      </c>
      <c r="K149" s="43">
        <f>IF(B149="매도",IFERROR(SUMPRODUCT((참고!$A$31:$A$130=C149)*(참고!$B$31:$B$130&lt;=A149)*(참고!$B$31:$B$130=_xludf.MAXIFS(참고!$B$31:$B$130,참고!$A$31:$A$130,C149,참고!$B$31:$B$130,"&lt;="&amp;A149))*참고!$D$31:$D$130)/100,0),0)</f>
        <v>0</v>
      </c>
      <c r="L149" s="31" t="str">
        <f t="shared" si="8"/>
        <v/>
      </c>
      <c r="M149" s="39"/>
    </row>
    <row r="150" spans="1:13" ht="18" customHeight="1" x14ac:dyDescent="0.45">
      <c r="A150" s="37"/>
      <c r="B150" s="29"/>
      <c r="C150" s="29"/>
      <c r="D150" s="28"/>
      <c r="E150" s="30" t="str">
        <f>IFERROR(VLOOKUP(D150,KRX종목마스터!$A:$B,2,FALSE),"")</f>
        <v/>
      </c>
      <c r="F150" s="42"/>
      <c r="G150" s="42"/>
      <c r="H150" s="31" t="str">
        <f t="shared" si="6"/>
        <v/>
      </c>
      <c r="I150" s="43">
        <f ca="1">IFERROR(SUMPRODUCT((참고!$A$31:$A$130=C150)*(참고!$B$31:$B$130&lt;=A150)*(참고!$B$31:$B$130=_xludf.MAXIFS(참고!$B$31:$B$130,참고!$A$31:$A$130,C150,참고!$B$31:$B$130,"&lt;="&amp;A150))*참고!$C$31:$C$130)/100,0)</f>
        <v>0</v>
      </c>
      <c r="J150" s="31" t="str">
        <f t="shared" si="7"/>
        <v/>
      </c>
      <c r="K150" s="43">
        <f>IF(B150="매도",IFERROR(SUMPRODUCT((참고!$A$31:$A$130=C150)*(참고!$B$31:$B$130&lt;=A150)*(참고!$B$31:$B$130=_xludf.MAXIFS(참고!$B$31:$B$130,참고!$A$31:$A$130,C150,참고!$B$31:$B$130,"&lt;="&amp;A150))*참고!$D$31:$D$130)/100,0),0)</f>
        <v>0</v>
      </c>
      <c r="L150" s="31" t="str">
        <f t="shared" si="8"/>
        <v/>
      </c>
      <c r="M150" s="39"/>
    </row>
    <row r="151" spans="1:13" ht="18" customHeight="1" x14ac:dyDescent="0.45">
      <c r="A151" s="37"/>
      <c r="B151" s="29"/>
      <c r="C151" s="29"/>
      <c r="D151" s="28"/>
      <c r="E151" s="30" t="str">
        <f>IFERROR(VLOOKUP(D151,KRX종목마스터!$A:$B,2,FALSE),"")</f>
        <v/>
      </c>
      <c r="F151" s="42"/>
      <c r="G151" s="42"/>
      <c r="H151" s="31" t="str">
        <f t="shared" si="6"/>
        <v/>
      </c>
      <c r="I151" s="43">
        <f ca="1">IFERROR(SUMPRODUCT((참고!$A$31:$A$130=C151)*(참고!$B$31:$B$130&lt;=A151)*(참고!$B$31:$B$130=_xludf.MAXIFS(참고!$B$31:$B$130,참고!$A$31:$A$130,C151,참고!$B$31:$B$130,"&lt;="&amp;A151))*참고!$C$31:$C$130)/100,0)</f>
        <v>0</v>
      </c>
      <c r="J151" s="31" t="str">
        <f t="shared" si="7"/>
        <v/>
      </c>
      <c r="K151" s="43">
        <f>IF(B151="매도",IFERROR(SUMPRODUCT((참고!$A$31:$A$130=C151)*(참고!$B$31:$B$130&lt;=A151)*(참고!$B$31:$B$130=_xludf.MAXIFS(참고!$B$31:$B$130,참고!$A$31:$A$130,C151,참고!$B$31:$B$130,"&lt;="&amp;A151))*참고!$D$31:$D$130)/100,0),0)</f>
        <v>0</v>
      </c>
      <c r="L151" s="31" t="str">
        <f t="shared" si="8"/>
        <v/>
      </c>
      <c r="M151" s="39"/>
    </row>
    <row r="152" spans="1:13" ht="18" customHeight="1" x14ac:dyDescent="0.45">
      <c r="A152" s="37"/>
      <c r="B152" s="29"/>
      <c r="C152" s="29"/>
      <c r="D152" s="28"/>
      <c r="E152" s="30" t="str">
        <f>IFERROR(VLOOKUP(D152,KRX종목마스터!$A:$B,2,FALSE),"")</f>
        <v/>
      </c>
      <c r="F152" s="42"/>
      <c r="G152" s="42"/>
      <c r="H152" s="31" t="str">
        <f t="shared" si="6"/>
        <v/>
      </c>
      <c r="I152" s="43">
        <f ca="1">IFERROR(SUMPRODUCT((참고!$A$31:$A$130=C152)*(참고!$B$31:$B$130&lt;=A152)*(참고!$B$31:$B$130=_xludf.MAXIFS(참고!$B$31:$B$130,참고!$A$31:$A$130,C152,참고!$B$31:$B$130,"&lt;="&amp;A152))*참고!$C$31:$C$130)/100,0)</f>
        <v>0</v>
      </c>
      <c r="J152" s="31" t="str">
        <f t="shared" si="7"/>
        <v/>
      </c>
      <c r="K152" s="43">
        <f>IF(B152="매도",IFERROR(SUMPRODUCT((참고!$A$31:$A$130=C152)*(참고!$B$31:$B$130&lt;=A152)*(참고!$B$31:$B$130=_xludf.MAXIFS(참고!$B$31:$B$130,참고!$A$31:$A$130,C152,참고!$B$31:$B$130,"&lt;="&amp;A152))*참고!$D$31:$D$130)/100,0),0)</f>
        <v>0</v>
      </c>
      <c r="L152" s="31" t="str">
        <f t="shared" si="8"/>
        <v/>
      </c>
      <c r="M152" s="39"/>
    </row>
    <row r="153" spans="1:13" ht="18" customHeight="1" x14ac:dyDescent="0.45">
      <c r="A153" s="37"/>
      <c r="B153" s="29"/>
      <c r="C153" s="29"/>
      <c r="D153" s="28"/>
      <c r="E153" s="30" t="str">
        <f>IFERROR(VLOOKUP(D153,KRX종목마스터!$A:$B,2,FALSE),"")</f>
        <v/>
      </c>
      <c r="F153" s="42"/>
      <c r="G153" s="42"/>
      <c r="H153" s="31" t="str">
        <f t="shared" si="6"/>
        <v/>
      </c>
      <c r="I153" s="43">
        <f ca="1">IFERROR(SUMPRODUCT((참고!$A$31:$A$130=C153)*(참고!$B$31:$B$130&lt;=A153)*(참고!$B$31:$B$130=_xludf.MAXIFS(참고!$B$31:$B$130,참고!$A$31:$A$130,C153,참고!$B$31:$B$130,"&lt;="&amp;A153))*참고!$C$31:$C$130)/100,0)</f>
        <v>0</v>
      </c>
      <c r="J153" s="31" t="str">
        <f t="shared" si="7"/>
        <v/>
      </c>
      <c r="K153" s="43">
        <f>IF(B153="매도",IFERROR(SUMPRODUCT((참고!$A$31:$A$130=C153)*(참고!$B$31:$B$130&lt;=A153)*(참고!$B$31:$B$130=_xludf.MAXIFS(참고!$B$31:$B$130,참고!$A$31:$A$130,C153,참고!$B$31:$B$130,"&lt;="&amp;A153))*참고!$D$31:$D$130)/100,0),0)</f>
        <v>0</v>
      </c>
      <c r="L153" s="31" t="str">
        <f t="shared" si="8"/>
        <v/>
      </c>
      <c r="M153" s="39"/>
    </row>
    <row r="154" spans="1:13" ht="18" customHeight="1" x14ac:dyDescent="0.45">
      <c r="A154" s="37"/>
      <c r="B154" s="29"/>
      <c r="C154" s="29"/>
      <c r="D154" s="28"/>
      <c r="E154" s="30" t="str">
        <f>IFERROR(VLOOKUP(D154,KRX종목마스터!$A:$B,2,FALSE),"")</f>
        <v/>
      </c>
      <c r="F154" s="42"/>
      <c r="G154" s="42"/>
      <c r="H154" s="31" t="str">
        <f t="shared" si="6"/>
        <v/>
      </c>
      <c r="I154" s="43">
        <f ca="1">IFERROR(SUMPRODUCT((참고!$A$31:$A$130=C154)*(참고!$B$31:$B$130&lt;=A154)*(참고!$B$31:$B$130=_xludf.MAXIFS(참고!$B$31:$B$130,참고!$A$31:$A$130,C154,참고!$B$31:$B$130,"&lt;="&amp;A154))*참고!$C$31:$C$130)/100,0)</f>
        <v>0</v>
      </c>
      <c r="J154" s="31" t="str">
        <f t="shared" si="7"/>
        <v/>
      </c>
      <c r="K154" s="43">
        <f>IF(B154="매도",IFERROR(SUMPRODUCT((참고!$A$31:$A$130=C154)*(참고!$B$31:$B$130&lt;=A154)*(참고!$B$31:$B$130=_xludf.MAXIFS(참고!$B$31:$B$130,참고!$A$31:$A$130,C154,참고!$B$31:$B$130,"&lt;="&amp;A154))*참고!$D$31:$D$130)/100,0),0)</f>
        <v>0</v>
      </c>
      <c r="L154" s="31" t="str">
        <f t="shared" si="8"/>
        <v/>
      </c>
      <c r="M154" s="39"/>
    </row>
    <row r="155" spans="1:13" ht="18" customHeight="1" x14ac:dyDescent="0.45">
      <c r="A155" s="37"/>
      <c r="B155" s="29"/>
      <c r="C155" s="29"/>
      <c r="D155" s="28"/>
      <c r="E155" s="30" t="str">
        <f>IFERROR(VLOOKUP(D155,KRX종목마스터!$A:$B,2,FALSE),"")</f>
        <v/>
      </c>
      <c r="F155" s="42"/>
      <c r="G155" s="42"/>
      <c r="H155" s="31" t="str">
        <f t="shared" si="6"/>
        <v/>
      </c>
      <c r="I155" s="43">
        <f ca="1">IFERROR(SUMPRODUCT((참고!$A$31:$A$130=C155)*(참고!$B$31:$B$130&lt;=A155)*(참고!$B$31:$B$130=_xludf.MAXIFS(참고!$B$31:$B$130,참고!$A$31:$A$130,C155,참고!$B$31:$B$130,"&lt;="&amp;A155))*참고!$C$31:$C$130)/100,0)</f>
        <v>0</v>
      </c>
      <c r="J155" s="31" t="str">
        <f t="shared" si="7"/>
        <v/>
      </c>
      <c r="K155" s="43">
        <f>IF(B155="매도",IFERROR(SUMPRODUCT((참고!$A$31:$A$130=C155)*(참고!$B$31:$B$130&lt;=A155)*(참고!$B$31:$B$130=_xludf.MAXIFS(참고!$B$31:$B$130,참고!$A$31:$A$130,C155,참고!$B$31:$B$130,"&lt;="&amp;A155))*참고!$D$31:$D$130)/100,0),0)</f>
        <v>0</v>
      </c>
      <c r="L155" s="31" t="str">
        <f t="shared" si="8"/>
        <v/>
      </c>
      <c r="M155" s="39"/>
    </row>
    <row r="156" spans="1:13" ht="18" customHeight="1" x14ac:dyDescent="0.45">
      <c r="A156" s="37"/>
      <c r="B156" s="29"/>
      <c r="C156" s="29"/>
      <c r="D156" s="28"/>
      <c r="E156" s="30" t="str">
        <f>IFERROR(VLOOKUP(D156,KRX종목마스터!$A:$B,2,FALSE),"")</f>
        <v/>
      </c>
      <c r="F156" s="42"/>
      <c r="G156" s="42"/>
      <c r="H156" s="31" t="str">
        <f t="shared" si="6"/>
        <v/>
      </c>
      <c r="I156" s="43">
        <f ca="1">IFERROR(SUMPRODUCT((참고!$A$31:$A$130=C156)*(참고!$B$31:$B$130&lt;=A156)*(참고!$B$31:$B$130=_xludf.MAXIFS(참고!$B$31:$B$130,참고!$A$31:$A$130,C156,참고!$B$31:$B$130,"&lt;="&amp;A156))*참고!$C$31:$C$130)/100,0)</f>
        <v>0</v>
      </c>
      <c r="J156" s="31" t="str">
        <f t="shared" si="7"/>
        <v/>
      </c>
      <c r="K156" s="43">
        <f>IF(B156="매도",IFERROR(SUMPRODUCT((참고!$A$31:$A$130=C156)*(참고!$B$31:$B$130&lt;=A156)*(참고!$B$31:$B$130=_xludf.MAXIFS(참고!$B$31:$B$130,참고!$A$31:$A$130,C156,참고!$B$31:$B$130,"&lt;="&amp;A156))*참고!$D$31:$D$130)/100,0),0)</f>
        <v>0</v>
      </c>
      <c r="L156" s="31" t="str">
        <f t="shared" si="8"/>
        <v/>
      </c>
      <c r="M156" s="39"/>
    </row>
    <row r="157" spans="1:13" ht="18" customHeight="1" x14ac:dyDescent="0.45">
      <c r="A157" s="37"/>
      <c r="B157" s="29"/>
      <c r="C157" s="29"/>
      <c r="D157" s="28"/>
      <c r="E157" s="30" t="str">
        <f>IFERROR(VLOOKUP(D157,KRX종목마스터!$A:$B,2,FALSE),"")</f>
        <v/>
      </c>
      <c r="F157" s="42"/>
      <c r="G157" s="42"/>
      <c r="H157" s="31" t="str">
        <f t="shared" si="6"/>
        <v/>
      </c>
      <c r="I157" s="43">
        <f ca="1">IFERROR(SUMPRODUCT((참고!$A$31:$A$130=C157)*(참고!$B$31:$B$130&lt;=A157)*(참고!$B$31:$B$130=_xludf.MAXIFS(참고!$B$31:$B$130,참고!$A$31:$A$130,C157,참고!$B$31:$B$130,"&lt;="&amp;A157))*참고!$C$31:$C$130)/100,0)</f>
        <v>0</v>
      </c>
      <c r="J157" s="31" t="str">
        <f t="shared" si="7"/>
        <v/>
      </c>
      <c r="K157" s="43">
        <f>IF(B157="매도",IFERROR(SUMPRODUCT((참고!$A$31:$A$130=C157)*(참고!$B$31:$B$130&lt;=A157)*(참고!$B$31:$B$130=_xludf.MAXIFS(참고!$B$31:$B$130,참고!$A$31:$A$130,C157,참고!$B$31:$B$130,"&lt;="&amp;A157))*참고!$D$31:$D$130)/100,0),0)</f>
        <v>0</v>
      </c>
      <c r="L157" s="31" t="str">
        <f t="shared" si="8"/>
        <v/>
      </c>
      <c r="M157" s="39"/>
    </row>
    <row r="158" spans="1:13" ht="18" customHeight="1" x14ac:dyDescent="0.45">
      <c r="A158" s="37"/>
      <c r="B158" s="29"/>
      <c r="C158" s="29"/>
      <c r="D158" s="28"/>
      <c r="E158" s="30" t="str">
        <f>IFERROR(VLOOKUP(D158,KRX종목마스터!$A:$B,2,FALSE),"")</f>
        <v/>
      </c>
      <c r="F158" s="42"/>
      <c r="G158" s="42"/>
      <c r="H158" s="31" t="str">
        <f t="shared" si="6"/>
        <v/>
      </c>
      <c r="I158" s="43">
        <f ca="1">IFERROR(SUMPRODUCT((참고!$A$31:$A$130=C158)*(참고!$B$31:$B$130&lt;=A158)*(참고!$B$31:$B$130=_xludf.MAXIFS(참고!$B$31:$B$130,참고!$A$31:$A$130,C158,참고!$B$31:$B$130,"&lt;="&amp;A158))*참고!$C$31:$C$130)/100,0)</f>
        <v>0</v>
      </c>
      <c r="J158" s="31" t="str">
        <f t="shared" si="7"/>
        <v/>
      </c>
      <c r="K158" s="43">
        <f>IF(B158="매도",IFERROR(SUMPRODUCT((참고!$A$31:$A$130=C158)*(참고!$B$31:$B$130&lt;=A158)*(참고!$B$31:$B$130=_xludf.MAXIFS(참고!$B$31:$B$130,참고!$A$31:$A$130,C158,참고!$B$31:$B$130,"&lt;="&amp;A158))*참고!$D$31:$D$130)/100,0),0)</f>
        <v>0</v>
      </c>
      <c r="L158" s="31" t="str">
        <f t="shared" si="8"/>
        <v/>
      </c>
      <c r="M158" s="39"/>
    </row>
    <row r="159" spans="1:13" ht="18" customHeight="1" x14ac:dyDescent="0.45">
      <c r="A159" s="37"/>
      <c r="B159" s="29"/>
      <c r="C159" s="29"/>
      <c r="D159" s="28"/>
      <c r="E159" s="30" t="str">
        <f>IFERROR(VLOOKUP(D159,KRX종목마스터!$A:$B,2,FALSE),"")</f>
        <v/>
      </c>
      <c r="F159" s="42"/>
      <c r="G159" s="42"/>
      <c r="H159" s="31" t="str">
        <f t="shared" si="6"/>
        <v/>
      </c>
      <c r="I159" s="43">
        <f ca="1">IFERROR(SUMPRODUCT((참고!$A$31:$A$130=C159)*(참고!$B$31:$B$130&lt;=A159)*(참고!$B$31:$B$130=_xludf.MAXIFS(참고!$B$31:$B$130,참고!$A$31:$A$130,C159,참고!$B$31:$B$130,"&lt;="&amp;A159))*참고!$C$31:$C$130)/100,0)</f>
        <v>0</v>
      </c>
      <c r="J159" s="31" t="str">
        <f t="shared" si="7"/>
        <v/>
      </c>
      <c r="K159" s="43">
        <f>IF(B159="매도",IFERROR(SUMPRODUCT((참고!$A$31:$A$130=C159)*(참고!$B$31:$B$130&lt;=A159)*(참고!$B$31:$B$130=_xludf.MAXIFS(참고!$B$31:$B$130,참고!$A$31:$A$130,C159,참고!$B$31:$B$130,"&lt;="&amp;A159))*참고!$D$31:$D$130)/100,0),0)</f>
        <v>0</v>
      </c>
      <c r="L159" s="31" t="str">
        <f t="shared" si="8"/>
        <v/>
      </c>
      <c r="M159" s="39"/>
    </row>
    <row r="160" spans="1:13" ht="18" customHeight="1" x14ac:dyDescent="0.45">
      <c r="A160" s="37"/>
      <c r="B160" s="29"/>
      <c r="C160" s="29"/>
      <c r="D160" s="28"/>
      <c r="E160" s="30" t="str">
        <f>IFERROR(VLOOKUP(D160,KRX종목마스터!$A:$B,2,FALSE),"")</f>
        <v/>
      </c>
      <c r="F160" s="42"/>
      <c r="G160" s="42"/>
      <c r="H160" s="31" t="str">
        <f t="shared" si="6"/>
        <v/>
      </c>
      <c r="I160" s="43">
        <f ca="1">IFERROR(SUMPRODUCT((참고!$A$31:$A$130=C160)*(참고!$B$31:$B$130&lt;=A160)*(참고!$B$31:$B$130=_xludf.MAXIFS(참고!$B$31:$B$130,참고!$A$31:$A$130,C160,참고!$B$31:$B$130,"&lt;="&amp;A160))*참고!$C$31:$C$130)/100,0)</f>
        <v>0</v>
      </c>
      <c r="J160" s="31" t="str">
        <f t="shared" si="7"/>
        <v/>
      </c>
      <c r="K160" s="43">
        <f>IF(B160="매도",IFERROR(SUMPRODUCT((참고!$A$31:$A$130=C160)*(참고!$B$31:$B$130&lt;=A160)*(참고!$B$31:$B$130=_xludf.MAXIFS(참고!$B$31:$B$130,참고!$A$31:$A$130,C160,참고!$B$31:$B$130,"&lt;="&amp;A160))*참고!$D$31:$D$130)/100,0),0)</f>
        <v>0</v>
      </c>
      <c r="L160" s="31" t="str">
        <f t="shared" si="8"/>
        <v/>
      </c>
      <c r="M160" s="39"/>
    </row>
    <row r="161" spans="1:13" ht="18" customHeight="1" x14ac:dyDescent="0.45">
      <c r="A161" s="37"/>
      <c r="B161" s="29"/>
      <c r="C161" s="29"/>
      <c r="D161" s="28"/>
      <c r="E161" s="30" t="str">
        <f>IFERROR(VLOOKUP(D161,KRX종목마스터!$A:$B,2,FALSE),"")</f>
        <v/>
      </c>
      <c r="F161" s="42"/>
      <c r="G161" s="42"/>
      <c r="H161" s="31" t="str">
        <f t="shared" si="6"/>
        <v/>
      </c>
      <c r="I161" s="43">
        <f ca="1">IFERROR(SUMPRODUCT((참고!$A$31:$A$130=C161)*(참고!$B$31:$B$130&lt;=A161)*(참고!$B$31:$B$130=_xludf.MAXIFS(참고!$B$31:$B$130,참고!$A$31:$A$130,C161,참고!$B$31:$B$130,"&lt;="&amp;A161))*참고!$C$31:$C$130)/100,0)</f>
        <v>0</v>
      </c>
      <c r="J161" s="31" t="str">
        <f t="shared" si="7"/>
        <v/>
      </c>
      <c r="K161" s="43">
        <f>IF(B161="매도",IFERROR(SUMPRODUCT((참고!$A$31:$A$130=C161)*(참고!$B$31:$B$130&lt;=A161)*(참고!$B$31:$B$130=_xludf.MAXIFS(참고!$B$31:$B$130,참고!$A$31:$A$130,C161,참고!$B$31:$B$130,"&lt;="&amp;A161))*참고!$D$31:$D$130)/100,0),0)</f>
        <v>0</v>
      </c>
      <c r="L161" s="31" t="str">
        <f t="shared" si="8"/>
        <v/>
      </c>
      <c r="M161" s="39"/>
    </row>
    <row r="162" spans="1:13" ht="18" customHeight="1" x14ac:dyDescent="0.45">
      <c r="A162" s="37"/>
      <c r="B162" s="29"/>
      <c r="C162" s="29"/>
      <c r="D162" s="28"/>
      <c r="E162" s="30" t="str">
        <f>IFERROR(VLOOKUP(D162,KRX종목마스터!$A:$B,2,FALSE),"")</f>
        <v/>
      </c>
      <c r="F162" s="42"/>
      <c r="G162" s="42"/>
      <c r="H162" s="31" t="str">
        <f t="shared" si="6"/>
        <v/>
      </c>
      <c r="I162" s="43">
        <f ca="1">IFERROR(SUMPRODUCT((참고!$A$31:$A$130=C162)*(참고!$B$31:$B$130&lt;=A162)*(참고!$B$31:$B$130=_xludf.MAXIFS(참고!$B$31:$B$130,참고!$A$31:$A$130,C162,참고!$B$31:$B$130,"&lt;="&amp;A162))*참고!$C$31:$C$130)/100,0)</f>
        <v>0</v>
      </c>
      <c r="J162" s="31" t="str">
        <f t="shared" si="7"/>
        <v/>
      </c>
      <c r="K162" s="43">
        <f>IF(B162="매도",IFERROR(SUMPRODUCT((참고!$A$31:$A$130=C162)*(참고!$B$31:$B$130&lt;=A162)*(참고!$B$31:$B$130=_xludf.MAXIFS(참고!$B$31:$B$130,참고!$A$31:$A$130,C162,참고!$B$31:$B$130,"&lt;="&amp;A162))*참고!$D$31:$D$130)/100,0),0)</f>
        <v>0</v>
      </c>
      <c r="L162" s="31" t="str">
        <f t="shared" si="8"/>
        <v/>
      </c>
      <c r="M162" s="39"/>
    </row>
    <row r="163" spans="1:13" ht="18" customHeight="1" x14ac:dyDescent="0.45">
      <c r="A163" s="37"/>
      <c r="B163" s="29"/>
      <c r="C163" s="29"/>
      <c r="D163" s="28"/>
      <c r="E163" s="30" t="str">
        <f>IFERROR(VLOOKUP(D163,KRX종목마스터!$A:$B,2,FALSE),"")</f>
        <v/>
      </c>
      <c r="F163" s="42"/>
      <c r="G163" s="42"/>
      <c r="H163" s="31" t="str">
        <f t="shared" si="6"/>
        <v/>
      </c>
      <c r="I163" s="43">
        <f ca="1">IFERROR(SUMPRODUCT((참고!$A$31:$A$130=C163)*(참고!$B$31:$B$130&lt;=A163)*(참고!$B$31:$B$130=_xludf.MAXIFS(참고!$B$31:$B$130,참고!$A$31:$A$130,C163,참고!$B$31:$B$130,"&lt;="&amp;A163))*참고!$C$31:$C$130)/100,0)</f>
        <v>0</v>
      </c>
      <c r="J163" s="31" t="str">
        <f t="shared" si="7"/>
        <v/>
      </c>
      <c r="K163" s="43">
        <f>IF(B163="매도",IFERROR(SUMPRODUCT((참고!$A$31:$A$130=C163)*(참고!$B$31:$B$130&lt;=A163)*(참고!$B$31:$B$130=_xludf.MAXIFS(참고!$B$31:$B$130,참고!$A$31:$A$130,C163,참고!$B$31:$B$130,"&lt;="&amp;A163))*참고!$D$31:$D$130)/100,0),0)</f>
        <v>0</v>
      </c>
      <c r="L163" s="31" t="str">
        <f t="shared" si="8"/>
        <v/>
      </c>
      <c r="M163" s="39"/>
    </row>
    <row r="164" spans="1:13" ht="18" customHeight="1" x14ac:dyDescent="0.45">
      <c r="A164" s="37"/>
      <c r="B164" s="29"/>
      <c r="C164" s="29"/>
      <c r="D164" s="28"/>
      <c r="E164" s="30" t="str">
        <f>IFERROR(VLOOKUP(D164,KRX종목마스터!$A:$B,2,FALSE),"")</f>
        <v/>
      </c>
      <c r="F164" s="42"/>
      <c r="G164" s="42"/>
      <c r="H164" s="31" t="str">
        <f t="shared" si="6"/>
        <v/>
      </c>
      <c r="I164" s="43">
        <f ca="1">IFERROR(SUMPRODUCT((참고!$A$31:$A$130=C164)*(참고!$B$31:$B$130&lt;=A164)*(참고!$B$31:$B$130=_xludf.MAXIFS(참고!$B$31:$B$130,참고!$A$31:$A$130,C164,참고!$B$31:$B$130,"&lt;="&amp;A164))*참고!$C$31:$C$130)/100,0)</f>
        <v>0</v>
      </c>
      <c r="J164" s="31" t="str">
        <f t="shared" si="7"/>
        <v/>
      </c>
      <c r="K164" s="43">
        <f>IF(B164="매도",IFERROR(SUMPRODUCT((참고!$A$31:$A$130=C164)*(참고!$B$31:$B$130&lt;=A164)*(참고!$B$31:$B$130=_xludf.MAXIFS(참고!$B$31:$B$130,참고!$A$31:$A$130,C164,참고!$B$31:$B$130,"&lt;="&amp;A164))*참고!$D$31:$D$130)/100,0),0)</f>
        <v>0</v>
      </c>
      <c r="L164" s="31" t="str">
        <f t="shared" si="8"/>
        <v/>
      </c>
      <c r="M164" s="39"/>
    </row>
    <row r="165" spans="1:13" ht="18" customHeight="1" x14ac:dyDescent="0.45">
      <c r="A165" s="37"/>
      <c r="B165" s="29"/>
      <c r="C165" s="29"/>
      <c r="D165" s="28"/>
      <c r="E165" s="30" t="str">
        <f>IFERROR(VLOOKUP(D165,KRX종목마스터!$A:$B,2,FALSE),"")</f>
        <v/>
      </c>
      <c r="F165" s="42"/>
      <c r="G165" s="42"/>
      <c r="H165" s="31" t="str">
        <f t="shared" si="6"/>
        <v/>
      </c>
      <c r="I165" s="43">
        <f ca="1">IFERROR(SUMPRODUCT((참고!$A$31:$A$130=C165)*(참고!$B$31:$B$130&lt;=A165)*(참고!$B$31:$B$130=_xludf.MAXIFS(참고!$B$31:$B$130,참고!$A$31:$A$130,C165,참고!$B$31:$B$130,"&lt;="&amp;A165))*참고!$C$31:$C$130)/100,0)</f>
        <v>0</v>
      </c>
      <c r="J165" s="31" t="str">
        <f t="shared" si="7"/>
        <v/>
      </c>
      <c r="K165" s="43">
        <f>IF(B165="매도",IFERROR(SUMPRODUCT((참고!$A$31:$A$130=C165)*(참고!$B$31:$B$130&lt;=A165)*(참고!$B$31:$B$130=_xludf.MAXIFS(참고!$B$31:$B$130,참고!$A$31:$A$130,C165,참고!$B$31:$B$130,"&lt;="&amp;A165))*참고!$D$31:$D$130)/100,0),0)</f>
        <v>0</v>
      </c>
      <c r="L165" s="31" t="str">
        <f t="shared" si="8"/>
        <v/>
      </c>
      <c r="M165" s="39"/>
    </row>
    <row r="166" spans="1:13" ht="18" customHeight="1" x14ac:dyDescent="0.45">
      <c r="A166" s="37"/>
      <c r="B166" s="29"/>
      <c r="C166" s="29"/>
      <c r="D166" s="28"/>
      <c r="E166" s="30" t="str">
        <f>IFERROR(VLOOKUP(D166,KRX종목마스터!$A:$B,2,FALSE),"")</f>
        <v/>
      </c>
      <c r="F166" s="42"/>
      <c r="G166" s="42"/>
      <c r="H166" s="31" t="str">
        <f t="shared" si="6"/>
        <v/>
      </c>
      <c r="I166" s="43">
        <f ca="1">IFERROR(SUMPRODUCT((참고!$A$31:$A$130=C166)*(참고!$B$31:$B$130&lt;=A166)*(참고!$B$31:$B$130=_xludf.MAXIFS(참고!$B$31:$B$130,참고!$A$31:$A$130,C166,참고!$B$31:$B$130,"&lt;="&amp;A166))*참고!$C$31:$C$130)/100,0)</f>
        <v>0</v>
      </c>
      <c r="J166" s="31" t="str">
        <f t="shared" si="7"/>
        <v/>
      </c>
      <c r="K166" s="43">
        <f>IF(B166="매도",IFERROR(SUMPRODUCT((참고!$A$31:$A$130=C166)*(참고!$B$31:$B$130&lt;=A166)*(참고!$B$31:$B$130=_xludf.MAXIFS(참고!$B$31:$B$130,참고!$A$31:$A$130,C166,참고!$B$31:$B$130,"&lt;="&amp;A166))*참고!$D$31:$D$130)/100,0),0)</f>
        <v>0</v>
      </c>
      <c r="L166" s="31" t="str">
        <f t="shared" si="8"/>
        <v/>
      </c>
      <c r="M166" s="39"/>
    </row>
    <row r="167" spans="1:13" ht="18" customHeight="1" x14ac:dyDescent="0.45">
      <c r="A167" s="37"/>
      <c r="B167" s="29"/>
      <c r="C167" s="29"/>
      <c r="D167" s="28"/>
      <c r="E167" s="30" t="str">
        <f>IFERROR(VLOOKUP(D167,KRX종목마스터!$A:$B,2,FALSE),"")</f>
        <v/>
      </c>
      <c r="F167" s="42"/>
      <c r="G167" s="42"/>
      <c r="H167" s="31" t="str">
        <f t="shared" si="6"/>
        <v/>
      </c>
      <c r="I167" s="43">
        <f ca="1">IFERROR(SUMPRODUCT((참고!$A$31:$A$130=C167)*(참고!$B$31:$B$130&lt;=A167)*(참고!$B$31:$B$130=_xludf.MAXIFS(참고!$B$31:$B$130,참고!$A$31:$A$130,C167,참고!$B$31:$B$130,"&lt;="&amp;A167))*참고!$C$31:$C$130)/100,0)</f>
        <v>0</v>
      </c>
      <c r="J167" s="31" t="str">
        <f t="shared" si="7"/>
        <v/>
      </c>
      <c r="K167" s="43">
        <f>IF(B167="매도",IFERROR(SUMPRODUCT((참고!$A$31:$A$130=C167)*(참고!$B$31:$B$130&lt;=A167)*(참고!$B$31:$B$130=_xludf.MAXIFS(참고!$B$31:$B$130,참고!$A$31:$A$130,C167,참고!$B$31:$B$130,"&lt;="&amp;A167))*참고!$D$31:$D$130)/100,0),0)</f>
        <v>0</v>
      </c>
      <c r="L167" s="31" t="str">
        <f t="shared" si="8"/>
        <v/>
      </c>
      <c r="M167" s="39"/>
    </row>
    <row r="168" spans="1:13" ht="18" customHeight="1" x14ac:dyDescent="0.45">
      <c r="A168" s="37"/>
      <c r="B168" s="29"/>
      <c r="C168" s="29"/>
      <c r="D168" s="28"/>
      <c r="E168" s="30" t="str">
        <f>IFERROR(VLOOKUP(D168,KRX종목마스터!$A:$B,2,FALSE),"")</f>
        <v/>
      </c>
      <c r="F168" s="42"/>
      <c r="G168" s="42"/>
      <c r="H168" s="31" t="str">
        <f t="shared" si="6"/>
        <v/>
      </c>
      <c r="I168" s="43">
        <f ca="1">IFERROR(SUMPRODUCT((참고!$A$31:$A$130=C168)*(참고!$B$31:$B$130&lt;=A168)*(참고!$B$31:$B$130=_xludf.MAXIFS(참고!$B$31:$B$130,참고!$A$31:$A$130,C168,참고!$B$31:$B$130,"&lt;="&amp;A168))*참고!$C$31:$C$130)/100,0)</f>
        <v>0</v>
      </c>
      <c r="J168" s="31" t="str">
        <f t="shared" si="7"/>
        <v/>
      </c>
      <c r="K168" s="43">
        <f>IF(B168="매도",IFERROR(SUMPRODUCT((참고!$A$31:$A$130=C168)*(참고!$B$31:$B$130&lt;=A168)*(참고!$B$31:$B$130=_xludf.MAXIFS(참고!$B$31:$B$130,참고!$A$31:$A$130,C168,참고!$B$31:$B$130,"&lt;="&amp;A168))*참고!$D$31:$D$130)/100,0),0)</f>
        <v>0</v>
      </c>
      <c r="L168" s="31" t="str">
        <f t="shared" si="8"/>
        <v/>
      </c>
      <c r="M168" s="39"/>
    </row>
    <row r="169" spans="1:13" ht="18" customHeight="1" x14ac:dyDescent="0.45">
      <c r="A169" s="37"/>
      <c r="B169" s="29"/>
      <c r="C169" s="29"/>
      <c r="D169" s="28"/>
      <c r="E169" s="30" t="str">
        <f>IFERROR(VLOOKUP(D169,KRX종목마스터!$A:$B,2,FALSE),"")</f>
        <v/>
      </c>
      <c r="F169" s="42"/>
      <c r="G169" s="42"/>
      <c r="H169" s="31" t="str">
        <f t="shared" si="6"/>
        <v/>
      </c>
      <c r="I169" s="43">
        <f ca="1">IFERROR(SUMPRODUCT((참고!$A$31:$A$130=C169)*(참고!$B$31:$B$130&lt;=A169)*(참고!$B$31:$B$130=_xludf.MAXIFS(참고!$B$31:$B$130,참고!$A$31:$A$130,C169,참고!$B$31:$B$130,"&lt;="&amp;A169))*참고!$C$31:$C$130)/100,0)</f>
        <v>0</v>
      </c>
      <c r="J169" s="31" t="str">
        <f t="shared" si="7"/>
        <v/>
      </c>
      <c r="K169" s="43">
        <f>IF(B169="매도",IFERROR(SUMPRODUCT((참고!$A$31:$A$130=C169)*(참고!$B$31:$B$130&lt;=A169)*(참고!$B$31:$B$130=_xludf.MAXIFS(참고!$B$31:$B$130,참고!$A$31:$A$130,C169,참고!$B$31:$B$130,"&lt;="&amp;A169))*참고!$D$31:$D$130)/100,0),0)</f>
        <v>0</v>
      </c>
      <c r="L169" s="31" t="str">
        <f t="shared" si="8"/>
        <v/>
      </c>
      <c r="M169" s="39"/>
    </row>
    <row r="170" spans="1:13" ht="18" customHeight="1" x14ac:dyDescent="0.45">
      <c r="A170" s="37"/>
      <c r="B170" s="29"/>
      <c r="C170" s="29"/>
      <c r="D170" s="28"/>
      <c r="E170" s="30" t="str">
        <f>IFERROR(VLOOKUP(D170,KRX종목마스터!$A:$B,2,FALSE),"")</f>
        <v/>
      </c>
      <c r="F170" s="42"/>
      <c r="G170" s="42"/>
      <c r="H170" s="31" t="str">
        <f t="shared" si="6"/>
        <v/>
      </c>
      <c r="I170" s="43">
        <f ca="1">IFERROR(SUMPRODUCT((참고!$A$31:$A$130=C170)*(참고!$B$31:$B$130&lt;=A170)*(참고!$B$31:$B$130=_xludf.MAXIFS(참고!$B$31:$B$130,참고!$A$31:$A$130,C170,참고!$B$31:$B$130,"&lt;="&amp;A170))*참고!$C$31:$C$130)/100,0)</f>
        <v>0</v>
      </c>
      <c r="J170" s="31" t="str">
        <f t="shared" si="7"/>
        <v/>
      </c>
      <c r="K170" s="43">
        <f>IF(B170="매도",IFERROR(SUMPRODUCT((참고!$A$31:$A$130=C170)*(참고!$B$31:$B$130&lt;=A170)*(참고!$B$31:$B$130=_xludf.MAXIFS(참고!$B$31:$B$130,참고!$A$31:$A$130,C170,참고!$B$31:$B$130,"&lt;="&amp;A170))*참고!$D$31:$D$130)/100,0),0)</f>
        <v>0</v>
      </c>
      <c r="L170" s="31" t="str">
        <f t="shared" si="8"/>
        <v/>
      </c>
      <c r="M170" s="39"/>
    </row>
    <row r="171" spans="1:13" ht="18" customHeight="1" x14ac:dyDescent="0.45">
      <c r="A171" s="37"/>
      <c r="B171" s="29"/>
      <c r="C171" s="29"/>
      <c r="D171" s="28"/>
      <c r="E171" s="30" t="str">
        <f>IFERROR(VLOOKUP(D171,KRX종목마스터!$A:$B,2,FALSE),"")</f>
        <v/>
      </c>
      <c r="F171" s="42"/>
      <c r="G171" s="42"/>
      <c r="H171" s="31" t="str">
        <f t="shared" si="6"/>
        <v/>
      </c>
      <c r="I171" s="43">
        <f ca="1">IFERROR(SUMPRODUCT((참고!$A$31:$A$130=C171)*(참고!$B$31:$B$130&lt;=A171)*(참고!$B$31:$B$130=_xludf.MAXIFS(참고!$B$31:$B$130,참고!$A$31:$A$130,C171,참고!$B$31:$B$130,"&lt;="&amp;A171))*참고!$C$31:$C$130)/100,0)</f>
        <v>0</v>
      </c>
      <c r="J171" s="31" t="str">
        <f t="shared" si="7"/>
        <v/>
      </c>
      <c r="K171" s="43">
        <f>IF(B171="매도",IFERROR(SUMPRODUCT((참고!$A$31:$A$130=C171)*(참고!$B$31:$B$130&lt;=A171)*(참고!$B$31:$B$130=_xludf.MAXIFS(참고!$B$31:$B$130,참고!$A$31:$A$130,C171,참고!$B$31:$B$130,"&lt;="&amp;A171))*참고!$D$31:$D$130)/100,0),0)</f>
        <v>0</v>
      </c>
      <c r="L171" s="31" t="str">
        <f t="shared" si="8"/>
        <v/>
      </c>
      <c r="M171" s="39"/>
    </row>
    <row r="172" spans="1:13" ht="18" customHeight="1" x14ac:dyDescent="0.45">
      <c r="A172" s="37"/>
      <c r="B172" s="29"/>
      <c r="C172" s="29"/>
      <c r="D172" s="28"/>
      <c r="E172" s="30" t="str">
        <f>IFERROR(VLOOKUP(D172,KRX종목마스터!$A:$B,2,FALSE),"")</f>
        <v/>
      </c>
      <c r="F172" s="42"/>
      <c r="G172" s="42"/>
      <c r="H172" s="31" t="str">
        <f t="shared" si="6"/>
        <v/>
      </c>
      <c r="I172" s="43">
        <f ca="1">IFERROR(SUMPRODUCT((참고!$A$31:$A$130=C172)*(참고!$B$31:$B$130&lt;=A172)*(참고!$B$31:$B$130=_xludf.MAXIFS(참고!$B$31:$B$130,참고!$A$31:$A$130,C172,참고!$B$31:$B$130,"&lt;="&amp;A172))*참고!$C$31:$C$130)/100,0)</f>
        <v>0</v>
      </c>
      <c r="J172" s="31" t="str">
        <f t="shared" si="7"/>
        <v/>
      </c>
      <c r="K172" s="43">
        <f>IF(B172="매도",IFERROR(SUMPRODUCT((참고!$A$31:$A$130=C172)*(참고!$B$31:$B$130&lt;=A172)*(참고!$B$31:$B$130=_xludf.MAXIFS(참고!$B$31:$B$130,참고!$A$31:$A$130,C172,참고!$B$31:$B$130,"&lt;="&amp;A172))*참고!$D$31:$D$130)/100,0),0)</f>
        <v>0</v>
      </c>
      <c r="L172" s="31" t="str">
        <f t="shared" si="8"/>
        <v/>
      </c>
      <c r="M172" s="39"/>
    </row>
    <row r="173" spans="1:13" ht="18" customHeight="1" x14ac:dyDescent="0.45">
      <c r="A173" s="37"/>
      <c r="B173" s="29"/>
      <c r="C173" s="29"/>
      <c r="D173" s="28"/>
      <c r="E173" s="30" t="str">
        <f>IFERROR(VLOOKUP(D173,KRX종목마스터!$A:$B,2,FALSE),"")</f>
        <v/>
      </c>
      <c r="F173" s="42"/>
      <c r="G173" s="42"/>
      <c r="H173" s="31" t="str">
        <f t="shared" si="6"/>
        <v/>
      </c>
      <c r="I173" s="43">
        <f ca="1">IFERROR(SUMPRODUCT((참고!$A$31:$A$130=C173)*(참고!$B$31:$B$130&lt;=A173)*(참고!$B$31:$B$130=_xludf.MAXIFS(참고!$B$31:$B$130,참고!$A$31:$A$130,C173,참고!$B$31:$B$130,"&lt;="&amp;A173))*참고!$C$31:$C$130)/100,0)</f>
        <v>0</v>
      </c>
      <c r="J173" s="31" t="str">
        <f t="shared" si="7"/>
        <v/>
      </c>
      <c r="K173" s="43">
        <f>IF(B173="매도",IFERROR(SUMPRODUCT((참고!$A$31:$A$130=C173)*(참고!$B$31:$B$130&lt;=A173)*(참고!$B$31:$B$130=_xludf.MAXIFS(참고!$B$31:$B$130,참고!$A$31:$A$130,C173,참고!$B$31:$B$130,"&lt;="&amp;A173))*참고!$D$31:$D$130)/100,0),0)</f>
        <v>0</v>
      </c>
      <c r="L173" s="31" t="str">
        <f t="shared" si="8"/>
        <v/>
      </c>
      <c r="M173" s="39"/>
    </row>
    <row r="174" spans="1:13" ht="18" customHeight="1" x14ac:dyDescent="0.45">
      <c r="A174" s="37"/>
      <c r="B174" s="29"/>
      <c r="C174" s="29"/>
      <c r="D174" s="28"/>
      <c r="E174" s="30" t="str">
        <f>IFERROR(VLOOKUP(D174,KRX종목마스터!$A:$B,2,FALSE),"")</f>
        <v/>
      </c>
      <c r="F174" s="42"/>
      <c r="G174" s="42"/>
      <c r="H174" s="31" t="str">
        <f t="shared" si="6"/>
        <v/>
      </c>
      <c r="I174" s="43">
        <f ca="1">IFERROR(SUMPRODUCT((참고!$A$31:$A$130=C174)*(참고!$B$31:$B$130&lt;=A174)*(참고!$B$31:$B$130=_xludf.MAXIFS(참고!$B$31:$B$130,참고!$A$31:$A$130,C174,참고!$B$31:$B$130,"&lt;="&amp;A174))*참고!$C$31:$C$130)/100,0)</f>
        <v>0</v>
      </c>
      <c r="J174" s="31" t="str">
        <f t="shared" si="7"/>
        <v/>
      </c>
      <c r="K174" s="43">
        <f>IF(B174="매도",IFERROR(SUMPRODUCT((참고!$A$31:$A$130=C174)*(참고!$B$31:$B$130&lt;=A174)*(참고!$B$31:$B$130=_xludf.MAXIFS(참고!$B$31:$B$130,참고!$A$31:$A$130,C174,참고!$B$31:$B$130,"&lt;="&amp;A174))*참고!$D$31:$D$130)/100,0),0)</f>
        <v>0</v>
      </c>
      <c r="L174" s="31" t="str">
        <f t="shared" si="8"/>
        <v/>
      </c>
      <c r="M174" s="39"/>
    </row>
    <row r="175" spans="1:13" ht="18" customHeight="1" x14ac:dyDescent="0.45">
      <c r="A175" s="37"/>
      <c r="B175" s="29"/>
      <c r="C175" s="29"/>
      <c r="D175" s="28"/>
      <c r="E175" s="30" t="str">
        <f>IFERROR(VLOOKUP(D175,KRX종목마스터!$A:$B,2,FALSE),"")</f>
        <v/>
      </c>
      <c r="F175" s="42"/>
      <c r="G175" s="42"/>
      <c r="H175" s="31" t="str">
        <f t="shared" si="6"/>
        <v/>
      </c>
      <c r="I175" s="43">
        <f ca="1">IFERROR(SUMPRODUCT((참고!$A$31:$A$130=C175)*(참고!$B$31:$B$130&lt;=A175)*(참고!$B$31:$B$130=_xludf.MAXIFS(참고!$B$31:$B$130,참고!$A$31:$A$130,C175,참고!$B$31:$B$130,"&lt;="&amp;A175))*참고!$C$31:$C$130)/100,0)</f>
        <v>0</v>
      </c>
      <c r="J175" s="31" t="str">
        <f t="shared" si="7"/>
        <v/>
      </c>
      <c r="K175" s="43">
        <f>IF(B175="매도",IFERROR(SUMPRODUCT((참고!$A$31:$A$130=C175)*(참고!$B$31:$B$130&lt;=A175)*(참고!$B$31:$B$130=_xludf.MAXIFS(참고!$B$31:$B$130,참고!$A$31:$A$130,C175,참고!$B$31:$B$130,"&lt;="&amp;A175))*참고!$D$31:$D$130)/100,0),0)</f>
        <v>0</v>
      </c>
      <c r="L175" s="31" t="str">
        <f t="shared" si="8"/>
        <v/>
      </c>
      <c r="M175" s="39"/>
    </row>
    <row r="176" spans="1:13" ht="18" customHeight="1" x14ac:dyDescent="0.45">
      <c r="A176" s="37"/>
      <c r="B176" s="29"/>
      <c r="C176" s="29"/>
      <c r="D176" s="28"/>
      <c r="E176" s="30" t="str">
        <f>IFERROR(VLOOKUP(D176,KRX종목마스터!$A:$B,2,FALSE),"")</f>
        <v/>
      </c>
      <c r="F176" s="42"/>
      <c r="G176" s="42"/>
      <c r="H176" s="31" t="str">
        <f t="shared" si="6"/>
        <v/>
      </c>
      <c r="I176" s="43">
        <f ca="1">IFERROR(SUMPRODUCT((참고!$A$31:$A$130=C176)*(참고!$B$31:$B$130&lt;=A176)*(참고!$B$31:$B$130=_xludf.MAXIFS(참고!$B$31:$B$130,참고!$A$31:$A$130,C176,참고!$B$31:$B$130,"&lt;="&amp;A176))*참고!$C$31:$C$130)/100,0)</f>
        <v>0</v>
      </c>
      <c r="J176" s="31" t="str">
        <f t="shared" si="7"/>
        <v/>
      </c>
      <c r="K176" s="43">
        <f>IF(B176="매도",IFERROR(SUMPRODUCT((참고!$A$31:$A$130=C176)*(참고!$B$31:$B$130&lt;=A176)*(참고!$B$31:$B$130=_xludf.MAXIFS(참고!$B$31:$B$130,참고!$A$31:$A$130,C176,참고!$B$31:$B$130,"&lt;="&amp;A176))*참고!$D$31:$D$130)/100,0),0)</f>
        <v>0</v>
      </c>
      <c r="L176" s="31" t="str">
        <f t="shared" si="8"/>
        <v/>
      </c>
      <c r="M176" s="39"/>
    </row>
    <row r="177" spans="1:13" ht="18" customHeight="1" x14ac:dyDescent="0.45">
      <c r="A177" s="37"/>
      <c r="B177" s="29"/>
      <c r="C177" s="29"/>
      <c r="D177" s="28"/>
      <c r="E177" s="30" t="str">
        <f>IFERROR(VLOOKUP(D177,KRX종목마스터!$A:$B,2,FALSE),"")</f>
        <v/>
      </c>
      <c r="F177" s="42"/>
      <c r="G177" s="42"/>
      <c r="H177" s="31" t="str">
        <f t="shared" si="6"/>
        <v/>
      </c>
      <c r="I177" s="43">
        <f ca="1">IFERROR(SUMPRODUCT((참고!$A$31:$A$130=C177)*(참고!$B$31:$B$130&lt;=A177)*(참고!$B$31:$B$130=_xludf.MAXIFS(참고!$B$31:$B$130,참고!$A$31:$A$130,C177,참고!$B$31:$B$130,"&lt;="&amp;A177))*참고!$C$31:$C$130)/100,0)</f>
        <v>0</v>
      </c>
      <c r="J177" s="31" t="str">
        <f t="shared" si="7"/>
        <v/>
      </c>
      <c r="K177" s="43">
        <f>IF(B177="매도",IFERROR(SUMPRODUCT((참고!$A$31:$A$130=C177)*(참고!$B$31:$B$130&lt;=A177)*(참고!$B$31:$B$130=_xludf.MAXIFS(참고!$B$31:$B$130,참고!$A$31:$A$130,C177,참고!$B$31:$B$130,"&lt;="&amp;A177))*참고!$D$31:$D$130)/100,0),0)</f>
        <v>0</v>
      </c>
      <c r="L177" s="31" t="str">
        <f t="shared" si="8"/>
        <v/>
      </c>
      <c r="M177" s="39"/>
    </row>
    <row r="178" spans="1:13" ht="18" customHeight="1" x14ac:dyDescent="0.45">
      <c r="A178" s="37"/>
      <c r="B178" s="29"/>
      <c r="C178" s="29"/>
      <c r="D178" s="28"/>
      <c r="E178" s="30" t="str">
        <f>IFERROR(VLOOKUP(D178,KRX종목마스터!$A:$B,2,FALSE),"")</f>
        <v/>
      </c>
      <c r="F178" s="42"/>
      <c r="G178" s="42"/>
      <c r="H178" s="31" t="str">
        <f t="shared" si="6"/>
        <v/>
      </c>
      <c r="I178" s="43">
        <f ca="1">IFERROR(SUMPRODUCT((참고!$A$31:$A$130=C178)*(참고!$B$31:$B$130&lt;=A178)*(참고!$B$31:$B$130=_xludf.MAXIFS(참고!$B$31:$B$130,참고!$A$31:$A$130,C178,참고!$B$31:$B$130,"&lt;="&amp;A178))*참고!$C$31:$C$130)/100,0)</f>
        <v>0</v>
      </c>
      <c r="J178" s="31" t="str">
        <f t="shared" si="7"/>
        <v/>
      </c>
      <c r="K178" s="43">
        <f>IF(B178="매도",IFERROR(SUMPRODUCT((참고!$A$31:$A$130=C178)*(참고!$B$31:$B$130&lt;=A178)*(참고!$B$31:$B$130=_xludf.MAXIFS(참고!$B$31:$B$130,참고!$A$31:$A$130,C178,참고!$B$31:$B$130,"&lt;="&amp;A178))*참고!$D$31:$D$130)/100,0),0)</f>
        <v>0</v>
      </c>
      <c r="L178" s="31" t="str">
        <f t="shared" si="8"/>
        <v/>
      </c>
      <c r="M178" s="39"/>
    </row>
    <row r="179" spans="1:13" ht="18" customHeight="1" x14ac:dyDescent="0.45">
      <c r="A179" s="37"/>
      <c r="B179" s="29"/>
      <c r="C179" s="29"/>
      <c r="D179" s="28"/>
      <c r="E179" s="30" t="str">
        <f>IFERROR(VLOOKUP(D179,KRX종목마스터!$A:$B,2,FALSE),"")</f>
        <v/>
      </c>
      <c r="F179" s="42"/>
      <c r="G179" s="42"/>
      <c r="H179" s="31" t="str">
        <f t="shared" si="6"/>
        <v/>
      </c>
      <c r="I179" s="43">
        <f ca="1">IFERROR(SUMPRODUCT((참고!$A$31:$A$130=C179)*(참고!$B$31:$B$130&lt;=A179)*(참고!$B$31:$B$130=_xludf.MAXIFS(참고!$B$31:$B$130,참고!$A$31:$A$130,C179,참고!$B$31:$B$130,"&lt;="&amp;A179))*참고!$C$31:$C$130)/100,0)</f>
        <v>0</v>
      </c>
      <c r="J179" s="31" t="str">
        <f t="shared" si="7"/>
        <v/>
      </c>
      <c r="K179" s="43">
        <f>IF(B179="매도",IFERROR(SUMPRODUCT((참고!$A$31:$A$130=C179)*(참고!$B$31:$B$130&lt;=A179)*(참고!$B$31:$B$130=_xludf.MAXIFS(참고!$B$31:$B$130,참고!$A$31:$A$130,C179,참고!$B$31:$B$130,"&lt;="&amp;A179))*참고!$D$31:$D$130)/100,0),0)</f>
        <v>0</v>
      </c>
      <c r="L179" s="31" t="str">
        <f t="shared" si="8"/>
        <v/>
      </c>
      <c r="M179" s="39"/>
    </row>
    <row r="180" spans="1:13" ht="18" customHeight="1" x14ac:dyDescent="0.45">
      <c r="A180" s="37"/>
      <c r="B180" s="29"/>
      <c r="C180" s="29"/>
      <c r="D180" s="28"/>
      <c r="E180" s="30" t="str">
        <f>IFERROR(VLOOKUP(D180,KRX종목마스터!$A:$B,2,FALSE),"")</f>
        <v/>
      </c>
      <c r="F180" s="42"/>
      <c r="G180" s="42"/>
      <c r="H180" s="31" t="str">
        <f t="shared" si="6"/>
        <v/>
      </c>
      <c r="I180" s="43">
        <f ca="1">IFERROR(SUMPRODUCT((참고!$A$31:$A$130=C180)*(참고!$B$31:$B$130&lt;=A180)*(참고!$B$31:$B$130=_xludf.MAXIFS(참고!$B$31:$B$130,참고!$A$31:$A$130,C180,참고!$B$31:$B$130,"&lt;="&amp;A180))*참고!$C$31:$C$130)/100,0)</f>
        <v>0</v>
      </c>
      <c r="J180" s="31" t="str">
        <f t="shared" si="7"/>
        <v/>
      </c>
      <c r="K180" s="43">
        <f>IF(B180="매도",IFERROR(SUMPRODUCT((참고!$A$31:$A$130=C180)*(참고!$B$31:$B$130&lt;=A180)*(참고!$B$31:$B$130=_xludf.MAXIFS(참고!$B$31:$B$130,참고!$A$31:$A$130,C180,참고!$B$31:$B$130,"&lt;="&amp;A180))*참고!$D$31:$D$130)/100,0),0)</f>
        <v>0</v>
      </c>
      <c r="L180" s="31" t="str">
        <f t="shared" si="8"/>
        <v/>
      </c>
      <c r="M180" s="39"/>
    </row>
    <row r="181" spans="1:13" ht="18" customHeight="1" x14ac:dyDescent="0.45">
      <c r="A181" s="37"/>
      <c r="B181" s="29"/>
      <c r="C181" s="29"/>
      <c r="D181" s="28"/>
      <c r="E181" s="30" t="str">
        <f>IFERROR(VLOOKUP(D181,KRX종목마스터!$A:$B,2,FALSE),"")</f>
        <v/>
      </c>
      <c r="F181" s="42"/>
      <c r="G181" s="42"/>
      <c r="H181" s="31" t="str">
        <f t="shared" si="6"/>
        <v/>
      </c>
      <c r="I181" s="43">
        <f ca="1">IFERROR(SUMPRODUCT((참고!$A$31:$A$130=C181)*(참고!$B$31:$B$130&lt;=A181)*(참고!$B$31:$B$130=_xludf.MAXIFS(참고!$B$31:$B$130,참고!$A$31:$A$130,C181,참고!$B$31:$B$130,"&lt;="&amp;A181))*참고!$C$31:$C$130)/100,0)</f>
        <v>0</v>
      </c>
      <c r="J181" s="31" t="str">
        <f t="shared" si="7"/>
        <v/>
      </c>
      <c r="K181" s="43">
        <f>IF(B181="매도",IFERROR(SUMPRODUCT((참고!$A$31:$A$130=C181)*(참고!$B$31:$B$130&lt;=A181)*(참고!$B$31:$B$130=_xludf.MAXIFS(참고!$B$31:$B$130,참고!$A$31:$A$130,C181,참고!$B$31:$B$130,"&lt;="&amp;A181))*참고!$D$31:$D$130)/100,0),0)</f>
        <v>0</v>
      </c>
      <c r="L181" s="31" t="str">
        <f t="shared" si="8"/>
        <v/>
      </c>
      <c r="M181" s="39"/>
    </row>
    <row r="182" spans="1:13" ht="18" customHeight="1" x14ac:dyDescent="0.45">
      <c r="A182" s="37"/>
      <c r="B182" s="29"/>
      <c r="C182" s="29"/>
      <c r="D182" s="28"/>
      <c r="E182" s="30" t="str">
        <f>IFERROR(VLOOKUP(D182,KRX종목마스터!$A:$B,2,FALSE),"")</f>
        <v/>
      </c>
      <c r="F182" s="42"/>
      <c r="G182" s="42"/>
      <c r="H182" s="31" t="str">
        <f t="shared" si="6"/>
        <v/>
      </c>
      <c r="I182" s="43">
        <f ca="1">IFERROR(SUMPRODUCT((참고!$A$31:$A$130=C182)*(참고!$B$31:$B$130&lt;=A182)*(참고!$B$31:$B$130=_xludf.MAXIFS(참고!$B$31:$B$130,참고!$A$31:$A$130,C182,참고!$B$31:$B$130,"&lt;="&amp;A182))*참고!$C$31:$C$130)/100,0)</f>
        <v>0</v>
      </c>
      <c r="J182" s="31" t="str">
        <f t="shared" si="7"/>
        <v/>
      </c>
      <c r="K182" s="43">
        <f>IF(B182="매도",IFERROR(SUMPRODUCT((참고!$A$31:$A$130=C182)*(참고!$B$31:$B$130&lt;=A182)*(참고!$B$31:$B$130=_xludf.MAXIFS(참고!$B$31:$B$130,참고!$A$31:$A$130,C182,참고!$B$31:$B$130,"&lt;="&amp;A182))*참고!$D$31:$D$130)/100,0),0)</f>
        <v>0</v>
      </c>
      <c r="L182" s="31" t="str">
        <f t="shared" si="8"/>
        <v/>
      </c>
      <c r="M182" s="39"/>
    </row>
    <row r="183" spans="1:13" ht="18" customHeight="1" x14ac:dyDescent="0.45">
      <c r="A183" s="37"/>
      <c r="B183" s="29"/>
      <c r="C183" s="29"/>
      <c r="D183" s="28"/>
      <c r="E183" s="30" t="str">
        <f>IFERROR(VLOOKUP(D183,KRX종목마스터!$A:$B,2,FALSE),"")</f>
        <v/>
      </c>
      <c r="F183" s="42"/>
      <c r="G183" s="42"/>
      <c r="H183" s="31" t="str">
        <f t="shared" si="6"/>
        <v/>
      </c>
      <c r="I183" s="43">
        <f ca="1">IFERROR(SUMPRODUCT((참고!$A$31:$A$130=C183)*(참고!$B$31:$B$130&lt;=A183)*(참고!$B$31:$B$130=_xludf.MAXIFS(참고!$B$31:$B$130,참고!$A$31:$A$130,C183,참고!$B$31:$B$130,"&lt;="&amp;A183))*참고!$C$31:$C$130)/100,0)</f>
        <v>0</v>
      </c>
      <c r="J183" s="31" t="str">
        <f t="shared" si="7"/>
        <v/>
      </c>
      <c r="K183" s="43">
        <f>IF(B183="매도",IFERROR(SUMPRODUCT((참고!$A$31:$A$130=C183)*(참고!$B$31:$B$130&lt;=A183)*(참고!$B$31:$B$130=_xludf.MAXIFS(참고!$B$31:$B$130,참고!$A$31:$A$130,C183,참고!$B$31:$B$130,"&lt;="&amp;A183))*참고!$D$31:$D$130)/100,0),0)</f>
        <v>0</v>
      </c>
      <c r="L183" s="31" t="str">
        <f t="shared" si="8"/>
        <v/>
      </c>
      <c r="M183" s="39"/>
    </row>
    <row r="184" spans="1:13" ht="18" customHeight="1" x14ac:dyDescent="0.45">
      <c r="A184" s="37"/>
      <c r="B184" s="29"/>
      <c r="C184" s="29"/>
      <c r="D184" s="28"/>
      <c r="E184" s="30" t="str">
        <f>IFERROR(VLOOKUP(D184,KRX종목마스터!$A:$B,2,FALSE),"")</f>
        <v/>
      </c>
      <c r="F184" s="42"/>
      <c r="G184" s="42"/>
      <c r="H184" s="31" t="str">
        <f t="shared" si="6"/>
        <v/>
      </c>
      <c r="I184" s="43">
        <f ca="1">IFERROR(SUMPRODUCT((참고!$A$31:$A$130=C184)*(참고!$B$31:$B$130&lt;=A184)*(참고!$B$31:$B$130=_xludf.MAXIFS(참고!$B$31:$B$130,참고!$A$31:$A$130,C184,참고!$B$31:$B$130,"&lt;="&amp;A184))*참고!$C$31:$C$130)/100,0)</f>
        <v>0</v>
      </c>
      <c r="J184" s="31" t="str">
        <f t="shared" si="7"/>
        <v/>
      </c>
      <c r="K184" s="43">
        <f>IF(B184="매도",IFERROR(SUMPRODUCT((참고!$A$31:$A$130=C184)*(참고!$B$31:$B$130&lt;=A184)*(참고!$B$31:$B$130=_xludf.MAXIFS(참고!$B$31:$B$130,참고!$A$31:$A$130,C184,참고!$B$31:$B$130,"&lt;="&amp;A184))*참고!$D$31:$D$130)/100,0),0)</f>
        <v>0</v>
      </c>
      <c r="L184" s="31" t="str">
        <f t="shared" si="8"/>
        <v/>
      </c>
      <c r="M184" s="39"/>
    </row>
    <row r="185" spans="1:13" ht="18" customHeight="1" x14ac:dyDescent="0.45">
      <c r="A185" s="37"/>
      <c r="B185" s="29"/>
      <c r="C185" s="29"/>
      <c r="D185" s="28"/>
      <c r="E185" s="30" t="str">
        <f>IFERROR(VLOOKUP(D185,KRX종목마스터!$A:$B,2,FALSE),"")</f>
        <v/>
      </c>
      <c r="F185" s="42"/>
      <c r="G185" s="42"/>
      <c r="H185" s="31" t="str">
        <f t="shared" si="6"/>
        <v/>
      </c>
      <c r="I185" s="43">
        <f ca="1">IFERROR(SUMPRODUCT((참고!$A$31:$A$130=C185)*(참고!$B$31:$B$130&lt;=A185)*(참고!$B$31:$B$130=_xludf.MAXIFS(참고!$B$31:$B$130,참고!$A$31:$A$130,C185,참고!$B$31:$B$130,"&lt;="&amp;A185))*참고!$C$31:$C$130)/100,0)</f>
        <v>0</v>
      </c>
      <c r="J185" s="31" t="str">
        <f t="shared" si="7"/>
        <v/>
      </c>
      <c r="K185" s="43">
        <f>IF(B185="매도",IFERROR(SUMPRODUCT((참고!$A$31:$A$130=C185)*(참고!$B$31:$B$130&lt;=A185)*(참고!$B$31:$B$130=_xludf.MAXIFS(참고!$B$31:$B$130,참고!$A$31:$A$130,C185,참고!$B$31:$B$130,"&lt;="&amp;A185))*참고!$D$31:$D$130)/100,0),0)</f>
        <v>0</v>
      </c>
      <c r="L185" s="31" t="str">
        <f t="shared" si="8"/>
        <v/>
      </c>
      <c r="M185" s="39"/>
    </row>
    <row r="186" spans="1:13" ht="18" customHeight="1" x14ac:dyDescent="0.45">
      <c r="A186" s="37"/>
      <c r="B186" s="29"/>
      <c r="C186" s="29"/>
      <c r="D186" s="28"/>
      <c r="E186" s="30" t="str">
        <f>IFERROR(VLOOKUP(D186,KRX종목마스터!$A:$B,2,FALSE),"")</f>
        <v/>
      </c>
      <c r="F186" s="42"/>
      <c r="G186" s="42"/>
      <c r="H186" s="31" t="str">
        <f t="shared" si="6"/>
        <v/>
      </c>
      <c r="I186" s="43">
        <f ca="1">IFERROR(SUMPRODUCT((참고!$A$31:$A$130=C186)*(참고!$B$31:$B$130&lt;=A186)*(참고!$B$31:$B$130=_xludf.MAXIFS(참고!$B$31:$B$130,참고!$A$31:$A$130,C186,참고!$B$31:$B$130,"&lt;="&amp;A186))*참고!$C$31:$C$130)/100,0)</f>
        <v>0</v>
      </c>
      <c r="J186" s="31" t="str">
        <f t="shared" si="7"/>
        <v/>
      </c>
      <c r="K186" s="43">
        <f>IF(B186="매도",IFERROR(SUMPRODUCT((참고!$A$31:$A$130=C186)*(참고!$B$31:$B$130&lt;=A186)*(참고!$B$31:$B$130=_xludf.MAXIFS(참고!$B$31:$B$130,참고!$A$31:$A$130,C186,참고!$B$31:$B$130,"&lt;="&amp;A186))*참고!$D$31:$D$130)/100,0),0)</f>
        <v>0</v>
      </c>
      <c r="L186" s="31" t="str">
        <f t="shared" si="8"/>
        <v/>
      </c>
      <c r="M186" s="39"/>
    </row>
    <row r="187" spans="1:13" ht="18" customHeight="1" x14ac:dyDescent="0.45">
      <c r="A187" s="37"/>
      <c r="B187" s="29"/>
      <c r="C187" s="29"/>
      <c r="D187" s="28"/>
      <c r="E187" s="30" t="str">
        <f>IFERROR(VLOOKUP(D187,KRX종목마스터!$A:$B,2,FALSE),"")</f>
        <v/>
      </c>
      <c r="F187" s="42"/>
      <c r="G187" s="42"/>
      <c r="H187" s="31" t="str">
        <f t="shared" si="6"/>
        <v/>
      </c>
      <c r="I187" s="43">
        <f ca="1">IFERROR(SUMPRODUCT((참고!$A$31:$A$130=C187)*(참고!$B$31:$B$130&lt;=A187)*(참고!$B$31:$B$130=_xludf.MAXIFS(참고!$B$31:$B$130,참고!$A$31:$A$130,C187,참고!$B$31:$B$130,"&lt;="&amp;A187))*참고!$C$31:$C$130)/100,0)</f>
        <v>0</v>
      </c>
      <c r="J187" s="31" t="str">
        <f t="shared" si="7"/>
        <v/>
      </c>
      <c r="K187" s="43">
        <f>IF(B187="매도",IFERROR(SUMPRODUCT((참고!$A$31:$A$130=C187)*(참고!$B$31:$B$130&lt;=A187)*(참고!$B$31:$B$130=_xludf.MAXIFS(참고!$B$31:$B$130,참고!$A$31:$A$130,C187,참고!$B$31:$B$130,"&lt;="&amp;A187))*참고!$D$31:$D$130)/100,0),0)</f>
        <v>0</v>
      </c>
      <c r="L187" s="31" t="str">
        <f t="shared" si="8"/>
        <v/>
      </c>
      <c r="M187" s="39"/>
    </row>
    <row r="188" spans="1:13" ht="18" customHeight="1" x14ac:dyDescent="0.45">
      <c r="A188" s="37"/>
      <c r="B188" s="29"/>
      <c r="C188" s="29"/>
      <c r="D188" s="28"/>
      <c r="E188" s="30" t="str">
        <f>IFERROR(VLOOKUP(D188,KRX종목마스터!$A:$B,2,FALSE),"")</f>
        <v/>
      </c>
      <c r="F188" s="42"/>
      <c r="G188" s="42"/>
      <c r="H188" s="31" t="str">
        <f t="shared" si="6"/>
        <v/>
      </c>
      <c r="I188" s="43">
        <f ca="1">IFERROR(SUMPRODUCT((참고!$A$31:$A$130=C188)*(참고!$B$31:$B$130&lt;=A188)*(참고!$B$31:$B$130=_xludf.MAXIFS(참고!$B$31:$B$130,참고!$A$31:$A$130,C188,참고!$B$31:$B$130,"&lt;="&amp;A188))*참고!$C$31:$C$130)/100,0)</f>
        <v>0</v>
      </c>
      <c r="J188" s="31" t="str">
        <f t="shared" si="7"/>
        <v/>
      </c>
      <c r="K188" s="43">
        <f>IF(B188="매도",IFERROR(SUMPRODUCT((참고!$A$31:$A$130=C188)*(참고!$B$31:$B$130&lt;=A188)*(참고!$B$31:$B$130=_xludf.MAXIFS(참고!$B$31:$B$130,참고!$A$31:$A$130,C188,참고!$B$31:$B$130,"&lt;="&amp;A188))*참고!$D$31:$D$130)/100,0),0)</f>
        <v>0</v>
      </c>
      <c r="L188" s="31" t="str">
        <f t="shared" si="8"/>
        <v/>
      </c>
      <c r="M188" s="39"/>
    </row>
    <row r="189" spans="1:13" ht="18" customHeight="1" x14ac:dyDescent="0.45">
      <c r="A189" s="37"/>
      <c r="B189" s="29"/>
      <c r="C189" s="29"/>
      <c r="D189" s="28"/>
      <c r="E189" s="30" t="str">
        <f>IFERROR(VLOOKUP(D189,KRX종목마스터!$A:$B,2,FALSE),"")</f>
        <v/>
      </c>
      <c r="F189" s="42"/>
      <c r="G189" s="42"/>
      <c r="H189" s="31" t="str">
        <f t="shared" si="6"/>
        <v/>
      </c>
      <c r="I189" s="43">
        <f ca="1">IFERROR(SUMPRODUCT((참고!$A$31:$A$130=C189)*(참고!$B$31:$B$130&lt;=A189)*(참고!$B$31:$B$130=_xludf.MAXIFS(참고!$B$31:$B$130,참고!$A$31:$A$130,C189,참고!$B$31:$B$130,"&lt;="&amp;A189))*참고!$C$31:$C$130)/100,0)</f>
        <v>0</v>
      </c>
      <c r="J189" s="31" t="str">
        <f t="shared" si="7"/>
        <v/>
      </c>
      <c r="K189" s="43">
        <f>IF(B189="매도",IFERROR(SUMPRODUCT((참고!$A$31:$A$130=C189)*(참고!$B$31:$B$130&lt;=A189)*(참고!$B$31:$B$130=_xludf.MAXIFS(참고!$B$31:$B$130,참고!$A$31:$A$130,C189,참고!$B$31:$B$130,"&lt;="&amp;A189))*참고!$D$31:$D$130)/100,0),0)</f>
        <v>0</v>
      </c>
      <c r="L189" s="31" t="str">
        <f t="shared" si="8"/>
        <v/>
      </c>
      <c r="M189" s="39"/>
    </row>
    <row r="190" spans="1:13" ht="18" customHeight="1" x14ac:dyDescent="0.45">
      <c r="A190" s="37"/>
      <c r="B190" s="29"/>
      <c r="C190" s="29"/>
      <c r="D190" s="28"/>
      <c r="E190" s="30" t="str">
        <f>IFERROR(VLOOKUP(D190,KRX종목마스터!$A:$B,2,FALSE),"")</f>
        <v/>
      </c>
      <c r="F190" s="42"/>
      <c r="G190" s="42"/>
      <c r="H190" s="31" t="str">
        <f t="shared" si="6"/>
        <v/>
      </c>
      <c r="I190" s="43">
        <f ca="1">IFERROR(SUMPRODUCT((참고!$A$31:$A$130=C190)*(참고!$B$31:$B$130&lt;=A190)*(참고!$B$31:$B$130=_xludf.MAXIFS(참고!$B$31:$B$130,참고!$A$31:$A$130,C190,참고!$B$31:$B$130,"&lt;="&amp;A190))*참고!$C$31:$C$130)/100,0)</f>
        <v>0</v>
      </c>
      <c r="J190" s="31" t="str">
        <f t="shared" si="7"/>
        <v/>
      </c>
      <c r="K190" s="43">
        <f>IF(B190="매도",IFERROR(SUMPRODUCT((참고!$A$31:$A$130=C190)*(참고!$B$31:$B$130&lt;=A190)*(참고!$B$31:$B$130=_xludf.MAXIFS(참고!$B$31:$B$130,참고!$A$31:$A$130,C190,참고!$B$31:$B$130,"&lt;="&amp;A190))*참고!$D$31:$D$130)/100,0),0)</f>
        <v>0</v>
      </c>
      <c r="L190" s="31" t="str">
        <f t="shared" si="8"/>
        <v/>
      </c>
      <c r="M190" s="39"/>
    </row>
    <row r="191" spans="1:13" ht="18" customHeight="1" x14ac:dyDescent="0.45">
      <c r="A191" s="37"/>
      <c r="B191" s="29"/>
      <c r="C191" s="29"/>
      <c r="D191" s="28"/>
      <c r="E191" s="30" t="str">
        <f>IFERROR(VLOOKUP(D191,KRX종목마스터!$A:$B,2,FALSE),"")</f>
        <v/>
      </c>
      <c r="F191" s="42"/>
      <c r="G191" s="42"/>
      <c r="H191" s="31" t="str">
        <f t="shared" si="6"/>
        <v/>
      </c>
      <c r="I191" s="43">
        <f ca="1">IFERROR(SUMPRODUCT((참고!$A$31:$A$130=C191)*(참고!$B$31:$B$130&lt;=A191)*(참고!$B$31:$B$130=_xludf.MAXIFS(참고!$B$31:$B$130,참고!$A$31:$A$130,C191,참고!$B$31:$B$130,"&lt;="&amp;A191))*참고!$C$31:$C$130)/100,0)</f>
        <v>0</v>
      </c>
      <c r="J191" s="31" t="str">
        <f t="shared" si="7"/>
        <v/>
      </c>
      <c r="K191" s="43">
        <f>IF(B191="매도",IFERROR(SUMPRODUCT((참고!$A$31:$A$130=C191)*(참고!$B$31:$B$130&lt;=A191)*(참고!$B$31:$B$130=_xludf.MAXIFS(참고!$B$31:$B$130,참고!$A$31:$A$130,C191,참고!$B$31:$B$130,"&lt;="&amp;A191))*참고!$D$31:$D$130)/100,0),0)</f>
        <v>0</v>
      </c>
      <c r="L191" s="31" t="str">
        <f t="shared" si="8"/>
        <v/>
      </c>
      <c r="M191" s="39"/>
    </row>
    <row r="192" spans="1:13" ht="18" customHeight="1" x14ac:dyDescent="0.45">
      <c r="A192" s="37"/>
      <c r="B192" s="29"/>
      <c r="C192" s="29"/>
      <c r="D192" s="28"/>
      <c r="E192" s="30" t="str">
        <f>IFERROR(VLOOKUP(D192,KRX종목마스터!$A:$B,2,FALSE),"")</f>
        <v/>
      </c>
      <c r="F192" s="42"/>
      <c r="G192" s="42"/>
      <c r="H192" s="31" t="str">
        <f t="shared" si="6"/>
        <v/>
      </c>
      <c r="I192" s="43">
        <f ca="1">IFERROR(SUMPRODUCT((참고!$A$31:$A$130=C192)*(참고!$B$31:$B$130&lt;=A192)*(참고!$B$31:$B$130=_xludf.MAXIFS(참고!$B$31:$B$130,참고!$A$31:$A$130,C192,참고!$B$31:$B$130,"&lt;="&amp;A192))*참고!$C$31:$C$130)/100,0)</f>
        <v>0</v>
      </c>
      <c r="J192" s="31" t="str">
        <f t="shared" si="7"/>
        <v/>
      </c>
      <c r="K192" s="43">
        <f>IF(B192="매도",IFERROR(SUMPRODUCT((참고!$A$31:$A$130=C192)*(참고!$B$31:$B$130&lt;=A192)*(참고!$B$31:$B$130=_xludf.MAXIFS(참고!$B$31:$B$130,참고!$A$31:$A$130,C192,참고!$B$31:$B$130,"&lt;="&amp;A192))*참고!$D$31:$D$130)/100,0),0)</f>
        <v>0</v>
      </c>
      <c r="L192" s="31" t="str">
        <f t="shared" si="8"/>
        <v/>
      </c>
      <c r="M192" s="39"/>
    </row>
    <row r="193" spans="1:13" ht="18" customHeight="1" x14ac:dyDescent="0.45">
      <c r="A193" s="37"/>
      <c r="B193" s="29"/>
      <c r="C193" s="29"/>
      <c r="D193" s="28"/>
      <c r="E193" s="30" t="str">
        <f>IFERROR(VLOOKUP(D193,KRX종목마스터!$A:$B,2,FALSE),"")</f>
        <v/>
      </c>
      <c r="F193" s="42"/>
      <c r="G193" s="42"/>
      <c r="H193" s="31" t="str">
        <f t="shared" si="6"/>
        <v/>
      </c>
      <c r="I193" s="43">
        <f ca="1">IFERROR(SUMPRODUCT((참고!$A$31:$A$130=C193)*(참고!$B$31:$B$130&lt;=A193)*(참고!$B$31:$B$130=_xludf.MAXIFS(참고!$B$31:$B$130,참고!$A$31:$A$130,C193,참고!$B$31:$B$130,"&lt;="&amp;A193))*참고!$C$31:$C$130)/100,0)</f>
        <v>0</v>
      </c>
      <c r="J193" s="31" t="str">
        <f t="shared" si="7"/>
        <v/>
      </c>
      <c r="K193" s="43">
        <f>IF(B193="매도",IFERROR(SUMPRODUCT((참고!$A$31:$A$130=C193)*(참고!$B$31:$B$130&lt;=A193)*(참고!$B$31:$B$130=_xludf.MAXIFS(참고!$B$31:$B$130,참고!$A$31:$A$130,C193,참고!$B$31:$B$130,"&lt;="&amp;A193))*참고!$D$31:$D$130)/100,0),0)</f>
        <v>0</v>
      </c>
      <c r="L193" s="31" t="str">
        <f t="shared" si="8"/>
        <v/>
      </c>
      <c r="M193" s="39"/>
    </row>
    <row r="194" spans="1:13" ht="18" customHeight="1" x14ac:dyDescent="0.45">
      <c r="A194" s="37"/>
      <c r="B194" s="29"/>
      <c r="C194" s="29"/>
      <c r="D194" s="28"/>
      <c r="E194" s="30" t="str">
        <f>IFERROR(VLOOKUP(D194,KRX종목마스터!$A:$B,2,FALSE),"")</f>
        <v/>
      </c>
      <c r="F194" s="42"/>
      <c r="G194" s="42"/>
      <c r="H194" s="31" t="str">
        <f t="shared" si="6"/>
        <v/>
      </c>
      <c r="I194" s="43">
        <f ca="1">IFERROR(SUMPRODUCT((참고!$A$31:$A$130=C194)*(참고!$B$31:$B$130&lt;=A194)*(참고!$B$31:$B$130=_xludf.MAXIFS(참고!$B$31:$B$130,참고!$A$31:$A$130,C194,참고!$B$31:$B$130,"&lt;="&amp;A194))*참고!$C$31:$C$130)/100,0)</f>
        <v>0</v>
      </c>
      <c r="J194" s="31" t="str">
        <f t="shared" si="7"/>
        <v/>
      </c>
      <c r="K194" s="43">
        <f>IF(B194="매도",IFERROR(SUMPRODUCT((참고!$A$31:$A$130=C194)*(참고!$B$31:$B$130&lt;=A194)*(참고!$B$31:$B$130=_xludf.MAXIFS(참고!$B$31:$B$130,참고!$A$31:$A$130,C194,참고!$B$31:$B$130,"&lt;="&amp;A194))*참고!$D$31:$D$130)/100,0),0)</f>
        <v>0</v>
      </c>
      <c r="L194" s="31" t="str">
        <f t="shared" si="8"/>
        <v/>
      </c>
      <c r="M194" s="39"/>
    </row>
    <row r="195" spans="1:13" ht="18" customHeight="1" x14ac:dyDescent="0.45">
      <c r="A195" s="37"/>
      <c r="B195" s="29"/>
      <c r="C195" s="29"/>
      <c r="D195" s="28"/>
      <c r="E195" s="30" t="str">
        <f>IFERROR(VLOOKUP(D195,KRX종목마스터!$A:$B,2,FALSE),"")</f>
        <v/>
      </c>
      <c r="F195" s="42"/>
      <c r="G195" s="42"/>
      <c r="H195" s="31" t="str">
        <f t="shared" si="6"/>
        <v/>
      </c>
      <c r="I195" s="43">
        <f ca="1">IFERROR(SUMPRODUCT((참고!$A$31:$A$130=C195)*(참고!$B$31:$B$130&lt;=A195)*(참고!$B$31:$B$130=_xludf.MAXIFS(참고!$B$31:$B$130,참고!$A$31:$A$130,C195,참고!$B$31:$B$130,"&lt;="&amp;A195))*참고!$C$31:$C$130)/100,0)</f>
        <v>0</v>
      </c>
      <c r="J195" s="31" t="str">
        <f t="shared" si="7"/>
        <v/>
      </c>
      <c r="K195" s="43">
        <f>IF(B195="매도",IFERROR(SUMPRODUCT((참고!$A$31:$A$130=C195)*(참고!$B$31:$B$130&lt;=A195)*(참고!$B$31:$B$130=_xludf.MAXIFS(참고!$B$31:$B$130,참고!$A$31:$A$130,C195,참고!$B$31:$B$130,"&lt;="&amp;A195))*참고!$D$31:$D$130)/100,0),0)</f>
        <v>0</v>
      </c>
      <c r="L195" s="31" t="str">
        <f t="shared" si="8"/>
        <v/>
      </c>
      <c r="M195" s="39"/>
    </row>
    <row r="196" spans="1:13" ht="18" customHeight="1" x14ac:dyDescent="0.45">
      <c r="A196" s="37"/>
      <c r="B196" s="29"/>
      <c r="C196" s="29"/>
      <c r="D196" s="28"/>
      <c r="E196" s="30" t="str">
        <f>IFERROR(VLOOKUP(D196,KRX종목마스터!$A:$B,2,FALSE),"")</f>
        <v/>
      </c>
      <c r="F196" s="42"/>
      <c r="G196" s="42"/>
      <c r="H196" s="31" t="str">
        <f t="shared" si="6"/>
        <v/>
      </c>
      <c r="I196" s="43">
        <f ca="1">IFERROR(SUMPRODUCT((참고!$A$31:$A$130=C196)*(참고!$B$31:$B$130&lt;=A196)*(참고!$B$31:$B$130=_xludf.MAXIFS(참고!$B$31:$B$130,참고!$A$31:$A$130,C196,참고!$B$31:$B$130,"&lt;="&amp;A196))*참고!$C$31:$C$130)/100,0)</f>
        <v>0</v>
      </c>
      <c r="J196" s="31" t="str">
        <f t="shared" si="7"/>
        <v/>
      </c>
      <c r="K196" s="43">
        <f>IF(B196="매도",IFERROR(SUMPRODUCT((참고!$A$31:$A$130=C196)*(참고!$B$31:$B$130&lt;=A196)*(참고!$B$31:$B$130=_xludf.MAXIFS(참고!$B$31:$B$130,참고!$A$31:$A$130,C196,참고!$B$31:$B$130,"&lt;="&amp;A196))*참고!$D$31:$D$130)/100,0),0)</f>
        <v>0</v>
      </c>
      <c r="L196" s="31" t="str">
        <f t="shared" si="8"/>
        <v/>
      </c>
      <c r="M196" s="39"/>
    </row>
    <row r="197" spans="1:13" ht="18" customHeight="1" x14ac:dyDescent="0.45">
      <c r="A197" s="37"/>
      <c r="B197" s="29"/>
      <c r="C197" s="29"/>
      <c r="D197" s="28"/>
      <c r="E197" s="30" t="str">
        <f>IFERROR(VLOOKUP(D197,KRX종목마스터!$A:$B,2,FALSE),"")</f>
        <v/>
      </c>
      <c r="F197" s="42"/>
      <c r="G197" s="42"/>
      <c r="H197" s="31" t="str">
        <f t="shared" ref="H197:H260" si="9">IF(AND(F197&lt;&gt;"",G197&lt;&gt;""),F197*G197,"")</f>
        <v/>
      </c>
      <c r="I197" s="43">
        <f ca="1">IFERROR(SUMPRODUCT((참고!$A$31:$A$130=C197)*(참고!$B$31:$B$130&lt;=A197)*(참고!$B$31:$B$130=_xludf.MAXIFS(참고!$B$31:$B$130,참고!$A$31:$A$130,C197,참고!$B$31:$B$130,"&lt;="&amp;A197))*참고!$C$31:$C$130)/100,0)</f>
        <v>0</v>
      </c>
      <c r="J197" s="31" t="str">
        <f t="shared" ref="J197:J260" si="10">IF(H197="","",ROUND(H197*I197,0))</f>
        <v/>
      </c>
      <c r="K197" s="43">
        <f>IF(B197="매도",IFERROR(SUMPRODUCT((참고!$A$31:$A$130=C197)*(참고!$B$31:$B$130&lt;=A197)*(참고!$B$31:$B$130=_xludf.MAXIFS(참고!$B$31:$B$130,참고!$A$31:$A$130,C197,참고!$B$31:$B$130,"&lt;="&amp;A197))*참고!$D$31:$D$130)/100,0),0)</f>
        <v>0</v>
      </c>
      <c r="L197" s="31" t="str">
        <f t="shared" ref="L197:L260" si="11">IF(H197="","",ROUND(H197*K197,0))</f>
        <v/>
      </c>
      <c r="M197" s="39"/>
    </row>
    <row r="198" spans="1:13" ht="18" customHeight="1" x14ac:dyDescent="0.45">
      <c r="A198" s="37"/>
      <c r="B198" s="29"/>
      <c r="C198" s="29"/>
      <c r="D198" s="28"/>
      <c r="E198" s="30" t="str">
        <f>IFERROR(VLOOKUP(D198,KRX종목마스터!$A:$B,2,FALSE),"")</f>
        <v/>
      </c>
      <c r="F198" s="42"/>
      <c r="G198" s="42"/>
      <c r="H198" s="31" t="str">
        <f t="shared" si="9"/>
        <v/>
      </c>
      <c r="I198" s="43">
        <f ca="1">IFERROR(SUMPRODUCT((참고!$A$31:$A$130=C198)*(참고!$B$31:$B$130&lt;=A198)*(참고!$B$31:$B$130=_xludf.MAXIFS(참고!$B$31:$B$130,참고!$A$31:$A$130,C198,참고!$B$31:$B$130,"&lt;="&amp;A198))*참고!$C$31:$C$130)/100,0)</f>
        <v>0</v>
      </c>
      <c r="J198" s="31" t="str">
        <f t="shared" si="10"/>
        <v/>
      </c>
      <c r="K198" s="43">
        <f>IF(B198="매도",IFERROR(SUMPRODUCT((참고!$A$31:$A$130=C198)*(참고!$B$31:$B$130&lt;=A198)*(참고!$B$31:$B$130=_xludf.MAXIFS(참고!$B$31:$B$130,참고!$A$31:$A$130,C198,참고!$B$31:$B$130,"&lt;="&amp;A198))*참고!$D$31:$D$130)/100,0),0)</f>
        <v>0</v>
      </c>
      <c r="L198" s="31" t="str">
        <f t="shared" si="11"/>
        <v/>
      </c>
      <c r="M198" s="39"/>
    </row>
    <row r="199" spans="1:13" ht="18" customHeight="1" x14ac:dyDescent="0.45">
      <c r="A199" s="37"/>
      <c r="B199" s="29"/>
      <c r="C199" s="29"/>
      <c r="D199" s="28"/>
      <c r="E199" s="30" t="str">
        <f>IFERROR(VLOOKUP(D199,KRX종목마스터!$A:$B,2,FALSE),"")</f>
        <v/>
      </c>
      <c r="F199" s="42"/>
      <c r="G199" s="42"/>
      <c r="H199" s="31" t="str">
        <f t="shared" si="9"/>
        <v/>
      </c>
      <c r="I199" s="43">
        <f ca="1">IFERROR(SUMPRODUCT((참고!$A$31:$A$130=C199)*(참고!$B$31:$B$130&lt;=A199)*(참고!$B$31:$B$130=_xludf.MAXIFS(참고!$B$31:$B$130,참고!$A$31:$A$130,C199,참고!$B$31:$B$130,"&lt;="&amp;A199))*참고!$C$31:$C$130)/100,0)</f>
        <v>0</v>
      </c>
      <c r="J199" s="31" t="str">
        <f t="shared" si="10"/>
        <v/>
      </c>
      <c r="K199" s="43">
        <f>IF(B199="매도",IFERROR(SUMPRODUCT((참고!$A$31:$A$130=C199)*(참고!$B$31:$B$130&lt;=A199)*(참고!$B$31:$B$130=_xludf.MAXIFS(참고!$B$31:$B$130,참고!$A$31:$A$130,C199,참고!$B$31:$B$130,"&lt;="&amp;A199))*참고!$D$31:$D$130)/100,0),0)</f>
        <v>0</v>
      </c>
      <c r="L199" s="31" t="str">
        <f t="shared" si="11"/>
        <v/>
      </c>
      <c r="M199" s="39"/>
    </row>
    <row r="200" spans="1:13" ht="18" customHeight="1" x14ac:dyDescent="0.45">
      <c r="A200" s="37"/>
      <c r="B200" s="29"/>
      <c r="C200" s="29"/>
      <c r="D200" s="28"/>
      <c r="E200" s="30" t="str">
        <f>IFERROR(VLOOKUP(D200,KRX종목마스터!$A:$B,2,FALSE),"")</f>
        <v/>
      </c>
      <c r="F200" s="42"/>
      <c r="G200" s="42"/>
      <c r="H200" s="31" t="str">
        <f t="shared" si="9"/>
        <v/>
      </c>
      <c r="I200" s="43">
        <f ca="1">IFERROR(SUMPRODUCT((참고!$A$31:$A$130=C200)*(참고!$B$31:$B$130&lt;=A200)*(참고!$B$31:$B$130=_xludf.MAXIFS(참고!$B$31:$B$130,참고!$A$31:$A$130,C200,참고!$B$31:$B$130,"&lt;="&amp;A200))*참고!$C$31:$C$130)/100,0)</f>
        <v>0</v>
      </c>
      <c r="J200" s="31" t="str">
        <f t="shared" si="10"/>
        <v/>
      </c>
      <c r="K200" s="43">
        <f>IF(B200="매도",IFERROR(SUMPRODUCT((참고!$A$31:$A$130=C200)*(참고!$B$31:$B$130&lt;=A200)*(참고!$B$31:$B$130=_xludf.MAXIFS(참고!$B$31:$B$130,참고!$A$31:$A$130,C200,참고!$B$31:$B$130,"&lt;="&amp;A200))*참고!$D$31:$D$130)/100,0),0)</f>
        <v>0</v>
      </c>
      <c r="L200" s="31" t="str">
        <f t="shared" si="11"/>
        <v/>
      </c>
      <c r="M200" s="39"/>
    </row>
    <row r="201" spans="1:13" ht="18" customHeight="1" x14ac:dyDescent="0.45">
      <c r="A201" s="37"/>
      <c r="B201" s="29"/>
      <c r="C201" s="29"/>
      <c r="D201" s="28"/>
      <c r="E201" s="30" t="str">
        <f>IFERROR(VLOOKUP(D201,KRX종목마스터!$A:$B,2,FALSE),"")</f>
        <v/>
      </c>
      <c r="F201" s="42"/>
      <c r="G201" s="42"/>
      <c r="H201" s="31" t="str">
        <f t="shared" si="9"/>
        <v/>
      </c>
      <c r="I201" s="43">
        <f ca="1">IFERROR(SUMPRODUCT((참고!$A$31:$A$130=C201)*(참고!$B$31:$B$130&lt;=A201)*(참고!$B$31:$B$130=_xludf.MAXIFS(참고!$B$31:$B$130,참고!$A$31:$A$130,C201,참고!$B$31:$B$130,"&lt;="&amp;A201))*참고!$C$31:$C$130)/100,0)</f>
        <v>0</v>
      </c>
      <c r="J201" s="31" t="str">
        <f t="shared" si="10"/>
        <v/>
      </c>
      <c r="K201" s="43">
        <f>IF(B201="매도",IFERROR(SUMPRODUCT((참고!$A$31:$A$130=C201)*(참고!$B$31:$B$130&lt;=A201)*(참고!$B$31:$B$130=_xludf.MAXIFS(참고!$B$31:$B$130,참고!$A$31:$A$130,C201,참고!$B$31:$B$130,"&lt;="&amp;A201))*참고!$D$31:$D$130)/100,0),0)</f>
        <v>0</v>
      </c>
      <c r="L201" s="31" t="str">
        <f t="shared" si="11"/>
        <v/>
      </c>
      <c r="M201" s="39"/>
    </row>
    <row r="202" spans="1:13" ht="18" customHeight="1" x14ac:dyDescent="0.45">
      <c r="A202" s="37"/>
      <c r="B202" s="29"/>
      <c r="C202" s="29"/>
      <c r="D202" s="28"/>
      <c r="E202" s="30" t="str">
        <f>IFERROR(VLOOKUP(D202,KRX종목마스터!$A:$B,2,FALSE),"")</f>
        <v/>
      </c>
      <c r="F202" s="42"/>
      <c r="G202" s="42"/>
      <c r="H202" s="31" t="str">
        <f t="shared" si="9"/>
        <v/>
      </c>
      <c r="I202" s="43">
        <f ca="1">IFERROR(SUMPRODUCT((참고!$A$31:$A$130=C202)*(참고!$B$31:$B$130&lt;=A202)*(참고!$B$31:$B$130=_xludf.MAXIFS(참고!$B$31:$B$130,참고!$A$31:$A$130,C202,참고!$B$31:$B$130,"&lt;="&amp;A202))*참고!$C$31:$C$130)/100,0)</f>
        <v>0</v>
      </c>
      <c r="J202" s="31" t="str">
        <f t="shared" si="10"/>
        <v/>
      </c>
      <c r="K202" s="43">
        <f>IF(B202="매도",IFERROR(SUMPRODUCT((참고!$A$31:$A$130=C202)*(참고!$B$31:$B$130&lt;=A202)*(참고!$B$31:$B$130=_xludf.MAXIFS(참고!$B$31:$B$130,참고!$A$31:$A$130,C202,참고!$B$31:$B$130,"&lt;="&amp;A202))*참고!$D$31:$D$130)/100,0),0)</f>
        <v>0</v>
      </c>
      <c r="L202" s="31" t="str">
        <f t="shared" si="11"/>
        <v/>
      </c>
      <c r="M202" s="39"/>
    </row>
    <row r="203" spans="1:13" ht="18" customHeight="1" x14ac:dyDescent="0.45">
      <c r="A203" s="37"/>
      <c r="B203" s="29"/>
      <c r="C203" s="29"/>
      <c r="D203" s="28"/>
      <c r="E203" s="30" t="str">
        <f>IFERROR(VLOOKUP(D203,KRX종목마스터!$A:$B,2,FALSE),"")</f>
        <v/>
      </c>
      <c r="F203" s="42"/>
      <c r="G203" s="42"/>
      <c r="H203" s="31" t="str">
        <f t="shared" si="9"/>
        <v/>
      </c>
      <c r="I203" s="43">
        <f ca="1">IFERROR(SUMPRODUCT((참고!$A$31:$A$130=C203)*(참고!$B$31:$B$130&lt;=A203)*(참고!$B$31:$B$130=_xludf.MAXIFS(참고!$B$31:$B$130,참고!$A$31:$A$130,C203,참고!$B$31:$B$130,"&lt;="&amp;A203))*참고!$C$31:$C$130)/100,0)</f>
        <v>0</v>
      </c>
      <c r="J203" s="31" t="str">
        <f t="shared" si="10"/>
        <v/>
      </c>
      <c r="K203" s="43">
        <f>IF(B203="매도",IFERROR(SUMPRODUCT((참고!$A$31:$A$130=C203)*(참고!$B$31:$B$130&lt;=A203)*(참고!$B$31:$B$130=_xludf.MAXIFS(참고!$B$31:$B$130,참고!$A$31:$A$130,C203,참고!$B$31:$B$130,"&lt;="&amp;A203))*참고!$D$31:$D$130)/100,0),0)</f>
        <v>0</v>
      </c>
      <c r="L203" s="31" t="str">
        <f t="shared" si="11"/>
        <v/>
      </c>
      <c r="M203" s="39"/>
    </row>
    <row r="204" spans="1:13" ht="18" customHeight="1" x14ac:dyDescent="0.45">
      <c r="A204" s="37"/>
      <c r="B204" s="29"/>
      <c r="C204" s="29"/>
      <c r="D204" s="28"/>
      <c r="E204" s="30" t="str">
        <f>IFERROR(VLOOKUP(D204,KRX종목마스터!$A:$B,2,FALSE),"")</f>
        <v/>
      </c>
      <c r="F204" s="42"/>
      <c r="G204" s="42"/>
      <c r="H204" s="31" t="str">
        <f t="shared" si="9"/>
        <v/>
      </c>
      <c r="I204" s="43">
        <f ca="1">IFERROR(SUMPRODUCT((참고!$A$31:$A$130=C204)*(참고!$B$31:$B$130&lt;=A204)*(참고!$B$31:$B$130=_xludf.MAXIFS(참고!$B$31:$B$130,참고!$A$31:$A$130,C204,참고!$B$31:$B$130,"&lt;="&amp;A204))*참고!$C$31:$C$130)/100,0)</f>
        <v>0</v>
      </c>
      <c r="J204" s="31" t="str">
        <f t="shared" si="10"/>
        <v/>
      </c>
      <c r="K204" s="43">
        <f>IF(B204="매도",IFERROR(SUMPRODUCT((참고!$A$31:$A$130=C204)*(참고!$B$31:$B$130&lt;=A204)*(참고!$B$31:$B$130=_xludf.MAXIFS(참고!$B$31:$B$130,참고!$A$31:$A$130,C204,참고!$B$31:$B$130,"&lt;="&amp;A204))*참고!$D$31:$D$130)/100,0),0)</f>
        <v>0</v>
      </c>
      <c r="L204" s="31" t="str">
        <f t="shared" si="11"/>
        <v/>
      </c>
      <c r="M204" s="39"/>
    </row>
    <row r="205" spans="1:13" ht="18" customHeight="1" x14ac:dyDescent="0.45">
      <c r="A205" s="37"/>
      <c r="B205" s="29"/>
      <c r="C205" s="29"/>
      <c r="D205" s="28"/>
      <c r="E205" s="30" t="str">
        <f>IFERROR(VLOOKUP(D205,KRX종목마스터!$A:$B,2,FALSE),"")</f>
        <v/>
      </c>
      <c r="F205" s="42"/>
      <c r="G205" s="42"/>
      <c r="H205" s="31" t="str">
        <f t="shared" si="9"/>
        <v/>
      </c>
      <c r="I205" s="43">
        <f ca="1">IFERROR(SUMPRODUCT((참고!$A$31:$A$130=C205)*(참고!$B$31:$B$130&lt;=A205)*(참고!$B$31:$B$130=_xludf.MAXIFS(참고!$B$31:$B$130,참고!$A$31:$A$130,C205,참고!$B$31:$B$130,"&lt;="&amp;A205))*참고!$C$31:$C$130)/100,0)</f>
        <v>0</v>
      </c>
      <c r="J205" s="31" t="str">
        <f t="shared" si="10"/>
        <v/>
      </c>
      <c r="K205" s="43">
        <f>IF(B205="매도",IFERROR(SUMPRODUCT((참고!$A$31:$A$130=C205)*(참고!$B$31:$B$130&lt;=A205)*(참고!$B$31:$B$130=_xludf.MAXIFS(참고!$B$31:$B$130,참고!$A$31:$A$130,C205,참고!$B$31:$B$130,"&lt;="&amp;A205))*참고!$D$31:$D$130)/100,0),0)</f>
        <v>0</v>
      </c>
      <c r="L205" s="31" t="str">
        <f t="shared" si="11"/>
        <v/>
      </c>
      <c r="M205" s="39"/>
    </row>
    <row r="206" spans="1:13" ht="18" customHeight="1" x14ac:dyDescent="0.45">
      <c r="A206" s="37"/>
      <c r="B206" s="29"/>
      <c r="C206" s="29"/>
      <c r="D206" s="28"/>
      <c r="E206" s="30" t="str">
        <f>IFERROR(VLOOKUP(D206,KRX종목마스터!$A:$B,2,FALSE),"")</f>
        <v/>
      </c>
      <c r="F206" s="42"/>
      <c r="G206" s="42"/>
      <c r="H206" s="31" t="str">
        <f t="shared" si="9"/>
        <v/>
      </c>
      <c r="I206" s="43">
        <f ca="1">IFERROR(SUMPRODUCT((참고!$A$31:$A$130=C206)*(참고!$B$31:$B$130&lt;=A206)*(참고!$B$31:$B$130=_xludf.MAXIFS(참고!$B$31:$B$130,참고!$A$31:$A$130,C206,참고!$B$31:$B$130,"&lt;="&amp;A206))*참고!$C$31:$C$130)/100,0)</f>
        <v>0</v>
      </c>
      <c r="J206" s="31" t="str">
        <f t="shared" si="10"/>
        <v/>
      </c>
      <c r="K206" s="43">
        <f>IF(B206="매도",IFERROR(SUMPRODUCT((참고!$A$31:$A$130=C206)*(참고!$B$31:$B$130&lt;=A206)*(참고!$B$31:$B$130=_xludf.MAXIFS(참고!$B$31:$B$130,참고!$A$31:$A$130,C206,참고!$B$31:$B$130,"&lt;="&amp;A206))*참고!$D$31:$D$130)/100,0),0)</f>
        <v>0</v>
      </c>
      <c r="L206" s="31" t="str">
        <f t="shared" si="11"/>
        <v/>
      </c>
      <c r="M206" s="39"/>
    </row>
    <row r="207" spans="1:13" ht="18" customHeight="1" x14ac:dyDescent="0.45">
      <c r="A207" s="37"/>
      <c r="B207" s="29"/>
      <c r="C207" s="29"/>
      <c r="D207" s="28"/>
      <c r="E207" s="30" t="str">
        <f>IFERROR(VLOOKUP(D207,KRX종목마스터!$A:$B,2,FALSE),"")</f>
        <v/>
      </c>
      <c r="F207" s="42"/>
      <c r="G207" s="42"/>
      <c r="H207" s="31" t="str">
        <f t="shared" si="9"/>
        <v/>
      </c>
      <c r="I207" s="43">
        <f ca="1">IFERROR(SUMPRODUCT((참고!$A$31:$A$130=C207)*(참고!$B$31:$B$130&lt;=A207)*(참고!$B$31:$B$130=_xludf.MAXIFS(참고!$B$31:$B$130,참고!$A$31:$A$130,C207,참고!$B$31:$B$130,"&lt;="&amp;A207))*참고!$C$31:$C$130)/100,0)</f>
        <v>0</v>
      </c>
      <c r="J207" s="31" t="str">
        <f t="shared" si="10"/>
        <v/>
      </c>
      <c r="K207" s="43">
        <f>IF(B207="매도",IFERROR(SUMPRODUCT((참고!$A$31:$A$130=C207)*(참고!$B$31:$B$130&lt;=A207)*(참고!$B$31:$B$130=_xludf.MAXIFS(참고!$B$31:$B$130,참고!$A$31:$A$130,C207,참고!$B$31:$B$130,"&lt;="&amp;A207))*참고!$D$31:$D$130)/100,0),0)</f>
        <v>0</v>
      </c>
      <c r="L207" s="31" t="str">
        <f t="shared" si="11"/>
        <v/>
      </c>
      <c r="M207" s="39"/>
    </row>
    <row r="208" spans="1:13" ht="18" customHeight="1" x14ac:dyDescent="0.45">
      <c r="A208" s="37"/>
      <c r="B208" s="29"/>
      <c r="C208" s="29"/>
      <c r="D208" s="28"/>
      <c r="E208" s="30" t="str">
        <f>IFERROR(VLOOKUP(D208,KRX종목마스터!$A:$B,2,FALSE),"")</f>
        <v/>
      </c>
      <c r="F208" s="42"/>
      <c r="G208" s="42"/>
      <c r="H208" s="31" t="str">
        <f t="shared" si="9"/>
        <v/>
      </c>
      <c r="I208" s="43">
        <f ca="1">IFERROR(SUMPRODUCT((참고!$A$31:$A$130=C208)*(참고!$B$31:$B$130&lt;=A208)*(참고!$B$31:$B$130=_xludf.MAXIFS(참고!$B$31:$B$130,참고!$A$31:$A$130,C208,참고!$B$31:$B$130,"&lt;="&amp;A208))*참고!$C$31:$C$130)/100,0)</f>
        <v>0</v>
      </c>
      <c r="J208" s="31" t="str">
        <f t="shared" si="10"/>
        <v/>
      </c>
      <c r="K208" s="43">
        <f>IF(B208="매도",IFERROR(SUMPRODUCT((참고!$A$31:$A$130=C208)*(참고!$B$31:$B$130&lt;=A208)*(참고!$B$31:$B$130=_xludf.MAXIFS(참고!$B$31:$B$130,참고!$A$31:$A$130,C208,참고!$B$31:$B$130,"&lt;="&amp;A208))*참고!$D$31:$D$130)/100,0),0)</f>
        <v>0</v>
      </c>
      <c r="L208" s="31" t="str">
        <f t="shared" si="11"/>
        <v/>
      </c>
      <c r="M208" s="39"/>
    </row>
    <row r="209" spans="1:13" ht="18" customHeight="1" x14ac:dyDescent="0.45">
      <c r="A209" s="37"/>
      <c r="B209" s="29"/>
      <c r="C209" s="29"/>
      <c r="D209" s="28"/>
      <c r="E209" s="30" t="str">
        <f>IFERROR(VLOOKUP(D209,KRX종목마스터!$A:$B,2,FALSE),"")</f>
        <v/>
      </c>
      <c r="F209" s="42"/>
      <c r="G209" s="42"/>
      <c r="H209" s="31" t="str">
        <f t="shared" si="9"/>
        <v/>
      </c>
      <c r="I209" s="43">
        <f ca="1">IFERROR(SUMPRODUCT((참고!$A$31:$A$130=C209)*(참고!$B$31:$B$130&lt;=A209)*(참고!$B$31:$B$130=_xludf.MAXIFS(참고!$B$31:$B$130,참고!$A$31:$A$130,C209,참고!$B$31:$B$130,"&lt;="&amp;A209))*참고!$C$31:$C$130)/100,0)</f>
        <v>0</v>
      </c>
      <c r="J209" s="31" t="str">
        <f t="shared" si="10"/>
        <v/>
      </c>
      <c r="K209" s="43">
        <f>IF(B209="매도",IFERROR(SUMPRODUCT((참고!$A$31:$A$130=C209)*(참고!$B$31:$B$130&lt;=A209)*(참고!$B$31:$B$130=_xludf.MAXIFS(참고!$B$31:$B$130,참고!$A$31:$A$130,C209,참고!$B$31:$B$130,"&lt;="&amp;A209))*참고!$D$31:$D$130)/100,0),0)</f>
        <v>0</v>
      </c>
      <c r="L209" s="31" t="str">
        <f t="shared" si="11"/>
        <v/>
      </c>
      <c r="M209" s="39"/>
    </row>
    <row r="210" spans="1:13" ht="18" customHeight="1" x14ac:dyDescent="0.45">
      <c r="A210" s="37"/>
      <c r="B210" s="29"/>
      <c r="C210" s="29"/>
      <c r="D210" s="28"/>
      <c r="E210" s="30" t="str">
        <f>IFERROR(VLOOKUP(D210,KRX종목마스터!$A:$B,2,FALSE),"")</f>
        <v/>
      </c>
      <c r="F210" s="42"/>
      <c r="G210" s="42"/>
      <c r="H210" s="31" t="str">
        <f t="shared" si="9"/>
        <v/>
      </c>
      <c r="I210" s="43">
        <f ca="1">IFERROR(SUMPRODUCT((참고!$A$31:$A$130=C210)*(참고!$B$31:$B$130&lt;=A210)*(참고!$B$31:$B$130=_xludf.MAXIFS(참고!$B$31:$B$130,참고!$A$31:$A$130,C210,참고!$B$31:$B$130,"&lt;="&amp;A210))*참고!$C$31:$C$130)/100,0)</f>
        <v>0</v>
      </c>
      <c r="J210" s="31" t="str">
        <f t="shared" si="10"/>
        <v/>
      </c>
      <c r="K210" s="43">
        <f>IF(B210="매도",IFERROR(SUMPRODUCT((참고!$A$31:$A$130=C210)*(참고!$B$31:$B$130&lt;=A210)*(참고!$B$31:$B$130=_xludf.MAXIFS(참고!$B$31:$B$130,참고!$A$31:$A$130,C210,참고!$B$31:$B$130,"&lt;="&amp;A210))*참고!$D$31:$D$130)/100,0),0)</f>
        <v>0</v>
      </c>
      <c r="L210" s="31" t="str">
        <f t="shared" si="11"/>
        <v/>
      </c>
      <c r="M210" s="39"/>
    </row>
    <row r="211" spans="1:13" ht="18" customHeight="1" x14ac:dyDescent="0.45">
      <c r="A211" s="37"/>
      <c r="B211" s="29"/>
      <c r="C211" s="29"/>
      <c r="D211" s="28"/>
      <c r="E211" s="30" t="str">
        <f>IFERROR(VLOOKUP(D211,KRX종목마스터!$A:$B,2,FALSE),"")</f>
        <v/>
      </c>
      <c r="F211" s="42"/>
      <c r="G211" s="42"/>
      <c r="H211" s="31" t="str">
        <f t="shared" si="9"/>
        <v/>
      </c>
      <c r="I211" s="43">
        <f ca="1">IFERROR(SUMPRODUCT((참고!$A$31:$A$130=C211)*(참고!$B$31:$B$130&lt;=A211)*(참고!$B$31:$B$130=_xludf.MAXIFS(참고!$B$31:$B$130,참고!$A$31:$A$130,C211,참고!$B$31:$B$130,"&lt;="&amp;A211))*참고!$C$31:$C$130)/100,0)</f>
        <v>0</v>
      </c>
      <c r="J211" s="31" t="str">
        <f t="shared" si="10"/>
        <v/>
      </c>
      <c r="K211" s="43">
        <f>IF(B211="매도",IFERROR(SUMPRODUCT((참고!$A$31:$A$130=C211)*(참고!$B$31:$B$130&lt;=A211)*(참고!$B$31:$B$130=_xludf.MAXIFS(참고!$B$31:$B$130,참고!$A$31:$A$130,C211,참고!$B$31:$B$130,"&lt;="&amp;A211))*참고!$D$31:$D$130)/100,0),0)</f>
        <v>0</v>
      </c>
      <c r="L211" s="31" t="str">
        <f t="shared" si="11"/>
        <v/>
      </c>
      <c r="M211" s="39"/>
    </row>
    <row r="212" spans="1:13" ht="18" customHeight="1" x14ac:dyDescent="0.45">
      <c r="A212" s="37"/>
      <c r="B212" s="29"/>
      <c r="C212" s="29"/>
      <c r="D212" s="28"/>
      <c r="E212" s="30" t="str">
        <f>IFERROR(VLOOKUP(D212,KRX종목마스터!$A:$B,2,FALSE),"")</f>
        <v/>
      </c>
      <c r="F212" s="42"/>
      <c r="G212" s="42"/>
      <c r="H212" s="31" t="str">
        <f t="shared" si="9"/>
        <v/>
      </c>
      <c r="I212" s="43">
        <f ca="1">IFERROR(SUMPRODUCT((참고!$A$31:$A$130=C212)*(참고!$B$31:$B$130&lt;=A212)*(참고!$B$31:$B$130=_xludf.MAXIFS(참고!$B$31:$B$130,참고!$A$31:$A$130,C212,참고!$B$31:$B$130,"&lt;="&amp;A212))*참고!$C$31:$C$130)/100,0)</f>
        <v>0</v>
      </c>
      <c r="J212" s="31" t="str">
        <f t="shared" si="10"/>
        <v/>
      </c>
      <c r="K212" s="43">
        <f>IF(B212="매도",IFERROR(SUMPRODUCT((참고!$A$31:$A$130=C212)*(참고!$B$31:$B$130&lt;=A212)*(참고!$B$31:$B$130=_xludf.MAXIFS(참고!$B$31:$B$130,참고!$A$31:$A$130,C212,참고!$B$31:$B$130,"&lt;="&amp;A212))*참고!$D$31:$D$130)/100,0),0)</f>
        <v>0</v>
      </c>
      <c r="L212" s="31" t="str">
        <f t="shared" si="11"/>
        <v/>
      </c>
      <c r="M212" s="39"/>
    </row>
    <row r="213" spans="1:13" ht="18" customHeight="1" x14ac:dyDescent="0.45">
      <c r="A213" s="37"/>
      <c r="B213" s="29"/>
      <c r="C213" s="29"/>
      <c r="D213" s="28"/>
      <c r="E213" s="30" t="str">
        <f>IFERROR(VLOOKUP(D213,KRX종목마스터!$A:$B,2,FALSE),"")</f>
        <v/>
      </c>
      <c r="F213" s="42"/>
      <c r="G213" s="42"/>
      <c r="H213" s="31" t="str">
        <f t="shared" si="9"/>
        <v/>
      </c>
      <c r="I213" s="43">
        <f ca="1">IFERROR(SUMPRODUCT((참고!$A$31:$A$130=C213)*(참고!$B$31:$B$130&lt;=A213)*(참고!$B$31:$B$130=_xludf.MAXIFS(참고!$B$31:$B$130,참고!$A$31:$A$130,C213,참고!$B$31:$B$130,"&lt;="&amp;A213))*참고!$C$31:$C$130)/100,0)</f>
        <v>0</v>
      </c>
      <c r="J213" s="31" t="str">
        <f t="shared" si="10"/>
        <v/>
      </c>
      <c r="K213" s="43">
        <f>IF(B213="매도",IFERROR(SUMPRODUCT((참고!$A$31:$A$130=C213)*(참고!$B$31:$B$130&lt;=A213)*(참고!$B$31:$B$130=_xludf.MAXIFS(참고!$B$31:$B$130,참고!$A$31:$A$130,C213,참고!$B$31:$B$130,"&lt;="&amp;A213))*참고!$D$31:$D$130)/100,0),0)</f>
        <v>0</v>
      </c>
      <c r="L213" s="31" t="str">
        <f t="shared" si="11"/>
        <v/>
      </c>
      <c r="M213" s="39"/>
    </row>
    <row r="214" spans="1:13" ht="18" customHeight="1" x14ac:dyDescent="0.45">
      <c r="A214" s="37"/>
      <c r="B214" s="29"/>
      <c r="C214" s="29"/>
      <c r="D214" s="28"/>
      <c r="E214" s="30" t="str">
        <f>IFERROR(VLOOKUP(D214,KRX종목마스터!$A:$B,2,FALSE),"")</f>
        <v/>
      </c>
      <c r="F214" s="42"/>
      <c r="G214" s="42"/>
      <c r="H214" s="31" t="str">
        <f t="shared" si="9"/>
        <v/>
      </c>
      <c r="I214" s="43">
        <f ca="1">IFERROR(SUMPRODUCT((참고!$A$31:$A$130=C214)*(참고!$B$31:$B$130&lt;=A214)*(참고!$B$31:$B$130=_xludf.MAXIFS(참고!$B$31:$B$130,참고!$A$31:$A$130,C214,참고!$B$31:$B$130,"&lt;="&amp;A214))*참고!$C$31:$C$130)/100,0)</f>
        <v>0</v>
      </c>
      <c r="J214" s="31" t="str">
        <f t="shared" si="10"/>
        <v/>
      </c>
      <c r="K214" s="43">
        <f>IF(B214="매도",IFERROR(SUMPRODUCT((참고!$A$31:$A$130=C214)*(참고!$B$31:$B$130&lt;=A214)*(참고!$B$31:$B$130=_xludf.MAXIFS(참고!$B$31:$B$130,참고!$A$31:$A$130,C214,참고!$B$31:$B$130,"&lt;="&amp;A214))*참고!$D$31:$D$130)/100,0),0)</f>
        <v>0</v>
      </c>
      <c r="L214" s="31" t="str">
        <f t="shared" si="11"/>
        <v/>
      </c>
      <c r="M214" s="39"/>
    </row>
    <row r="215" spans="1:13" ht="18" customHeight="1" x14ac:dyDescent="0.45">
      <c r="A215" s="37"/>
      <c r="B215" s="29"/>
      <c r="C215" s="29"/>
      <c r="D215" s="28"/>
      <c r="E215" s="30" t="str">
        <f>IFERROR(VLOOKUP(D215,KRX종목마스터!$A:$B,2,FALSE),"")</f>
        <v/>
      </c>
      <c r="F215" s="42"/>
      <c r="G215" s="42"/>
      <c r="H215" s="31" t="str">
        <f t="shared" si="9"/>
        <v/>
      </c>
      <c r="I215" s="43">
        <f ca="1">IFERROR(SUMPRODUCT((참고!$A$31:$A$130=C215)*(참고!$B$31:$B$130&lt;=A215)*(참고!$B$31:$B$130=_xludf.MAXIFS(참고!$B$31:$B$130,참고!$A$31:$A$130,C215,참고!$B$31:$B$130,"&lt;="&amp;A215))*참고!$C$31:$C$130)/100,0)</f>
        <v>0</v>
      </c>
      <c r="J215" s="31" t="str">
        <f t="shared" si="10"/>
        <v/>
      </c>
      <c r="K215" s="43">
        <f>IF(B215="매도",IFERROR(SUMPRODUCT((참고!$A$31:$A$130=C215)*(참고!$B$31:$B$130&lt;=A215)*(참고!$B$31:$B$130=_xludf.MAXIFS(참고!$B$31:$B$130,참고!$A$31:$A$130,C215,참고!$B$31:$B$130,"&lt;="&amp;A215))*참고!$D$31:$D$130)/100,0),0)</f>
        <v>0</v>
      </c>
      <c r="L215" s="31" t="str">
        <f t="shared" si="11"/>
        <v/>
      </c>
      <c r="M215" s="39"/>
    </row>
    <row r="216" spans="1:13" ht="18" customHeight="1" x14ac:dyDescent="0.45">
      <c r="A216" s="37"/>
      <c r="B216" s="29"/>
      <c r="C216" s="29"/>
      <c r="D216" s="28"/>
      <c r="E216" s="30" t="str">
        <f>IFERROR(VLOOKUP(D216,KRX종목마스터!$A:$B,2,FALSE),"")</f>
        <v/>
      </c>
      <c r="F216" s="42"/>
      <c r="G216" s="42"/>
      <c r="H216" s="31" t="str">
        <f t="shared" si="9"/>
        <v/>
      </c>
      <c r="I216" s="43">
        <f ca="1">IFERROR(SUMPRODUCT((참고!$A$31:$A$130=C216)*(참고!$B$31:$B$130&lt;=A216)*(참고!$B$31:$B$130=_xludf.MAXIFS(참고!$B$31:$B$130,참고!$A$31:$A$130,C216,참고!$B$31:$B$130,"&lt;="&amp;A216))*참고!$C$31:$C$130)/100,0)</f>
        <v>0</v>
      </c>
      <c r="J216" s="31" t="str">
        <f t="shared" si="10"/>
        <v/>
      </c>
      <c r="K216" s="43">
        <f>IF(B216="매도",IFERROR(SUMPRODUCT((참고!$A$31:$A$130=C216)*(참고!$B$31:$B$130&lt;=A216)*(참고!$B$31:$B$130=_xludf.MAXIFS(참고!$B$31:$B$130,참고!$A$31:$A$130,C216,참고!$B$31:$B$130,"&lt;="&amp;A216))*참고!$D$31:$D$130)/100,0),0)</f>
        <v>0</v>
      </c>
      <c r="L216" s="31" t="str">
        <f t="shared" si="11"/>
        <v/>
      </c>
      <c r="M216" s="39"/>
    </row>
    <row r="217" spans="1:13" ht="18" customHeight="1" x14ac:dyDescent="0.45">
      <c r="A217" s="37"/>
      <c r="B217" s="29"/>
      <c r="C217" s="29"/>
      <c r="D217" s="28"/>
      <c r="E217" s="30" t="str">
        <f>IFERROR(VLOOKUP(D217,KRX종목마스터!$A:$B,2,FALSE),"")</f>
        <v/>
      </c>
      <c r="F217" s="42"/>
      <c r="G217" s="42"/>
      <c r="H217" s="31" t="str">
        <f t="shared" si="9"/>
        <v/>
      </c>
      <c r="I217" s="43">
        <f ca="1">IFERROR(SUMPRODUCT((참고!$A$31:$A$130=C217)*(참고!$B$31:$B$130&lt;=A217)*(참고!$B$31:$B$130=_xludf.MAXIFS(참고!$B$31:$B$130,참고!$A$31:$A$130,C217,참고!$B$31:$B$130,"&lt;="&amp;A217))*참고!$C$31:$C$130)/100,0)</f>
        <v>0</v>
      </c>
      <c r="J217" s="31" t="str">
        <f t="shared" si="10"/>
        <v/>
      </c>
      <c r="K217" s="43">
        <f>IF(B217="매도",IFERROR(SUMPRODUCT((참고!$A$31:$A$130=C217)*(참고!$B$31:$B$130&lt;=A217)*(참고!$B$31:$B$130=_xludf.MAXIFS(참고!$B$31:$B$130,참고!$A$31:$A$130,C217,참고!$B$31:$B$130,"&lt;="&amp;A217))*참고!$D$31:$D$130)/100,0),0)</f>
        <v>0</v>
      </c>
      <c r="L217" s="31" t="str">
        <f t="shared" si="11"/>
        <v/>
      </c>
      <c r="M217" s="39"/>
    </row>
    <row r="218" spans="1:13" ht="18" customHeight="1" x14ac:dyDescent="0.45">
      <c r="A218" s="37"/>
      <c r="B218" s="29"/>
      <c r="C218" s="29"/>
      <c r="D218" s="28"/>
      <c r="E218" s="30" t="str">
        <f>IFERROR(VLOOKUP(D218,KRX종목마스터!$A:$B,2,FALSE),"")</f>
        <v/>
      </c>
      <c r="F218" s="42"/>
      <c r="G218" s="42"/>
      <c r="H218" s="31" t="str">
        <f t="shared" si="9"/>
        <v/>
      </c>
      <c r="I218" s="43">
        <f ca="1">IFERROR(SUMPRODUCT((참고!$A$31:$A$130=C218)*(참고!$B$31:$B$130&lt;=A218)*(참고!$B$31:$B$130=_xludf.MAXIFS(참고!$B$31:$B$130,참고!$A$31:$A$130,C218,참고!$B$31:$B$130,"&lt;="&amp;A218))*참고!$C$31:$C$130)/100,0)</f>
        <v>0</v>
      </c>
      <c r="J218" s="31" t="str">
        <f t="shared" si="10"/>
        <v/>
      </c>
      <c r="K218" s="43">
        <f>IF(B218="매도",IFERROR(SUMPRODUCT((참고!$A$31:$A$130=C218)*(참고!$B$31:$B$130&lt;=A218)*(참고!$B$31:$B$130=_xludf.MAXIFS(참고!$B$31:$B$130,참고!$A$31:$A$130,C218,참고!$B$31:$B$130,"&lt;="&amp;A218))*참고!$D$31:$D$130)/100,0),0)</f>
        <v>0</v>
      </c>
      <c r="L218" s="31" t="str">
        <f t="shared" si="11"/>
        <v/>
      </c>
      <c r="M218" s="39"/>
    </row>
    <row r="219" spans="1:13" ht="18" customHeight="1" x14ac:dyDescent="0.45">
      <c r="A219" s="37"/>
      <c r="B219" s="29"/>
      <c r="C219" s="29"/>
      <c r="D219" s="28"/>
      <c r="E219" s="30" t="str">
        <f>IFERROR(VLOOKUP(D219,KRX종목마스터!$A:$B,2,FALSE),"")</f>
        <v/>
      </c>
      <c r="F219" s="42"/>
      <c r="G219" s="42"/>
      <c r="H219" s="31" t="str">
        <f t="shared" si="9"/>
        <v/>
      </c>
      <c r="I219" s="43">
        <f ca="1">IFERROR(SUMPRODUCT((참고!$A$31:$A$130=C219)*(참고!$B$31:$B$130&lt;=A219)*(참고!$B$31:$B$130=_xludf.MAXIFS(참고!$B$31:$B$130,참고!$A$31:$A$130,C219,참고!$B$31:$B$130,"&lt;="&amp;A219))*참고!$C$31:$C$130)/100,0)</f>
        <v>0</v>
      </c>
      <c r="J219" s="31" t="str">
        <f t="shared" si="10"/>
        <v/>
      </c>
      <c r="K219" s="43">
        <f>IF(B219="매도",IFERROR(SUMPRODUCT((참고!$A$31:$A$130=C219)*(참고!$B$31:$B$130&lt;=A219)*(참고!$B$31:$B$130=_xludf.MAXIFS(참고!$B$31:$B$130,참고!$A$31:$A$130,C219,참고!$B$31:$B$130,"&lt;="&amp;A219))*참고!$D$31:$D$130)/100,0),0)</f>
        <v>0</v>
      </c>
      <c r="L219" s="31" t="str">
        <f t="shared" si="11"/>
        <v/>
      </c>
      <c r="M219" s="39"/>
    </row>
    <row r="220" spans="1:13" ht="18" customHeight="1" x14ac:dyDescent="0.45">
      <c r="A220" s="37"/>
      <c r="B220" s="29"/>
      <c r="C220" s="29"/>
      <c r="D220" s="28"/>
      <c r="E220" s="30" t="str">
        <f>IFERROR(VLOOKUP(D220,KRX종목마스터!$A:$B,2,FALSE),"")</f>
        <v/>
      </c>
      <c r="F220" s="42"/>
      <c r="G220" s="42"/>
      <c r="H220" s="31" t="str">
        <f t="shared" si="9"/>
        <v/>
      </c>
      <c r="I220" s="43">
        <f ca="1">IFERROR(SUMPRODUCT((참고!$A$31:$A$130=C220)*(참고!$B$31:$B$130&lt;=A220)*(참고!$B$31:$B$130=_xludf.MAXIFS(참고!$B$31:$B$130,참고!$A$31:$A$130,C220,참고!$B$31:$B$130,"&lt;="&amp;A220))*참고!$C$31:$C$130)/100,0)</f>
        <v>0</v>
      </c>
      <c r="J220" s="31" t="str">
        <f t="shared" si="10"/>
        <v/>
      </c>
      <c r="K220" s="43">
        <f>IF(B220="매도",IFERROR(SUMPRODUCT((참고!$A$31:$A$130=C220)*(참고!$B$31:$B$130&lt;=A220)*(참고!$B$31:$B$130=_xludf.MAXIFS(참고!$B$31:$B$130,참고!$A$31:$A$130,C220,참고!$B$31:$B$130,"&lt;="&amp;A220))*참고!$D$31:$D$130)/100,0),0)</f>
        <v>0</v>
      </c>
      <c r="L220" s="31" t="str">
        <f t="shared" si="11"/>
        <v/>
      </c>
      <c r="M220" s="39"/>
    </row>
    <row r="221" spans="1:13" ht="18" customHeight="1" x14ac:dyDescent="0.45">
      <c r="A221" s="37"/>
      <c r="B221" s="29"/>
      <c r="C221" s="29"/>
      <c r="D221" s="28"/>
      <c r="E221" s="30" t="str">
        <f>IFERROR(VLOOKUP(D221,KRX종목마스터!$A:$B,2,FALSE),"")</f>
        <v/>
      </c>
      <c r="F221" s="42"/>
      <c r="G221" s="42"/>
      <c r="H221" s="31" t="str">
        <f t="shared" si="9"/>
        <v/>
      </c>
      <c r="I221" s="43">
        <f ca="1">IFERROR(SUMPRODUCT((참고!$A$31:$A$130=C221)*(참고!$B$31:$B$130&lt;=A221)*(참고!$B$31:$B$130=_xludf.MAXIFS(참고!$B$31:$B$130,참고!$A$31:$A$130,C221,참고!$B$31:$B$130,"&lt;="&amp;A221))*참고!$C$31:$C$130)/100,0)</f>
        <v>0</v>
      </c>
      <c r="J221" s="31" t="str">
        <f t="shared" si="10"/>
        <v/>
      </c>
      <c r="K221" s="43">
        <f>IF(B221="매도",IFERROR(SUMPRODUCT((참고!$A$31:$A$130=C221)*(참고!$B$31:$B$130&lt;=A221)*(참고!$B$31:$B$130=_xludf.MAXIFS(참고!$B$31:$B$130,참고!$A$31:$A$130,C221,참고!$B$31:$B$130,"&lt;="&amp;A221))*참고!$D$31:$D$130)/100,0),0)</f>
        <v>0</v>
      </c>
      <c r="L221" s="31" t="str">
        <f t="shared" si="11"/>
        <v/>
      </c>
      <c r="M221" s="39"/>
    </row>
    <row r="222" spans="1:13" ht="18" customHeight="1" x14ac:dyDescent="0.45">
      <c r="A222" s="37"/>
      <c r="B222" s="29"/>
      <c r="C222" s="29"/>
      <c r="D222" s="28"/>
      <c r="E222" s="30" t="str">
        <f>IFERROR(VLOOKUP(D222,KRX종목마스터!$A:$B,2,FALSE),"")</f>
        <v/>
      </c>
      <c r="F222" s="42"/>
      <c r="G222" s="42"/>
      <c r="H222" s="31" t="str">
        <f t="shared" si="9"/>
        <v/>
      </c>
      <c r="I222" s="43">
        <f ca="1">IFERROR(SUMPRODUCT((참고!$A$31:$A$130=C222)*(참고!$B$31:$B$130&lt;=A222)*(참고!$B$31:$B$130=_xludf.MAXIFS(참고!$B$31:$B$130,참고!$A$31:$A$130,C222,참고!$B$31:$B$130,"&lt;="&amp;A222))*참고!$C$31:$C$130)/100,0)</f>
        <v>0</v>
      </c>
      <c r="J222" s="31" t="str">
        <f t="shared" si="10"/>
        <v/>
      </c>
      <c r="K222" s="43">
        <f>IF(B222="매도",IFERROR(SUMPRODUCT((참고!$A$31:$A$130=C222)*(참고!$B$31:$B$130&lt;=A222)*(참고!$B$31:$B$130=_xludf.MAXIFS(참고!$B$31:$B$130,참고!$A$31:$A$130,C222,참고!$B$31:$B$130,"&lt;="&amp;A222))*참고!$D$31:$D$130)/100,0),0)</f>
        <v>0</v>
      </c>
      <c r="L222" s="31" t="str">
        <f t="shared" si="11"/>
        <v/>
      </c>
      <c r="M222" s="39"/>
    </row>
    <row r="223" spans="1:13" ht="18" customHeight="1" x14ac:dyDescent="0.45">
      <c r="A223" s="37"/>
      <c r="B223" s="29"/>
      <c r="C223" s="29"/>
      <c r="D223" s="28"/>
      <c r="E223" s="30" t="str">
        <f>IFERROR(VLOOKUP(D223,KRX종목마스터!$A:$B,2,FALSE),"")</f>
        <v/>
      </c>
      <c r="F223" s="42"/>
      <c r="G223" s="42"/>
      <c r="H223" s="31" t="str">
        <f t="shared" si="9"/>
        <v/>
      </c>
      <c r="I223" s="43">
        <f ca="1">IFERROR(SUMPRODUCT((참고!$A$31:$A$130=C223)*(참고!$B$31:$B$130&lt;=A223)*(참고!$B$31:$B$130=_xludf.MAXIFS(참고!$B$31:$B$130,참고!$A$31:$A$130,C223,참고!$B$31:$B$130,"&lt;="&amp;A223))*참고!$C$31:$C$130)/100,0)</f>
        <v>0</v>
      </c>
      <c r="J223" s="31" t="str">
        <f t="shared" si="10"/>
        <v/>
      </c>
      <c r="K223" s="43">
        <f>IF(B223="매도",IFERROR(SUMPRODUCT((참고!$A$31:$A$130=C223)*(참고!$B$31:$B$130&lt;=A223)*(참고!$B$31:$B$130=_xludf.MAXIFS(참고!$B$31:$B$130,참고!$A$31:$A$130,C223,참고!$B$31:$B$130,"&lt;="&amp;A223))*참고!$D$31:$D$130)/100,0),0)</f>
        <v>0</v>
      </c>
      <c r="L223" s="31" t="str">
        <f t="shared" si="11"/>
        <v/>
      </c>
      <c r="M223" s="39"/>
    </row>
    <row r="224" spans="1:13" ht="18" customHeight="1" x14ac:dyDescent="0.45">
      <c r="A224" s="37"/>
      <c r="B224" s="29"/>
      <c r="C224" s="29"/>
      <c r="D224" s="28"/>
      <c r="E224" s="30" t="str">
        <f>IFERROR(VLOOKUP(D224,KRX종목마스터!$A:$B,2,FALSE),"")</f>
        <v/>
      </c>
      <c r="F224" s="42"/>
      <c r="G224" s="42"/>
      <c r="H224" s="31" t="str">
        <f t="shared" si="9"/>
        <v/>
      </c>
      <c r="I224" s="43">
        <f ca="1">IFERROR(SUMPRODUCT((참고!$A$31:$A$130=C224)*(참고!$B$31:$B$130&lt;=A224)*(참고!$B$31:$B$130=_xludf.MAXIFS(참고!$B$31:$B$130,참고!$A$31:$A$130,C224,참고!$B$31:$B$130,"&lt;="&amp;A224))*참고!$C$31:$C$130)/100,0)</f>
        <v>0</v>
      </c>
      <c r="J224" s="31" t="str">
        <f t="shared" si="10"/>
        <v/>
      </c>
      <c r="K224" s="43">
        <f>IF(B224="매도",IFERROR(SUMPRODUCT((참고!$A$31:$A$130=C224)*(참고!$B$31:$B$130&lt;=A224)*(참고!$B$31:$B$130=_xludf.MAXIFS(참고!$B$31:$B$130,참고!$A$31:$A$130,C224,참고!$B$31:$B$130,"&lt;="&amp;A224))*참고!$D$31:$D$130)/100,0),0)</f>
        <v>0</v>
      </c>
      <c r="L224" s="31" t="str">
        <f t="shared" si="11"/>
        <v/>
      </c>
      <c r="M224" s="39"/>
    </row>
    <row r="225" spans="1:13" ht="18" customHeight="1" x14ac:dyDescent="0.45">
      <c r="A225" s="37"/>
      <c r="B225" s="29"/>
      <c r="C225" s="29"/>
      <c r="D225" s="28"/>
      <c r="E225" s="30" t="str">
        <f>IFERROR(VLOOKUP(D225,KRX종목마스터!$A:$B,2,FALSE),"")</f>
        <v/>
      </c>
      <c r="F225" s="42"/>
      <c r="G225" s="42"/>
      <c r="H225" s="31" t="str">
        <f t="shared" si="9"/>
        <v/>
      </c>
      <c r="I225" s="43">
        <f ca="1">IFERROR(SUMPRODUCT((참고!$A$31:$A$130=C225)*(참고!$B$31:$B$130&lt;=A225)*(참고!$B$31:$B$130=_xludf.MAXIFS(참고!$B$31:$B$130,참고!$A$31:$A$130,C225,참고!$B$31:$B$130,"&lt;="&amp;A225))*참고!$C$31:$C$130)/100,0)</f>
        <v>0</v>
      </c>
      <c r="J225" s="31" t="str">
        <f t="shared" si="10"/>
        <v/>
      </c>
      <c r="K225" s="43">
        <f>IF(B225="매도",IFERROR(SUMPRODUCT((참고!$A$31:$A$130=C225)*(참고!$B$31:$B$130&lt;=A225)*(참고!$B$31:$B$130=_xludf.MAXIFS(참고!$B$31:$B$130,참고!$A$31:$A$130,C225,참고!$B$31:$B$130,"&lt;="&amp;A225))*참고!$D$31:$D$130)/100,0),0)</f>
        <v>0</v>
      </c>
      <c r="L225" s="31" t="str">
        <f t="shared" si="11"/>
        <v/>
      </c>
      <c r="M225" s="39"/>
    </row>
    <row r="226" spans="1:13" ht="18" customHeight="1" x14ac:dyDescent="0.45">
      <c r="A226" s="37"/>
      <c r="B226" s="29"/>
      <c r="C226" s="29"/>
      <c r="D226" s="28"/>
      <c r="E226" s="30" t="str">
        <f>IFERROR(VLOOKUP(D226,KRX종목마스터!$A:$B,2,FALSE),"")</f>
        <v/>
      </c>
      <c r="F226" s="42"/>
      <c r="G226" s="42"/>
      <c r="H226" s="31" t="str">
        <f t="shared" si="9"/>
        <v/>
      </c>
      <c r="I226" s="43">
        <f ca="1">IFERROR(SUMPRODUCT((참고!$A$31:$A$130=C226)*(참고!$B$31:$B$130&lt;=A226)*(참고!$B$31:$B$130=_xludf.MAXIFS(참고!$B$31:$B$130,참고!$A$31:$A$130,C226,참고!$B$31:$B$130,"&lt;="&amp;A226))*참고!$C$31:$C$130)/100,0)</f>
        <v>0</v>
      </c>
      <c r="J226" s="31" t="str">
        <f t="shared" si="10"/>
        <v/>
      </c>
      <c r="K226" s="43">
        <f>IF(B226="매도",IFERROR(SUMPRODUCT((참고!$A$31:$A$130=C226)*(참고!$B$31:$B$130&lt;=A226)*(참고!$B$31:$B$130=_xludf.MAXIFS(참고!$B$31:$B$130,참고!$A$31:$A$130,C226,참고!$B$31:$B$130,"&lt;="&amp;A226))*참고!$D$31:$D$130)/100,0),0)</f>
        <v>0</v>
      </c>
      <c r="L226" s="31" t="str">
        <f t="shared" si="11"/>
        <v/>
      </c>
      <c r="M226" s="39"/>
    </row>
    <row r="227" spans="1:13" ht="18" customHeight="1" x14ac:dyDescent="0.45">
      <c r="A227" s="37"/>
      <c r="B227" s="29"/>
      <c r="C227" s="29"/>
      <c r="D227" s="28"/>
      <c r="E227" s="30" t="str">
        <f>IFERROR(VLOOKUP(D227,KRX종목마스터!$A:$B,2,FALSE),"")</f>
        <v/>
      </c>
      <c r="F227" s="42"/>
      <c r="G227" s="42"/>
      <c r="H227" s="31" t="str">
        <f t="shared" si="9"/>
        <v/>
      </c>
      <c r="I227" s="43">
        <f ca="1">IFERROR(SUMPRODUCT((참고!$A$31:$A$130=C227)*(참고!$B$31:$B$130&lt;=A227)*(참고!$B$31:$B$130=_xludf.MAXIFS(참고!$B$31:$B$130,참고!$A$31:$A$130,C227,참고!$B$31:$B$130,"&lt;="&amp;A227))*참고!$C$31:$C$130)/100,0)</f>
        <v>0</v>
      </c>
      <c r="J227" s="31" t="str">
        <f t="shared" si="10"/>
        <v/>
      </c>
      <c r="K227" s="43">
        <f>IF(B227="매도",IFERROR(SUMPRODUCT((참고!$A$31:$A$130=C227)*(참고!$B$31:$B$130&lt;=A227)*(참고!$B$31:$B$130=_xludf.MAXIFS(참고!$B$31:$B$130,참고!$A$31:$A$130,C227,참고!$B$31:$B$130,"&lt;="&amp;A227))*참고!$D$31:$D$130)/100,0),0)</f>
        <v>0</v>
      </c>
      <c r="L227" s="31" t="str">
        <f t="shared" si="11"/>
        <v/>
      </c>
      <c r="M227" s="39"/>
    </row>
    <row r="228" spans="1:13" ht="18" customHeight="1" x14ac:dyDescent="0.45">
      <c r="A228" s="37"/>
      <c r="B228" s="29"/>
      <c r="C228" s="29"/>
      <c r="D228" s="28"/>
      <c r="E228" s="30" t="str">
        <f>IFERROR(VLOOKUP(D228,KRX종목마스터!$A:$B,2,FALSE),"")</f>
        <v/>
      </c>
      <c r="F228" s="42"/>
      <c r="G228" s="42"/>
      <c r="H228" s="31" t="str">
        <f t="shared" si="9"/>
        <v/>
      </c>
      <c r="I228" s="43">
        <f ca="1">IFERROR(SUMPRODUCT((참고!$A$31:$A$130=C228)*(참고!$B$31:$B$130&lt;=A228)*(참고!$B$31:$B$130=_xludf.MAXIFS(참고!$B$31:$B$130,참고!$A$31:$A$130,C228,참고!$B$31:$B$130,"&lt;="&amp;A228))*참고!$C$31:$C$130)/100,0)</f>
        <v>0</v>
      </c>
      <c r="J228" s="31" t="str">
        <f t="shared" si="10"/>
        <v/>
      </c>
      <c r="K228" s="43">
        <f>IF(B228="매도",IFERROR(SUMPRODUCT((참고!$A$31:$A$130=C228)*(참고!$B$31:$B$130&lt;=A228)*(참고!$B$31:$B$130=_xludf.MAXIFS(참고!$B$31:$B$130,참고!$A$31:$A$130,C228,참고!$B$31:$B$130,"&lt;="&amp;A228))*참고!$D$31:$D$130)/100,0),0)</f>
        <v>0</v>
      </c>
      <c r="L228" s="31" t="str">
        <f t="shared" si="11"/>
        <v/>
      </c>
      <c r="M228" s="39"/>
    </row>
    <row r="229" spans="1:13" ht="18" customHeight="1" x14ac:dyDescent="0.45">
      <c r="A229" s="37"/>
      <c r="B229" s="29"/>
      <c r="C229" s="29"/>
      <c r="D229" s="28"/>
      <c r="E229" s="30" t="str">
        <f>IFERROR(VLOOKUP(D229,KRX종목마스터!$A:$B,2,FALSE),"")</f>
        <v/>
      </c>
      <c r="F229" s="42"/>
      <c r="G229" s="42"/>
      <c r="H229" s="31" t="str">
        <f t="shared" si="9"/>
        <v/>
      </c>
      <c r="I229" s="43">
        <f ca="1">IFERROR(SUMPRODUCT((참고!$A$31:$A$130=C229)*(참고!$B$31:$B$130&lt;=A229)*(참고!$B$31:$B$130=_xludf.MAXIFS(참고!$B$31:$B$130,참고!$A$31:$A$130,C229,참고!$B$31:$B$130,"&lt;="&amp;A229))*참고!$C$31:$C$130)/100,0)</f>
        <v>0</v>
      </c>
      <c r="J229" s="31" t="str">
        <f t="shared" si="10"/>
        <v/>
      </c>
      <c r="K229" s="43">
        <f>IF(B229="매도",IFERROR(SUMPRODUCT((참고!$A$31:$A$130=C229)*(참고!$B$31:$B$130&lt;=A229)*(참고!$B$31:$B$130=_xludf.MAXIFS(참고!$B$31:$B$130,참고!$A$31:$A$130,C229,참고!$B$31:$B$130,"&lt;="&amp;A229))*참고!$D$31:$D$130)/100,0),0)</f>
        <v>0</v>
      </c>
      <c r="L229" s="31" t="str">
        <f t="shared" si="11"/>
        <v/>
      </c>
      <c r="M229" s="39"/>
    </row>
    <row r="230" spans="1:13" ht="18" customHeight="1" x14ac:dyDescent="0.45">
      <c r="A230" s="37"/>
      <c r="B230" s="29"/>
      <c r="C230" s="29"/>
      <c r="D230" s="28"/>
      <c r="E230" s="30" t="str">
        <f>IFERROR(VLOOKUP(D230,KRX종목마스터!$A:$B,2,FALSE),"")</f>
        <v/>
      </c>
      <c r="F230" s="42"/>
      <c r="G230" s="42"/>
      <c r="H230" s="31" t="str">
        <f t="shared" si="9"/>
        <v/>
      </c>
      <c r="I230" s="43">
        <f ca="1">IFERROR(SUMPRODUCT((참고!$A$31:$A$130=C230)*(참고!$B$31:$B$130&lt;=A230)*(참고!$B$31:$B$130=_xludf.MAXIFS(참고!$B$31:$B$130,참고!$A$31:$A$130,C230,참고!$B$31:$B$130,"&lt;="&amp;A230))*참고!$C$31:$C$130)/100,0)</f>
        <v>0</v>
      </c>
      <c r="J230" s="31" t="str">
        <f t="shared" si="10"/>
        <v/>
      </c>
      <c r="K230" s="43">
        <f>IF(B230="매도",IFERROR(SUMPRODUCT((참고!$A$31:$A$130=C230)*(참고!$B$31:$B$130&lt;=A230)*(참고!$B$31:$B$130=_xludf.MAXIFS(참고!$B$31:$B$130,참고!$A$31:$A$130,C230,참고!$B$31:$B$130,"&lt;="&amp;A230))*참고!$D$31:$D$130)/100,0),0)</f>
        <v>0</v>
      </c>
      <c r="L230" s="31" t="str">
        <f t="shared" si="11"/>
        <v/>
      </c>
      <c r="M230" s="39"/>
    </row>
    <row r="231" spans="1:13" ht="18" customHeight="1" x14ac:dyDescent="0.45">
      <c r="A231" s="37"/>
      <c r="B231" s="29"/>
      <c r="C231" s="29"/>
      <c r="D231" s="28"/>
      <c r="E231" s="30" t="str">
        <f>IFERROR(VLOOKUP(D231,KRX종목마스터!$A:$B,2,FALSE),"")</f>
        <v/>
      </c>
      <c r="F231" s="42"/>
      <c r="G231" s="42"/>
      <c r="H231" s="31" t="str">
        <f t="shared" si="9"/>
        <v/>
      </c>
      <c r="I231" s="43">
        <f ca="1">IFERROR(SUMPRODUCT((참고!$A$31:$A$130=C231)*(참고!$B$31:$B$130&lt;=A231)*(참고!$B$31:$B$130=_xludf.MAXIFS(참고!$B$31:$B$130,참고!$A$31:$A$130,C231,참고!$B$31:$B$130,"&lt;="&amp;A231))*참고!$C$31:$C$130)/100,0)</f>
        <v>0</v>
      </c>
      <c r="J231" s="31" t="str">
        <f t="shared" si="10"/>
        <v/>
      </c>
      <c r="K231" s="43">
        <f>IF(B231="매도",IFERROR(SUMPRODUCT((참고!$A$31:$A$130=C231)*(참고!$B$31:$B$130&lt;=A231)*(참고!$B$31:$B$130=_xludf.MAXIFS(참고!$B$31:$B$130,참고!$A$31:$A$130,C231,참고!$B$31:$B$130,"&lt;="&amp;A231))*참고!$D$31:$D$130)/100,0),0)</f>
        <v>0</v>
      </c>
      <c r="L231" s="31" t="str">
        <f t="shared" si="11"/>
        <v/>
      </c>
      <c r="M231" s="39"/>
    </row>
    <row r="232" spans="1:13" ht="18" customHeight="1" x14ac:dyDescent="0.45">
      <c r="A232" s="37"/>
      <c r="B232" s="29"/>
      <c r="C232" s="29"/>
      <c r="D232" s="28"/>
      <c r="E232" s="30" t="str">
        <f>IFERROR(VLOOKUP(D232,KRX종목마스터!$A:$B,2,FALSE),"")</f>
        <v/>
      </c>
      <c r="F232" s="42"/>
      <c r="G232" s="42"/>
      <c r="H232" s="31" t="str">
        <f t="shared" si="9"/>
        <v/>
      </c>
      <c r="I232" s="43">
        <f ca="1">IFERROR(SUMPRODUCT((참고!$A$31:$A$130=C232)*(참고!$B$31:$B$130&lt;=A232)*(참고!$B$31:$B$130=_xludf.MAXIFS(참고!$B$31:$B$130,참고!$A$31:$A$130,C232,참고!$B$31:$B$130,"&lt;="&amp;A232))*참고!$C$31:$C$130)/100,0)</f>
        <v>0</v>
      </c>
      <c r="J232" s="31" t="str">
        <f t="shared" si="10"/>
        <v/>
      </c>
      <c r="K232" s="43">
        <f>IF(B232="매도",IFERROR(SUMPRODUCT((참고!$A$31:$A$130=C232)*(참고!$B$31:$B$130&lt;=A232)*(참고!$B$31:$B$130=_xludf.MAXIFS(참고!$B$31:$B$130,참고!$A$31:$A$130,C232,참고!$B$31:$B$130,"&lt;="&amp;A232))*참고!$D$31:$D$130)/100,0),0)</f>
        <v>0</v>
      </c>
      <c r="L232" s="31" t="str">
        <f t="shared" si="11"/>
        <v/>
      </c>
      <c r="M232" s="39"/>
    </row>
    <row r="233" spans="1:13" ht="18" customHeight="1" x14ac:dyDescent="0.45">
      <c r="A233" s="37"/>
      <c r="B233" s="29"/>
      <c r="C233" s="29"/>
      <c r="D233" s="28"/>
      <c r="E233" s="30" t="str">
        <f>IFERROR(VLOOKUP(D233,KRX종목마스터!$A:$B,2,FALSE),"")</f>
        <v/>
      </c>
      <c r="F233" s="42"/>
      <c r="G233" s="42"/>
      <c r="H233" s="31" t="str">
        <f t="shared" si="9"/>
        <v/>
      </c>
      <c r="I233" s="43">
        <f ca="1">IFERROR(SUMPRODUCT((참고!$A$31:$A$130=C233)*(참고!$B$31:$B$130&lt;=A233)*(참고!$B$31:$B$130=_xludf.MAXIFS(참고!$B$31:$B$130,참고!$A$31:$A$130,C233,참고!$B$31:$B$130,"&lt;="&amp;A233))*참고!$C$31:$C$130)/100,0)</f>
        <v>0</v>
      </c>
      <c r="J233" s="31" t="str">
        <f t="shared" si="10"/>
        <v/>
      </c>
      <c r="K233" s="43">
        <f>IF(B233="매도",IFERROR(SUMPRODUCT((참고!$A$31:$A$130=C233)*(참고!$B$31:$B$130&lt;=A233)*(참고!$B$31:$B$130=_xludf.MAXIFS(참고!$B$31:$B$130,참고!$A$31:$A$130,C233,참고!$B$31:$B$130,"&lt;="&amp;A233))*참고!$D$31:$D$130)/100,0),0)</f>
        <v>0</v>
      </c>
      <c r="L233" s="31" t="str">
        <f t="shared" si="11"/>
        <v/>
      </c>
      <c r="M233" s="39"/>
    </row>
    <row r="234" spans="1:13" ht="18" customHeight="1" x14ac:dyDescent="0.45">
      <c r="A234" s="37"/>
      <c r="B234" s="29"/>
      <c r="C234" s="29"/>
      <c r="D234" s="28"/>
      <c r="E234" s="30" t="str">
        <f>IFERROR(VLOOKUP(D234,KRX종목마스터!$A:$B,2,FALSE),"")</f>
        <v/>
      </c>
      <c r="F234" s="42"/>
      <c r="G234" s="42"/>
      <c r="H234" s="31" t="str">
        <f t="shared" si="9"/>
        <v/>
      </c>
      <c r="I234" s="43">
        <f ca="1">IFERROR(SUMPRODUCT((참고!$A$31:$A$130=C234)*(참고!$B$31:$B$130&lt;=A234)*(참고!$B$31:$B$130=_xludf.MAXIFS(참고!$B$31:$B$130,참고!$A$31:$A$130,C234,참고!$B$31:$B$130,"&lt;="&amp;A234))*참고!$C$31:$C$130)/100,0)</f>
        <v>0</v>
      </c>
      <c r="J234" s="31" t="str">
        <f t="shared" si="10"/>
        <v/>
      </c>
      <c r="K234" s="43">
        <f>IF(B234="매도",IFERROR(SUMPRODUCT((참고!$A$31:$A$130=C234)*(참고!$B$31:$B$130&lt;=A234)*(참고!$B$31:$B$130=_xludf.MAXIFS(참고!$B$31:$B$130,참고!$A$31:$A$130,C234,참고!$B$31:$B$130,"&lt;="&amp;A234))*참고!$D$31:$D$130)/100,0),0)</f>
        <v>0</v>
      </c>
      <c r="L234" s="31" t="str">
        <f t="shared" si="11"/>
        <v/>
      </c>
      <c r="M234" s="39"/>
    </row>
    <row r="235" spans="1:13" ht="18" customHeight="1" x14ac:dyDescent="0.45">
      <c r="A235" s="37"/>
      <c r="B235" s="29"/>
      <c r="C235" s="29"/>
      <c r="D235" s="28"/>
      <c r="E235" s="30" t="str">
        <f>IFERROR(VLOOKUP(D235,KRX종목마스터!$A:$B,2,FALSE),"")</f>
        <v/>
      </c>
      <c r="F235" s="42"/>
      <c r="G235" s="42"/>
      <c r="H235" s="31" t="str">
        <f t="shared" si="9"/>
        <v/>
      </c>
      <c r="I235" s="43">
        <f ca="1">IFERROR(SUMPRODUCT((참고!$A$31:$A$130=C235)*(참고!$B$31:$B$130&lt;=A235)*(참고!$B$31:$B$130=_xludf.MAXIFS(참고!$B$31:$B$130,참고!$A$31:$A$130,C235,참고!$B$31:$B$130,"&lt;="&amp;A235))*참고!$C$31:$C$130)/100,0)</f>
        <v>0</v>
      </c>
      <c r="J235" s="31" t="str">
        <f t="shared" si="10"/>
        <v/>
      </c>
      <c r="K235" s="43">
        <f>IF(B235="매도",IFERROR(SUMPRODUCT((참고!$A$31:$A$130=C235)*(참고!$B$31:$B$130&lt;=A235)*(참고!$B$31:$B$130=_xludf.MAXIFS(참고!$B$31:$B$130,참고!$A$31:$A$130,C235,참고!$B$31:$B$130,"&lt;="&amp;A235))*참고!$D$31:$D$130)/100,0),0)</f>
        <v>0</v>
      </c>
      <c r="L235" s="31" t="str">
        <f t="shared" si="11"/>
        <v/>
      </c>
      <c r="M235" s="39"/>
    </row>
    <row r="236" spans="1:13" ht="18" customHeight="1" x14ac:dyDescent="0.45">
      <c r="A236" s="37"/>
      <c r="B236" s="29"/>
      <c r="C236" s="29"/>
      <c r="D236" s="28"/>
      <c r="E236" s="30" t="str">
        <f>IFERROR(VLOOKUP(D236,KRX종목마스터!$A:$B,2,FALSE),"")</f>
        <v/>
      </c>
      <c r="F236" s="42"/>
      <c r="G236" s="42"/>
      <c r="H236" s="31" t="str">
        <f t="shared" si="9"/>
        <v/>
      </c>
      <c r="I236" s="43">
        <f ca="1">IFERROR(SUMPRODUCT((참고!$A$31:$A$130=C236)*(참고!$B$31:$B$130&lt;=A236)*(참고!$B$31:$B$130=_xludf.MAXIFS(참고!$B$31:$B$130,참고!$A$31:$A$130,C236,참고!$B$31:$B$130,"&lt;="&amp;A236))*참고!$C$31:$C$130)/100,0)</f>
        <v>0</v>
      </c>
      <c r="J236" s="31" t="str">
        <f t="shared" si="10"/>
        <v/>
      </c>
      <c r="K236" s="43">
        <f>IF(B236="매도",IFERROR(SUMPRODUCT((참고!$A$31:$A$130=C236)*(참고!$B$31:$B$130&lt;=A236)*(참고!$B$31:$B$130=_xludf.MAXIFS(참고!$B$31:$B$130,참고!$A$31:$A$130,C236,참고!$B$31:$B$130,"&lt;="&amp;A236))*참고!$D$31:$D$130)/100,0),0)</f>
        <v>0</v>
      </c>
      <c r="L236" s="31" t="str">
        <f t="shared" si="11"/>
        <v/>
      </c>
      <c r="M236" s="39"/>
    </row>
    <row r="237" spans="1:13" ht="18" customHeight="1" x14ac:dyDescent="0.45">
      <c r="A237" s="37"/>
      <c r="B237" s="29"/>
      <c r="C237" s="29"/>
      <c r="D237" s="28"/>
      <c r="E237" s="30" t="str">
        <f>IFERROR(VLOOKUP(D237,KRX종목마스터!$A:$B,2,FALSE),"")</f>
        <v/>
      </c>
      <c r="F237" s="42"/>
      <c r="G237" s="42"/>
      <c r="H237" s="31" t="str">
        <f t="shared" si="9"/>
        <v/>
      </c>
      <c r="I237" s="43">
        <f ca="1">IFERROR(SUMPRODUCT((참고!$A$31:$A$130=C237)*(참고!$B$31:$B$130&lt;=A237)*(참고!$B$31:$B$130=_xludf.MAXIFS(참고!$B$31:$B$130,참고!$A$31:$A$130,C237,참고!$B$31:$B$130,"&lt;="&amp;A237))*참고!$C$31:$C$130)/100,0)</f>
        <v>0</v>
      </c>
      <c r="J237" s="31" t="str">
        <f t="shared" si="10"/>
        <v/>
      </c>
      <c r="K237" s="43">
        <f>IF(B237="매도",IFERROR(SUMPRODUCT((참고!$A$31:$A$130=C237)*(참고!$B$31:$B$130&lt;=A237)*(참고!$B$31:$B$130=_xludf.MAXIFS(참고!$B$31:$B$130,참고!$A$31:$A$130,C237,참고!$B$31:$B$130,"&lt;="&amp;A237))*참고!$D$31:$D$130)/100,0),0)</f>
        <v>0</v>
      </c>
      <c r="L237" s="31" t="str">
        <f t="shared" si="11"/>
        <v/>
      </c>
      <c r="M237" s="39"/>
    </row>
    <row r="238" spans="1:13" ht="18" customHeight="1" x14ac:dyDescent="0.45">
      <c r="A238" s="37"/>
      <c r="B238" s="29"/>
      <c r="C238" s="29"/>
      <c r="D238" s="28"/>
      <c r="E238" s="30" t="str">
        <f>IFERROR(VLOOKUP(D238,KRX종목마스터!$A:$B,2,FALSE),"")</f>
        <v/>
      </c>
      <c r="F238" s="42"/>
      <c r="G238" s="42"/>
      <c r="H238" s="31" t="str">
        <f t="shared" si="9"/>
        <v/>
      </c>
      <c r="I238" s="43">
        <f ca="1">IFERROR(SUMPRODUCT((참고!$A$31:$A$130=C238)*(참고!$B$31:$B$130&lt;=A238)*(참고!$B$31:$B$130=_xludf.MAXIFS(참고!$B$31:$B$130,참고!$A$31:$A$130,C238,참고!$B$31:$B$130,"&lt;="&amp;A238))*참고!$C$31:$C$130)/100,0)</f>
        <v>0</v>
      </c>
      <c r="J238" s="31" t="str">
        <f t="shared" si="10"/>
        <v/>
      </c>
      <c r="K238" s="43">
        <f>IF(B238="매도",IFERROR(SUMPRODUCT((참고!$A$31:$A$130=C238)*(참고!$B$31:$B$130&lt;=A238)*(참고!$B$31:$B$130=_xludf.MAXIFS(참고!$B$31:$B$130,참고!$A$31:$A$130,C238,참고!$B$31:$B$130,"&lt;="&amp;A238))*참고!$D$31:$D$130)/100,0),0)</f>
        <v>0</v>
      </c>
      <c r="L238" s="31" t="str">
        <f t="shared" si="11"/>
        <v/>
      </c>
      <c r="M238" s="39"/>
    </row>
    <row r="239" spans="1:13" ht="18" customHeight="1" x14ac:dyDescent="0.45">
      <c r="A239" s="37"/>
      <c r="B239" s="29"/>
      <c r="C239" s="29"/>
      <c r="D239" s="28"/>
      <c r="E239" s="30" t="str">
        <f>IFERROR(VLOOKUP(D239,KRX종목마스터!$A:$B,2,FALSE),"")</f>
        <v/>
      </c>
      <c r="F239" s="42"/>
      <c r="G239" s="42"/>
      <c r="H239" s="31" t="str">
        <f t="shared" si="9"/>
        <v/>
      </c>
      <c r="I239" s="43">
        <f ca="1">IFERROR(SUMPRODUCT((참고!$A$31:$A$130=C239)*(참고!$B$31:$B$130&lt;=A239)*(참고!$B$31:$B$130=_xludf.MAXIFS(참고!$B$31:$B$130,참고!$A$31:$A$130,C239,참고!$B$31:$B$130,"&lt;="&amp;A239))*참고!$C$31:$C$130)/100,0)</f>
        <v>0</v>
      </c>
      <c r="J239" s="31" t="str">
        <f t="shared" si="10"/>
        <v/>
      </c>
      <c r="K239" s="43">
        <f>IF(B239="매도",IFERROR(SUMPRODUCT((참고!$A$31:$A$130=C239)*(참고!$B$31:$B$130&lt;=A239)*(참고!$B$31:$B$130=_xludf.MAXIFS(참고!$B$31:$B$130,참고!$A$31:$A$130,C239,참고!$B$31:$B$130,"&lt;="&amp;A239))*참고!$D$31:$D$130)/100,0),0)</f>
        <v>0</v>
      </c>
      <c r="L239" s="31" t="str">
        <f t="shared" si="11"/>
        <v/>
      </c>
      <c r="M239" s="39"/>
    </row>
    <row r="240" spans="1:13" ht="18" customHeight="1" x14ac:dyDescent="0.45">
      <c r="A240" s="37"/>
      <c r="B240" s="29"/>
      <c r="C240" s="29"/>
      <c r="D240" s="28"/>
      <c r="E240" s="30" t="str">
        <f>IFERROR(VLOOKUP(D240,KRX종목마스터!$A:$B,2,FALSE),"")</f>
        <v/>
      </c>
      <c r="F240" s="42"/>
      <c r="G240" s="42"/>
      <c r="H240" s="31" t="str">
        <f t="shared" si="9"/>
        <v/>
      </c>
      <c r="I240" s="43">
        <f ca="1">IFERROR(SUMPRODUCT((참고!$A$31:$A$130=C240)*(참고!$B$31:$B$130&lt;=A240)*(참고!$B$31:$B$130=_xludf.MAXIFS(참고!$B$31:$B$130,참고!$A$31:$A$130,C240,참고!$B$31:$B$130,"&lt;="&amp;A240))*참고!$C$31:$C$130)/100,0)</f>
        <v>0</v>
      </c>
      <c r="J240" s="31" t="str">
        <f t="shared" si="10"/>
        <v/>
      </c>
      <c r="K240" s="43">
        <f>IF(B240="매도",IFERROR(SUMPRODUCT((참고!$A$31:$A$130=C240)*(참고!$B$31:$B$130&lt;=A240)*(참고!$B$31:$B$130=_xludf.MAXIFS(참고!$B$31:$B$130,참고!$A$31:$A$130,C240,참고!$B$31:$B$130,"&lt;="&amp;A240))*참고!$D$31:$D$130)/100,0),0)</f>
        <v>0</v>
      </c>
      <c r="L240" s="31" t="str">
        <f t="shared" si="11"/>
        <v/>
      </c>
      <c r="M240" s="39"/>
    </row>
    <row r="241" spans="1:13" ht="18" customHeight="1" x14ac:dyDescent="0.45">
      <c r="A241" s="37"/>
      <c r="B241" s="29"/>
      <c r="C241" s="29"/>
      <c r="D241" s="28"/>
      <c r="E241" s="30" t="str">
        <f>IFERROR(VLOOKUP(D241,KRX종목마스터!$A:$B,2,FALSE),"")</f>
        <v/>
      </c>
      <c r="F241" s="42"/>
      <c r="G241" s="42"/>
      <c r="H241" s="31" t="str">
        <f t="shared" si="9"/>
        <v/>
      </c>
      <c r="I241" s="43">
        <f ca="1">IFERROR(SUMPRODUCT((참고!$A$31:$A$130=C241)*(참고!$B$31:$B$130&lt;=A241)*(참고!$B$31:$B$130=_xludf.MAXIFS(참고!$B$31:$B$130,참고!$A$31:$A$130,C241,참고!$B$31:$B$130,"&lt;="&amp;A241))*참고!$C$31:$C$130)/100,0)</f>
        <v>0</v>
      </c>
      <c r="J241" s="31" t="str">
        <f t="shared" si="10"/>
        <v/>
      </c>
      <c r="K241" s="43">
        <f>IF(B241="매도",IFERROR(SUMPRODUCT((참고!$A$31:$A$130=C241)*(참고!$B$31:$B$130&lt;=A241)*(참고!$B$31:$B$130=_xludf.MAXIFS(참고!$B$31:$B$130,참고!$A$31:$A$130,C241,참고!$B$31:$B$130,"&lt;="&amp;A241))*참고!$D$31:$D$130)/100,0),0)</f>
        <v>0</v>
      </c>
      <c r="L241" s="31" t="str">
        <f t="shared" si="11"/>
        <v/>
      </c>
      <c r="M241" s="39"/>
    </row>
    <row r="242" spans="1:13" ht="18" customHeight="1" x14ac:dyDescent="0.45">
      <c r="A242" s="37"/>
      <c r="B242" s="29"/>
      <c r="C242" s="29"/>
      <c r="D242" s="28"/>
      <c r="E242" s="30" t="str">
        <f>IFERROR(VLOOKUP(D242,KRX종목마스터!$A:$B,2,FALSE),"")</f>
        <v/>
      </c>
      <c r="F242" s="42"/>
      <c r="G242" s="42"/>
      <c r="H242" s="31" t="str">
        <f t="shared" si="9"/>
        <v/>
      </c>
      <c r="I242" s="43">
        <f ca="1">IFERROR(SUMPRODUCT((참고!$A$31:$A$130=C242)*(참고!$B$31:$B$130&lt;=A242)*(참고!$B$31:$B$130=_xludf.MAXIFS(참고!$B$31:$B$130,참고!$A$31:$A$130,C242,참고!$B$31:$B$130,"&lt;="&amp;A242))*참고!$C$31:$C$130)/100,0)</f>
        <v>0</v>
      </c>
      <c r="J242" s="31" t="str">
        <f t="shared" si="10"/>
        <v/>
      </c>
      <c r="K242" s="43">
        <f>IF(B242="매도",IFERROR(SUMPRODUCT((참고!$A$31:$A$130=C242)*(참고!$B$31:$B$130&lt;=A242)*(참고!$B$31:$B$130=_xludf.MAXIFS(참고!$B$31:$B$130,참고!$A$31:$A$130,C242,참고!$B$31:$B$130,"&lt;="&amp;A242))*참고!$D$31:$D$130)/100,0),0)</f>
        <v>0</v>
      </c>
      <c r="L242" s="31" t="str">
        <f t="shared" si="11"/>
        <v/>
      </c>
      <c r="M242" s="39"/>
    </row>
    <row r="243" spans="1:13" ht="18" customHeight="1" x14ac:dyDescent="0.45">
      <c r="A243" s="37"/>
      <c r="B243" s="29"/>
      <c r="C243" s="29"/>
      <c r="D243" s="28"/>
      <c r="E243" s="30" t="str">
        <f>IFERROR(VLOOKUP(D243,KRX종목마스터!$A:$B,2,FALSE),"")</f>
        <v/>
      </c>
      <c r="F243" s="42"/>
      <c r="G243" s="42"/>
      <c r="H243" s="31" t="str">
        <f t="shared" si="9"/>
        <v/>
      </c>
      <c r="I243" s="43">
        <f ca="1">IFERROR(SUMPRODUCT((참고!$A$31:$A$130=C243)*(참고!$B$31:$B$130&lt;=A243)*(참고!$B$31:$B$130=_xludf.MAXIFS(참고!$B$31:$B$130,참고!$A$31:$A$130,C243,참고!$B$31:$B$130,"&lt;="&amp;A243))*참고!$C$31:$C$130)/100,0)</f>
        <v>0</v>
      </c>
      <c r="J243" s="31" t="str">
        <f t="shared" si="10"/>
        <v/>
      </c>
      <c r="K243" s="43">
        <f>IF(B243="매도",IFERROR(SUMPRODUCT((참고!$A$31:$A$130=C243)*(참고!$B$31:$B$130&lt;=A243)*(참고!$B$31:$B$130=_xludf.MAXIFS(참고!$B$31:$B$130,참고!$A$31:$A$130,C243,참고!$B$31:$B$130,"&lt;="&amp;A243))*참고!$D$31:$D$130)/100,0),0)</f>
        <v>0</v>
      </c>
      <c r="L243" s="31" t="str">
        <f t="shared" si="11"/>
        <v/>
      </c>
      <c r="M243" s="39"/>
    </row>
    <row r="244" spans="1:13" ht="18" customHeight="1" x14ac:dyDescent="0.45">
      <c r="A244" s="37"/>
      <c r="B244" s="29"/>
      <c r="C244" s="29"/>
      <c r="D244" s="28"/>
      <c r="E244" s="30" t="str">
        <f>IFERROR(VLOOKUP(D244,KRX종목마스터!$A:$B,2,FALSE),"")</f>
        <v/>
      </c>
      <c r="F244" s="42"/>
      <c r="G244" s="42"/>
      <c r="H244" s="31" t="str">
        <f t="shared" si="9"/>
        <v/>
      </c>
      <c r="I244" s="43">
        <f ca="1">IFERROR(SUMPRODUCT((참고!$A$31:$A$130=C244)*(참고!$B$31:$B$130&lt;=A244)*(참고!$B$31:$B$130=_xludf.MAXIFS(참고!$B$31:$B$130,참고!$A$31:$A$130,C244,참고!$B$31:$B$130,"&lt;="&amp;A244))*참고!$C$31:$C$130)/100,0)</f>
        <v>0</v>
      </c>
      <c r="J244" s="31" t="str">
        <f t="shared" si="10"/>
        <v/>
      </c>
      <c r="K244" s="43">
        <f>IF(B244="매도",IFERROR(SUMPRODUCT((참고!$A$31:$A$130=C244)*(참고!$B$31:$B$130&lt;=A244)*(참고!$B$31:$B$130=_xludf.MAXIFS(참고!$B$31:$B$130,참고!$A$31:$A$130,C244,참고!$B$31:$B$130,"&lt;="&amp;A244))*참고!$D$31:$D$130)/100,0),0)</f>
        <v>0</v>
      </c>
      <c r="L244" s="31" t="str">
        <f t="shared" si="11"/>
        <v/>
      </c>
      <c r="M244" s="39"/>
    </row>
    <row r="245" spans="1:13" ht="18" customHeight="1" x14ac:dyDescent="0.45">
      <c r="A245" s="37"/>
      <c r="B245" s="29"/>
      <c r="C245" s="29"/>
      <c r="D245" s="28"/>
      <c r="E245" s="30" t="str">
        <f>IFERROR(VLOOKUP(D245,KRX종목마스터!$A:$B,2,FALSE),"")</f>
        <v/>
      </c>
      <c r="F245" s="42"/>
      <c r="G245" s="42"/>
      <c r="H245" s="31" t="str">
        <f t="shared" si="9"/>
        <v/>
      </c>
      <c r="I245" s="43">
        <f ca="1">IFERROR(SUMPRODUCT((참고!$A$31:$A$130=C245)*(참고!$B$31:$B$130&lt;=A245)*(참고!$B$31:$B$130=_xludf.MAXIFS(참고!$B$31:$B$130,참고!$A$31:$A$130,C245,참고!$B$31:$B$130,"&lt;="&amp;A245))*참고!$C$31:$C$130)/100,0)</f>
        <v>0</v>
      </c>
      <c r="J245" s="31" t="str">
        <f t="shared" si="10"/>
        <v/>
      </c>
      <c r="K245" s="43">
        <f>IF(B245="매도",IFERROR(SUMPRODUCT((참고!$A$31:$A$130=C245)*(참고!$B$31:$B$130&lt;=A245)*(참고!$B$31:$B$130=_xludf.MAXIFS(참고!$B$31:$B$130,참고!$A$31:$A$130,C245,참고!$B$31:$B$130,"&lt;="&amp;A245))*참고!$D$31:$D$130)/100,0),0)</f>
        <v>0</v>
      </c>
      <c r="L245" s="31" t="str">
        <f t="shared" si="11"/>
        <v/>
      </c>
      <c r="M245" s="39"/>
    </row>
    <row r="246" spans="1:13" ht="18" customHeight="1" x14ac:dyDescent="0.45">
      <c r="A246" s="37"/>
      <c r="B246" s="29"/>
      <c r="C246" s="29"/>
      <c r="D246" s="28"/>
      <c r="E246" s="30" t="str">
        <f>IFERROR(VLOOKUP(D246,KRX종목마스터!$A:$B,2,FALSE),"")</f>
        <v/>
      </c>
      <c r="F246" s="42"/>
      <c r="G246" s="42"/>
      <c r="H246" s="31" t="str">
        <f t="shared" si="9"/>
        <v/>
      </c>
      <c r="I246" s="43">
        <f ca="1">IFERROR(SUMPRODUCT((참고!$A$31:$A$130=C246)*(참고!$B$31:$B$130&lt;=A246)*(참고!$B$31:$B$130=_xludf.MAXIFS(참고!$B$31:$B$130,참고!$A$31:$A$130,C246,참고!$B$31:$B$130,"&lt;="&amp;A246))*참고!$C$31:$C$130)/100,0)</f>
        <v>0</v>
      </c>
      <c r="J246" s="31" t="str">
        <f t="shared" si="10"/>
        <v/>
      </c>
      <c r="K246" s="43">
        <f>IF(B246="매도",IFERROR(SUMPRODUCT((참고!$A$31:$A$130=C246)*(참고!$B$31:$B$130&lt;=A246)*(참고!$B$31:$B$130=_xludf.MAXIFS(참고!$B$31:$B$130,참고!$A$31:$A$130,C246,참고!$B$31:$B$130,"&lt;="&amp;A246))*참고!$D$31:$D$130)/100,0),0)</f>
        <v>0</v>
      </c>
      <c r="L246" s="31" t="str">
        <f t="shared" si="11"/>
        <v/>
      </c>
      <c r="M246" s="39"/>
    </row>
    <row r="247" spans="1:13" ht="18" customHeight="1" x14ac:dyDescent="0.45">
      <c r="A247" s="37"/>
      <c r="B247" s="29"/>
      <c r="C247" s="29"/>
      <c r="D247" s="28"/>
      <c r="E247" s="30" t="str">
        <f>IFERROR(VLOOKUP(D247,KRX종목마스터!$A:$B,2,FALSE),"")</f>
        <v/>
      </c>
      <c r="F247" s="42"/>
      <c r="G247" s="42"/>
      <c r="H247" s="31" t="str">
        <f t="shared" si="9"/>
        <v/>
      </c>
      <c r="I247" s="43">
        <f ca="1">IFERROR(SUMPRODUCT((참고!$A$31:$A$130=C247)*(참고!$B$31:$B$130&lt;=A247)*(참고!$B$31:$B$130=_xludf.MAXIFS(참고!$B$31:$B$130,참고!$A$31:$A$130,C247,참고!$B$31:$B$130,"&lt;="&amp;A247))*참고!$C$31:$C$130)/100,0)</f>
        <v>0</v>
      </c>
      <c r="J247" s="31" t="str">
        <f t="shared" si="10"/>
        <v/>
      </c>
      <c r="K247" s="43">
        <f>IF(B247="매도",IFERROR(SUMPRODUCT((참고!$A$31:$A$130=C247)*(참고!$B$31:$B$130&lt;=A247)*(참고!$B$31:$B$130=_xludf.MAXIFS(참고!$B$31:$B$130,참고!$A$31:$A$130,C247,참고!$B$31:$B$130,"&lt;="&amp;A247))*참고!$D$31:$D$130)/100,0),0)</f>
        <v>0</v>
      </c>
      <c r="L247" s="31" t="str">
        <f t="shared" si="11"/>
        <v/>
      </c>
      <c r="M247" s="39"/>
    </row>
    <row r="248" spans="1:13" ht="18" customHeight="1" x14ac:dyDescent="0.45">
      <c r="A248" s="37"/>
      <c r="B248" s="29"/>
      <c r="C248" s="29"/>
      <c r="D248" s="28"/>
      <c r="E248" s="30" t="str">
        <f>IFERROR(VLOOKUP(D248,KRX종목마스터!$A:$B,2,FALSE),"")</f>
        <v/>
      </c>
      <c r="F248" s="42"/>
      <c r="G248" s="42"/>
      <c r="H248" s="31" t="str">
        <f t="shared" si="9"/>
        <v/>
      </c>
      <c r="I248" s="43">
        <f ca="1">IFERROR(SUMPRODUCT((참고!$A$31:$A$130=C248)*(참고!$B$31:$B$130&lt;=A248)*(참고!$B$31:$B$130=_xludf.MAXIFS(참고!$B$31:$B$130,참고!$A$31:$A$130,C248,참고!$B$31:$B$130,"&lt;="&amp;A248))*참고!$C$31:$C$130)/100,0)</f>
        <v>0</v>
      </c>
      <c r="J248" s="31" t="str">
        <f t="shared" si="10"/>
        <v/>
      </c>
      <c r="K248" s="43">
        <f>IF(B248="매도",IFERROR(SUMPRODUCT((참고!$A$31:$A$130=C248)*(참고!$B$31:$B$130&lt;=A248)*(참고!$B$31:$B$130=_xludf.MAXIFS(참고!$B$31:$B$130,참고!$A$31:$A$130,C248,참고!$B$31:$B$130,"&lt;="&amp;A248))*참고!$D$31:$D$130)/100,0),0)</f>
        <v>0</v>
      </c>
      <c r="L248" s="31" t="str">
        <f t="shared" si="11"/>
        <v/>
      </c>
      <c r="M248" s="39"/>
    </row>
    <row r="249" spans="1:13" ht="18" customHeight="1" x14ac:dyDescent="0.45">
      <c r="A249" s="37"/>
      <c r="B249" s="29"/>
      <c r="C249" s="29"/>
      <c r="D249" s="28"/>
      <c r="E249" s="30" t="str">
        <f>IFERROR(VLOOKUP(D249,KRX종목마스터!$A:$B,2,FALSE),"")</f>
        <v/>
      </c>
      <c r="F249" s="42"/>
      <c r="G249" s="42"/>
      <c r="H249" s="31" t="str">
        <f t="shared" si="9"/>
        <v/>
      </c>
      <c r="I249" s="43">
        <f ca="1">IFERROR(SUMPRODUCT((참고!$A$31:$A$130=C249)*(참고!$B$31:$B$130&lt;=A249)*(참고!$B$31:$B$130=_xludf.MAXIFS(참고!$B$31:$B$130,참고!$A$31:$A$130,C249,참고!$B$31:$B$130,"&lt;="&amp;A249))*참고!$C$31:$C$130)/100,0)</f>
        <v>0</v>
      </c>
      <c r="J249" s="31" t="str">
        <f t="shared" si="10"/>
        <v/>
      </c>
      <c r="K249" s="43">
        <f>IF(B249="매도",IFERROR(SUMPRODUCT((참고!$A$31:$A$130=C249)*(참고!$B$31:$B$130&lt;=A249)*(참고!$B$31:$B$130=_xludf.MAXIFS(참고!$B$31:$B$130,참고!$A$31:$A$130,C249,참고!$B$31:$B$130,"&lt;="&amp;A249))*참고!$D$31:$D$130)/100,0),0)</f>
        <v>0</v>
      </c>
      <c r="L249" s="31" t="str">
        <f t="shared" si="11"/>
        <v/>
      </c>
      <c r="M249" s="39"/>
    </row>
    <row r="250" spans="1:13" ht="18" customHeight="1" x14ac:dyDescent="0.45">
      <c r="A250" s="37"/>
      <c r="B250" s="29"/>
      <c r="C250" s="29"/>
      <c r="D250" s="28"/>
      <c r="E250" s="30" t="str">
        <f>IFERROR(VLOOKUP(D250,KRX종목마스터!$A:$B,2,FALSE),"")</f>
        <v/>
      </c>
      <c r="F250" s="42"/>
      <c r="G250" s="42"/>
      <c r="H250" s="31" t="str">
        <f t="shared" si="9"/>
        <v/>
      </c>
      <c r="I250" s="43">
        <f ca="1">IFERROR(SUMPRODUCT((참고!$A$31:$A$130=C250)*(참고!$B$31:$B$130&lt;=A250)*(참고!$B$31:$B$130=_xludf.MAXIFS(참고!$B$31:$B$130,참고!$A$31:$A$130,C250,참고!$B$31:$B$130,"&lt;="&amp;A250))*참고!$C$31:$C$130)/100,0)</f>
        <v>0</v>
      </c>
      <c r="J250" s="31" t="str">
        <f t="shared" si="10"/>
        <v/>
      </c>
      <c r="K250" s="43">
        <f>IF(B250="매도",IFERROR(SUMPRODUCT((참고!$A$31:$A$130=C250)*(참고!$B$31:$B$130&lt;=A250)*(참고!$B$31:$B$130=_xludf.MAXIFS(참고!$B$31:$B$130,참고!$A$31:$A$130,C250,참고!$B$31:$B$130,"&lt;="&amp;A250))*참고!$D$31:$D$130)/100,0),0)</f>
        <v>0</v>
      </c>
      <c r="L250" s="31" t="str">
        <f t="shared" si="11"/>
        <v/>
      </c>
      <c r="M250" s="39"/>
    </row>
    <row r="251" spans="1:13" ht="18" customHeight="1" x14ac:dyDescent="0.45">
      <c r="A251" s="37"/>
      <c r="B251" s="29"/>
      <c r="C251" s="29"/>
      <c r="D251" s="28"/>
      <c r="E251" s="30" t="str">
        <f>IFERROR(VLOOKUP(D251,KRX종목마스터!$A:$B,2,FALSE),"")</f>
        <v/>
      </c>
      <c r="F251" s="42"/>
      <c r="G251" s="42"/>
      <c r="H251" s="31" t="str">
        <f t="shared" si="9"/>
        <v/>
      </c>
      <c r="I251" s="43">
        <f ca="1">IFERROR(SUMPRODUCT((참고!$A$31:$A$130=C251)*(참고!$B$31:$B$130&lt;=A251)*(참고!$B$31:$B$130=_xludf.MAXIFS(참고!$B$31:$B$130,참고!$A$31:$A$130,C251,참고!$B$31:$B$130,"&lt;="&amp;A251))*참고!$C$31:$C$130)/100,0)</f>
        <v>0</v>
      </c>
      <c r="J251" s="31" t="str">
        <f t="shared" si="10"/>
        <v/>
      </c>
      <c r="K251" s="43">
        <f>IF(B251="매도",IFERROR(SUMPRODUCT((참고!$A$31:$A$130=C251)*(참고!$B$31:$B$130&lt;=A251)*(참고!$B$31:$B$130=_xludf.MAXIFS(참고!$B$31:$B$130,참고!$A$31:$A$130,C251,참고!$B$31:$B$130,"&lt;="&amp;A251))*참고!$D$31:$D$130)/100,0),0)</f>
        <v>0</v>
      </c>
      <c r="L251" s="31" t="str">
        <f t="shared" si="11"/>
        <v/>
      </c>
      <c r="M251" s="39"/>
    </row>
    <row r="252" spans="1:13" ht="18" customHeight="1" x14ac:dyDescent="0.45">
      <c r="A252" s="37"/>
      <c r="B252" s="29"/>
      <c r="C252" s="29"/>
      <c r="D252" s="28"/>
      <c r="E252" s="30" t="str">
        <f>IFERROR(VLOOKUP(D252,KRX종목마스터!$A:$B,2,FALSE),"")</f>
        <v/>
      </c>
      <c r="F252" s="42"/>
      <c r="G252" s="42"/>
      <c r="H252" s="31" t="str">
        <f t="shared" si="9"/>
        <v/>
      </c>
      <c r="I252" s="43">
        <f ca="1">IFERROR(SUMPRODUCT((참고!$A$31:$A$130=C252)*(참고!$B$31:$B$130&lt;=A252)*(참고!$B$31:$B$130=_xludf.MAXIFS(참고!$B$31:$B$130,참고!$A$31:$A$130,C252,참고!$B$31:$B$130,"&lt;="&amp;A252))*참고!$C$31:$C$130)/100,0)</f>
        <v>0</v>
      </c>
      <c r="J252" s="31" t="str">
        <f t="shared" si="10"/>
        <v/>
      </c>
      <c r="K252" s="43">
        <f>IF(B252="매도",IFERROR(SUMPRODUCT((참고!$A$31:$A$130=C252)*(참고!$B$31:$B$130&lt;=A252)*(참고!$B$31:$B$130=_xludf.MAXIFS(참고!$B$31:$B$130,참고!$A$31:$A$130,C252,참고!$B$31:$B$130,"&lt;="&amp;A252))*참고!$D$31:$D$130)/100,0),0)</f>
        <v>0</v>
      </c>
      <c r="L252" s="31" t="str">
        <f t="shared" si="11"/>
        <v/>
      </c>
      <c r="M252" s="39"/>
    </row>
    <row r="253" spans="1:13" ht="18" customHeight="1" x14ac:dyDescent="0.45">
      <c r="A253" s="37"/>
      <c r="B253" s="29"/>
      <c r="C253" s="29"/>
      <c r="D253" s="28"/>
      <c r="E253" s="30" t="str">
        <f>IFERROR(VLOOKUP(D253,KRX종목마스터!$A:$B,2,FALSE),"")</f>
        <v/>
      </c>
      <c r="F253" s="42"/>
      <c r="G253" s="42"/>
      <c r="H253" s="31" t="str">
        <f t="shared" si="9"/>
        <v/>
      </c>
      <c r="I253" s="43">
        <f ca="1">IFERROR(SUMPRODUCT((참고!$A$31:$A$130=C253)*(참고!$B$31:$B$130&lt;=A253)*(참고!$B$31:$B$130=_xludf.MAXIFS(참고!$B$31:$B$130,참고!$A$31:$A$130,C253,참고!$B$31:$B$130,"&lt;="&amp;A253))*참고!$C$31:$C$130)/100,0)</f>
        <v>0</v>
      </c>
      <c r="J253" s="31" t="str">
        <f t="shared" si="10"/>
        <v/>
      </c>
      <c r="K253" s="43">
        <f>IF(B253="매도",IFERROR(SUMPRODUCT((참고!$A$31:$A$130=C253)*(참고!$B$31:$B$130&lt;=A253)*(참고!$B$31:$B$130=_xludf.MAXIFS(참고!$B$31:$B$130,참고!$A$31:$A$130,C253,참고!$B$31:$B$130,"&lt;="&amp;A253))*참고!$D$31:$D$130)/100,0),0)</f>
        <v>0</v>
      </c>
      <c r="L253" s="31" t="str">
        <f t="shared" si="11"/>
        <v/>
      </c>
      <c r="M253" s="39"/>
    </row>
    <row r="254" spans="1:13" ht="18" customHeight="1" x14ac:dyDescent="0.45">
      <c r="A254" s="37"/>
      <c r="B254" s="29"/>
      <c r="C254" s="29"/>
      <c r="D254" s="28"/>
      <c r="E254" s="30" t="str">
        <f>IFERROR(VLOOKUP(D254,KRX종목마스터!$A:$B,2,FALSE),"")</f>
        <v/>
      </c>
      <c r="F254" s="42"/>
      <c r="G254" s="42"/>
      <c r="H254" s="31" t="str">
        <f t="shared" si="9"/>
        <v/>
      </c>
      <c r="I254" s="43">
        <f ca="1">IFERROR(SUMPRODUCT((참고!$A$31:$A$130=C254)*(참고!$B$31:$B$130&lt;=A254)*(참고!$B$31:$B$130=_xludf.MAXIFS(참고!$B$31:$B$130,참고!$A$31:$A$130,C254,참고!$B$31:$B$130,"&lt;="&amp;A254))*참고!$C$31:$C$130)/100,0)</f>
        <v>0</v>
      </c>
      <c r="J254" s="31" t="str">
        <f t="shared" si="10"/>
        <v/>
      </c>
      <c r="K254" s="43">
        <f>IF(B254="매도",IFERROR(SUMPRODUCT((참고!$A$31:$A$130=C254)*(참고!$B$31:$B$130&lt;=A254)*(참고!$B$31:$B$130=_xludf.MAXIFS(참고!$B$31:$B$130,참고!$A$31:$A$130,C254,참고!$B$31:$B$130,"&lt;="&amp;A254))*참고!$D$31:$D$130)/100,0),0)</f>
        <v>0</v>
      </c>
      <c r="L254" s="31" t="str">
        <f t="shared" si="11"/>
        <v/>
      </c>
      <c r="M254" s="39"/>
    </row>
    <row r="255" spans="1:13" ht="18" customHeight="1" x14ac:dyDescent="0.45">
      <c r="A255" s="37"/>
      <c r="B255" s="29"/>
      <c r="C255" s="29"/>
      <c r="D255" s="28"/>
      <c r="E255" s="30" t="str">
        <f>IFERROR(VLOOKUP(D255,KRX종목마스터!$A:$B,2,FALSE),"")</f>
        <v/>
      </c>
      <c r="F255" s="42"/>
      <c r="G255" s="42"/>
      <c r="H255" s="31" t="str">
        <f t="shared" si="9"/>
        <v/>
      </c>
      <c r="I255" s="43">
        <f ca="1">IFERROR(SUMPRODUCT((참고!$A$31:$A$130=C255)*(참고!$B$31:$B$130&lt;=A255)*(참고!$B$31:$B$130=_xludf.MAXIFS(참고!$B$31:$B$130,참고!$A$31:$A$130,C255,참고!$B$31:$B$130,"&lt;="&amp;A255))*참고!$C$31:$C$130)/100,0)</f>
        <v>0</v>
      </c>
      <c r="J255" s="31" t="str">
        <f t="shared" si="10"/>
        <v/>
      </c>
      <c r="K255" s="43">
        <f>IF(B255="매도",IFERROR(SUMPRODUCT((참고!$A$31:$A$130=C255)*(참고!$B$31:$B$130&lt;=A255)*(참고!$B$31:$B$130=_xludf.MAXIFS(참고!$B$31:$B$130,참고!$A$31:$A$130,C255,참고!$B$31:$B$130,"&lt;="&amp;A255))*참고!$D$31:$D$130)/100,0),0)</f>
        <v>0</v>
      </c>
      <c r="L255" s="31" t="str">
        <f t="shared" si="11"/>
        <v/>
      </c>
      <c r="M255" s="39"/>
    </row>
    <row r="256" spans="1:13" ht="18" customHeight="1" x14ac:dyDescent="0.45">
      <c r="A256" s="37"/>
      <c r="B256" s="29"/>
      <c r="C256" s="29"/>
      <c r="D256" s="28"/>
      <c r="E256" s="30" t="str">
        <f>IFERROR(VLOOKUP(D256,KRX종목마스터!$A:$B,2,FALSE),"")</f>
        <v/>
      </c>
      <c r="F256" s="42"/>
      <c r="G256" s="42"/>
      <c r="H256" s="31" t="str">
        <f t="shared" si="9"/>
        <v/>
      </c>
      <c r="I256" s="43">
        <f ca="1">IFERROR(SUMPRODUCT((참고!$A$31:$A$130=C256)*(참고!$B$31:$B$130&lt;=A256)*(참고!$B$31:$B$130=_xludf.MAXIFS(참고!$B$31:$B$130,참고!$A$31:$A$130,C256,참고!$B$31:$B$130,"&lt;="&amp;A256))*참고!$C$31:$C$130)/100,0)</f>
        <v>0</v>
      </c>
      <c r="J256" s="31" t="str">
        <f t="shared" si="10"/>
        <v/>
      </c>
      <c r="K256" s="43">
        <f>IF(B256="매도",IFERROR(SUMPRODUCT((참고!$A$31:$A$130=C256)*(참고!$B$31:$B$130&lt;=A256)*(참고!$B$31:$B$130=_xludf.MAXIFS(참고!$B$31:$B$130,참고!$A$31:$A$130,C256,참고!$B$31:$B$130,"&lt;="&amp;A256))*참고!$D$31:$D$130)/100,0),0)</f>
        <v>0</v>
      </c>
      <c r="L256" s="31" t="str">
        <f t="shared" si="11"/>
        <v/>
      </c>
      <c r="M256" s="39"/>
    </row>
    <row r="257" spans="1:13" ht="18" customHeight="1" x14ac:dyDescent="0.45">
      <c r="A257" s="37"/>
      <c r="B257" s="29"/>
      <c r="C257" s="29"/>
      <c r="D257" s="28"/>
      <c r="E257" s="30" t="str">
        <f>IFERROR(VLOOKUP(D257,KRX종목마스터!$A:$B,2,FALSE),"")</f>
        <v/>
      </c>
      <c r="F257" s="42"/>
      <c r="G257" s="42"/>
      <c r="H257" s="31" t="str">
        <f t="shared" si="9"/>
        <v/>
      </c>
      <c r="I257" s="43">
        <f ca="1">IFERROR(SUMPRODUCT((참고!$A$31:$A$130=C257)*(참고!$B$31:$B$130&lt;=A257)*(참고!$B$31:$B$130=_xludf.MAXIFS(참고!$B$31:$B$130,참고!$A$31:$A$130,C257,참고!$B$31:$B$130,"&lt;="&amp;A257))*참고!$C$31:$C$130)/100,0)</f>
        <v>0</v>
      </c>
      <c r="J257" s="31" t="str">
        <f t="shared" si="10"/>
        <v/>
      </c>
      <c r="K257" s="43">
        <f>IF(B257="매도",IFERROR(SUMPRODUCT((참고!$A$31:$A$130=C257)*(참고!$B$31:$B$130&lt;=A257)*(참고!$B$31:$B$130=_xludf.MAXIFS(참고!$B$31:$B$130,참고!$A$31:$A$130,C257,참고!$B$31:$B$130,"&lt;="&amp;A257))*참고!$D$31:$D$130)/100,0),0)</f>
        <v>0</v>
      </c>
      <c r="L257" s="31" t="str">
        <f t="shared" si="11"/>
        <v/>
      </c>
      <c r="M257" s="39"/>
    </row>
    <row r="258" spans="1:13" ht="18" customHeight="1" x14ac:dyDescent="0.45">
      <c r="A258" s="37"/>
      <c r="B258" s="29"/>
      <c r="C258" s="29"/>
      <c r="D258" s="28"/>
      <c r="E258" s="30" t="str">
        <f>IFERROR(VLOOKUP(D258,KRX종목마스터!$A:$B,2,FALSE),"")</f>
        <v/>
      </c>
      <c r="F258" s="42"/>
      <c r="G258" s="42"/>
      <c r="H258" s="31" t="str">
        <f t="shared" si="9"/>
        <v/>
      </c>
      <c r="I258" s="43">
        <f ca="1">IFERROR(SUMPRODUCT((참고!$A$31:$A$130=C258)*(참고!$B$31:$B$130&lt;=A258)*(참고!$B$31:$B$130=_xludf.MAXIFS(참고!$B$31:$B$130,참고!$A$31:$A$130,C258,참고!$B$31:$B$130,"&lt;="&amp;A258))*참고!$C$31:$C$130)/100,0)</f>
        <v>0</v>
      </c>
      <c r="J258" s="31" t="str">
        <f t="shared" si="10"/>
        <v/>
      </c>
      <c r="K258" s="43">
        <f>IF(B258="매도",IFERROR(SUMPRODUCT((참고!$A$31:$A$130=C258)*(참고!$B$31:$B$130&lt;=A258)*(참고!$B$31:$B$130=_xludf.MAXIFS(참고!$B$31:$B$130,참고!$A$31:$A$130,C258,참고!$B$31:$B$130,"&lt;="&amp;A258))*참고!$D$31:$D$130)/100,0),0)</f>
        <v>0</v>
      </c>
      <c r="L258" s="31" t="str">
        <f t="shared" si="11"/>
        <v/>
      </c>
      <c r="M258" s="39"/>
    </row>
    <row r="259" spans="1:13" ht="18" customHeight="1" x14ac:dyDescent="0.45">
      <c r="A259" s="37"/>
      <c r="B259" s="29"/>
      <c r="C259" s="29"/>
      <c r="D259" s="28"/>
      <c r="E259" s="30" t="str">
        <f>IFERROR(VLOOKUP(D259,KRX종목마스터!$A:$B,2,FALSE),"")</f>
        <v/>
      </c>
      <c r="F259" s="42"/>
      <c r="G259" s="42"/>
      <c r="H259" s="31" t="str">
        <f t="shared" si="9"/>
        <v/>
      </c>
      <c r="I259" s="43">
        <f ca="1">IFERROR(SUMPRODUCT((참고!$A$31:$A$130=C259)*(참고!$B$31:$B$130&lt;=A259)*(참고!$B$31:$B$130=_xludf.MAXIFS(참고!$B$31:$B$130,참고!$A$31:$A$130,C259,참고!$B$31:$B$130,"&lt;="&amp;A259))*참고!$C$31:$C$130)/100,0)</f>
        <v>0</v>
      </c>
      <c r="J259" s="31" t="str">
        <f t="shared" si="10"/>
        <v/>
      </c>
      <c r="K259" s="43">
        <f>IF(B259="매도",IFERROR(SUMPRODUCT((참고!$A$31:$A$130=C259)*(참고!$B$31:$B$130&lt;=A259)*(참고!$B$31:$B$130=_xludf.MAXIFS(참고!$B$31:$B$130,참고!$A$31:$A$130,C259,참고!$B$31:$B$130,"&lt;="&amp;A259))*참고!$D$31:$D$130)/100,0),0)</f>
        <v>0</v>
      </c>
      <c r="L259" s="31" t="str">
        <f t="shared" si="11"/>
        <v/>
      </c>
      <c r="M259" s="39"/>
    </row>
    <row r="260" spans="1:13" ht="18" customHeight="1" x14ac:dyDescent="0.45">
      <c r="A260" s="37"/>
      <c r="B260" s="29"/>
      <c r="C260" s="29"/>
      <c r="D260" s="28"/>
      <c r="E260" s="30" t="str">
        <f>IFERROR(VLOOKUP(D260,KRX종목마스터!$A:$B,2,FALSE),"")</f>
        <v/>
      </c>
      <c r="F260" s="42"/>
      <c r="G260" s="42"/>
      <c r="H260" s="31" t="str">
        <f t="shared" si="9"/>
        <v/>
      </c>
      <c r="I260" s="43">
        <f ca="1">IFERROR(SUMPRODUCT((참고!$A$31:$A$130=C260)*(참고!$B$31:$B$130&lt;=A260)*(참고!$B$31:$B$130=_xludf.MAXIFS(참고!$B$31:$B$130,참고!$A$31:$A$130,C260,참고!$B$31:$B$130,"&lt;="&amp;A260))*참고!$C$31:$C$130)/100,0)</f>
        <v>0</v>
      </c>
      <c r="J260" s="31" t="str">
        <f t="shared" si="10"/>
        <v/>
      </c>
      <c r="K260" s="43">
        <f>IF(B260="매도",IFERROR(SUMPRODUCT((참고!$A$31:$A$130=C260)*(참고!$B$31:$B$130&lt;=A260)*(참고!$B$31:$B$130=_xludf.MAXIFS(참고!$B$31:$B$130,참고!$A$31:$A$130,C260,참고!$B$31:$B$130,"&lt;="&amp;A260))*참고!$D$31:$D$130)/100,0),0)</f>
        <v>0</v>
      </c>
      <c r="L260" s="31" t="str">
        <f t="shared" si="11"/>
        <v/>
      </c>
      <c r="M260" s="39"/>
    </row>
    <row r="261" spans="1:13" ht="18" customHeight="1" x14ac:dyDescent="0.45">
      <c r="A261" s="37"/>
      <c r="B261" s="29"/>
      <c r="C261" s="29"/>
      <c r="D261" s="28"/>
      <c r="E261" s="30" t="str">
        <f>IFERROR(VLOOKUP(D261,KRX종목마스터!$A:$B,2,FALSE),"")</f>
        <v/>
      </c>
      <c r="F261" s="42"/>
      <c r="G261" s="42"/>
      <c r="H261" s="31" t="str">
        <f t="shared" ref="H261:H324" si="12">IF(AND(F261&lt;&gt;"",G261&lt;&gt;""),F261*G261,"")</f>
        <v/>
      </c>
      <c r="I261" s="43">
        <f ca="1">IFERROR(SUMPRODUCT((참고!$A$31:$A$130=C261)*(참고!$B$31:$B$130&lt;=A261)*(참고!$B$31:$B$130=_xludf.MAXIFS(참고!$B$31:$B$130,참고!$A$31:$A$130,C261,참고!$B$31:$B$130,"&lt;="&amp;A261))*참고!$C$31:$C$130)/100,0)</f>
        <v>0</v>
      </c>
      <c r="J261" s="31" t="str">
        <f t="shared" ref="J261:J324" si="13">IF(H261="","",ROUND(H261*I261,0))</f>
        <v/>
      </c>
      <c r="K261" s="43">
        <f>IF(B261="매도",IFERROR(SUMPRODUCT((참고!$A$31:$A$130=C261)*(참고!$B$31:$B$130&lt;=A261)*(참고!$B$31:$B$130=_xludf.MAXIFS(참고!$B$31:$B$130,참고!$A$31:$A$130,C261,참고!$B$31:$B$130,"&lt;="&amp;A261))*참고!$D$31:$D$130)/100,0),0)</f>
        <v>0</v>
      </c>
      <c r="L261" s="31" t="str">
        <f t="shared" ref="L261:L324" si="14">IF(H261="","",ROUND(H261*K261,0))</f>
        <v/>
      </c>
      <c r="M261" s="39"/>
    </row>
    <row r="262" spans="1:13" ht="18" customHeight="1" x14ac:dyDescent="0.45">
      <c r="A262" s="37"/>
      <c r="B262" s="29"/>
      <c r="C262" s="29"/>
      <c r="D262" s="28"/>
      <c r="E262" s="30" t="str">
        <f>IFERROR(VLOOKUP(D262,KRX종목마스터!$A:$B,2,FALSE),"")</f>
        <v/>
      </c>
      <c r="F262" s="42"/>
      <c r="G262" s="42"/>
      <c r="H262" s="31" t="str">
        <f t="shared" si="12"/>
        <v/>
      </c>
      <c r="I262" s="43">
        <f ca="1">IFERROR(SUMPRODUCT((참고!$A$31:$A$130=C262)*(참고!$B$31:$B$130&lt;=A262)*(참고!$B$31:$B$130=_xludf.MAXIFS(참고!$B$31:$B$130,참고!$A$31:$A$130,C262,참고!$B$31:$B$130,"&lt;="&amp;A262))*참고!$C$31:$C$130)/100,0)</f>
        <v>0</v>
      </c>
      <c r="J262" s="31" t="str">
        <f t="shared" si="13"/>
        <v/>
      </c>
      <c r="K262" s="43">
        <f>IF(B262="매도",IFERROR(SUMPRODUCT((참고!$A$31:$A$130=C262)*(참고!$B$31:$B$130&lt;=A262)*(참고!$B$31:$B$130=_xludf.MAXIFS(참고!$B$31:$B$130,참고!$A$31:$A$130,C262,참고!$B$31:$B$130,"&lt;="&amp;A262))*참고!$D$31:$D$130)/100,0),0)</f>
        <v>0</v>
      </c>
      <c r="L262" s="31" t="str">
        <f t="shared" si="14"/>
        <v/>
      </c>
      <c r="M262" s="39"/>
    </row>
    <row r="263" spans="1:13" ht="18" customHeight="1" x14ac:dyDescent="0.45">
      <c r="A263" s="37"/>
      <c r="B263" s="29"/>
      <c r="C263" s="29"/>
      <c r="D263" s="28"/>
      <c r="E263" s="30" t="str">
        <f>IFERROR(VLOOKUP(D263,KRX종목마스터!$A:$B,2,FALSE),"")</f>
        <v/>
      </c>
      <c r="F263" s="42"/>
      <c r="G263" s="42"/>
      <c r="H263" s="31" t="str">
        <f t="shared" si="12"/>
        <v/>
      </c>
      <c r="I263" s="43">
        <f ca="1">IFERROR(SUMPRODUCT((참고!$A$31:$A$130=C263)*(참고!$B$31:$B$130&lt;=A263)*(참고!$B$31:$B$130=_xludf.MAXIFS(참고!$B$31:$B$130,참고!$A$31:$A$130,C263,참고!$B$31:$B$130,"&lt;="&amp;A263))*참고!$C$31:$C$130)/100,0)</f>
        <v>0</v>
      </c>
      <c r="J263" s="31" t="str">
        <f t="shared" si="13"/>
        <v/>
      </c>
      <c r="K263" s="43">
        <f>IF(B263="매도",IFERROR(SUMPRODUCT((참고!$A$31:$A$130=C263)*(참고!$B$31:$B$130&lt;=A263)*(참고!$B$31:$B$130=_xludf.MAXIFS(참고!$B$31:$B$130,참고!$A$31:$A$130,C263,참고!$B$31:$B$130,"&lt;="&amp;A263))*참고!$D$31:$D$130)/100,0),0)</f>
        <v>0</v>
      </c>
      <c r="L263" s="31" t="str">
        <f t="shared" si="14"/>
        <v/>
      </c>
      <c r="M263" s="39"/>
    </row>
    <row r="264" spans="1:13" ht="18" customHeight="1" x14ac:dyDescent="0.45">
      <c r="A264" s="37"/>
      <c r="B264" s="29"/>
      <c r="C264" s="29"/>
      <c r="D264" s="28"/>
      <c r="E264" s="30" t="str">
        <f>IFERROR(VLOOKUP(D264,KRX종목마스터!$A:$B,2,FALSE),"")</f>
        <v/>
      </c>
      <c r="F264" s="42"/>
      <c r="G264" s="42"/>
      <c r="H264" s="31" t="str">
        <f t="shared" si="12"/>
        <v/>
      </c>
      <c r="I264" s="43">
        <f ca="1">IFERROR(SUMPRODUCT((참고!$A$31:$A$130=C264)*(참고!$B$31:$B$130&lt;=A264)*(참고!$B$31:$B$130=_xludf.MAXIFS(참고!$B$31:$B$130,참고!$A$31:$A$130,C264,참고!$B$31:$B$130,"&lt;="&amp;A264))*참고!$C$31:$C$130)/100,0)</f>
        <v>0</v>
      </c>
      <c r="J264" s="31" t="str">
        <f t="shared" si="13"/>
        <v/>
      </c>
      <c r="K264" s="43">
        <f>IF(B264="매도",IFERROR(SUMPRODUCT((참고!$A$31:$A$130=C264)*(참고!$B$31:$B$130&lt;=A264)*(참고!$B$31:$B$130=_xludf.MAXIFS(참고!$B$31:$B$130,참고!$A$31:$A$130,C264,참고!$B$31:$B$130,"&lt;="&amp;A264))*참고!$D$31:$D$130)/100,0),0)</f>
        <v>0</v>
      </c>
      <c r="L264" s="31" t="str">
        <f t="shared" si="14"/>
        <v/>
      </c>
      <c r="M264" s="39"/>
    </row>
    <row r="265" spans="1:13" ht="18" customHeight="1" x14ac:dyDescent="0.45">
      <c r="A265" s="37"/>
      <c r="B265" s="29"/>
      <c r="C265" s="29"/>
      <c r="D265" s="28"/>
      <c r="E265" s="30" t="str">
        <f>IFERROR(VLOOKUP(D265,KRX종목마스터!$A:$B,2,FALSE),"")</f>
        <v/>
      </c>
      <c r="F265" s="42"/>
      <c r="G265" s="42"/>
      <c r="H265" s="31" t="str">
        <f t="shared" si="12"/>
        <v/>
      </c>
      <c r="I265" s="43">
        <f ca="1">IFERROR(SUMPRODUCT((참고!$A$31:$A$130=C265)*(참고!$B$31:$B$130&lt;=A265)*(참고!$B$31:$B$130=_xludf.MAXIFS(참고!$B$31:$B$130,참고!$A$31:$A$130,C265,참고!$B$31:$B$130,"&lt;="&amp;A265))*참고!$C$31:$C$130)/100,0)</f>
        <v>0</v>
      </c>
      <c r="J265" s="31" t="str">
        <f t="shared" si="13"/>
        <v/>
      </c>
      <c r="K265" s="43">
        <f>IF(B265="매도",IFERROR(SUMPRODUCT((참고!$A$31:$A$130=C265)*(참고!$B$31:$B$130&lt;=A265)*(참고!$B$31:$B$130=_xludf.MAXIFS(참고!$B$31:$B$130,참고!$A$31:$A$130,C265,참고!$B$31:$B$130,"&lt;="&amp;A265))*참고!$D$31:$D$130)/100,0),0)</f>
        <v>0</v>
      </c>
      <c r="L265" s="31" t="str">
        <f t="shared" si="14"/>
        <v/>
      </c>
      <c r="M265" s="39"/>
    </row>
    <row r="266" spans="1:13" ht="18" customHeight="1" x14ac:dyDescent="0.45">
      <c r="A266" s="37"/>
      <c r="B266" s="29"/>
      <c r="C266" s="29"/>
      <c r="D266" s="28"/>
      <c r="E266" s="30" t="str">
        <f>IFERROR(VLOOKUP(D266,KRX종목마스터!$A:$B,2,FALSE),"")</f>
        <v/>
      </c>
      <c r="F266" s="42"/>
      <c r="G266" s="42"/>
      <c r="H266" s="31" t="str">
        <f t="shared" si="12"/>
        <v/>
      </c>
      <c r="I266" s="43">
        <f ca="1">IFERROR(SUMPRODUCT((참고!$A$31:$A$130=C266)*(참고!$B$31:$B$130&lt;=A266)*(참고!$B$31:$B$130=_xludf.MAXIFS(참고!$B$31:$B$130,참고!$A$31:$A$130,C266,참고!$B$31:$B$130,"&lt;="&amp;A266))*참고!$C$31:$C$130)/100,0)</f>
        <v>0</v>
      </c>
      <c r="J266" s="31" t="str">
        <f t="shared" si="13"/>
        <v/>
      </c>
      <c r="K266" s="43">
        <f>IF(B266="매도",IFERROR(SUMPRODUCT((참고!$A$31:$A$130=C266)*(참고!$B$31:$B$130&lt;=A266)*(참고!$B$31:$B$130=_xludf.MAXIFS(참고!$B$31:$B$130,참고!$A$31:$A$130,C266,참고!$B$31:$B$130,"&lt;="&amp;A266))*참고!$D$31:$D$130)/100,0),0)</f>
        <v>0</v>
      </c>
      <c r="L266" s="31" t="str">
        <f t="shared" si="14"/>
        <v/>
      </c>
      <c r="M266" s="39"/>
    </row>
    <row r="267" spans="1:13" ht="18" customHeight="1" x14ac:dyDescent="0.45">
      <c r="A267" s="37"/>
      <c r="B267" s="29"/>
      <c r="C267" s="29"/>
      <c r="D267" s="28"/>
      <c r="E267" s="30" t="str">
        <f>IFERROR(VLOOKUP(D267,KRX종목마스터!$A:$B,2,FALSE),"")</f>
        <v/>
      </c>
      <c r="F267" s="42"/>
      <c r="G267" s="42"/>
      <c r="H267" s="31" t="str">
        <f t="shared" si="12"/>
        <v/>
      </c>
      <c r="I267" s="43">
        <f ca="1">IFERROR(SUMPRODUCT((참고!$A$31:$A$130=C267)*(참고!$B$31:$B$130&lt;=A267)*(참고!$B$31:$B$130=_xludf.MAXIFS(참고!$B$31:$B$130,참고!$A$31:$A$130,C267,참고!$B$31:$B$130,"&lt;="&amp;A267))*참고!$C$31:$C$130)/100,0)</f>
        <v>0</v>
      </c>
      <c r="J267" s="31" t="str">
        <f t="shared" si="13"/>
        <v/>
      </c>
      <c r="K267" s="43">
        <f>IF(B267="매도",IFERROR(SUMPRODUCT((참고!$A$31:$A$130=C267)*(참고!$B$31:$B$130&lt;=A267)*(참고!$B$31:$B$130=_xludf.MAXIFS(참고!$B$31:$B$130,참고!$A$31:$A$130,C267,참고!$B$31:$B$130,"&lt;="&amp;A267))*참고!$D$31:$D$130)/100,0),0)</f>
        <v>0</v>
      </c>
      <c r="L267" s="31" t="str">
        <f t="shared" si="14"/>
        <v/>
      </c>
      <c r="M267" s="39"/>
    </row>
    <row r="268" spans="1:13" ht="18" customHeight="1" x14ac:dyDescent="0.45">
      <c r="A268" s="37"/>
      <c r="B268" s="29"/>
      <c r="C268" s="29"/>
      <c r="D268" s="28"/>
      <c r="E268" s="30" t="str">
        <f>IFERROR(VLOOKUP(D268,KRX종목마스터!$A:$B,2,FALSE),"")</f>
        <v/>
      </c>
      <c r="F268" s="42"/>
      <c r="G268" s="42"/>
      <c r="H268" s="31" t="str">
        <f t="shared" si="12"/>
        <v/>
      </c>
      <c r="I268" s="43">
        <f ca="1">IFERROR(SUMPRODUCT((참고!$A$31:$A$130=C268)*(참고!$B$31:$B$130&lt;=A268)*(참고!$B$31:$B$130=_xludf.MAXIFS(참고!$B$31:$B$130,참고!$A$31:$A$130,C268,참고!$B$31:$B$130,"&lt;="&amp;A268))*참고!$C$31:$C$130)/100,0)</f>
        <v>0</v>
      </c>
      <c r="J268" s="31" t="str">
        <f t="shared" si="13"/>
        <v/>
      </c>
      <c r="K268" s="43">
        <f>IF(B268="매도",IFERROR(SUMPRODUCT((참고!$A$31:$A$130=C268)*(참고!$B$31:$B$130&lt;=A268)*(참고!$B$31:$B$130=_xludf.MAXIFS(참고!$B$31:$B$130,참고!$A$31:$A$130,C268,참고!$B$31:$B$130,"&lt;="&amp;A268))*참고!$D$31:$D$130)/100,0),0)</f>
        <v>0</v>
      </c>
      <c r="L268" s="31" t="str">
        <f t="shared" si="14"/>
        <v/>
      </c>
      <c r="M268" s="39"/>
    </row>
    <row r="269" spans="1:13" ht="18" customHeight="1" x14ac:dyDescent="0.45">
      <c r="A269" s="37"/>
      <c r="B269" s="29"/>
      <c r="C269" s="29"/>
      <c r="D269" s="28"/>
      <c r="E269" s="30" t="str">
        <f>IFERROR(VLOOKUP(D269,KRX종목마스터!$A:$B,2,FALSE),"")</f>
        <v/>
      </c>
      <c r="F269" s="42"/>
      <c r="G269" s="42"/>
      <c r="H269" s="31" t="str">
        <f t="shared" si="12"/>
        <v/>
      </c>
      <c r="I269" s="43">
        <f ca="1">IFERROR(SUMPRODUCT((참고!$A$31:$A$130=C269)*(참고!$B$31:$B$130&lt;=A269)*(참고!$B$31:$B$130=_xludf.MAXIFS(참고!$B$31:$B$130,참고!$A$31:$A$130,C269,참고!$B$31:$B$130,"&lt;="&amp;A269))*참고!$C$31:$C$130)/100,0)</f>
        <v>0</v>
      </c>
      <c r="J269" s="31" t="str">
        <f t="shared" si="13"/>
        <v/>
      </c>
      <c r="K269" s="43">
        <f>IF(B269="매도",IFERROR(SUMPRODUCT((참고!$A$31:$A$130=C269)*(참고!$B$31:$B$130&lt;=A269)*(참고!$B$31:$B$130=_xludf.MAXIFS(참고!$B$31:$B$130,참고!$A$31:$A$130,C269,참고!$B$31:$B$130,"&lt;="&amp;A269))*참고!$D$31:$D$130)/100,0),0)</f>
        <v>0</v>
      </c>
      <c r="L269" s="31" t="str">
        <f t="shared" si="14"/>
        <v/>
      </c>
      <c r="M269" s="39"/>
    </row>
    <row r="270" spans="1:13" ht="18" customHeight="1" x14ac:dyDescent="0.45">
      <c r="A270" s="37"/>
      <c r="B270" s="29"/>
      <c r="C270" s="29"/>
      <c r="D270" s="28"/>
      <c r="E270" s="30" t="str">
        <f>IFERROR(VLOOKUP(D270,KRX종목마스터!$A:$B,2,FALSE),"")</f>
        <v/>
      </c>
      <c r="F270" s="42"/>
      <c r="G270" s="42"/>
      <c r="H270" s="31" t="str">
        <f t="shared" si="12"/>
        <v/>
      </c>
      <c r="I270" s="43">
        <f ca="1">IFERROR(SUMPRODUCT((참고!$A$31:$A$130=C270)*(참고!$B$31:$B$130&lt;=A270)*(참고!$B$31:$B$130=_xludf.MAXIFS(참고!$B$31:$B$130,참고!$A$31:$A$130,C270,참고!$B$31:$B$130,"&lt;="&amp;A270))*참고!$C$31:$C$130)/100,0)</f>
        <v>0</v>
      </c>
      <c r="J270" s="31" t="str">
        <f t="shared" si="13"/>
        <v/>
      </c>
      <c r="K270" s="43">
        <f>IF(B270="매도",IFERROR(SUMPRODUCT((참고!$A$31:$A$130=C270)*(참고!$B$31:$B$130&lt;=A270)*(참고!$B$31:$B$130=_xludf.MAXIFS(참고!$B$31:$B$130,참고!$A$31:$A$130,C270,참고!$B$31:$B$130,"&lt;="&amp;A270))*참고!$D$31:$D$130)/100,0),0)</f>
        <v>0</v>
      </c>
      <c r="L270" s="31" t="str">
        <f t="shared" si="14"/>
        <v/>
      </c>
      <c r="M270" s="39"/>
    </row>
    <row r="271" spans="1:13" ht="18" customHeight="1" x14ac:dyDescent="0.45">
      <c r="A271" s="37"/>
      <c r="B271" s="29"/>
      <c r="C271" s="29"/>
      <c r="D271" s="28"/>
      <c r="E271" s="30" t="str">
        <f>IFERROR(VLOOKUP(D271,KRX종목마스터!$A:$B,2,FALSE),"")</f>
        <v/>
      </c>
      <c r="F271" s="42"/>
      <c r="G271" s="42"/>
      <c r="H271" s="31" t="str">
        <f t="shared" si="12"/>
        <v/>
      </c>
      <c r="I271" s="43">
        <f ca="1">IFERROR(SUMPRODUCT((참고!$A$31:$A$130=C271)*(참고!$B$31:$B$130&lt;=A271)*(참고!$B$31:$B$130=_xludf.MAXIFS(참고!$B$31:$B$130,참고!$A$31:$A$130,C271,참고!$B$31:$B$130,"&lt;="&amp;A271))*참고!$C$31:$C$130)/100,0)</f>
        <v>0</v>
      </c>
      <c r="J271" s="31" t="str">
        <f t="shared" si="13"/>
        <v/>
      </c>
      <c r="K271" s="43">
        <f>IF(B271="매도",IFERROR(SUMPRODUCT((참고!$A$31:$A$130=C271)*(참고!$B$31:$B$130&lt;=A271)*(참고!$B$31:$B$130=_xludf.MAXIFS(참고!$B$31:$B$130,참고!$A$31:$A$130,C271,참고!$B$31:$B$130,"&lt;="&amp;A271))*참고!$D$31:$D$130)/100,0),0)</f>
        <v>0</v>
      </c>
      <c r="L271" s="31" t="str">
        <f t="shared" si="14"/>
        <v/>
      </c>
      <c r="M271" s="39"/>
    </row>
    <row r="272" spans="1:13" ht="18" customHeight="1" x14ac:dyDescent="0.45">
      <c r="A272" s="37"/>
      <c r="B272" s="29"/>
      <c r="C272" s="29"/>
      <c r="D272" s="28"/>
      <c r="E272" s="30" t="str">
        <f>IFERROR(VLOOKUP(D272,KRX종목마스터!$A:$B,2,FALSE),"")</f>
        <v/>
      </c>
      <c r="F272" s="42"/>
      <c r="G272" s="42"/>
      <c r="H272" s="31" t="str">
        <f t="shared" si="12"/>
        <v/>
      </c>
      <c r="I272" s="43">
        <f ca="1">IFERROR(SUMPRODUCT((참고!$A$31:$A$130=C272)*(참고!$B$31:$B$130&lt;=A272)*(참고!$B$31:$B$130=_xludf.MAXIFS(참고!$B$31:$B$130,참고!$A$31:$A$130,C272,참고!$B$31:$B$130,"&lt;="&amp;A272))*참고!$C$31:$C$130)/100,0)</f>
        <v>0</v>
      </c>
      <c r="J272" s="31" t="str">
        <f t="shared" si="13"/>
        <v/>
      </c>
      <c r="K272" s="43">
        <f>IF(B272="매도",IFERROR(SUMPRODUCT((참고!$A$31:$A$130=C272)*(참고!$B$31:$B$130&lt;=A272)*(참고!$B$31:$B$130=_xludf.MAXIFS(참고!$B$31:$B$130,참고!$A$31:$A$130,C272,참고!$B$31:$B$130,"&lt;="&amp;A272))*참고!$D$31:$D$130)/100,0),0)</f>
        <v>0</v>
      </c>
      <c r="L272" s="31" t="str">
        <f t="shared" si="14"/>
        <v/>
      </c>
      <c r="M272" s="39"/>
    </row>
    <row r="273" spans="1:13" ht="18" customHeight="1" x14ac:dyDescent="0.45">
      <c r="A273" s="37"/>
      <c r="B273" s="29"/>
      <c r="C273" s="29"/>
      <c r="D273" s="28"/>
      <c r="E273" s="30" t="str">
        <f>IFERROR(VLOOKUP(D273,KRX종목마스터!$A:$B,2,FALSE),"")</f>
        <v/>
      </c>
      <c r="F273" s="42"/>
      <c r="G273" s="42"/>
      <c r="H273" s="31" t="str">
        <f t="shared" si="12"/>
        <v/>
      </c>
      <c r="I273" s="43">
        <f ca="1">IFERROR(SUMPRODUCT((참고!$A$31:$A$130=C273)*(참고!$B$31:$B$130&lt;=A273)*(참고!$B$31:$B$130=_xludf.MAXIFS(참고!$B$31:$B$130,참고!$A$31:$A$130,C273,참고!$B$31:$B$130,"&lt;="&amp;A273))*참고!$C$31:$C$130)/100,0)</f>
        <v>0</v>
      </c>
      <c r="J273" s="31" t="str">
        <f t="shared" si="13"/>
        <v/>
      </c>
      <c r="K273" s="43">
        <f>IF(B273="매도",IFERROR(SUMPRODUCT((참고!$A$31:$A$130=C273)*(참고!$B$31:$B$130&lt;=A273)*(참고!$B$31:$B$130=_xludf.MAXIFS(참고!$B$31:$B$130,참고!$A$31:$A$130,C273,참고!$B$31:$B$130,"&lt;="&amp;A273))*참고!$D$31:$D$130)/100,0),0)</f>
        <v>0</v>
      </c>
      <c r="L273" s="31" t="str">
        <f t="shared" si="14"/>
        <v/>
      </c>
      <c r="M273" s="39"/>
    </row>
    <row r="274" spans="1:13" ht="18" customHeight="1" x14ac:dyDescent="0.45">
      <c r="A274" s="37"/>
      <c r="B274" s="29"/>
      <c r="C274" s="29"/>
      <c r="D274" s="28"/>
      <c r="E274" s="30" t="str">
        <f>IFERROR(VLOOKUP(D274,KRX종목마스터!$A:$B,2,FALSE),"")</f>
        <v/>
      </c>
      <c r="F274" s="42"/>
      <c r="G274" s="42"/>
      <c r="H274" s="31" t="str">
        <f t="shared" si="12"/>
        <v/>
      </c>
      <c r="I274" s="43">
        <f ca="1">IFERROR(SUMPRODUCT((참고!$A$31:$A$130=C274)*(참고!$B$31:$B$130&lt;=A274)*(참고!$B$31:$B$130=_xludf.MAXIFS(참고!$B$31:$B$130,참고!$A$31:$A$130,C274,참고!$B$31:$B$130,"&lt;="&amp;A274))*참고!$C$31:$C$130)/100,0)</f>
        <v>0</v>
      </c>
      <c r="J274" s="31" t="str">
        <f t="shared" si="13"/>
        <v/>
      </c>
      <c r="K274" s="43">
        <f>IF(B274="매도",IFERROR(SUMPRODUCT((참고!$A$31:$A$130=C274)*(참고!$B$31:$B$130&lt;=A274)*(참고!$B$31:$B$130=_xludf.MAXIFS(참고!$B$31:$B$130,참고!$A$31:$A$130,C274,참고!$B$31:$B$130,"&lt;="&amp;A274))*참고!$D$31:$D$130)/100,0),0)</f>
        <v>0</v>
      </c>
      <c r="L274" s="31" t="str">
        <f t="shared" si="14"/>
        <v/>
      </c>
      <c r="M274" s="39"/>
    </row>
    <row r="275" spans="1:13" ht="18" customHeight="1" x14ac:dyDescent="0.45">
      <c r="A275" s="37"/>
      <c r="B275" s="29"/>
      <c r="C275" s="29"/>
      <c r="D275" s="28"/>
      <c r="E275" s="30" t="str">
        <f>IFERROR(VLOOKUP(D275,KRX종목마스터!$A:$B,2,FALSE),"")</f>
        <v/>
      </c>
      <c r="F275" s="42"/>
      <c r="G275" s="42"/>
      <c r="H275" s="31" t="str">
        <f t="shared" si="12"/>
        <v/>
      </c>
      <c r="I275" s="43">
        <f ca="1">IFERROR(SUMPRODUCT((참고!$A$31:$A$130=C275)*(참고!$B$31:$B$130&lt;=A275)*(참고!$B$31:$B$130=_xludf.MAXIFS(참고!$B$31:$B$130,참고!$A$31:$A$130,C275,참고!$B$31:$B$130,"&lt;="&amp;A275))*참고!$C$31:$C$130)/100,0)</f>
        <v>0</v>
      </c>
      <c r="J275" s="31" t="str">
        <f t="shared" si="13"/>
        <v/>
      </c>
      <c r="K275" s="43">
        <f>IF(B275="매도",IFERROR(SUMPRODUCT((참고!$A$31:$A$130=C275)*(참고!$B$31:$B$130&lt;=A275)*(참고!$B$31:$B$130=_xludf.MAXIFS(참고!$B$31:$B$130,참고!$A$31:$A$130,C275,참고!$B$31:$B$130,"&lt;="&amp;A275))*참고!$D$31:$D$130)/100,0),0)</f>
        <v>0</v>
      </c>
      <c r="L275" s="31" t="str">
        <f t="shared" si="14"/>
        <v/>
      </c>
      <c r="M275" s="39"/>
    </row>
    <row r="276" spans="1:13" ht="18" customHeight="1" x14ac:dyDescent="0.45">
      <c r="A276" s="37"/>
      <c r="B276" s="29"/>
      <c r="C276" s="29"/>
      <c r="D276" s="28"/>
      <c r="E276" s="30" t="str">
        <f>IFERROR(VLOOKUP(D276,KRX종목마스터!$A:$B,2,FALSE),"")</f>
        <v/>
      </c>
      <c r="F276" s="42"/>
      <c r="G276" s="42"/>
      <c r="H276" s="31" t="str">
        <f t="shared" si="12"/>
        <v/>
      </c>
      <c r="I276" s="43">
        <f ca="1">IFERROR(SUMPRODUCT((참고!$A$31:$A$130=C276)*(참고!$B$31:$B$130&lt;=A276)*(참고!$B$31:$B$130=_xludf.MAXIFS(참고!$B$31:$B$130,참고!$A$31:$A$130,C276,참고!$B$31:$B$130,"&lt;="&amp;A276))*참고!$C$31:$C$130)/100,0)</f>
        <v>0</v>
      </c>
      <c r="J276" s="31" t="str">
        <f t="shared" si="13"/>
        <v/>
      </c>
      <c r="K276" s="43">
        <f>IF(B276="매도",IFERROR(SUMPRODUCT((참고!$A$31:$A$130=C276)*(참고!$B$31:$B$130&lt;=A276)*(참고!$B$31:$B$130=_xludf.MAXIFS(참고!$B$31:$B$130,참고!$A$31:$A$130,C276,참고!$B$31:$B$130,"&lt;="&amp;A276))*참고!$D$31:$D$130)/100,0),0)</f>
        <v>0</v>
      </c>
      <c r="L276" s="31" t="str">
        <f t="shared" si="14"/>
        <v/>
      </c>
      <c r="M276" s="39"/>
    </row>
    <row r="277" spans="1:13" ht="18" customHeight="1" x14ac:dyDescent="0.45">
      <c r="A277" s="37"/>
      <c r="B277" s="29"/>
      <c r="C277" s="29"/>
      <c r="D277" s="28"/>
      <c r="E277" s="30" t="str">
        <f>IFERROR(VLOOKUP(D277,KRX종목마스터!$A:$B,2,FALSE),"")</f>
        <v/>
      </c>
      <c r="F277" s="42"/>
      <c r="G277" s="42"/>
      <c r="H277" s="31" t="str">
        <f t="shared" si="12"/>
        <v/>
      </c>
      <c r="I277" s="43">
        <f ca="1">IFERROR(SUMPRODUCT((참고!$A$31:$A$130=C277)*(참고!$B$31:$B$130&lt;=A277)*(참고!$B$31:$B$130=_xludf.MAXIFS(참고!$B$31:$B$130,참고!$A$31:$A$130,C277,참고!$B$31:$B$130,"&lt;="&amp;A277))*참고!$C$31:$C$130)/100,0)</f>
        <v>0</v>
      </c>
      <c r="J277" s="31" t="str">
        <f t="shared" si="13"/>
        <v/>
      </c>
      <c r="K277" s="43">
        <f>IF(B277="매도",IFERROR(SUMPRODUCT((참고!$A$31:$A$130=C277)*(참고!$B$31:$B$130&lt;=A277)*(참고!$B$31:$B$130=_xludf.MAXIFS(참고!$B$31:$B$130,참고!$A$31:$A$130,C277,참고!$B$31:$B$130,"&lt;="&amp;A277))*참고!$D$31:$D$130)/100,0),0)</f>
        <v>0</v>
      </c>
      <c r="L277" s="31" t="str">
        <f t="shared" si="14"/>
        <v/>
      </c>
      <c r="M277" s="39"/>
    </row>
    <row r="278" spans="1:13" ht="18" customHeight="1" x14ac:dyDescent="0.45">
      <c r="A278" s="37"/>
      <c r="B278" s="29"/>
      <c r="C278" s="29"/>
      <c r="D278" s="28"/>
      <c r="E278" s="30" t="str">
        <f>IFERROR(VLOOKUP(D278,KRX종목마스터!$A:$B,2,FALSE),"")</f>
        <v/>
      </c>
      <c r="F278" s="42"/>
      <c r="G278" s="42"/>
      <c r="H278" s="31" t="str">
        <f t="shared" si="12"/>
        <v/>
      </c>
      <c r="I278" s="43">
        <f ca="1">IFERROR(SUMPRODUCT((참고!$A$31:$A$130=C278)*(참고!$B$31:$B$130&lt;=A278)*(참고!$B$31:$B$130=_xludf.MAXIFS(참고!$B$31:$B$130,참고!$A$31:$A$130,C278,참고!$B$31:$B$130,"&lt;="&amp;A278))*참고!$C$31:$C$130)/100,0)</f>
        <v>0</v>
      </c>
      <c r="J278" s="31" t="str">
        <f t="shared" si="13"/>
        <v/>
      </c>
      <c r="K278" s="43">
        <f>IF(B278="매도",IFERROR(SUMPRODUCT((참고!$A$31:$A$130=C278)*(참고!$B$31:$B$130&lt;=A278)*(참고!$B$31:$B$130=_xludf.MAXIFS(참고!$B$31:$B$130,참고!$A$31:$A$130,C278,참고!$B$31:$B$130,"&lt;="&amp;A278))*참고!$D$31:$D$130)/100,0),0)</f>
        <v>0</v>
      </c>
      <c r="L278" s="31" t="str">
        <f t="shared" si="14"/>
        <v/>
      </c>
      <c r="M278" s="39"/>
    </row>
    <row r="279" spans="1:13" ht="18" customHeight="1" x14ac:dyDescent="0.45">
      <c r="A279" s="37"/>
      <c r="B279" s="29"/>
      <c r="C279" s="29"/>
      <c r="D279" s="28"/>
      <c r="E279" s="30" t="str">
        <f>IFERROR(VLOOKUP(D279,KRX종목마스터!$A:$B,2,FALSE),"")</f>
        <v/>
      </c>
      <c r="F279" s="42"/>
      <c r="G279" s="42"/>
      <c r="H279" s="31" t="str">
        <f t="shared" si="12"/>
        <v/>
      </c>
      <c r="I279" s="43">
        <f ca="1">IFERROR(SUMPRODUCT((참고!$A$31:$A$130=C279)*(참고!$B$31:$B$130&lt;=A279)*(참고!$B$31:$B$130=_xludf.MAXIFS(참고!$B$31:$B$130,참고!$A$31:$A$130,C279,참고!$B$31:$B$130,"&lt;="&amp;A279))*참고!$C$31:$C$130)/100,0)</f>
        <v>0</v>
      </c>
      <c r="J279" s="31" t="str">
        <f t="shared" si="13"/>
        <v/>
      </c>
      <c r="K279" s="43">
        <f>IF(B279="매도",IFERROR(SUMPRODUCT((참고!$A$31:$A$130=C279)*(참고!$B$31:$B$130&lt;=A279)*(참고!$B$31:$B$130=_xludf.MAXIFS(참고!$B$31:$B$130,참고!$A$31:$A$130,C279,참고!$B$31:$B$130,"&lt;="&amp;A279))*참고!$D$31:$D$130)/100,0),0)</f>
        <v>0</v>
      </c>
      <c r="L279" s="31" t="str">
        <f t="shared" si="14"/>
        <v/>
      </c>
      <c r="M279" s="39"/>
    </row>
    <row r="280" spans="1:13" ht="18" customHeight="1" x14ac:dyDescent="0.45">
      <c r="A280" s="37"/>
      <c r="B280" s="29"/>
      <c r="C280" s="29"/>
      <c r="D280" s="28"/>
      <c r="E280" s="30" t="str">
        <f>IFERROR(VLOOKUP(D280,KRX종목마스터!$A:$B,2,FALSE),"")</f>
        <v/>
      </c>
      <c r="F280" s="42"/>
      <c r="G280" s="42"/>
      <c r="H280" s="31" t="str">
        <f t="shared" si="12"/>
        <v/>
      </c>
      <c r="I280" s="43">
        <f ca="1">IFERROR(SUMPRODUCT((참고!$A$31:$A$130=C280)*(참고!$B$31:$B$130&lt;=A280)*(참고!$B$31:$B$130=_xludf.MAXIFS(참고!$B$31:$B$130,참고!$A$31:$A$130,C280,참고!$B$31:$B$130,"&lt;="&amp;A280))*참고!$C$31:$C$130)/100,0)</f>
        <v>0</v>
      </c>
      <c r="J280" s="31" t="str">
        <f t="shared" si="13"/>
        <v/>
      </c>
      <c r="K280" s="43">
        <f>IF(B280="매도",IFERROR(SUMPRODUCT((참고!$A$31:$A$130=C280)*(참고!$B$31:$B$130&lt;=A280)*(참고!$B$31:$B$130=_xludf.MAXIFS(참고!$B$31:$B$130,참고!$A$31:$A$130,C280,참고!$B$31:$B$130,"&lt;="&amp;A280))*참고!$D$31:$D$130)/100,0),0)</f>
        <v>0</v>
      </c>
      <c r="L280" s="31" t="str">
        <f t="shared" si="14"/>
        <v/>
      </c>
      <c r="M280" s="39"/>
    </row>
    <row r="281" spans="1:13" ht="18" customHeight="1" x14ac:dyDescent="0.45">
      <c r="A281" s="37"/>
      <c r="B281" s="29"/>
      <c r="C281" s="29"/>
      <c r="D281" s="28"/>
      <c r="E281" s="30" t="str">
        <f>IFERROR(VLOOKUP(D281,KRX종목마스터!$A:$B,2,FALSE),"")</f>
        <v/>
      </c>
      <c r="F281" s="42"/>
      <c r="G281" s="42"/>
      <c r="H281" s="31" t="str">
        <f t="shared" si="12"/>
        <v/>
      </c>
      <c r="I281" s="43">
        <f ca="1">IFERROR(SUMPRODUCT((참고!$A$31:$A$130=C281)*(참고!$B$31:$B$130&lt;=A281)*(참고!$B$31:$B$130=_xludf.MAXIFS(참고!$B$31:$B$130,참고!$A$31:$A$130,C281,참고!$B$31:$B$130,"&lt;="&amp;A281))*참고!$C$31:$C$130)/100,0)</f>
        <v>0</v>
      </c>
      <c r="J281" s="31" t="str">
        <f t="shared" si="13"/>
        <v/>
      </c>
      <c r="K281" s="43">
        <f>IF(B281="매도",IFERROR(SUMPRODUCT((참고!$A$31:$A$130=C281)*(참고!$B$31:$B$130&lt;=A281)*(참고!$B$31:$B$130=_xludf.MAXIFS(참고!$B$31:$B$130,참고!$A$31:$A$130,C281,참고!$B$31:$B$130,"&lt;="&amp;A281))*참고!$D$31:$D$130)/100,0),0)</f>
        <v>0</v>
      </c>
      <c r="L281" s="31" t="str">
        <f t="shared" si="14"/>
        <v/>
      </c>
      <c r="M281" s="39"/>
    </row>
    <row r="282" spans="1:13" ht="18" customHeight="1" x14ac:dyDescent="0.45">
      <c r="A282" s="37"/>
      <c r="B282" s="29"/>
      <c r="C282" s="29"/>
      <c r="D282" s="28"/>
      <c r="E282" s="30" t="str">
        <f>IFERROR(VLOOKUP(D282,KRX종목마스터!$A:$B,2,FALSE),"")</f>
        <v/>
      </c>
      <c r="F282" s="42"/>
      <c r="G282" s="42"/>
      <c r="H282" s="31" t="str">
        <f t="shared" si="12"/>
        <v/>
      </c>
      <c r="I282" s="43">
        <f ca="1">IFERROR(SUMPRODUCT((참고!$A$31:$A$130=C282)*(참고!$B$31:$B$130&lt;=A282)*(참고!$B$31:$B$130=_xludf.MAXIFS(참고!$B$31:$B$130,참고!$A$31:$A$130,C282,참고!$B$31:$B$130,"&lt;="&amp;A282))*참고!$C$31:$C$130)/100,0)</f>
        <v>0</v>
      </c>
      <c r="J282" s="31" t="str">
        <f t="shared" si="13"/>
        <v/>
      </c>
      <c r="K282" s="43">
        <f>IF(B282="매도",IFERROR(SUMPRODUCT((참고!$A$31:$A$130=C282)*(참고!$B$31:$B$130&lt;=A282)*(참고!$B$31:$B$130=_xludf.MAXIFS(참고!$B$31:$B$130,참고!$A$31:$A$130,C282,참고!$B$31:$B$130,"&lt;="&amp;A282))*참고!$D$31:$D$130)/100,0),0)</f>
        <v>0</v>
      </c>
      <c r="L282" s="31" t="str">
        <f t="shared" si="14"/>
        <v/>
      </c>
      <c r="M282" s="39"/>
    </row>
    <row r="283" spans="1:13" ht="18" customHeight="1" x14ac:dyDescent="0.45">
      <c r="A283" s="37"/>
      <c r="B283" s="29"/>
      <c r="C283" s="29"/>
      <c r="D283" s="28"/>
      <c r="E283" s="30" t="str">
        <f>IFERROR(VLOOKUP(D283,KRX종목마스터!$A:$B,2,FALSE),"")</f>
        <v/>
      </c>
      <c r="F283" s="42"/>
      <c r="G283" s="42"/>
      <c r="H283" s="31" t="str">
        <f t="shared" si="12"/>
        <v/>
      </c>
      <c r="I283" s="43">
        <f ca="1">IFERROR(SUMPRODUCT((참고!$A$31:$A$130=C283)*(참고!$B$31:$B$130&lt;=A283)*(참고!$B$31:$B$130=_xludf.MAXIFS(참고!$B$31:$B$130,참고!$A$31:$A$130,C283,참고!$B$31:$B$130,"&lt;="&amp;A283))*참고!$C$31:$C$130)/100,0)</f>
        <v>0</v>
      </c>
      <c r="J283" s="31" t="str">
        <f t="shared" si="13"/>
        <v/>
      </c>
      <c r="K283" s="43">
        <f>IF(B283="매도",IFERROR(SUMPRODUCT((참고!$A$31:$A$130=C283)*(참고!$B$31:$B$130&lt;=A283)*(참고!$B$31:$B$130=_xludf.MAXIFS(참고!$B$31:$B$130,참고!$A$31:$A$130,C283,참고!$B$31:$B$130,"&lt;="&amp;A283))*참고!$D$31:$D$130)/100,0),0)</f>
        <v>0</v>
      </c>
      <c r="L283" s="31" t="str">
        <f t="shared" si="14"/>
        <v/>
      </c>
      <c r="M283" s="39"/>
    </row>
    <row r="284" spans="1:13" ht="18" customHeight="1" x14ac:dyDescent="0.45">
      <c r="A284" s="37"/>
      <c r="B284" s="29"/>
      <c r="C284" s="29"/>
      <c r="D284" s="28"/>
      <c r="E284" s="30" t="str">
        <f>IFERROR(VLOOKUP(D284,KRX종목마스터!$A:$B,2,FALSE),"")</f>
        <v/>
      </c>
      <c r="F284" s="42"/>
      <c r="G284" s="42"/>
      <c r="H284" s="31" t="str">
        <f t="shared" si="12"/>
        <v/>
      </c>
      <c r="I284" s="43">
        <f ca="1">IFERROR(SUMPRODUCT((참고!$A$31:$A$130=C284)*(참고!$B$31:$B$130&lt;=A284)*(참고!$B$31:$B$130=_xludf.MAXIFS(참고!$B$31:$B$130,참고!$A$31:$A$130,C284,참고!$B$31:$B$130,"&lt;="&amp;A284))*참고!$C$31:$C$130)/100,0)</f>
        <v>0</v>
      </c>
      <c r="J284" s="31" t="str">
        <f t="shared" si="13"/>
        <v/>
      </c>
      <c r="K284" s="43">
        <f>IF(B284="매도",IFERROR(SUMPRODUCT((참고!$A$31:$A$130=C284)*(참고!$B$31:$B$130&lt;=A284)*(참고!$B$31:$B$130=_xludf.MAXIFS(참고!$B$31:$B$130,참고!$A$31:$A$130,C284,참고!$B$31:$B$130,"&lt;="&amp;A284))*참고!$D$31:$D$130)/100,0),0)</f>
        <v>0</v>
      </c>
      <c r="L284" s="31" t="str">
        <f t="shared" si="14"/>
        <v/>
      </c>
      <c r="M284" s="39"/>
    </row>
    <row r="285" spans="1:13" ht="18" customHeight="1" x14ac:dyDescent="0.45">
      <c r="A285" s="37"/>
      <c r="B285" s="29"/>
      <c r="C285" s="29"/>
      <c r="D285" s="28"/>
      <c r="E285" s="30" t="str">
        <f>IFERROR(VLOOKUP(D285,KRX종목마스터!$A:$B,2,FALSE),"")</f>
        <v/>
      </c>
      <c r="F285" s="42"/>
      <c r="G285" s="42"/>
      <c r="H285" s="31" t="str">
        <f t="shared" si="12"/>
        <v/>
      </c>
      <c r="I285" s="43">
        <f ca="1">IFERROR(SUMPRODUCT((참고!$A$31:$A$130=C285)*(참고!$B$31:$B$130&lt;=A285)*(참고!$B$31:$B$130=_xludf.MAXIFS(참고!$B$31:$B$130,참고!$A$31:$A$130,C285,참고!$B$31:$B$130,"&lt;="&amp;A285))*참고!$C$31:$C$130)/100,0)</f>
        <v>0</v>
      </c>
      <c r="J285" s="31" t="str">
        <f t="shared" si="13"/>
        <v/>
      </c>
      <c r="K285" s="43">
        <f>IF(B285="매도",IFERROR(SUMPRODUCT((참고!$A$31:$A$130=C285)*(참고!$B$31:$B$130&lt;=A285)*(참고!$B$31:$B$130=_xludf.MAXIFS(참고!$B$31:$B$130,참고!$A$31:$A$130,C285,참고!$B$31:$B$130,"&lt;="&amp;A285))*참고!$D$31:$D$130)/100,0),0)</f>
        <v>0</v>
      </c>
      <c r="L285" s="31" t="str">
        <f t="shared" si="14"/>
        <v/>
      </c>
      <c r="M285" s="39"/>
    </row>
    <row r="286" spans="1:13" ht="18" customHeight="1" x14ac:dyDescent="0.45">
      <c r="A286" s="37"/>
      <c r="B286" s="29"/>
      <c r="C286" s="29"/>
      <c r="D286" s="28"/>
      <c r="E286" s="30" t="str">
        <f>IFERROR(VLOOKUP(D286,KRX종목마스터!$A:$B,2,FALSE),"")</f>
        <v/>
      </c>
      <c r="F286" s="42"/>
      <c r="G286" s="42"/>
      <c r="H286" s="31" t="str">
        <f t="shared" si="12"/>
        <v/>
      </c>
      <c r="I286" s="43">
        <f ca="1">IFERROR(SUMPRODUCT((참고!$A$31:$A$130=C286)*(참고!$B$31:$B$130&lt;=A286)*(참고!$B$31:$B$130=_xludf.MAXIFS(참고!$B$31:$B$130,참고!$A$31:$A$130,C286,참고!$B$31:$B$130,"&lt;="&amp;A286))*참고!$C$31:$C$130)/100,0)</f>
        <v>0</v>
      </c>
      <c r="J286" s="31" t="str">
        <f t="shared" si="13"/>
        <v/>
      </c>
      <c r="K286" s="43">
        <f>IF(B286="매도",IFERROR(SUMPRODUCT((참고!$A$31:$A$130=C286)*(참고!$B$31:$B$130&lt;=A286)*(참고!$B$31:$B$130=_xludf.MAXIFS(참고!$B$31:$B$130,참고!$A$31:$A$130,C286,참고!$B$31:$B$130,"&lt;="&amp;A286))*참고!$D$31:$D$130)/100,0),0)</f>
        <v>0</v>
      </c>
      <c r="L286" s="31" t="str">
        <f t="shared" si="14"/>
        <v/>
      </c>
      <c r="M286" s="39"/>
    </row>
    <row r="287" spans="1:13" ht="18" customHeight="1" x14ac:dyDescent="0.45">
      <c r="A287" s="37"/>
      <c r="B287" s="29"/>
      <c r="C287" s="29"/>
      <c r="D287" s="28"/>
      <c r="E287" s="30" t="str">
        <f>IFERROR(VLOOKUP(D287,KRX종목마스터!$A:$B,2,FALSE),"")</f>
        <v/>
      </c>
      <c r="F287" s="42"/>
      <c r="G287" s="42"/>
      <c r="H287" s="31" t="str">
        <f t="shared" si="12"/>
        <v/>
      </c>
      <c r="I287" s="43">
        <f ca="1">IFERROR(SUMPRODUCT((참고!$A$31:$A$130=C287)*(참고!$B$31:$B$130&lt;=A287)*(참고!$B$31:$B$130=_xludf.MAXIFS(참고!$B$31:$B$130,참고!$A$31:$A$130,C287,참고!$B$31:$B$130,"&lt;="&amp;A287))*참고!$C$31:$C$130)/100,0)</f>
        <v>0</v>
      </c>
      <c r="J287" s="31" t="str">
        <f t="shared" si="13"/>
        <v/>
      </c>
      <c r="K287" s="43">
        <f>IF(B287="매도",IFERROR(SUMPRODUCT((참고!$A$31:$A$130=C287)*(참고!$B$31:$B$130&lt;=A287)*(참고!$B$31:$B$130=_xludf.MAXIFS(참고!$B$31:$B$130,참고!$A$31:$A$130,C287,참고!$B$31:$B$130,"&lt;="&amp;A287))*참고!$D$31:$D$130)/100,0),0)</f>
        <v>0</v>
      </c>
      <c r="L287" s="31" t="str">
        <f t="shared" si="14"/>
        <v/>
      </c>
      <c r="M287" s="39"/>
    </row>
    <row r="288" spans="1:13" ht="18" customHeight="1" x14ac:dyDescent="0.45">
      <c r="A288" s="37"/>
      <c r="B288" s="29"/>
      <c r="C288" s="29"/>
      <c r="D288" s="28"/>
      <c r="E288" s="30" t="str">
        <f>IFERROR(VLOOKUP(D288,KRX종목마스터!$A:$B,2,FALSE),"")</f>
        <v/>
      </c>
      <c r="F288" s="42"/>
      <c r="G288" s="42"/>
      <c r="H288" s="31" t="str">
        <f t="shared" si="12"/>
        <v/>
      </c>
      <c r="I288" s="43">
        <f ca="1">IFERROR(SUMPRODUCT((참고!$A$31:$A$130=C288)*(참고!$B$31:$B$130&lt;=A288)*(참고!$B$31:$B$130=_xludf.MAXIFS(참고!$B$31:$B$130,참고!$A$31:$A$130,C288,참고!$B$31:$B$130,"&lt;="&amp;A288))*참고!$C$31:$C$130)/100,0)</f>
        <v>0</v>
      </c>
      <c r="J288" s="31" t="str">
        <f t="shared" si="13"/>
        <v/>
      </c>
      <c r="K288" s="43">
        <f>IF(B288="매도",IFERROR(SUMPRODUCT((참고!$A$31:$A$130=C288)*(참고!$B$31:$B$130&lt;=A288)*(참고!$B$31:$B$130=_xludf.MAXIFS(참고!$B$31:$B$130,참고!$A$31:$A$130,C288,참고!$B$31:$B$130,"&lt;="&amp;A288))*참고!$D$31:$D$130)/100,0),0)</f>
        <v>0</v>
      </c>
      <c r="L288" s="31" t="str">
        <f t="shared" si="14"/>
        <v/>
      </c>
      <c r="M288" s="39"/>
    </row>
    <row r="289" spans="1:13" ht="18" customHeight="1" x14ac:dyDescent="0.45">
      <c r="A289" s="37"/>
      <c r="B289" s="29"/>
      <c r="C289" s="29"/>
      <c r="D289" s="28"/>
      <c r="E289" s="30" t="str">
        <f>IFERROR(VLOOKUP(D289,KRX종목마스터!$A:$B,2,FALSE),"")</f>
        <v/>
      </c>
      <c r="F289" s="42"/>
      <c r="G289" s="42"/>
      <c r="H289" s="31" t="str">
        <f t="shared" si="12"/>
        <v/>
      </c>
      <c r="I289" s="43">
        <f ca="1">IFERROR(SUMPRODUCT((참고!$A$31:$A$130=C289)*(참고!$B$31:$B$130&lt;=A289)*(참고!$B$31:$B$130=_xludf.MAXIFS(참고!$B$31:$B$130,참고!$A$31:$A$130,C289,참고!$B$31:$B$130,"&lt;="&amp;A289))*참고!$C$31:$C$130)/100,0)</f>
        <v>0</v>
      </c>
      <c r="J289" s="31" t="str">
        <f t="shared" si="13"/>
        <v/>
      </c>
      <c r="K289" s="43">
        <f>IF(B289="매도",IFERROR(SUMPRODUCT((참고!$A$31:$A$130=C289)*(참고!$B$31:$B$130&lt;=A289)*(참고!$B$31:$B$130=_xludf.MAXIFS(참고!$B$31:$B$130,참고!$A$31:$A$130,C289,참고!$B$31:$B$130,"&lt;="&amp;A289))*참고!$D$31:$D$130)/100,0),0)</f>
        <v>0</v>
      </c>
      <c r="L289" s="31" t="str">
        <f t="shared" si="14"/>
        <v/>
      </c>
      <c r="M289" s="39"/>
    </row>
    <row r="290" spans="1:13" ht="18" customHeight="1" x14ac:dyDescent="0.45">
      <c r="A290" s="37"/>
      <c r="B290" s="29"/>
      <c r="C290" s="29"/>
      <c r="D290" s="28"/>
      <c r="E290" s="30" t="str">
        <f>IFERROR(VLOOKUP(D290,KRX종목마스터!$A:$B,2,FALSE),"")</f>
        <v/>
      </c>
      <c r="F290" s="42"/>
      <c r="G290" s="42"/>
      <c r="H290" s="31" t="str">
        <f t="shared" si="12"/>
        <v/>
      </c>
      <c r="I290" s="43">
        <f ca="1">IFERROR(SUMPRODUCT((참고!$A$31:$A$130=C290)*(참고!$B$31:$B$130&lt;=A290)*(참고!$B$31:$B$130=_xludf.MAXIFS(참고!$B$31:$B$130,참고!$A$31:$A$130,C290,참고!$B$31:$B$130,"&lt;="&amp;A290))*참고!$C$31:$C$130)/100,0)</f>
        <v>0</v>
      </c>
      <c r="J290" s="31" t="str">
        <f t="shared" si="13"/>
        <v/>
      </c>
      <c r="K290" s="43">
        <f>IF(B290="매도",IFERROR(SUMPRODUCT((참고!$A$31:$A$130=C290)*(참고!$B$31:$B$130&lt;=A290)*(참고!$B$31:$B$130=_xludf.MAXIFS(참고!$B$31:$B$130,참고!$A$31:$A$130,C290,참고!$B$31:$B$130,"&lt;="&amp;A290))*참고!$D$31:$D$130)/100,0),0)</f>
        <v>0</v>
      </c>
      <c r="L290" s="31" t="str">
        <f t="shared" si="14"/>
        <v/>
      </c>
      <c r="M290" s="39"/>
    </row>
    <row r="291" spans="1:13" ht="18" customHeight="1" x14ac:dyDescent="0.45">
      <c r="A291" s="37"/>
      <c r="B291" s="29"/>
      <c r="C291" s="29"/>
      <c r="D291" s="28"/>
      <c r="E291" s="30" t="str">
        <f>IFERROR(VLOOKUP(D291,KRX종목마스터!$A:$B,2,FALSE),"")</f>
        <v/>
      </c>
      <c r="F291" s="42"/>
      <c r="G291" s="42"/>
      <c r="H291" s="31" t="str">
        <f t="shared" si="12"/>
        <v/>
      </c>
      <c r="I291" s="43">
        <f ca="1">IFERROR(SUMPRODUCT((참고!$A$31:$A$130=C291)*(참고!$B$31:$B$130&lt;=A291)*(참고!$B$31:$B$130=_xludf.MAXIFS(참고!$B$31:$B$130,참고!$A$31:$A$130,C291,참고!$B$31:$B$130,"&lt;="&amp;A291))*참고!$C$31:$C$130)/100,0)</f>
        <v>0</v>
      </c>
      <c r="J291" s="31" t="str">
        <f t="shared" si="13"/>
        <v/>
      </c>
      <c r="K291" s="43">
        <f>IF(B291="매도",IFERROR(SUMPRODUCT((참고!$A$31:$A$130=C291)*(참고!$B$31:$B$130&lt;=A291)*(참고!$B$31:$B$130=_xludf.MAXIFS(참고!$B$31:$B$130,참고!$A$31:$A$130,C291,참고!$B$31:$B$130,"&lt;="&amp;A291))*참고!$D$31:$D$130)/100,0),0)</f>
        <v>0</v>
      </c>
      <c r="L291" s="31" t="str">
        <f t="shared" si="14"/>
        <v/>
      </c>
      <c r="M291" s="39"/>
    </row>
    <row r="292" spans="1:13" ht="18" customHeight="1" x14ac:dyDescent="0.45">
      <c r="A292" s="37"/>
      <c r="B292" s="29"/>
      <c r="C292" s="29"/>
      <c r="D292" s="28"/>
      <c r="E292" s="30" t="str">
        <f>IFERROR(VLOOKUP(D292,KRX종목마스터!$A:$B,2,FALSE),"")</f>
        <v/>
      </c>
      <c r="F292" s="42"/>
      <c r="G292" s="42"/>
      <c r="H292" s="31" t="str">
        <f t="shared" si="12"/>
        <v/>
      </c>
      <c r="I292" s="43">
        <f ca="1">IFERROR(SUMPRODUCT((참고!$A$31:$A$130=C292)*(참고!$B$31:$B$130&lt;=A292)*(참고!$B$31:$B$130=_xludf.MAXIFS(참고!$B$31:$B$130,참고!$A$31:$A$130,C292,참고!$B$31:$B$130,"&lt;="&amp;A292))*참고!$C$31:$C$130)/100,0)</f>
        <v>0</v>
      </c>
      <c r="J292" s="31" t="str">
        <f t="shared" si="13"/>
        <v/>
      </c>
      <c r="K292" s="43">
        <f>IF(B292="매도",IFERROR(SUMPRODUCT((참고!$A$31:$A$130=C292)*(참고!$B$31:$B$130&lt;=A292)*(참고!$B$31:$B$130=_xludf.MAXIFS(참고!$B$31:$B$130,참고!$A$31:$A$130,C292,참고!$B$31:$B$130,"&lt;="&amp;A292))*참고!$D$31:$D$130)/100,0),0)</f>
        <v>0</v>
      </c>
      <c r="L292" s="31" t="str">
        <f t="shared" si="14"/>
        <v/>
      </c>
      <c r="M292" s="39"/>
    </row>
    <row r="293" spans="1:13" ht="18" customHeight="1" x14ac:dyDescent="0.45">
      <c r="A293" s="37"/>
      <c r="B293" s="29"/>
      <c r="C293" s="29"/>
      <c r="D293" s="28"/>
      <c r="E293" s="30" t="str">
        <f>IFERROR(VLOOKUP(D293,KRX종목마스터!$A:$B,2,FALSE),"")</f>
        <v/>
      </c>
      <c r="F293" s="42"/>
      <c r="G293" s="42"/>
      <c r="H293" s="31" t="str">
        <f t="shared" si="12"/>
        <v/>
      </c>
      <c r="I293" s="43">
        <f ca="1">IFERROR(SUMPRODUCT((참고!$A$31:$A$130=C293)*(참고!$B$31:$B$130&lt;=A293)*(참고!$B$31:$B$130=_xludf.MAXIFS(참고!$B$31:$B$130,참고!$A$31:$A$130,C293,참고!$B$31:$B$130,"&lt;="&amp;A293))*참고!$C$31:$C$130)/100,0)</f>
        <v>0</v>
      </c>
      <c r="J293" s="31" t="str">
        <f t="shared" si="13"/>
        <v/>
      </c>
      <c r="K293" s="43">
        <f>IF(B293="매도",IFERROR(SUMPRODUCT((참고!$A$31:$A$130=C293)*(참고!$B$31:$B$130&lt;=A293)*(참고!$B$31:$B$130=_xludf.MAXIFS(참고!$B$31:$B$130,참고!$A$31:$A$130,C293,참고!$B$31:$B$130,"&lt;="&amp;A293))*참고!$D$31:$D$130)/100,0),0)</f>
        <v>0</v>
      </c>
      <c r="L293" s="31" t="str">
        <f t="shared" si="14"/>
        <v/>
      </c>
      <c r="M293" s="39"/>
    </row>
    <row r="294" spans="1:13" ht="18" customHeight="1" x14ac:dyDescent="0.45">
      <c r="A294" s="37"/>
      <c r="B294" s="29"/>
      <c r="C294" s="29"/>
      <c r="D294" s="28"/>
      <c r="E294" s="30" t="str">
        <f>IFERROR(VLOOKUP(D294,KRX종목마스터!$A:$B,2,FALSE),"")</f>
        <v/>
      </c>
      <c r="F294" s="42"/>
      <c r="G294" s="42"/>
      <c r="H294" s="31" t="str">
        <f t="shared" si="12"/>
        <v/>
      </c>
      <c r="I294" s="43">
        <f ca="1">IFERROR(SUMPRODUCT((참고!$A$31:$A$130=C294)*(참고!$B$31:$B$130&lt;=A294)*(참고!$B$31:$B$130=_xludf.MAXIFS(참고!$B$31:$B$130,참고!$A$31:$A$130,C294,참고!$B$31:$B$130,"&lt;="&amp;A294))*참고!$C$31:$C$130)/100,0)</f>
        <v>0</v>
      </c>
      <c r="J294" s="31" t="str">
        <f t="shared" si="13"/>
        <v/>
      </c>
      <c r="K294" s="43">
        <f>IF(B294="매도",IFERROR(SUMPRODUCT((참고!$A$31:$A$130=C294)*(참고!$B$31:$B$130&lt;=A294)*(참고!$B$31:$B$130=_xludf.MAXIFS(참고!$B$31:$B$130,참고!$A$31:$A$130,C294,참고!$B$31:$B$130,"&lt;="&amp;A294))*참고!$D$31:$D$130)/100,0),0)</f>
        <v>0</v>
      </c>
      <c r="L294" s="31" t="str">
        <f t="shared" si="14"/>
        <v/>
      </c>
      <c r="M294" s="39"/>
    </row>
    <row r="295" spans="1:13" ht="18" customHeight="1" x14ac:dyDescent="0.45">
      <c r="A295" s="37"/>
      <c r="B295" s="29"/>
      <c r="C295" s="29"/>
      <c r="D295" s="28"/>
      <c r="E295" s="30" t="str">
        <f>IFERROR(VLOOKUP(D295,KRX종목마스터!$A:$B,2,FALSE),"")</f>
        <v/>
      </c>
      <c r="F295" s="42"/>
      <c r="G295" s="42"/>
      <c r="H295" s="31" t="str">
        <f t="shared" si="12"/>
        <v/>
      </c>
      <c r="I295" s="43">
        <f ca="1">IFERROR(SUMPRODUCT((참고!$A$31:$A$130=C295)*(참고!$B$31:$B$130&lt;=A295)*(참고!$B$31:$B$130=_xludf.MAXIFS(참고!$B$31:$B$130,참고!$A$31:$A$130,C295,참고!$B$31:$B$130,"&lt;="&amp;A295))*참고!$C$31:$C$130)/100,0)</f>
        <v>0</v>
      </c>
      <c r="J295" s="31" t="str">
        <f t="shared" si="13"/>
        <v/>
      </c>
      <c r="K295" s="43">
        <f>IF(B295="매도",IFERROR(SUMPRODUCT((참고!$A$31:$A$130=C295)*(참고!$B$31:$B$130&lt;=A295)*(참고!$B$31:$B$130=_xludf.MAXIFS(참고!$B$31:$B$130,참고!$A$31:$A$130,C295,참고!$B$31:$B$130,"&lt;="&amp;A295))*참고!$D$31:$D$130)/100,0),0)</f>
        <v>0</v>
      </c>
      <c r="L295" s="31" t="str">
        <f t="shared" si="14"/>
        <v/>
      </c>
      <c r="M295" s="39"/>
    </row>
    <row r="296" spans="1:13" ht="18" customHeight="1" x14ac:dyDescent="0.45">
      <c r="A296" s="37"/>
      <c r="B296" s="29"/>
      <c r="C296" s="29"/>
      <c r="D296" s="28"/>
      <c r="E296" s="30" t="str">
        <f>IFERROR(VLOOKUP(D296,KRX종목마스터!$A:$B,2,FALSE),"")</f>
        <v/>
      </c>
      <c r="F296" s="42"/>
      <c r="G296" s="42"/>
      <c r="H296" s="31" t="str">
        <f t="shared" si="12"/>
        <v/>
      </c>
      <c r="I296" s="43">
        <f ca="1">IFERROR(SUMPRODUCT((참고!$A$31:$A$130=C296)*(참고!$B$31:$B$130&lt;=A296)*(참고!$B$31:$B$130=_xludf.MAXIFS(참고!$B$31:$B$130,참고!$A$31:$A$130,C296,참고!$B$31:$B$130,"&lt;="&amp;A296))*참고!$C$31:$C$130)/100,0)</f>
        <v>0</v>
      </c>
      <c r="J296" s="31" t="str">
        <f t="shared" si="13"/>
        <v/>
      </c>
      <c r="K296" s="43">
        <f>IF(B296="매도",IFERROR(SUMPRODUCT((참고!$A$31:$A$130=C296)*(참고!$B$31:$B$130&lt;=A296)*(참고!$B$31:$B$130=_xludf.MAXIFS(참고!$B$31:$B$130,참고!$A$31:$A$130,C296,참고!$B$31:$B$130,"&lt;="&amp;A296))*참고!$D$31:$D$130)/100,0),0)</f>
        <v>0</v>
      </c>
      <c r="L296" s="31" t="str">
        <f t="shared" si="14"/>
        <v/>
      </c>
      <c r="M296" s="39"/>
    </row>
    <row r="297" spans="1:13" ht="18" customHeight="1" x14ac:dyDescent="0.45">
      <c r="A297" s="37"/>
      <c r="B297" s="29"/>
      <c r="C297" s="29"/>
      <c r="D297" s="28"/>
      <c r="E297" s="30" t="str">
        <f>IFERROR(VLOOKUP(D297,KRX종목마스터!$A:$B,2,FALSE),"")</f>
        <v/>
      </c>
      <c r="F297" s="42"/>
      <c r="G297" s="42"/>
      <c r="H297" s="31" t="str">
        <f t="shared" si="12"/>
        <v/>
      </c>
      <c r="I297" s="43">
        <f ca="1">IFERROR(SUMPRODUCT((참고!$A$31:$A$130=C297)*(참고!$B$31:$B$130&lt;=A297)*(참고!$B$31:$B$130=_xludf.MAXIFS(참고!$B$31:$B$130,참고!$A$31:$A$130,C297,참고!$B$31:$B$130,"&lt;="&amp;A297))*참고!$C$31:$C$130)/100,0)</f>
        <v>0</v>
      </c>
      <c r="J297" s="31" t="str">
        <f t="shared" si="13"/>
        <v/>
      </c>
      <c r="K297" s="43">
        <f>IF(B297="매도",IFERROR(SUMPRODUCT((참고!$A$31:$A$130=C297)*(참고!$B$31:$B$130&lt;=A297)*(참고!$B$31:$B$130=_xludf.MAXIFS(참고!$B$31:$B$130,참고!$A$31:$A$130,C297,참고!$B$31:$B$130,"&lt;="&amp;A297))*참고!$D$31:$D$130)/100,0),0)</f>
        <v>0</v>
      </c>
      <c r="L297" s="31" t="str">
        <f t="shared" si="14"/>
        <v/>
      </c>
      <c r="M297" s="39"/>
    </row>
    <row r="298" spans="1:13" ht="18" customHeight="1" x14ac:dyDescent="0.45">
      <c r="A298" s="37"/>
      <c r="B298" s="29"/>
      <c r="C298" s="29"/>
      <c r="D298" s="28"/>
      <c r="E298" s="30" t="str">
        <f>IFERROR(VLOOKUP(D298,KRX종목마스터!$A:$B,2,FALSE),"")</f>
        <v/>
      </c>
      <c r="F298" s="42"/>
      <c r="G298" s="42"/>
      <c r="H298" s="31" t="str">
        <f t="shared" si="12"/>
        <v/>
      </c>
      <c r="I298" s="43">
        <f ca="1">IFERROR(SUMPRODUCT((참고!$A$31:$A$130=C298)*(참고!$B$31:$B$130&lt;=A298)*(참고!$B$31:$B$130=_xludf.MAXIFS(참고!$B$31:$B$130,참고!$A$31:$A$130,C298,참고!$B$31:$B$130,"&lt;="&amp;A298))*참고!$C$31:$C$130)/100,0)</f>
        <v>0</v>
      </c>
      <c r="J298" s="31" t="str">
        <f t="shared" si="13"/>
        <v/>
      </c>
      <c r="K298" s="43">
        <f>IF(B298="매도",IFERROR(SUMPRODUCT((참고!$A$31:$A$130=C298)*(참고!$B$31:$B$130&lt;=A298)*(참고!$B$31:$B$130=_xludf.MAXIFS(참고!$B$31:$B$130,참고!$A$31:$A$130,C298,참고!$B$31:$B$130,"&lt;="&amp;A298))*참고!$D$31:$D$130)/100,0),0)</f>
        <v>0</v>
      </c>
      <c r="L298" s="31" t="str">
        <f t="shared" si="14"/>
        <v/>
      </c>
      <c r="M298" s="39"/>
    </row>
    <row r="299" spans="1:13" ht="18" customHeight="1" x14ac:dyDescent="0.45">
      <c r="A299" s="37"/>
      <c r="B299" s="29"/>
      <c r="C299" s="29"/>
      <c r="D299" s="28"/>
      <c r="E299" s="30" t="str">
        <f>IFERROR(VLOOKUP(D299,KRX종목마스터!$A:$B,2,FALSE),"")</f>
        <v/>
      </c>
      <c r="F299" s="42"/>
      <c r="G299" s="42"/>
      <c r="H299" s="31" t="str">
        <f t="shared" si="12"/>
        <v/>
      </c>
      <c r="I299" s="43">
        <f ca="1">IFERROR(SUMPRODUCT((참고!$A$31:$A$130=C299)*(참고!$B$31:$B$130&lt;=A299)*(참고!$B$31:$B$130=_xludf.MAXIFS(참고!$B$31:$B$130,참고!$A$31:$A$130,C299,참고!$B$31:$B$130,"&lt;="&amp;A299))*참고!$C$31:$C$130)/100,0)</f>
        <v>0</v>
      </c>
      <c r="J299" s="31" t="str">
        <f t="shared" si="13"/>
        <v/>
      </c>
      <c r="K299" s="43">
        <f>IF(B299="매도",IFERROR(SUMPRODUCT((참고!$A$31:$A$130=C299)*(참고!$B$31:$B$130&lt;=A299)*(참고!$B$31:$B$130=_xludf.MAXIFS(참고!$B$31:$B$130,참고!$A$31:$A$130,C299,참고!$B$31:$B$130,"&lt;="&amp;A299))*참고!$D$31:$D$130)/100,0),0)</f>
        <v>0</v>
      </c>
      <c r="L299" s="31" t="str">
        <f t="shared" si="14"/>
        <v/>
      </c>
      <c r="M299" s="39"/>
    </row>
    <row r="300" spans="1:13" ht="18" customHeight="1" x14ac:dyDescent="0.45">
      <c r="A300" s="37"/>
      <c r="B300" s="29"/>
      <c r="C300" s="29"/>
      <c r="D300" s="28"/>
      <c r="E300" s="30" t="str">
        <f>IFERROR(VLOOKUP(D300,KRX종목마스터!$A:$B,2,FALSE),"")</f>
        <v/>
      </c>
      <c r="F300" s="42"/>
      <c r="G300" s="42"/>
      <c r="H300" s="31" t="str">
        <f t="shared" si="12"/>
        <v/>
      </c>
      <c r="I300" s="43">
        <f ca="1">IFERROR(SUMPRODUCT((참고!$A$31:$A$130=C300)*(참고!$B$31:$B$130&lt;=A300)*(참고!$B$31:$B$130=_xludf.MAXIFS(참고!$B$31:$B$130,참고!$A$31:$A$130,C300,참고!$B$31:$B$130,"&lt;="&amp;A300))*참고!$C$31:$C$130)/100,0)</f>
        <v>0</v>
      </c>
      <c r="J300" s="31" t="str">
        <f t="shared" si="13"/>
        <v/>
      </c>
      <c r="K300" s="43">
        <f>IF(B300="매도",IFERROR(SUMPRODUCT((참고!$A$31:$A$130=C300)*(참고!$B$31:$B$130&lt;=A300)*(참고!$B$31:$B$130=_xludf.MAXIFS(참고!$B$31:$B$130,참고!$A$31:$A$130,C300,참고!$B$31:$B$130,"&lt;="&amp;A300))*참고!$D$31:$D$130)/100,0),0)</f>
        <v>0</v>
      </c>
      <c r="L300" s="31" t="str">
        <f t="shared" si="14"/>
        <v/>
      </c>
      <c r="M300" s="39"/>
    </row>
    <row r="301" spans="1:13" ht="18" customHeight="1" x14ac:dyDescent="0.45">
      <c r="A301" s="37"/>
      <c r="B301" s="29"/>
      <c r="C301" s="29"/>
      <c r="D301" s="28"/>
      <c r="E301" s="30" t="str">
        <f>IFERROR(VLOOKUP(D301,KRX종목마스터!$A:$B,2,FALSE),"")</f>
        <v/>
      </c>
      <c r="F301" s="42"/>
      <c r="G301" s="42"/>
      <c r="H301" s="31" t="str">
        <f t="shared" si="12"/>
        <v/>
      </c>
      <c r="I301" s="43">
        <f ca="1">IFERROR(SUMPRODUCT((참고!$A$31:$A$130=C301)*(참고!$B$31:$B$130&lt;=A301)*(참고!$B$31:$B$130=_xludf.MAXIFS(참고!$B$31:$B$130,참고!$A$31:$A$130,C301,참고!$B$31:$B$130,"&lt;="&amp;A301))*참고!$C$31:$C$130)/100,0)</f>
        <v>0</v>
      </c>
      <c r="J301" s="31" t="str">
        <f t="shared" si="13"/>
        <v/>
      </c>
      <c r="K301" s="43">
        <f>IF(B301="매도",IFERROR(SUMPRODUCT((참고!$A$31:$A$130=C301)*(참고!$B$31:$B$130&lt;=A301)*(참고!$B$31:$B$130=_xludf.MAXIFS(참고!$B$31:$B$130,참고!$A$31:$A$130,C301,참고!$B$31:$B$130,"&lt;="&amp;A301))*참고!$D$31:$D$130)/100,0),0)</f>
        <v>0</v>
      </c>
      <c r="L301" s="31" t="str">
        <f t="shared" si="14"/>
        <v/>
      </c>
      <c r="M301" s="39"/>
    </row>
    <row r="302" spans="1:13" ht="18" customHeight="1" x14ac:dyDescent="0.45">
      <c r="A302" s="37"/>
      <c r="B302" s="29"/>
      <c r="C302" s="29"/>
      <c r="D302" s="28"/>
      <c r="E302" s="30" t="str">
        <f>IFERROR(VLOOKUP(D302,KRX종목마스터!$A:$B,2,FALSE),"")</f>
        <v/>
      </c>
      <c r="F302" s="42"/>
      <c r="G302" s="42"/>
      <c r="H302" s="31" t="str">
        <f t="shared" si="12"/>
        <v/>
      </c>
      <c r="I302" s="43">
        <f ca="1">IFERROR(SUMPRODUCT((참고!$A$31:$A$130=C302)*(참고!$B$31:$B$130&lt;=A302)*(참고!$B$31:$B$130=_xludf.MAXIFS(참고!$B$31:$B$130,참고!$A$31:$A$130,C302,참고!$B$31:$B$130,"&lt;="&amp;A302))*참고!$C$31:$C$130)/100,0)</f>
        <v>0</v>
      </c>
      <c r="J302" s="31" t="str">
        <f t="shared" si="13"/>
        <v/>
      </c>
      <c r="K302" s="43">
        <f>IF(B302="매도",IFERROR(SUMPRODUCT((참고!$A$31:$A$130=C302)*(참고!$B$31:$B$130&lt;=A302)*(참고!$B$31:$B$130=_xludf.MAXIFS(참고!$B$31:$B$130,참고!$A$31:$A$130,C302,참고!$B$31:$B$130,"&lt;="&amp;A302))*참고!$D$31:$D$130)/100,0),0)</f>
        <v>0</v>
      </c>
      <c r="L302" s="31" t="str">
        <f t="shared" si="14"/>
        <v/>
      </c>
      <c r="M302" s="39"/>
    </row>
    <row r="303" spans="1:13" ht="18" customHeight="1" x14ac:dyDescent="0.45">
      <c r="A303" s="37"/>
      <c r="B303" s="29"/>
      <c r="C303" s="29"/>
      <c r="D303" s="28"/>
      <c r="E303" s="30" t="str">
        <f>IFERROR(VLOOKUP(D303,KRX종목마스터!$A:$B,2,FALSE),"")</f>
        <v/>
      </c>
      <c r="F303" s="42"/>
      <c r="G303" s="42"/>
      <c r="H303" s="31" t="str">
        <f t="shared" si="12"/>
        <v/>
      </c>
      <c r="I303" s="43">
        <f ca="1">IFERROR(SUMPRODUCT((참고!$A$31:$A$130=C303)*(참고!$B$31:$B$130&lt;=A303)*(참고!$B$31:$B$130=_xludf.MAXIFS(참고!$B$31:$B$130,참고!$A$31:$A$130,C303,참고!$B$31:$B$130,"&lt;="&amp;A303))*참고!$C$31:$C$130)/100,0)</f>
        <v>0</v>
      </c>
      <c r="J303" s="31" t="str">
        <f t="shared" si="13"/>
        <v/>
      </c>
      <c r="K303" s="43">
        <f>IF(B303="매도",IFERROR(SUMPRODUCT((참고!$A$31:$A$130=C303)*(참고!$B$31:$B$130&lt;=A303)*(참고!$B$31:$B$130=_xludf.MAXIFS(참고!$B$31:$B$130,참고!$A$31:$A$130,C303,참고!$B$31:$B$130,"&lt;="&amp;A303))*참고!$D$31:$D$130)/100,0),0)</f>
        <v>0</v>
      </c>
      <c r="L303" s="31" t="str">
        <f t="shared" si="14"/>
        <v/>
      </c>
      <c r="M303" s="39"/>
    </row>
    <row r="304" spans="1:13" ht="18" customHeight="1" x14ac:dyDescent="0.45">
      <c r="A304" s="37"/>
      <c r="B304" s="29"/>
      <c r="C304" s="29"/>
      <c r="D304" s="28"/>
      <c r="E304" s="30" t="str">
        <f>IFERROR(VLOOKUP(D304,KRX종목마스터!$A:$B,2,FALSE),"")</f>
        <v/>
      </c>
      <c r="F304" s="42"/>
      <c r="G304" s="42"/>
      <c r="H304" s="31" t="str">
        <f t="shared" si="12"/>
        <v/>
      </c>
      <c r="I304" s="43">
        <f ca="1">IFERROR(SUMPRODUCT((참고!$A$31:$A$130=C304)*(참고!$B$31:$B$130&lt;=A304)*(참고!$B$31:$B$130=_xludf.MAXIFS(참고!$B$31:$B$130,참고!$A$31:$A$130,C304,참고!$B$31:$B$130,"&lt;="&amp;A304))*참고!$C$31:$C$130)/100,0)</f>
        <v>0</v>
      </c>
      <c r="J304" s="31" t="str">
        <f t="shared" si="13"/>
        <v/>
      </c>
      <c r="K304" s="43">
        <f>IF(B304="매도",IFERROR(SUMPRODUCT((참고!$A$31:$A$130=C304)*(참고!$B$31:$B$130&lt;=A304)*(참고!$B$31:$B$130=_xludf.MAXIFS(참고!$B$31:$B$130,참고!$A$31:$A$130,C304,참고!$B$31:$B$130,"&lt;="&amp;A304))*참고!$D$31:$D$130)/100,0),0)</f>
        <v>0</v>
      </c>
      <c r="L304" s="31" t="str">
        <f t="shared" si="14"/>
        <v/>
      </c>
      <c r="M304" s="39"/>
    </row>
    <row r="305" spans="1:13" ht="18" customHeight="1" x14ac:dyDescent="0.45">
      <c r="A305" s="37"/>
      <c r="B305" s="29"/>
      <c r="C305" s="29"/>
      <c r="D305" s="28"/>
      <c r="E305" s="30" t="str">
        <f>IFERROR(VLOOKUP(D305,KRX종목마스터!$A:$B,2,FALSE),"")</f>
        <v/>
      </c>
      <c r="F305" s="42"/>
      <c r="G305" s="42"/>
      <c r="H305" s="31" t="str">
        <f t="shared" si="12"/>
        <v/>
      </c>
      <c r="I305" s="43">
        <f ca="1">IFERROR(SUMPRODUCT((참고!$A$31:$A$130=C305)*(참고!$B$31:$B$130&lt;=A305)*(참고!$B$31:$B$130=_xludf.MAXIFS(참고!$B$31:$B$130,참고!$A$31:$A$130,C305,참고!$B$31:$B$130,"&lt;="&amp;A305))*참고!$C$31:$C$130)/100,0)</f>
        <v>0</v>
      </c>
      <c r="J305" s="31" t="str">
        <f t="shared" si="13"/>
        <v/>
      </c>
      <c r="K305" s="43">
        <f>IF(B305="매도",IFERROR(SUMPRODUCT((참고!$A$31:$A$130=C305)*(참고!$B$31:$B$130&lt;=A305)*(참고!$B$31:$B$130=_xludf.MAXIFS(참고!$B$31:$B$130,참고!$A$31:$A$130,C305,참고!$B$31:$B$130,"&lt;="&amp;A305))*참고!$D$31:$D$130)/100,0),0)</f>
        <v>0</v>
      </c>
      <c r="L305" s="31" t="str">
        <f t="shared" si="14"/>
        <v/>
      </c>
      <c r="M305" s="39"/>
    </row>
    <row r="306" spans="1:13" ht="18" customHeight="1" x14ac:dyDescent="0.45">
      <c r="A306" s="37"/>
      <c r="B306" s="29"/>
      <c r="C306" s="29"/>
      <c r="D306" s="28"/>
      <c r="E306" s="30" t="str">
        <f>IFERROR(VLOOKUP(D306,KRX종목마스터!$A:$B,2,FALSE),"")</f>
        <v/>
      </c>
      <c r="F306" s="42"/>
      <c r="G306" s="42"/>
      <c r="H306" s="31" t="str">
        <f t="shared" si="12"/>
        <v/>
      </c>
      <c r="I306" s="43">
        <f ca="1">IFERROR(SUMPRODUCT((참고!$A$31:$A$130=C306)*(참고!$B$31:$B$130&lt;=A306)*(참고!$B$31:$B$130=_xludf.MAXIFS(참고!$B$31:$B$130,참고!$A$31:$A$130,C306,참고!$B$31:$B$130,"&lt;="&amp;A306))*참고!$C$31:$C$130)/100,0)</f>
        <v>0</v>
      </c>
      <c r="J306" s="31" t="str">
        <f t="shared" si="13"/>
        <v/>
      </c>
      <c r="K306" s="43">
        <f>IF(B306="매도",IFERROR(SUMPRODUCT((참고!$A$31:$A$130=C306)*(참고!$B$31:$B$130&lt;=A306)*(참고!$B$31:$B$130=_xludf.MAXIFS(참고!$B$31:$B$130,참고!$A$31:$A$130,C306,참고!$B$31:$B$130,"&lt;="&amp;A306))*참고!$D$31:$D$130)/100,0),0)</f>
        <v>0</v>
      </c>
      <c r="L306" s="31" t="str">
        <f t="shared" si="14"/>
        <v/>
      </c>
      <c r="M306" s="39"/>
    </row>
    <row r="307" spans="1:13" ht="18" customHeight="1" x14ac:dyDescent="0.45">
      <c r="A307" s="37"/>
      <c r="B307" s="29"/>
      <c r="C307" s="29"/>
      <c r="D307" s="28"/>
      <c r="E307" s="30" t="str">
        <f>IFERROR(VLOOKUP(D307,KRX종목마스터!$A:$B,2,FALSE),"")</f>
        <v/>
      </c>
      <c r="F307" s="42"/>
      <c r="G307" s="42"/>
      <c r="H307" s="31" t="str">
        <f t="shared" si="12"/>
        <v/>
      </c>
      <c r="I307" s="43">
        <f ca="1">IFERROR(SUMPRODUCT((참고!$A$31:$A$130=C307)*(참고!$B$31:$B$130&lt;=A307)*(참고!$B$31:$B$130=_xludf.MAXIFS(참고!$B$31:$B$130,참고!$A$31:$A$130,C307,참고!$B$31:$B$130,"&lt;="&amp;A307))*참고!$C$31:$C$130)/100,0)</f>
        <v>0</v>
      </c>
      <c r="J307" s="31" t="str">
        <f t="shared" si="13"/>
        <v/>
      </c>
      <c r="K307" s="43">
        <f>IF(B307="매도",IFERROR(SUMPRODUCT((참고!$A$31:$A$130=C307)*(참고!$B$31:$B$130&lt;=A307)*(참고!$B$31:$B$130=_xludf.MAXIFS(참고!$B$31:$B$130,참고!$A$31:$A$130,C307,참고!$B$31:$B$130,"&lt;="&amp;A307))*참고!$D$31:$D$130)/100,0),0)</f>
        <v>0</v>
      </c>
      <c r="L307" s="31" t="str">
        <f t="shared" si="14"/>
        <v/>
      </c>
      <c r="M307" s="39"/>
    </row>
    <row r="308" spans="1:13" ht="18" customHeight="1" x14ac:dyDescent="0.45">
      <c r="A308" s="37"/>
      <c r="B308" s="29"/>
      <c r="C308" s="29"/>
      <c r="D308" s="28"/>
      <c r="E308" s="30" t="str">
        <f>IFERROR(VLOOKUP(D308,KRX종목마스터!$A:$B,2,FALSE),"")</f>
        <v/>
      </c>
      <c r="F308" s="42"/>
      <c r="G308" s="42"/>
      <c r="H308" s="31" t="str">
        <f t="shared" si="12"/>
        <v/>
      </c>
      <c r="I308" s="43">
        <f ca="1">IFERROR(SUMPRODUCT((참고!$A$31:$A$130=C308)*(참고!$B$31:$B$130&lt;=A308)*(참고!$B$31:$B$130=_xludf.MAXIFS(참고!$B$31:$B$130,참고!$A$31:$A$130,C308,참고!$B$31:$B$130,"&lt;="&amp;A308))*참고!$C$31:$C$130)/100,0)</f>
        <v>0</v>
      </c>
      <c r="J308" s="31" t="str">
        <f t="shared" si="13"/>
        <v/>
      </c>
      <c r="K308" s="43">
        <f>IF(B308="매도",IFERROR(SUMPRODUCT((참고!$A$31:$A$130=C308)*(참고!$B$31:$B$130&lt;=A308)*(참고!$B$31:$B$130=_xludf.MAXIFS(참고!$B$31:$B$130,참고!$A$31:$A$130,C308,참고!$B$31:$B$130,"&lt;="&amp;A308))*참고!$D$31:$D$130)/100,0),0)</f>
        <v>0</v>
      </c>
      <c r="L308" s="31" t="str">
        <f t="shared" si="14"/>
        <v/>
      </c>
      <c r="M308" s="39"/>
    </row>
    <row r="309" spans="1:13" ht="18" customHeight="1" x14ac:dyDescent="0.45">
      <c r="A309" s="37"/>
      <c r="B309" s="29"/>
      <c r="C309" s="29"/>
      <c r="D309" s="28"/>
      <c r="E309" s="30" t="str">
        <f>IFERROR(VLOOKUP(D309,KRX종목마스터!$A:$B,2,FALSE),"")</f>
        <v/>
      </c>
      <c r="F309" s="42"/>
      <c r="G309" s="42"/>
      <c r="H309" s="31" t="str">
        <f t="shared" si="12"/>
        <v/>
      </c>
      <c r="I309" s="43">
        <f ca="1">IFERROR(SUMPRODUCT((참고!$A$31:$A$130=C309)*(참고!$B$31:$B$130&lt;=A309)*(참고!$B$31:$B$130=_xludf.MAXIFS(참고!$B$31:$B$130,참고!$A$31:$A$130,C309,참고!$B$31:$B$130,"&lt;="&amp;A309))*참고!$C$31:$C$130)/100,0)</f>
        <v>0</v>
      </c>
      <c r="J309" s="31" t="str">
        <f t="shared" si="13"/>
        <v/>
      </c>
      <c r="K309" s="43">
        <f>IF(B309="매도",IFERROR(SUMPRODUCT((참고!$A$31:$A$130=C309)*(참고!$B$31:$B$130&lt;=A309)*(참고!$B$31:$B$130=_xludf.MAXIFS(참고!$B$31:$B$130,참고!$A$31:$A$130,C309,참고!$B$31:$B$130,"&lt;="&amp;A309))*참고!$D$31:$D$130)/100,0),0)</f>
        <v>0</v>
      </c>
      <c r="L309" s="31" t="str">
        <f t="shared" si="14"/>
        <v/>
      </c>
      <c r="M309" s="39"/>
    </row>
    <row r="310" spans="1:13" ht="18" customHeight="1" x14ac:dyDescent="0.45">
      <c r="A310" s="37"/>
      <c r="B310" s="29"/>
      <c r="C310" s="29"/>
      <c r="D310" s="28"/>
      <c r="E310" s="30" t="str">
        <f>IFERROR(VLOOKUP(D310,KRX종목마스터!$A:$B,2,FALSE),"")</f>
        <v/>
      </c>
      <c r="F310" s="42"/>
      <c r="G310" s="42"/>
      <c r="H310" s="31" t="str">
        <f t="shared" si="12"/>
        <v/>
      </c>
      <c r="I310" s="43">
        <f ca="1">IFERROR(SUMPRODUCT((참고!$A$31:$A$130=C310)*(참고!$B$31:$B$130&lt;=A310)*(참고!$B$31:$B$130=_xludf.MAXIFS(참고!$B$31:$B$130,참고!$A$31:$A$130,C310,참고!$B$31:$B$130,"&lt;="&amp;A310))*참고!$C$31:$C$130)/100,0)</f>
        <v>0</v>
      </c>
      <c r="J310" s="31" t="str">
        <f t="shared" si="13"/>
        <v/>
      </c>
      <c r="K310" s="43">
        <f>IF(B310="매도",IFERROR(SUMPRODUCT((참고!$A$31:$A$130=C310)*(참고!$B$31:$B$130&lt;=A310)*(참고!$B$31:$B$130=_xludf.MAXIFS(참고!$B$31:$B$130,참고!$A$31:$A$130,C310,참고!$B$31:$B$130,"&lt;="&amp;A310))*참고!$D$31:$D$130)/100,0),0)</f>
        <v>0</v>
      </c>
      <c r="L310" s="31" t="str">
        <f t="shared" si="14"/>
        <v/>
      </c>
      <c r="M310" s="39"/>
    </row>
    <row r="311" spans="1:13" ht="18" customHeight="1" x14ac:dyDescent="0.45">
      <c r="A311" s="37"/>
      <c r="B311" s="29"/>
      <c r="C311" s="29"/>
      <c r="D311" s="28"/>
      <c r="E311" s="30" t="str">
        <f>IFERROR(VLOOKUP(D311,KRX종목마스터!$A:$B,2,FALSE),"")</f>
        <v/>
      </c>
      <c r="F311" s="42"/>
      <c r="G311" s="42"/>
      <c r="H311" s="31" t="str">
        <f t="shared" si="12"/>
        <v/>
      </c>
      <c r="I311" s="43">
        <f ca="1">IFERROR(SUMPRODUCT((참고!$A$31:$A$130=C311)*(참고!$B$31:$B$130&lt;=A311)*(참고!$B$31:$B$130=_xludf.MAXIFS(참고!$B$31:$B$130,참고!$A$31:$A$130,C311,참고!$B$31:$B$130,"&lt;="&amp;A311))*참고!$C$31:$C$130)/100,0)</f>
        <v>0</v>
      </c>
      <c r="J311" s="31" t="str">
        <f t="shared" si="13"/>
        <v/>
      </c>
      <c r="K311" s="43">
        <f>IF(B311="매도",IFERROR(SUMPRODUCT((참고!$A$31:$A$130=C311)*(참고!$B$31:$B$130&lt;=A311)*(참고!$B$31:$B$130=_xludf.MAXIFS(참고!$B$31:$B$130,참고!$A$31:$A$130,C311,참고!$B$31:$B$130,"&lt;="&amp;A311))*참고!$D$31:$D$130)/100,0),0)</f>
        <v>0</v>
      </c>
      <c r="L311" s="31" t="str">
        <f t="shared" si="14"/>
        <v/>
      </c>
      <c r="M311" s="39"/>
    </row>
    <row r="312" spans="1:13" ht="18" customHeight="1" x14ac:dyDescent="0.45">
      <c r="A312" s="37"/>
      <c r="B312" s="29"/>
      <c r="C312" s="29"/>
      <c r="D312" s="28"/>
      <c r="E312" s="30" t="str">
        <f>IFERROR(VLOOKUP(D312,KRX종목마스터!$A:$B,2,FALSE),"")</f>
        <v/>
      </c>
      <c r="F312" s="42"/>
      <c r="G312" s="42"/>
      <c r="H312" s="31" t="str">
        <f t="shared" si="12"/>
        <v/>
      </c>
      <c r="I312" s="43">
        <f ca="1">IFERROR(SUMPRODUCT((참고!$A$31:$A$130=C312)*(참고!$B$31:$B$130&lt;=A312)*(참고!$B$31:$B$130=_xludf.MAXIFS(참고!$B$31:$B$130,참고!$A$31:$A$130,C312,참고!$B$31:$B$130,"&lt;="&amp;A312))*참고!$C$31:$C$130)/100,0)</f>
        <v>0</v>
      </c>
      <c r="J312" s="31" t="str">
        <f t="shared" si="13"/>
        <v/>
      </c>
      <c r="K312" s="43">
        <f>IF(B312="매도",IFERROR(SUMPRODUCT((참고!$A$31:$A$130=C312)*(참고!$B$31:$B$130&lt;=A312)*(참고!$B$31:$B$130=_xludf.MAXIFS(참고!$B$31:$B$130,참고!$A$31:$A$130,C312,참고!$B$31:$B$130,"&lt;="&amp;A312))*참고!$D$31:$D$130)/100,0),0)</f>
        <v>0</v>
      </c>
      <c r="L312" s="31" t="str">
        <f t="shared" si="14"/>
        <v/>
      </c>
      <c r="M312" s="39"/>
    </row>
    <row r="313" spans="1:13" ht="18" customHeight="1" x14ac:dyDescent="0.45">
      <c r="A313" s="37"/>
      <c r="B313" s="29"/>
      <c r="C313" s="29"/>
      <c r="D313" s="28"/>
      <c r="E313" s="30" t="str">
        <f>IFERROR(VLOOKUP(D313,KRX종목마스터!$A:$B,2,FALSE),"")</f>
        <v/>
      </c>
      <c r="F313" s="42"/>
      <c r="G313" s="42"/>
      <c r="H313" s="31" t="str">
        <f t="shared" si="12"/>
        <v/>
      </c>
      <c r="I313" s="43">
        <f ca="1">IFERROR(SUMPRODUCT((참고!$A$31:$A$130=C313)*(참고!$B$31:$B$130&lt;=A313)*(참고!$B$31:$B$130=_xludf.MAXIFS(참고!$B$31:$B$130,참고!$A$31:$A$130,C313,참고!$B$31:$B$130,"&lt;="&amp;A313))*참고!$C$31:$C$130)/100,0)</f>
        <v>0</v>
      </c>
      <c r="J313" s="31" t="str">
        <f t="shared" si="13"/>
        <v/>
      </c>
      <c r="K313" s="43">
        <f>IF(B313="매도",IFERROR(SUMPRODUCT((참고!$A$31:$A$130=C313)*(참고!$B$31:$B$130&lt;=A313)*(참고!$B$31:$B$130=_xludf.MAXIFS(참고!$B$31:$B$130,참고!$A$31:$A$130,C313,참고!$B$31:$B$130,"&lt;="&amp;A313))*참고!$D$31:$D$130)/100,0),0)</f>
        <v>0</v>
      </c>
      <c r="L313" s="31" t="str">
        <f t="shared" si="14"/>
        <v/>
      </c>
      <c r="M313" s="39"/>
    </row>
    <row r="314" spans="1:13" ht="18" customHeight="1" x14ac:dyDescent="0.45">
      <c r="A314" s="37"/>
      <c r="B314" s="29"/>
      <c r="C314" s="29"/>
      <c r="D314" s="28"/>
      <c r="E314" s="30" t="str">
        <f>IFERROR(VLOOKUP(D314,KRX종목마스터!$A:$B,2,FALSE),"")</f>
        <v/>
      </c>
      <c r="F314" s="42"/>
      <c r="G314" s="42"/>
      <c r="H314" s="31" t="str">
        <f t="shared" si="12"/>
        <v/>
      </c>
      <c r="I314" s="43">
        <f ca="1">IFERROR(SUMPRODUCT((참고!$A$31:$A$130=C314)*(참고!$B$31:$B$130&lt;=A314)*(참고!$B$31:$B$130=_xludf.MAXIFS(참고!$B$31:$B$130,참고!$A$31:$A$130,C314,참고!$B$31:$B$130,"&lt;="&amp;A314))*참고!$C$31:$C$130)/100,0)</f>
        <v>0</v>
      </c>
      <c r="J314" s="31" t="str">
        <f t="shared" si="13"/>
        <v/>
      </c>
      <c r="K314" s="43">
        <f>IF(B314="매도",IFERROR(SUMPRODUCT((참고!$A$31:$A$130=C314)*(참고!$B$31:$B$130&lt;=A314)*(참고!$B$31:$B$130=_xludf.MAXIFS(참고!$B$31:$B$130,참고!$A$31:$A$130,C314,참고!$B$31:$B$130,"&lt;="&amp;A314))*참고!$D$31:$D$130)/100,0),0)</f>
        <v>0</v>
      </c>
      <c r="L314" s="31" t="str">
        <f t="shared" si="14"/>
        <v/>
      </c>
      <c r="M314" s="39"/>
    </row>
    <row r="315" spans="1:13" ht="18" customHeight="1" x14ac:dyDescent="0.45">
      <c r="A315" s="37"/>
      <c r="B315" s="29"/>
      <c r="C315" s="29"/>
      <c r="D315" s="28"/>
      <c r="E315" s="30" t="str">
        <f>IFERROR(VLOOKUP(D315,KRX종목마스터!$A:$B,2,FALSE),"")</f>
        <v/>
      </c>
      <c r="F315" s="42"/>
      <c r="G315" s="42"/>
      <c r="H315" s="31" t="str">
        <f t="shared" si="12"/>
        <v/>
      </c>
      <c r="I315" s="43">
        <f ca="1">IFERROR(SUMPRODUCT((참고!$A$31:$A$130=C315)*(참고!$B$31:$B$130&lt;=A315)*(참고!$B$31:$B$130=_xludf.MAXIFS(참고!$B$31:$B$130,참고!$A$31:$A$130,C315,참고!$B$31:$B$130,"&lt;="&amp;A315))*참고!$C$31:$C$130)/100,0)</f>
        <v>0</v>
      </c>
      <c r="J315" s="31" t="str">
        <f t="shared" si="13"/>
        <v/>
      </c>
      <c r="K315" s="43">
        <f>IF(B315="매도",IFERROR(SUMPRODUCT((참고!$A$31:$A$130=C315)*(참고!$B$31:$B$130&lt;=A315)*(참고!$B$31:$B$130=_xludf.MAXIFS(참고!$B$31:$B$130,참고!$A$31:$A$130,C315,참고!$B$31:$B$130,"&lt;="&amp;A315))*참고!$D$31:$D$130)/100,0),0)</f>
        <v>0</v>
      </c>
      <c r="L315" s="31" t="str">
        <f t="shared" si="14"/>
        <v/>
      </c>
      <c r="M315" s="39"/>
    </row>
    <row r="316" spans="1:13" ht="18" customHeight="1" x14ac:dyDescent="0.45">
      <c r="A316" s="37"/>
      <c r="B316" s="29"/>
      <c r="C316" s="29"/>
      <c r="D316" s="28"/>
      <c r="E316" s="30" t="str">
        <f>IFERROR(VLOOKUP(D316,KRX종목마스터!$A:$B,2,FALSE),"")</f>
        <v/>
      </c>
      <c r="F316" s="42"/>
      <c r="G316" s="42"/>
      <c r="H316" s="31" t="str">
        <f t="shared" si="12"/>
        <v/>
      </c>
      <c r="I316" s="43">
        <f ca="1">IFERROR(SUMPRODUCT((참고!$A$31:$A$130=C316)*(참고!$B$31:$B$130&lt;=A316)*(참고!$B$31:$B$130=_xludf.MAXIFS(참고!$B$31:$B$130,참고!$A$31:$A$130,C316,참고!$B$31:$B$130,"&lt;="&amp;A316))*참고!$C$31:$C$130)/100,0)</f>
        <v>0</v>
      </c>
      <c r="J316" s="31" t="str">
        <f t="shared" si="13"/>
        <v/>
      </c>
      <c r="K316" s="43">
        <f>IF(B316="매도",IFERROR(SUMPRODUCT((참고!$A$31:$A$130=C316)*(참고!$B$31:$B$130&lt;=A316)*(참고!$B$31:$B$130=_xludf.MAXIFS(참고!$B$31:$B$130,참고!$A$31:$A$130,C316,참고!$B$31:$B$130,"&lt;="&amp;A316))*참고!$D$31:$D$130)/100,0),0)</f>
        <v>0</v>
      </c>
      <c r="L316" s="31" t="str">
        <f t="shared" si="14"/>
        <v/>
      </c>
      <c r="M316" s="39"/>
    </row>
    <row r="317" spans="1:13" ht="18" customHeight="1" x14ac:dyDescent="0.45">
      <c r="A317" s="37"/>
      <c r="B317" s="29"/>
      <c r="C317" s="29"/>
      <c r="D317" s="28"/>
      <c r="E317" s="30" t="str">
        <f>IFERROR(VLOOKUP(D317,KRX종목마스터!$A:$B,2,FALSE),"")</f>
        <v/>
      </c>
      <c r="F317" s="42"/>
      <c r="G317" s="42"/>
      <c r="H317" s="31" t="str">
        <f t="shared" si="12"/>
        <v/>
      </c>
      <c r="I317" s="43">
        <f ca="1">IFERROR(SUMPRODUCT((참고!$A$31:$A$130=C317)*(참고!$B$31:$B$130&lt;=A317)*(참고!$B$31:$B$130=_xludf.MAXIFS(참고!$B$31:$B$130,참고!$A$31:$A$130,C317,참고!$B$31:$B$130,"&lt;="&amp;A317))*참고!$C$31:$C$130)/100,0)</f>
        <v>0</v>
      </c>
      <c r="J317" s="31" t="str">
        <f t="shared" si="13"/>
        <v/>
      </c>
      <c r="K317" s="43">
        <f>IF(B317="매도",IFERROR(SUMPRODUCT((참고!$A$31:$A$130=C317)*(참고!$B$31:$B$130&lt;=A317)*(참고!$B$31:$B$130=_xludf.MAXIFS(참고!$B$31:$B$130,참고!$A$31:$A$130,C317,참고!$B$31:$B$130,"&lt;="&amp;A317))*참고!$D$31:$D$130)/100,0),0)</f>
        <v>0</v>
      </c>
      <c r="L317" s="31" t="str">
        <f t="shared" si="14"/>
        <v/>
      </c>
      <c r="M317" s="39"/>
    </row>
    <row r="318" spans="1:13" ht="18" customHeight="1" x14ac:dyDescent="0.45">
      <c r="A318" s="37"/>
      <c r="B318" s="29"/>
      <c r="C318" s="29"/>
      <c r="D318" s="28"/>
      <c r="E318" s="30" t="str">
        <f>IFERROR(VLOOKUP(D318,KRX종목마스터!$A:$B,2,FALSE),"")</f>
        <v/>
      </c>
      <c r="F318" s="42"/>
      <c r="G318" s="42"/>
      <c r="H318" s="31" t="str">
        <f t="shared" si="12"/>
        <v/>
      </c>
      <c r="I318" s="43">
        <f ca="1">IFERROR(SUMPRODUCT((참고!$A$31:$A$130=C318)*(참고!$B$31:$B$130&lt;=A318)*(참고!$B$31:$B$130=_xludf.MAXIFS(참고!$B$31:$B$130,참고!$A$31:$A$130,C318,참고!$B$31:$B$130,"&lt;="&amp;A318))*참고!$C$31:$C$130)/100,0)</f>
        <v>0</v>
      </c>
      <c r="J318" s="31" t="str">
        <f t="shared" si="13"/>
        <v/>
      </c>
      <c r="K318" s="43">
        <f>IF(B318="매도",IFERROR(SUMPRODUCT((참고!$A$31:$A$130=C318)*(참고!$B$31:$B$130&lt;=A318)*(참고!$B$31:$B$130=_xludf.MAXIFS(참고!$B$31:$B$130,참고!$A$31:$A$130,C318,참고!$B$31:$B$130,"&lt;="&amp;A318))*참고!$D$31:$D$130)/100,0),0)</f>
        <v>0</v>
      </c>
      <c r="L318" s="31" t="str">
        <f t="shared" si="14"/>
        <v/>
      </c>
      <c r="M318" s="39"/>
    </row>
    <row r="319" spans="1:13" ht="18" customHeight="1" x14ac:dyDescent="0.45">
      <c r="A319" s="37"/>
      <c r="B319" s="29"/>
      <c r="C319" s="29"/>
      <c r="D319" s="28"/>
      <c r="E319" s="30" t="str">
        <f>IFERROR(VLOOKUP(D319,KRX종목마스터!$A:$B,2,FALSE),"")</f>
        <v/>
      </c>
      <c r="F319" s="42"/>
      <c r="G319" s="42"/>
      <c r="H319" s="31" t="str">
        <f t="shared" si="12"/>
        <v/>
      </c>
      <c r="I319" s="43">
        <f ca="1">IFERROR(SUMPRODUCT((참고!$A$31:$A$130=C319)*(참고!$B$31:$B$130&lt;=A319)*(참고!$B$31:$B$130=_xludf.MAXIFS(참고!$B$31:$B$130,참고!$A$31:$A$130,C319,참고!$B$31:$B$130,"&lt;="&amp;A319))*참고!$C$31:$C$130)/100,0)</f>
        <v>0</v>
      </c>
      <c r="J319" s="31" t="str">
        <f t="shared" si="13"/>
        <v/>
      </c>
      <c r="K319" s="43">
        <f>IF(B319="매도",IFERROR(SUMPRODUCT((참고!$A$31:$A$130=C319)*(참고!$B$31:$B$130&lt;=A319)*(참고!$B$31:$B$130=_xludf.MAXIFS(참고!$B$31:$B$130,참고!$A$31:$A$130,C319,참고!$B$31:$B$130,"&lt;="&amp;A319))*참고!$D$31:$D$130)/100,0),0)</f>
        <v>0</v>
      </c>
      <c r="L319" s="31" t="str">
        <f t="shared" si="14"/>
        <v/>
      </c>
      <c r="M319" s="39"/>
    </row>
    <row r="320" spans="1:13" ht="18" customHeight="1" x14ac:dyDescent="0.45">
      <c r="A320" s="37"/>
      <c r="B320" s="29"/>
      <c r="C320" s="29"/>
      <c r="D320" s="28"/>
      <c r="E320" s="30" t="str">
        <f>IFERROR(VLOOKUP(D320,KRX종목마스터!$A:$B,2,FALSE),"")</f>
        <v/>
      </c>
      <c r="F320" s="42"/>
      <c r="G320" s="42"/>
      <c r="H320" s="31" t="str">
        <f t="shared" si="12"/>
        <v/>
      </c>
      <c r="I320" s="43">
        <f ca="1">IFERROR(SUMPRODUCT((참고!$A$31:$A$130=C320)*(참고!$B$31:$B$130&lt;=A320)*(참고!$B$31:$B$130=_xludf.MAXIFS(참고!$B$31:$B$130,참고!$A$31:$A$130,C320,참고!$B$31:$B$130,"&lt;="&amp;A320))*참고!$C$31:$C$130)/100,0)</f>
        <v>0</v>
      </c>
      <c r="J320" s="31" t="str">
        <f t="shared" si="13"/>
        <v/>
      </c>
      <c r="K320" s="43">
        <f>IF(B320="매도",IFERROR(SUMPRODUCT((참고!$A$31:$A$130=C320)*(참고!$B$31:$B$130&lt;=A320)*(참고!$B$31:$B$130=_xludf.MAXIFS(참고!$B$31:$B$130,참고!$A$31:$A$130,C320,참고!$B$31:$B$130,"&lt;="&amp;A320))*참고!$D$31:$D$130)/100,0),0)</f>
        <v>0</v>
      </c>
      <c r="L320" s="31" t="str">
        <f t="shared" si="14"/>
        <v/>
      </c>
      <c r="M320" s="39"/>
    </row>
    <row r="321" spans="1:13" ht="18" customHeight="1" x14ac:dyDescent="0.45">
      <c r="A321" s="37"/>
      <c r="B321" s="29"/>
      <c r="C321" s="29"/>
      <c r="D321" s="28"/>
      <c r="E321" s="30" t="str">
        <f>IFERROR(VLOOKUP(D321,KRX종목마스터!$A:$B,2,FALSE),"")</f>
        <v/>
      </c>
      <c r="F321" s="42"/>
      <c r="G321" s="42"/>
      <c r="H321" s="31" t="str">
        <f t="shared" si="12"/>
        <v/>
      </c>
      <c r="I321" s="43">
        <f ca="1">IFERROR(SUMPRODUCT((참고!$A$31:$A$130=C321)*(참고!$B$31:$B$130&lt;=A321)*(참고!$B$31:$B$130=_xludf.MAXIFS(참고!$B$31:$B$130,참고!$A$31:$A$130,C321,참고!$B$31:$B$130,"&lt;="&amp;A321))*참고!$C$31:$C$130)/100,0)</f>
        <v>0</v>
      </c>
      <c r="J321" s="31" t="str">
        <f t="shared" si="13"/>
        <v/>
      </c>
      <c r="K321" s="43">
        <f>IF(B321="매도",IFERROR(SUMPRODUCT((참고!$A$31:$A$130=C321)*(참고!$B$31:$B$130&lt;=A321)*(참고!$B$31:$B$130=_xludf.MAXIFS(참고!$B$31:$B$130,참고!$A$31:$A$130,C321,참고!$B$31:$B$130,"&lt;="&amp;A321))*참고!$D$31:$D$130)/100,0),0)</f>
        <v>0</v>
      </c>
      <c r="L321" s="31" t="str">
        <f t="shared" si="14"/>
        <v/>
      </c>
      <c r="M321" s="39"/>
    </row>
    <row r="322" spans="1:13" ht="18" customHeight="1" x14ac:dyDescent="0.45">
      <c r="A322" s="37"/>
      <c r="B322" s="29"/>
      <c r="C322" s="29"/>
      <c r="D322" s="28"/>
      <c r="E322" s="30" t="str">
        <f>IFERROR(VLOOKUP(D322,KRX종목마스터!$A:$B,2,FALSE),"")</f>
        <v/>
      </c>
      <c r="F322" s="42"/>
      <c r="G322" s="42"/>
      <c r="H322" s="31" t="str">
        <f t="shared" si="12"/>
        <v/>
      </c>
      <c r="I322" s="43">
        <f ca="1">IFERROR(SUMPRODUCT((참고!$A$31:$A$130=C322)*(참고!$B$31:$B$130&lt;=A322)*(참고!$B$31:$B$130=_xludf.MAXIFS(참고!$B$31:$B$130,참고!$A$31:$A$130,C322,참고!$B$31:$B$130,"&lt;="&amp;A322))*참고!$C$31:$C$130)/100,0)</f>
        <v>0</v>
      </c>
      <c r="J322" s="31" t="str">
        <f t="shared" si="13"/>
        <v/>
      </c>
      <c r="K322" s="43">
        <f>IF(B322="매도",IFERROR(SUMPRODUCT((참고!$A$31:$A$130=C322)*(참고!$B$31:$B$130&lt;=A322)*(참고!$B$31:$B$130=_xludf.MAXIFS(참고!$B$31:$B$130,참고!$A$31:$A$130,C322,참고!$B$31:$B$130,"&lt;="&amp;A322))*참고!$D$31:$D$130)/100,0),0)</f>
        <v>0</v>
      </c>
      <c r="L322" s="31" t="str">
        <f t="shared" si="14"/>
        <v/>
      </c>
      <c r="M322" s="39"/>
    </row>
    <row r="323" spans="1:13" ht="18" customHeight="1" x14ac:dyDescent="0.45">
      <c r="A323" s="37"/>
      <c r="B323" s="29"/>
      <c r="C323" s="29"/>
      <c r="D323" s="28"/>
      <c r="E323" s="30" t="str">
        <f>IFERROR(VLOOKUP(D323,KRX종목마스터!$A:$B,2,FALSE),"")</f>
        <v/>
      </c>
      <c r="F323" s="42"/>
      <c r="G323" s="42"/>
      <c r="H323" s="31" t="str">
        <f t="shared" si="12"/>
        <v/>
      </c>
      <c r="I323" s="43">
        <f ca="1">IFERROR(SUMPRODUCT((참고!$A$31:$A$130=C323)*(참고!$B$31:$B$130&lt;=A323)*(참고!$B$31:$B$130=_xludf.MAXIFS(참고!$B$31:$B$130,참고!$A$31:$A$130,C323,참고!$B$31:$B$130,"&lt;="&amp;A323))*참고!$C$31:$C$130)/100,0)</f>
        <v>0</v>
      </c>
      <c r="J323" s="31" t="str">
        <f t="shared" si="13"/>
        <v/>
      </c>
      <c r="K323" s="43">
        <f>IF(B323="매도",IFERROR(SUMPRODUCT((참고!$A$31:$A$130=C323)*(참고!$B$31:$B$130&lt;=A323)*(참고!$B$31:$B$130=_xludf.MAXIFS(참고!$B$31:$B$130,참고!$A$31:$A$130,C323,참고!$B$31:$B$130,"&lt;="&amp;A323))*참고!$D$31:$D$130)/100,0),0)</f>
        <v>0</v>
      </c>
      <c r="L323" s="31" t="str">
        <f t="shared" si="14"/>
        <v/>
      </c>
      <c r="M323" s="39"/>
    </row>
    <row r="324" spans="1:13" ht="18" customHeight="1" x14ac:dyDescent="0.45">
      <c r="A324" s="37"/>
      <c r="B324" s="29"/>
      <c r="C324" s="29"/>
      <c r="D324" s="28"/>
      <c r="E324" s="30" t="str">
        <f>IFERROR(VLOOKUP(D324,KRX종목마스터!$A:$B,2,FALSE),"")</f>
        <v/>
      </c>
      <c r="F324" s="42"/>
      <c r="G324" s="42"/>
      <c r="H324" s="31" t="str">
        <f t="shared" si="12"/>
        <v/>
      </c>
      <c r="I324" s="43">
        <f ca="1">IFERROR(SUMPRODUCT((참고!$A$31:$A$130=C324)*(참고!$B$31:$B$130&lt;=A324)*(참고!$B$31:$B$130=_xludf.MAXIFS(참고!$B$31:$B$130,참고!$A$31:$A$130,C324,참고!$B$31:$B$130,"&lt;="&amp;A324))*참고!$C$31:$C$130)/100,0)</f>
        <v>0</v>
      </c>
      <c r="J324" s="31" t="str">
        <f t="shared" si="13"/>
        <v/>
      </c>
      <c r="K324" s="43">
        <f>IF(B324="매도",IFERROR(SUMPRODUCT((참고!$A$31:$A$130=C324)*(참고!$B$31:$B$130&lt;=A324)*(참고!$B$31:$B$130=_xludf.MAXIFS(참고!$B$31:$B$130,참고!$A$31:$A$130,C324,참고!$B$31:$B$130,"&lt;="&amp;A324))*참고!$D$31:$D$130)/100,0),0)</f>
        <v>0</v>
      </c>
      <c r="L324" s="31" t="str">
        <f t="shared" si="14"/>
        <v/>
      </c>
      <c r="M324" s="39"/>
    </row>
    <row r="325" spans="1:13" ht="18" customHeight="1" x14ac:dyDescent="0.45">
      <c r="A325" s="37"/>
      <c r="B325" s="29"/>
      <c r="C325" s="29"/>
      <c r="D325" s="28"/>
      <c r="E325" s="30" t="str">
        <f>IFERROR(VLOOKUP(D325,KRX종목마스터!$A:$B,2,FALSE),"")</f>
        <v/>
      </c>
      <c r="F325" s="42"/>
      <c r="G325" s="42"/>
      <c r="H325" s="31" t="str">
        <f t="shared" ref="H325:H388" si="15">IF(AND(F325&lt;&gt;"",G325&lt;&gt;""),F325*G325,"")</f>
        <v/>
      </c>
      <c r="I325" s="43">
        <f ca="1">IFERROR(SUMPRODUCT((참고!$A$31:$A$130=C325)*(참고!$B$31:$B$130&lt;=A325)*(참고!$B$31:$B$130=_xludf.MAXIFS(참고!$B$31:$B$130,참고!$A$31:$A$130,C325,참고!$B$31:$B$130,"&lt;="&amp;A325))*참고!$C$31:$C$130)/100,0)</f>
        <v>0</v>
      </c>
      <c r="J325" s="31" t="str">
        <f t="shared" ref="J325:J388" si="16">IF(H325="","",ROUND(H325*I325,0))</f>
        <v/>
      </c>
      <c r="K325" s="43">
        <f>IF(B325="매도",IFERROR(SUMPRODUCT((참고!$A$31:$A$130=C325)*(참고!$B$31:$B$130&lt;=A325)*(참고!$B$31:$B$130=_xludf.MAXIFS(참고!$B$31:$B$130,참고!$A$31:$A$130,C325,참고!$B$31:$B$130,"&lt;="&amp;A325))*참고!$D$31:$D$130)/100,0),0)</f>
        <v>0</v>
      </c>
      <c r="L325" s="31" t="str">
        <f t="shared" ref="L325:L388" si="17">IF(H325="","",ROUND(H325*K325,0))</f>
        <v/>
      </c>
      <c r="M325" s="39"/>
    </row>
    <row r="326" spans="1:13" ht="18" customHeight="1" x14ac:dyDescent="0.45">
      <c r="A326" s="37"/>
      <c r="B326" s="29"/>
      <c r="C326" s="29"/>
      <c r="D326" s="28"/>
      <c r="E326" s="30" t="str">
        <f>IFERROR(VLOOKUP(D326,KRX종목마스터!$A:$B,2,FALSE),"")</f>
        <v/>
      </c>
      <c r="F326" s="42"/>
      <c r="G326" s="42"/>
      <c r="H326" s="31" t="str">
        <f t="shared" si="15"/>
        <v/>
      </c>
      <c r="I326" s="43">
        <f ca="1">IFERROR(SUMPRODUCT((참고!$A$31:$A$130=C326)*(참고!$B$31:$B$130&lt;=A326)*(참고!$B$31:$B$130=_xludf.MAXIFS(참고!$B$31:$B$130,참고!$A$31:$A$130,C326,참고!$B$31:$B$130,"&lt;="&amp;A326))*참고!$C$31:$C$130)/100,0)</f>
        <v>0</v>
      </c>
      <c r="J326" s="31" t="str">
        <f t="shared" si="16"/>
        <v/>
      </c>
      <c r="K326" s="43">
        <f>IF(B326="매도",IFERROR(SUMPRODUCT((참고!$A$31:$A$130=C326)*(참고!$B$31:$B$130&lt;=A326)*(참고!$B$31:$B$130=_xludf.MAXIFS(참고!$B$31:$B$130,참고!$A$31:$A$130,C326,참고!$B$31:$B$130,"&lt;="&amp;A326))*참고!$D$31:$D$130)/100,0),0)</f>
        <v>0</v>
      </c>
      <c r="L326" s="31" t="str">
        <f t="shared" si="17"/>
        <v/>
      </c>
      <c r="M326" s="39"/>
    </row>
    <row r="327" spans="1:13" ht="18" customHeight="1" x14ac:dyDescent="0.45">
      <c r="A327" s="37"/>
      <c r="B327" s="29"/>
      <c r="C327" s="29"/>
      <c r="D327" s="28"/>
      <c r="E327" s="30" t="str">
        <f>IFERROR(VLOOKUP(D327,KRX종목마스터!$A:$B,2,FALSE),"")</f>
        <v/>
      </c>
      <c r="F327" s="42"/>
      <c r="G327" s="42"/>
      <c r="H327" s="31" t="str">
        <f t="shared" si="15"/>
        <v/>
      </c>
      <c r="I327" s="43">
        <f ca="1">IFERROR(SUMPRODUCT((참고!$A$31:$A$130=C327)*(참고!$B$31:$B$130&lt;=A327)*(참고!$B$31:$B$130=_xludf.MAXIFS(참고!$B$31:$B$130,참고!$A$31:$A$130,C327,참고!$B$31:$B$130,"&lt;="&amp;A327))*참고!$C$31:$C$130)/100,0)</f>
        <v>0</v>
      </c>
      <c r="J327" s="31" t="str">
        <f t="shared" si="16"/>
        <v/>
      </c>
      <c r="K327" s="43">
        <f>IF(B327="매도",IFERROR(SUMPRODUCT((참고!$A$31:$A$130=C327)*(참고!$B$31:$B$130&lt;=A327)*(참고!$B$31:$B$130=_xludf.MAXIFS(참고!$B$31:$B$130,참고!$A$31:$A$130,C327,참고!$B$31:$B$130,"&lt;="&amp;A327))*참고!$D$31:$D$130)/100,0),0)</f>
        <v>0</v>
      </c>
      <c r="L327" s="31" t="str">
        <f t="shared" si="17"/>
        <v/>
      </c>
      <c r="M327" s="39"/>
    </row>
    <row r="328" spans="1:13" ht="18" customHeight="1" x14ac:dyDescent="0.45">
      <c r="A328" s="37"/>
      <c r="B328" s="29"/>
      <c r="C328" s="29"/>
      <c r="D328" s="28"/>
      <c r="E328" s="30" t="str">
        <f>IFERROR(VLOOKUP(D328,KRX종목마스터!$A:$B,2,FALSE),"")</f>
        <v/>
      </c>
      <c r="F328" s="42"/>
      <c r="G328" s="42"/>
      <c r="H328" s="31" t="str">
        <f t="shared" si="15"/>
        <v/>
      </c>
      <c r="I328" s="43">
        <f ca="1">IFERROR(SUMPRODUCT((참고!$A$31:$A$130=C328)*(참고!$B$31:$B$130&lt;=A328)*(참고!$B$31:$B$130=_xludf.MAXIFS(참고!$B$31:$B$130,참고!$A$31:$A$130,C328,참고!$B$31:$B$130,"&lt;="&amp;A328))*참고!$C$31:$C$130)/100,0)</f>
        <v>0</v>
      </c>
      <c r="J328" s="31" t="str">
        <f t="shared" si="16"/>
        <v/>
      </c>
      <c r="K328" s="43">
        <f>IF(B328="매도",IFERROR(SUMPRODUCT((참고!$A$31:$A$130=C328)*(참고!$B$31:$B$130&lt;=A328)*(참고!$B$31:$B$130=_xludf.MAXIFS(참고!$B$31:$B$130,참고!$A$31:$A$130,C328,참고!$B$31:$B$130,"&lt;="&amp;A328))*참고!$D$31:$D$130)/100,0),0)</f>
        <v>0</v>
      </c>
      <c r="L328" s="31" t="str">
        <f t="shared" si="17"/>
        <v/>
      </c>
      <c r="M328" s="39"/>
    </row>
    <row r="329" spans="1:13" ht="18" customHeight="1" x14ac:dyDescent="0.45">
      <c r="A329" s="37"/>
      <c r="B329" s="29"/>
      <c r="C329" s="29"/>
      <c r="D329" s="28"/>
      <c r="E329" s="30" t="str">
        <f>IFERROR(VLOOKUP(D329,KRX종목마스터!$A:$B,2,FALSE),"")</f>
        <v/>
      </c>
      <c r="F329" s="42"/>
      <c r="G329" s="42"/>
      <c r="H329" s="31" t="str">
        <f t="shared" si="15"/>
        <v/>
      </c>
      <c r="I329" s="43">
        <f ca="1">IFERROR(SUMPRODUCT((참고!$A$31:$A$130=C329)*(참고!$B$31:$B$130&lt;=A329)*(참고!$B$31:$B$130=_xludf.MAXIFS(참고!$B$31:$B$130,참고!$A$31:$A$130,C329,참고!$B$31:$B$130,"&lt;="&amp;A329))*참고!$C$31:$C$130)/100,0)</f>
        <v>0</v>
      </c>
      <c r="J329" s="31" t="str">
        <f t="shared" si="16"/>
        <v/>
      </c>
      <c r="K329" s="43">
        <f>IF(B329="매도",IFERROR(SUMPRODUCT((참고!$A$31:$A$130=C329)*(참고!$B$31:$B$130&lt;=A329)*(참고!$B$31:$B$130=_xludf.MAXIFS(참고!$B$31:$B$130,참고!$A$31:$A$130,C329,참고!$B$31:$B$130,"&lt;="&amp;A329))*참고!$D$31:$D$130)/100,0),0)</f>
        <v>0</v>
      </c>
      <c r="L329" s="31" t="str">
        <f t="shared" si="17"/>
        <v/>
      </c>
      <c r="M329" s="39"/>
    </row>
    <row r="330" spans="1:13" ht="18" customHeight="1" x14ac:dyDescent="0.45">
      <c r="A330" s="37"/>
      <c r="B330" s="29"/>
      <c r="C330" s="29"/>
      <c r="D330" s="28"/>
      <c r="E330" s="30" t="str">
        <f>IFERROR(VLOOKUP(D330,KRX종목마스터!$A:$B,2,FALSE),"")</f>
        <v/>
      </c>
      <c r="F330" s="42"/>
      <c r="G330" s="42"/>
      <c r="H330" s="31" t="str">
        <f t="shared" si="15"/>
        <v/>
      </c>
      <c r="I330" s="43">
        <f ca="1">IFERROR(SUMPRODUCT((참고!$A$31:$A$130=C330)*(참고!$B$31:$B$130&lt;=A330)*(참고!$B$31:$B$130=_xludf.MAXIFS(참고!$B$31:$B$130,참고!$A$31:$A$130,C330,참고!$B$31:$B$130,"&lt;="&amp;A330))*참고!$C$31:$C$130)/100,0)</f>
        <v>0</v>
      </c>
      <c r="J330" s="31" t="str">
        <f t="shared" si="16"/>
        <v/>
      </c>
      <c r="K330" s="43">
        <f>IF(B330="매도",IFERROR(SUMPRODUCT((참고!$A$31:$A$130=C330)*(참고!$B$31:$B$130&lt;=A330)*(참고!$B$31:$B$130=_xludf.MAXIFS(참고!$B$31:$B$130,참고!$A$31:$A$130,C330,참고!$B$31:$B$130,"&lt;="&amp;A330))*참고!$D$31:$D$130)/100,0),0)</f>
        <v>0</v>
      </c>
      <c r="L330" s="31" t="str">
        <f t="shared" si="17"/>
        <v/>
      </c>
      <c r="M330" s="39"/>
    </row>
    <row r="331" spans="1:13" ht="18" customHeight="1" x14ac:dyDescent="0.45">
      <c r="A331" s="37"/>
      <c r="B331" s="29"/>
      <c r="C331" s="29"/>
      <c r="D331" s="28"/>
      <c r="E331" s="30" t="str">
        <f>IFERROR(VLOOKUP(D331,KRX종목마스터!$A:$B,2,FALSE),"")</f>
        <v/>
      </c>
      <c r="F331" s="42"/>
      <c r="G331" s="42"/>
      <c r="H331" s="31" t="str">
        <f t="shared" si="15"/>
        <v/>
      </c>
      <c r="I331" s="43">
        <f ca="1">IFERROR(SUMPRODUCT((참고!$A$31:$A$130=C331)*(참고!$B$31:$B$130&lt;=A331)*(참고!$B$31:$B$130=_xludf.MAXIFS(참고!$B$31:$B$130,참고!$A$31:$A$130,C331,참고!$B$31:$B$130,"&lt;="&amp;A331))*참고!$C$31:$C$130)/100,0)</f>
        <v>0</v>
      </c>
      <c r="J331" s="31" t="str">
        <f t="shared" si="16"/>
        <v/>
      </c>
      <c r="K331" s="43">
        <f>IF(B331="매도",IFERROR(SUMPRODUCT((참고!$A$31:$A$130=C331)*(참고!$B$31:$B$130&lt;=A331)*(참고!$B$31:$B$130=_xludf.MAXIFS(참고!$B$31:$B$130,참고!$A$31:$A$130,C331,참고!$B$31:$B$130,"&lt;="&amp;A331))*참고!$D$31:$D$130)/100,0),0)</f>
        <v>0</v>
      </c>
      <c r="L331" s="31" t="str">
        <f t="shared" si="17"/>
        <v/>
      </c>
      <c r="M331" s="39"/>
    </row>
    <row r="332" spans="1:13" ht="18" customHeight="1" x14ac:dyDescent="0.45">
      <c r="A332" s="37"/>
      <c r="B332" s="29"/>
      <c r="C332" s="29"/>
      <c r="D332" s="28"/>
      <c r="E332" s="30" t="str">
        <f>IFERROR(VLOOKUP(D332,KRX종목마스터!$A:$B,2,FALSE),"")</f>
        <v/>
      </c>
      <c r="F332" s="42"/>
      <c r="G332" s="42"/>
      <c r="H332" s="31" t="str">
        <f t="shared" si="15"/>
        <v/>
      </c>
      <c r="I332" s="43">
        <f ca="1">IFERROR(SUMPRODUCT((참고!$A$31:$A$130=C332)*(참고!$B$31:$B$130&lt;=A332)*(참고!$B$31:$B$130=_xludf.MAXIFS(참고!$B$31:$B$130,참고!$A$31:$A$130,C332,참고!$B$31:$B$130,"&lt;="&amp;A332))*참고!$C$31:$C$130)/100,0)</f>
        <v>0</v>
      </c>
      <c r="J332" s="31" t="str">
        <f t="shared" si="16"/>
        <v/>
      </c>
      <c r="K332" s="43">
        <f>IF(B332="매도",IFERROR(SUMPRODUCT((참고!$A$31:$A$130=C332)*(참고!$B$31:$B$130&lt;=A332)*(참고!$B$31:$B$130=_xludf.MAXIFS(참고!$B$31:$B$130,참고!$A$31:$A$130,C332,참고!$B$31:$B$130,"&lt;="&amp;A332))*참고!$D$31:$D$130)/100,0),0)</f>
        <v>0</v>
      </c>
      <c r="L332" s="31" t="str">
        <f t="shared" si="17"/>
        <v/>
      </c>
      <c r="M332" s="39"/>
    </row>
    <row r="333" spans="1:13" ht="18" customHeight="1" x14ac:dyDescent="0.45">
      <c r="A333" s="37"/>
      <c r="B333" s="29"/>
      <c r="C333" s="29"/>
      <c r="D333" s="28"/>
      <c r="E333" s="30" t="str">
        <f>IFERROR(VLOOKUP(D333,KRX종목마스터!$A:$B,2,FALSE),"")</f>
        <v/>
      </c>
      <c r="F333" s="42"/>
      <c r="G333" s="42"/>
      <c r="H333" s="31" t="str">
        <f t="shared" si="15"/>
        <v/>
      </c>
      <c r="I333" s="43">
        <f ca="1">IFERROR(SUMPRODUCT((참고!$A$31:$A$130=C333)*(참고!$B$31:$B$130&lt;=A333)*(참고!$B$31:$B$130=_xludf.MAXIFS(참고!$B$31:$B$130,참고!$A$31:$A$130,C333,참고!$B$31:$B$130,"&lt;="&amp;A333))*참고!$C$31:$C$130)/100,0)</f>
        <v>0</v>
      </c>
      <c r="J333" s="31" t="str">
        <f t="shared" si="16"/>
        <v/>
      </c>
      <c r="K333" s="43">
        <f>IF(B333="매도",IFERROR(SUMPRODUCT((참고!$A$31:$A$130=C333)*(참고!$B$31:$B$130&lt;=A333)*(참고!$B$31:$B$130=_xludf.MAXIFS(참고!$B$31:$B$130,참고!$A$31:$A$130,C333,참고!$B$31:$B$130,"&lt;="&amp;A333))*참고!$D$31:$D$130)/100,0),0)</f>
        <v>0</v>
      </c>
      <c r="L333" s="31" t="str">
        <f t="shared" si="17"/>
        <v/>
      </c>
      <c r="M333" s="39"/>
    </row>
    <row r="334" spans="1:13" ht="18" customHeight="1" x14ac:dyDescent="0.45">
      <c r="A334" s="37"/>
      <c r="B334" s="29"/>
      <c r="C334" s="29"/>
      <c r="D334" s="28"/>
      <c r="E334" s="30" t="str">
        <f>IFERROR(VLOOKUP(D334,KRX종목마스터!$A:$B,2,FALSE),"")</f>
        <v/>
      </c>
      <c r="F334" s="42"/>
      <c r="G334" s="42"/>
      <c r="H334" s="31" t="str">
        <f t="shared" si="15"/>
        <v/>
      </c>
      <c r="I334" s="43">
        <f ca="1">IFERROR(SUMPRODUCT((참고!$A$31:$A$130=C334)*(참고!$B$31:$B$130&lt;=A334)*(참고!$B$31:$B$130=_xludf.MAXIFS(참고!$B$31:$B$130,참고!$A$31:$A$130,C334,참고!$B$31:$B$130,"&lt;="&amp;A334))*참고!$C$31:$C$130)/100,0)</f>
        <v>0</v>
      </c>
      <c r="J334" s="31" t="str">
        <f t="shared" si="16"/>
        <v/>
      </c>
      <c r="K334" s="43">
        <f>IF(B334="매도",IFERROR(SUMPRODUCT((참고!$A$31:$A$130=C334)*(참고!$B$31:$B$130&lt;=A334)*(참고!$B$31:$B$130=_xludf.MAXIFS(참고!$B$31:$B$130,참고!$A$31:$A$130,C334,참고!$B$31:$B$130,"&lt;="&amp;A334))*참고!$D$31:$D$130)/100,0),0)</f>
        <v>0</v>
      </c>
      <c r="L334" s="31" t="str">
        <f t="shared" si="17"/>
        <v/>
      </c>
      <c r="M334" s="39"/>
    </row>
    <row r="335" spans="1:13" ht="18" customHeight="1" x14ac:dyDescent="0.45">
      <c r="A335" s="37"/>
      <c r="B335" s="29"/>
      <c r="C335" s="29"/>
      <c r="D335" s="28"/>
      <c r="E335" s="30" t="str">
        <f>IFERROR(VLOOKUP(D335,KRX종목마스터!$A:$B,2,FALSE),"")</f>
        <v/>
      </c>
      <c r="F335" s="42"/>
      <c r="G335" s="42"/>
      <c r="H335" s="31" t="str">
        <f t="shared" si="15"/>
        <v/>
      </c>
      <c r="I335" s="43">
        <f ca="1">IFERROR(SUMPRODUCT((참고!$A$31:$A$130=C335)*(참고!$B$31:$B$130&lt;=A335)*(참고!$B$31:$B$130=_xludf.MAXIFS(참고!$B$31:$B$130,참고!$A$31:$A$130,C335,참고!$B$31:$B$130,"&lt;="&amp;A335))*참고!$C$31:$C$130)/100,0)</f>
        <v>0</v>
      </c>
      <c r="J335" s="31" t="str">
        <f t="shared" si="16"/>
        <v/>
      </c>
      <c r="K335" s="43">
        <f>IF(B335="매도",IFERROR(SUMPRODUCT((참고!$A$31:$A$130=C335)*(참고!$B$31:$B$130&lt;=A335)*(참고!$B$31:$B$130=_xludf.MAXIFS(참고!$B$31:$B$130,참고!$A$31:$A$130,C335,참고!$B$31:$B$130,"&lt;="&amp;A335))*참고!$D$31:$D$130)/100,0),0)</f>
        <v>0</v>
      </c>
      <c r="L335" s="31" t="str">
        <f t="shared" si="17"/>
        <v/>
      </c>
      <c r="M335" s="39"/>
    </row>
    <row r="336" spans="1:13" ht="18" customHeight="1" x14ac:dyDescent="0.45">
      <c r="A336" s="37"/>
      <c r="B336" s="29"/>
      <c r="C336" s="29"/>
      <c r="D336" s="28"/>
      <c r="E336" s="30" t="str">
        <f>IFERROR(VLOOKUP(D336,KRX종목마스터!$A:$B,2,FALSE),"")</f>
        <v/>
      </c>
      <c r="F336" s="42"/>
      <c r="G336" s="42"/>
      <c r="H336" s="31" t="str">
        <f t="shared" si="15"/>
        <v/>
      </c>
      <c r="I336" s="43">
        <f ca="1">IFERROR(SUMPRODUCT((참고!$A$31:$A$130=C336)*(참고!$B$31:$B$130&lt;=A336)*(참고!$B$31:$B$130=_xludf.MAXIFS(참고!$B$31:$B$130,참고!$A$31:$A$130,C336,참고!$B$31:$B$130,"&lt;="&amp;A336))*참고!$C$31:$C$130)/100,0)</f>
        <v>0</v>
      </c>
      <c r="J336" s="31" t="str">
        <f t="shared" si="16"/>
        <v/>
      </c>
      <c r="K336" s="43">
        <f>IF(B336="매도",IFERROR(SUMPRODUCT((참고!$A$31:$A$130=C336)*(참고!$B$31:$B$130&lt;=A336)*(참고!$B$31:$B$130=_xludf.MAXIFS(참고!$B$31:$B$130,참고!$A$31:$A$130,C336,참고!$B$31:$B$130,"&lt;="&amp;A336))*참고!$D$31:$D$130)/100,0),0)</f>
        <v>0</v>
      </c>
      <c r="L336" s="31" t="str">
        <f t="shared" si="17"/>
        <v/>
      </c>
      <c r="M336" s="39"/>
    </row>
    <row r="337" spans="1:13" ht="18" customHeight="1" x14ac:dyDescent="0.45">
      <c r="A337" s="37"/>
      <c r="B337" s="29"/>
      <c r="C337" s="29"/>
      <c r="D337" s="28"/>
      <c r="E337" s="30" t="str">
        <f>IFERROR(VLOOKUP(D337,KRX종목마스터!$A:$B,2,FALSE),"")</f>
        <v/>
      </c>
      <c r="F337" s="42"/>
      <c r="G337" s="42"/>
      <c r="H337" s="31" t="str">
        <f t="shared" si="15"/>
        <v/>
      </c>
      <c r="I337" s="43">
        <f ca="1">IFERROR(SUMPRODUCT((참고!$A$31:$A$130=C337)*(참고!$B$31:$B$130&lt;=A337)*(참고!$B$31:$B$130=_xludf.MAXIFS(참고!$B$31:$B$130,참고!$A$31:$A$130,C337,참고!$B$31:$B$130,"&lt;="&amp;A337))*참고!$C$31:$C$130)/100,0)</f>
        <v>0</v>
      </c>
      <c r="J337" s="31" t="str">
        <f t="shared" si="16"/>
        <v/>
      </c>
      <c r="K337" s="43">
        <f>IF(B337="매도",IFERROR(SUMPRODUCT((참고!$A$31:$A$130=C337)*(참고!$B$31:$B$130&lt;=A337)*(참고!$B$31:$B$130=_xludf.MAXIFS(참고!$B$31:$B$130,참고!$A$31:$A$130,C337,참고!$B$31:$B$130,"&lt;="&amp;A337))*참고!$D$31:$D$130)/100,0),0)</f>
        <v>0</v>
      </c>
      <c r="L337" s="31" t="str">
        <f t="shared" si="17"/>
        <v/>
      </c>
      <c r="M337" s="39"/>
    </row>
    <row r="338" spans="1:13" ht="18" customHeight="1" x14ac:dyDescent="0.45">
      <c r="A338" s="37"/>
      <c r="B338" s="29"/>
      <c r="C338" s="29"/>
      <c r="D338" s="28"/>
      <c r="E338" s="30" t="str">
        <f>IFERROR(VLOOKUP(D338,KRX종목마스터!$A:$B,2,FALSE),"")</f>
        <v/>
      </c>
      <c r="F338" s="42"/>
      <c r="G338" s="42"/>
      <c r="H338" s="31" t="str">
        <f t="shared" si="15"/>
        <v/>
      </c>
      <c r="I338" s="43">
        <f ca="1">IFERROR(SUMPRODUCT((참고!$A$31:$A$130=C338)*(참고!$B$31:$B$130&lt;=A338)*(참고!$B$31:$B$130=_xludf.MAXIFS(참고!$B$31:$B$130,참고!$A$31:$A$130,C338,참고!$B$31:$B$130,"&lt;="&amp;A338))*참고!$C$31:$C$130)/100,0)</f>
        <v>0</v>
      </c>
      <c r="J338" s="31" t="str">
        <f t="shared" si="16"/>
        <v/>
      </c>
      <c r="K338" s="43">
        <f>IF(B338="매도",IFERROR(SUMPRODUCT((참고!$A$31:$A$130=C338)*(참고!$B$31:$B$130&lt;=A338)*(참고!$B$31:$B$130=_xludf.MAXIFS(참고!$B$31:$B$130,참고!$A$31:$A$130,C338,참고!$B$31:$B$130,"&lt;="&amp;A338))*참고!$D$31:$D$130)/100,0),0)</f>
        <v>0</v>
      </c>
      <c r="L338" s="31" t="str">
        <f t="shared" si="17"/>
        <v/>
      </c>
      <c r="M338" s="39"/>
    </row>
    <row r="339" spans="1:13" ht="18" customHeight="1" x14ac:dyDescent="0.45">
      <c r="A339" s="37"/>
      <c r="B339" s="29"/>
      <c r="C339" s="29"/>
      <c r="D339" s="28"/>
      <c r="E339" s="30" t="str">
        <f>IFERROR(VLOOKUP(D339,KRX종목마스터!$A:$B,2,FALSE),"")</f>
        <v/>
      </c>
      <c r="F339" s="42"/>
      <c r="G339" s="42"/>
      <c r="H339" s="31" t="str">
        <f t="shared" si="15"/>
        <v/>
      </c>
      <c r="I339" s="43">
        <f ca="1">IFERROR(SUMPRODUCT((참고!$A$31:$A$130=C339)*(참고!$B$31:$B$130&lt;=A339)*(참고!$B$31:$B$130=_xludf.MAXIFS(참고!$B$31:$B$130,참고!$A$31:$A$130,C339,참고!$B$31:$B$130,"&lt;="&amp;A339))*참고!$C$31:$C$130)/100,0)</f>
        <v>0</v>
      </c>
      <c r="J339" s="31" t="str">
        <f t="shared" si="16"/>
        <v/>
      </c>
      <c r="K339" s="43">
        <f>IF(B339="매도",IFERROR(SUMPRODUCT((참고!$A$31:$A$130=C339)*(참고!$B$31:$B$130&lt;=A339)*(참고!$B$31:$B$130=_xludf.MAXIFS(참고!$B$31:$B$130,참고!$A$31:$A$130,C339,참고!$B$31:$B$130,"&lt;="&amp;A339))*참고!$D$31:$D$130)/100,0),0)</f>
        <v>0</v>
      </c>
      <c r="L339" s="31" t="str">
        <f t="shared" si="17"/>
        <v/>
      </c>
      <c r="M339" s="39"/>
    </row>
    <row r="340" spans="1:13" ht="18" customHeight="1" x14ac:dyDescent="0.45">
      <c r="A340" s="37"/>
      <c r="B340" s="29"/>
      <c r="C340" s="29"/>
      <c r="D340" s="28"/>
      <c r="E340" s="30" t="str">
        <f>IFERROR(VLOOKUP(D340,KRX종목마스터!$A:$B,2,FALSE),"")</f>
        <v/>
      </c>
      <c r="F340" s="42"/>
      <c r="G340" s="42"/>
      <c r="H340" s="31" t="str">
        <f t="shared" si="15"/>
        <v/>
      </c>
      <c r="I340" s="43">
        <f ca="1">IFERROR(SUMPRODUCT((참고!$A$31:$A$130=C340)*(참고!$B$31:$B$130&lt;=A340)*(참고!$B$31:$B$130=_xludf.MAXIFS(참고!$B$31:$B$130,참고!$A$31:$A$130,C340,참고!$B$31:$B$130,"&lt;="&amp;A340))*참고!$C$31:$C$130)/100,0)</f>
        <v>0</v>
      </c>
      <c r="J340" s="31" t="str">
        <f t="shared" si="16"/>
        <v/>
      </c>
      <c r="K340" s="43">
        <f>IF(B340="매도",IFERROR(SUMPRODUCT((참고!$A$31:$A$130=C340)*(참고!$B$31:$B$130&lt;=A340)*(참고!$B$31:$B$130=_xludf.MAXIFS(참고!$B$31:$B$130,참고!$A$31:$A$130,C340,참고!$B$31:$B$130,"&lt;="&amp;A340))*참고!$D$31:$D$130)/100,0),0)</f>
        <v>0</v>
      </c>
      <c r="L340" s="31" t="str">
        <f t="shared" si="17"/>
        <v/>
      </c>
      <c r="M340" s="39"/>
    </row>
    <row r="341" spans="1:13" ht="18" customHeight="1" x14ac:dyDescent="0.45">
      <c r="A341" s="37"/>
      <c r="B341" s="29"/>
      <c r="C341" s="29"/>
      <c r="D341" s="28"/>
      <c r="E341" s="30" t="str">
        <f>IFERROR(VLOOKUP(D341,KRX종목마스터!$A:$B,2,FALSE),"")</f>
        <v/>
      </c>
      <c r="F341" s="42"/>
      <c r="G341" s="42"/>
      <c r="H341" s="31" t="str">
        <f t="shared" si="15"/>
        <v/>
      </c>
      <c r="I341" s="43">
        <f ca="1">IFERROR(SUMPRODUCT((참고!$A$31:$A$130=C341)*(참고!$B$31:$B$130&lt;=A341)*(참고!$B$31:$B$130=_xludf.MAXIFS(참고!$B$31:$B$130,참고!$A$31:$A$130,C341,참고!$B$31:$B$130,"&lt;="&amp;A341))*참고!$C$31:$C$130)/100,0)</f>
        <v>0</v>
      </c>
      <c r="J341" s="31" t="str">
        <f t="shared" si="16"/>
        <v/>
      </c>
      <c r="K341" s="43">
        <f>IF(B341="매도",IFERROR(SUMPRODUCT((참고!$A$31:$A$130=C341)*(참고!$B$31:$B$130&lt;=A341)*(참고!$B$31:$B$130=_xludf.MAXIFS(참고!$B$31:$B$130,참고!$A$31:$A$130,C341,참고!$B$31:$B$130,"&lt;="&amp;A341))*참고!$D$31:$D$130)/100,0),0)</f>
        <v>0</v>
      </c>
      <c r="L341" s="31" t="str">
        <f t="shared" si="17"/>
        <v/>
      </c>
      <c r="M341" s="39"/>
    </row>
    <row r="342" spans="1:13" ht="18" customHeight="1" x14ac:dyDescent="0.45">
      <c r="A342" s="37"/>
      <c r="B342" s="29"/>
      <c r="C342" s="29"/>
      <c r="D342" s="28"/>
      <c r="E342" s="30" t="str">
        <f>IFERROR(VLOOKUP(D342,KRX종목마스터!$A:$B,2,FALSE),"")</f>
        <v/>
      </c>
      <c r="F342" s="42"/>
      <c r="G342" s="42"/>
      <c r="H342" s="31" t="str">
        <f t="shared" si="15"/>
        <v/>
      </c>
      <c r="I342" s="43">
        <f ca="1">IFERROR(SUMPRODUCT((참고!$A$31:$A$130=C342)*(참고!$B$31:$B$130&lt;=A342)*(참고!$B$31:$B$130=_xludf.MAXIFS(참고!$B$31:$B$130,참고!$A$31:$A$130,C342,참고!$B$31:$B$130,"&lt;="&amp;A342))*참고!$C$31:$C$130)/100,0)</f>
        <v>0</v>
      </c>
      <c r="J342" s="31" t="str">
        <f t="shared" si="16"/>
        <v/>
      </c>
      <c r="K342" s="43">
        <f>IF(B342="매도",IFERROR(SUMPRODUCT((참고!$A$31:$A$130=C342)*(참고!$B$31:$B$130&lt;=A342)*(참고!$B$31:$B$130=_xludf.MAXIFS(참고!$B$31:$B$130,참고!$A$31:$A$130,C342,참고!$B$31:$B$130,"&lt;="&amp;A342))*참고!$D$31:$D$130)/100,0),0)</f>
        <v>0</v>
      </c>
      <c r="L342" s="31" t="str">
        <f t="shared" si="17"/>
        <v/>
      </c>
      <c r="M342" s="39"/>
    </row>
    <row r="343" spans="1:13" ht="18" customHeight="1" x14ac:dyDescent="0.45">
      <c r="A343" s="37"/>
      <c r="B343" s="29"/>
      <c r="C343" s="29"/>
      <c r="D343" s="28"/>
      <c r="E343" s="30" t="str">
        <f>IFERROR(VLOOKUP(D343,KRX종목마스터!$A:$B,2,FALSE),"")</f>
        <v/>
      </c>
      <c r="F343" s="42"/>
      <c r="G343" s="42"/>
      <c r="H343" s="31" t="str">
        <f t="shared" si="15"/>
        <v/>
      </c>
      <c r="I343" s="43">
        <f ca="1">IFERROR(SUMPRODUCT((참고!$A$31:$A$130=C343)*(참고!$B$31:$B$130&lt;=A343)*(참고!$B$31:$B$130=_xludf.MAXIFS(참고!$B$31:$B$130,참고!$A$31:$A$130,C343,참고!$B$31:$B$130,"&lt;="&amp;A343))*참고!$C$31:$C$130)/100,0)</f>
        <v>0</v>
      </c>
      <c r="J343" s="31" t="str">
        <f t="shared" si="16"/>
        <v/>
      </c>
      <c r="K343" s="43">
        <f>IF(B343="매도",IFERROR(SUMPRODUCT((참고!$A$31:$A$130=C343)*(참고!$B$31:$B$130&lt;=A343)*(참고!$B$31:$B$130=_xludf.MAXIFS(참고!$B$31:$B$130,참고!$A$31:$A$130,C343,참고!$B$31:$B$130,"&lt;="&amp;A343))*참고!$D$31:$D$130)/100,0),0)</f>
        <v>0</v>
      </c>
      <c r="L343" s="31" t="str">
        <f t="shared" si="17"/>
        <v/>
      </c>
      <c r="M343" s="39"/>
    </row>
    <row r="344" spans="1:13" ht="18" customHeight="1" x14ac:dyDescent="0.45">
      <c r="A344" s="37"/>
      <c r="B344" s="29"/>
      <c r="C344" s="29"/>
      <c r="D344" s="28"/>
      <c r="E344" s="30" t="str">
        <f>IFERROR(VLOOKUP(D344,KRX종목마스터!$A:$B,2,FALSE),"")</f>
        <v/>
      </c>
      <c r="F344" s="42"/>
      <c r="G344" s="42"/>
      <c r="H344" s="31" t="str">
        <f t="shared" si="15"/>
        <v/>
      </c>
      <c r="I344" s="43">
        <f ca="1">IFERROR(SUMPRODUCT((참고!$A$31:$A$130=C344)*(참고!$B$31:$B$130&lt;=A344)*(참고!$B$31:$B$130=_xludf.MAXIFS(참고!$B$31:$B$130,참고!$A$31:$A$130,C344,참고!$B$31:$B$130,"&lt;="&amp;A344))*참고!$C$31:$C$130)/100,0)</f>
        <v>0</v>
      </c>
      <c r="J344" s="31" t="str">
        <f t="shared" si="16"/>
        <v/>
      </c>
      <c r="K344" s="43">
        <f>IF(B344="매도",IFERROR(SUMPRODUCT((참고!$A$31:$A$130=C344)*(참고!$B$31:$B$130&lt;=A344)*(참고!$B$31:$B$130=_xludf.MAXIFS(참고!$B$31:$B$130,참고!$A$31:$A$130,C344,참고!$B$31:$B$130,"&lt;="&amp;A344))*참고!$D$31:$D$130)/100,0),0)</f>
        <v>0</v>
      </c>
      <c r="L344" s="31" t="str">
        <f t="shared" si="17"/>
        <v/>
      </c>
      <c r="M344" s="39"/>
    </row>
    <row r="345" spans="1:13" ht="18" customHeight="1" x14ac:dyDescent="0.45">
      <c r="A345" s="37"/>
      <c r="B345" s="29"/>
      <c r="C345" s="29"/>
      <c r="D345" s="28"/>
      <c r="E345" s="30" t="str">
        <f>IFERROR(VLOOKUP(D345,KRX종목마스터!$A:$B,2,FALSE),"")</f>
        <v/>
      </c>
      <c r="F345" s="42"/>
      <c r="G345" s="42"/>
      <c r="H345" s="31" t="str">
        <f t="shared" si="15"/>
        <v/>
      </c>
      <c r="I345" s="43">
        <f ca="1">IFERROR(SUMPRODUCT((참고!$A$31:$A$130=C345)*(참고!$B$31:$B$130&lt;=A345)*(참고!$B$31:$B$130=_xludf.MAXIFS(참고!$B$31:$B$130,참고!$A$31:$A$130,C345,참고!$B$31:$B$130,"&lt;="&amp;A345))*참고!$C$31:$C$130)/100,0)</f>
        <v>0</v>
      </c>
      <c r="J345" s="31" t="str">
        <f t="shared" si="16"/>
        <v/>
      </c>
      <c r="K345" s="43">
        <f>IF(B345="매도",IFERROR(SUMPRODUCT((참고!$A$31:$A$130=C345)*(참고!$B$31:$B$130&lt;=A345)*(참고!$B$31:$B$130=_xludf.MAXIFS(참고!$B$31:$B$130,참고!$A$31:$A$130,C345,참고!$B$31:$B$130,"&lt;="&amp;A345))*참고!$D$31:$D$130)/100,0),0)</f>
        <v>0</v>
      </c>
      <c r="L345" s="31" t="str">
        <f t="shared" si="17"/>
        <v/>
      </c>
      <c r="M345" s="39"/>
    </row>
    <row r="346" spans="1:13" ht="18" customHeight="1" x14ac:dyDescent="0.45">
      <c r="A346" s="37"/>
      <c r="B346" s="29"/>
      <c r="C346" s="29"/>
      <c r="D346" s="28"/>
      <c r="E346" s="30" t="str">
        <f>IFERROR(VLOOKUP(D346,KRX종목마스터!$A:$B,2,FALSE),"")</f>
        <v/>
      </c>
      <c r="F346" s="42"/>
      <c r="G346" s="42"/>
      <c r="H346" s="31" t="str">
        <f t="shared" si="15"/>
        <v/>
      </c>
      <c r="I346" s="43">
        <f ca="1">IFERROR(SUMPRODUCT((참고!$A$31:$A$130=C346)*(참고!$B$31:$B$130&lt;=A346)*(참고!$B$31:$B$130=_xludf.MAXIFS(참고!$B$31:$B$130,참고!$A$31:$A$130,C346,참고!$B$31:$B$130,"&lt;="&amp;A346))*참고!$C$31:$C$130)/100,0)</f>
        <v>0</v>
      </c>
      <c r="J346" s="31" t="str">
        <f t="shared" si="16"/>
        <v/>
      </c>
      <c r="K346" s="43">
        <f>IF(B346="매도",IFERROR(SUMPRODUCT((참고!$A$31:$A$130=C346)*(참고!$B$31:$B$130&lt;=A346)*(참고!$B$31:$B$130=_xludf.MAXIFS(참고!$B$31:$B$130,참고!$A$31:$A$130,C346,참고!$B$31:$B$130,"&lt;="&amp;A346))*참고!$D$31:$D$130)/100,0),0)</f>
        <v>0</v>
      </c>
      <c r="L346" s="31" t="str">
        <f t="shared" si="17"/>
        <v/>
      </c>
      <c r="M346" s="39"/>
    </row>
    <row r="347" spans="1:13" ht="18" customHeight="1" x14ac:dyDescent="0.45">
      <c r="A347" s="37"/>
      <c r="B347" s="29"/>
      <c r="C347" s="29"/>
      <c r="D347" s="28"/>
      <c r="E347" s="30" t="str">
        <f>IFERROR(VLOOKUP(D347,KRX종목마스터!$A:$B,2,FALSE),"")</f>
        <v/>
      </c>
      <c r="F347" s="42"/>
      <c r="G347" s="42"/>
      <c r="H347" s="31" t="str">
        <f t="shared" si="15"/>
        <v/>
      </c>
      <c r="I347" s="43">
        <f ca="1">IFERROR(SUMPRODUCT((참고!$A$31:$A$130=C347)*(참고!$B$31:$B$130&lt;=A347)*(참고!$B$31:$B$130=_xludf.MAXIFS(참고!$B$31:$B$130,참고!$A$31:$A$130,C347,참고!$B$31:$B$130,"&lt;="&amp;A347))*참고!$C$31:$C$130)/100,0)</f>
        <v>0</v>
      </c>
      <c r="J347" s="31" t="str">
        <f t="shared" si="16"/>
        <v/>
      </c>
      <c r="K347" s="43">
        <f>IF(B347="매도",IFERROR(SUMPRODUCT((참고!$A$31:$A$130=C347)*(참고!$B$31:$B$130&lt;=A347)*(참고!$B$31:$B$130=_xludf.MAXIFS(참고!$B$31:$B$130,참고!$A$31:$A$130,C347,참고!$B$31:$B$130,"&lt;="&amp;A347))*참고!$D$31:$D$130)/100,0),0)</f>
        <v>0</v>
      </c>
      <c r="L347" s="31" t="str">
        <f t="shared" si="17"/>
        <v/>
      </c>
      <c r="M347" s="39"/>
    </row>
    <row r="348" spans="1:13" ht="18" customHeight="1" x14ac:dyDescent="0.45">
      <c r="A348" s="37"/>
      <c r="B348" s="29"/>
      <c r="C348" s="29"/>
      <c r="D348" s="28"/>
      <c r="E348" s="30" t="str">
        <f>IFERROR(VLOOKUP(D348,KRX종목마스터!$A:$B,2,FALSE),"")</f>
        <v/>
      </c>
      <c r="F348" s="42"/>
      <c r="G348" s="42"/>
      <c r="H348" s="31" t="str">
        <f t="shared" si="15"/>
        <v/>
      </c>
      <c r="I348" s="43">
        <f ca="1">IFERROR(SUMPRODUCT((참고!$A$31:$A$130=C348)*(참고!$B$31:$B$130&lt;=A348)*(참고!$B$31:$B$130=_xludf.MAXIFS(참고!$B$31:$B$130,참고!$A$31:$A$130,C348,참고!$B$31:$B$130,"&lt;="&amp;A348))*참고!$C$31:$C$130)/100,0)</f>
        <v>0</v>
      </c>
      <c r="J348" s="31" t="str">
        <f t="shared" si="16"/>
        <v/>
      </c>
      <c r="K348" s="43">
        <f>IF(B348="매도",IFERROR(SUMPRODUCT((참고!$A$31:$A$130=C348)*(참고!$B$31:$B$130&lt;=A348)*(참고!$B$31:$B$130=_xludf.MAXIFS(참고!$B$31:$B$130,참고!$A$31:$A$130,C348,참고!$B$31:$B$130,"&lt;="&amp;A348))*참고!$D$31:$D$130)/100,0),0)</f>
        <v>0</v>
      </c>
      <c r="L348" s="31" t="str">
        <f t="shared" si="17"/>
        <v/>
      </c>
      <c r="M348" s="39"/>
    </row>
    <row r="349" spans="1:13" ht="18" customHeight="1" x14ac:dyDescent="0.45">
      <c r="A349" s="37"/>
      <c r="B349" s="29"/>
      <c r="C349" s="29"/>
      <c r="D349" s="28"/>
      <c r="E349" s="30" t="str">
        <f>IFERROR(VLOOKUP(D349,KRX종목마스터!$A:$B,2,FALSE),"")</f>
        <v/>
      </c>
      <c r="F349" s="42"/>
      <c r="G349" s="42"/>
      <c r="H349" s="31" t="str">
        <f t="shared" si="15"/>
        <v/>
      </c>
      <c r="I349" s="43">
        <f ca="1">IFERROR(SUMPRODUCT((참고!$A$31:$A$130=C349)*(참고!$B$31:$B$130&lt;=A349)*(참고!$B$31:$B$130=_xludf.MAXIFS(참고!$B$31:$B$130,참고!$A$31:$A$130,C349,참고!$B$31:$B$130,"&lt;="&amp;A349))*참고!$C$31:$C$130)/100,0)</f>
        <v>0</v>
      </c>
      <c r="J349" s="31" t="str">
        <f t="shared" si="16"/>
        <v/>
      </c>
      <c r="K349" s="43">
        <f>IF(B349="매도",IFERROR(SUMPRODUCT((참고!$A$31:$A$130=C349)*(참고!$B$31:$B$130&lt;=A349)*(참고!$B$31:$B$130=_xludf.MAXIFS(참고!$B$31:$B$130,참고!$A$31:$A$130,C349,참고!$B$31:$B$130,"&lt;="&amp;A349))*참고!$D$31:$D$130)/100,0),0)</f>
        <v>0</v>
      </c>
      <c r="L349" s="31" t="str">
        <f t="shared" si="17"/>
        <v/>
      </c>
      <c r="M349" s="39"/>
    </row>
    <row r="350" spans="1:13" ht="18" customHeight="1" x14ac:dyDescent="0.45">
      <c r="A350" s="37"/>
      <c r="B350" s="29"/>
      <c r="C350" s="29"/>
      <c r="D350" s="28"/>
      <c r="E350" s="30" t="str">
        <f>IFERROR(VLOOKUP(D350,KRX종목마스터!$A:$B,2,FALSE),"")</f>
        <v/>
      </c>
      <c r="F350" s="42"/>
      <c r="G350" s="42"/>
      <c r="H350" s="31" t="str">
        <f t="shared" si="15"/>
        <v/>
      </c>
      <c r="I350" s="43">
        <f ca="1">IFERROR(SUMPRODUCT((참고!$A$31:$A$130=C350)*(참고!$B$31:$B$130&lt;=A350)*(참고!$B$31:$B$130=_xludf.MAXIFS(참고!$B$31:$B$130,참고!$A$31:$A$130,C350,참고!$B$31:$B$130,"&lt;="&amp;A350))*참고!$C$31:$C$130)/100,0)</f>
        <v>0</v>
      </c>
      <c r="J350" s="31" t="str">
        <f t="shared" si="16"/>
        <v/>
      </c>
      <c r="K350" s="43">
        <f>IF(B350="매도",IFERROR(SUMPRODUCT((참고!$A$31:$A$130=C350)*(참고!$B$31:$B$130&lt;=A350)*(참고!$B$31:$B$130=_xludf.MAXIFS(참고!$B$31:$B$130,참고!$A$31:$A$130,C350,참고!$B$31:$B$130,"&lt;="&amp;A350))*참고!$D$31:$D$130)/100,0),0)</f>
        <v>0</v>
      </c>
      <c r="L350" s="31" t="str">
        <f t="shared" si="17"/>
        <v/>
      </c>
      <c r="M350" s="39"/>
    </row>
    <row r="351" spans="1:13" ht="18" customHeight="1" x14ac:dyDescent="0.45">
      <c r="A351" s="37"/>
      <c r="B351" s="29"/>
      <c r="C351" s="29"/>
      <c r="D351" s="28"/>
      <c r="E351" s="30" t="str">
        <f>IFERROR(VLOOKUP(D351,KRX종목마스터!$A:$B,2,FALSE),"")</f>
        <v/>
      </c>
      <c r="F351" s="42"/>
      <c r="G351" s="42"/>
      <c r="H351" s="31" t="str">
        <f t="shared" si="15"/>
        <v/>
      </c>
      <c r="I351" s="43">
        <f ca="1">IFERROR(SUMPRODUCT((참고!$A$31:$A$130=C351)*(참고!$B$31:$B$130&lt;=A351)*(참고!$B$31:$B$130=_xludf.MAXIFS(참고!$B$31:$B$130,참고!$A$31:$A$130,C351,참고!$B$31:$B$130,"&lt;="&amp;A351))*참고!$C$31:$C$130)/100,0)</f>
        <v>0</v>
      </c>
      <c r="J351" s="31" t="str">
        <f t="shared" si="16"/>
        <v/>
      </c>
      <c r="K351" s="43">
        <f>IF(B351="매도",IFERROR(SUMPRODUCT((참고!$A$31:$A$130=C351)*(참고!$B$31:$B$130&lt;=A351)*(참고!$B$31:$B$130=_xludf.MAXIFS(참고!$B$31:$B$130,참고!$A$31:$A$130,C351,참고!$B$31:$B$130,"&lt;="&amp;A351))*참고!$D$31:$D$130)/100,0),0)</f>
        <v>0</v>
      </c>
      <c r="L351" s="31" t="str">
        <f t="shared" si="17"/>
        <v/>
      </c>
      <c r="M351" s="39"/>
    </row>
    <row r="352" spans="1:13" ht="18" customHeight="1" x14ac:dyDescent="0.45">
      <c r="A352" s="37"/>
      <c r="B352" s="29"/>
      <c r="C352" s="29"/>
      <c r="D352" s="28"/>
      <c r="E352" s="30" t="str">
        <f>IFERROR(VLOOKUP(D352,KRX종목마스터!$A:$B,2,FALSE),"")</f>
        <v/>
      </c>
      <c r="F352" s="42"/>
      <c r="G352" s="42"/>
      <c r="H352" s="31" t="str">
        <f t="shared" si="15"/>
        <v/>
      </c>
      <c r="I352" s="43">
        <f ca="1">IFERROR(SUMPRODUCT((참고!$A$31:$A$130=C352)*(참고!$B$31:$B$130&lt;=A352)*(참고!$B$31:$B$130=_xludf.MAXIFS(참고!$B$31:$B$130,참고!$A$31:$A$130,C352,참고!$B$31:$B$130,"&lt;="&amp;A352))*참고!$C$31:$C$130)/100,0)</f>
        <v>0</v>
      </c>
      <c r="J352" s="31" t="str">
        <f t="shared" si="16"/>
        <v/>
      </c>
      <c r="K352" s="43">
        <f>IF(B352="매도",IFERROR(SUMPRODUCT((참고!$A$31:$A$130=C352)*(참고!$B$31:$B$130&lt;=A352)*(참고!$B$31:$B$130=_xludf.MAXIFS(참고!$B$31:$B$130,참고!$A$31:$A$130,C352,참고!$B$31:$B$130,"&lt;="&amp;A352))*참고!$D$31:$D$130)/100,0),0)</f>
        <v>0</v>
      </c>
      <c r="L352" s="31" t="str">
        <f t="shared" si="17"/>
        <v/>
      </c>
      <c r="M352" s="39"/>
    </row>
    <row r="353" spans="1:13" ht="18" customHeight="1" x14ac:dyDescent="0.45">
      <c r="A353" s="37"/>
      <c r="B353" s="29"/>
      <c r="C353" s="29"/>
      <c r="D353" s="28"/>
      <c r="E353" s="30" t="str">
        <f>IFERROR(VLOOKUP(D353,KRX종목마스터!$A:$B,2,FALSE),"")</f>
        <v/>
      </c>
      <c r="F353" s="42"/>
      <c r="G353" s="42"/>
      <c r="H353" s="31" t="str">
        <f t="shared" si="15"/>
        <v/>
      </c>
      <c r="I353" s="43">
        <f ca="1">IFERROR(SUMPRODUCT((참고!$A$31:$A$130=C353)*(참고!$B$31:$B$130&lt;=A353)*(참고!$B$31:$B$130=_xludf.MAXIFS(참고!$B$31:$B$130,참고!$A$31:$A$130,C353,참고!$B$31:$B$130,"&lt;="&amp;A353))*참고!$C$31:$C$130)/100,0)</f>
        <v>0</v>
      </c>
      <c r="J353" s="31" t="str">
        <f t="shared" si="16"/>
        <v/>
      </c>
      <c r="K353" s="43">
        <f>IF(B353="매도",IFERROR(SUMPRODUCT((참고!$A$31:$A$130=C353)*(참고!$B$31:$B$130&lt;=A353)*(참고!$B$31:$B$130=_xludf.MAXIFS(참고!$B$31:$B$130,참고!$A$31:$A$130,C353,참고!$B$31:$B$130,"&lt;="&amp;A353))*참고!$D$31:$D$130)/100,0),0)</f>
        <v>0</v>
      </c>
      <c r="L353" s="31" t="str">
        <f t="shared" si="17"/>
        <v/>
      </c>
      <c r="M353" s="39"/>
    </row>
    <row r="354" spans="1:13" ht="18" customHeight="1" x14ac:dyDescent="0.45">
      <c r="A354" s="37"/>
      <c r="B354" s="29"/>
      <c r="C354" s="29"/>
      <c r="D354" s="28"/>
      <c r="E354" s="30" t="str">
        <f>IFERROR(VLOOKUP(D354,KRX종목마스터!$A:$B,2,FALSE),"")</f>
        <v/>
      </c>
      <c r="F354" s="42"/>
      <c r="G354" s="42"/>
      <c r="H354" s="31" t="str">
        <f t="shared" si="15"/>
        <v/>
      </c>
      <c r="I354" s="43">
        <f ca="1">IFERROR(SUMPRODUCT((참고!$A$31:$A$130=C354)*(참고!$B$31:$B$130&lt;=A354)*(참고!$B$31:$B$130=_xludf.MAXIFS(참고!$B$31:$B$130,참고!$A$31:$A$130,C354,참고!$B$31:$B$130,"&lt;="&amp;A354))*참고!$C$31:$C$130)/100,0)</f>
        <v>0</v>
      </c>
      <c r="J354" s="31" t="str">
        <f t="shared" si="16"/>
        <v/>
      </c>
      <c r="K354" s="43">
        <f>IF(B354="매도",IFERROR(SUMPRODUCT((참고!$A$31:$A$130=C354)*(참고!$B$31:$B$130&lt;=A354)*(참고!$B$31:$B$130=_xludf.MAXIFS(참고!$B$31:$B$130,참고!$A$31:$A$130,C354,참고!$B$31:$B$130,"&lt;="&amp;A354))*참고!$D$31:$D$130)/100,0),0)</f>
        <v>0</v>
      </c>
      <c r="L354" s="31" t="str">
        <f t="shared" si="17"/>
        <v/>
      </c>
      <c r="M354" s="39"/>
    </row>
    <row r="355" spans="1:13" ht="18" customHeight="1" x14ac:dyDescent="0.45">
      <c r="A355" s="37"/>
      <c r="B355" s="29"/>
      <c r="C355" s="29"/>
      <c r="D355" s="28"/>
      <c r="E355" s="30" t="str">
        <f>IFERROR(VLOOKUP(D355,KRX종목마스터!$A:$B,2,FALSE),"")</f>
        <v/>
      </c>
      <c r="F355" s="42"/>
      <c r="G355" s="42"/>
      <c r="H355" s="31" t="str">
        <f t="shared" si="15"/>
        <v/>
      </c>
      <c r="I355" s="43">
        <f ca="1">IFERROR(SUMPRODUCT((참고!$A$31:$A$130=C355)*(참고!$B$31:$B$130&lt;=A355)*(참고!$B$31:$B$130=_xludf.MAXIFS(참고!$B$31:$B$130,참고!$A$31:$A$130,C355,참고!$B$31:$B$130,"&lt;="&amp;A355))*참고!$C$31:$C$130)/100,0)</f>
        <v>0</v>
      </c>
      <c r="J355" s="31" t="str">
        <f t="shared" si="16"/>
        <v/>
      </c>
      <c r="K355" s="43">
        <f>IF(B355="매도",IFERROR(SUMPRODUCT((참고!$A$31:$A$130=C355)*(참고!$B$31:$B$130&lt;=A355)*(참고!$B$31:$B$130=_xludf.MAXIFS(참고!$B$31:$B$130,참고!$A$31:$A$130,C355,참고!$B$31:$B$130,"&lt;="&amp;A355))*참고!$D$31:$D$130)/100,0),0)</f>
        <v>0</v>
      </c>
      <c r="L355" s="31" t="str">
        <f t="shared" si="17"/>
        <v/>
      </c>
      <c r="M355" s="39"/>
    </row>
    <row r="356" spans="1:13" ht="18" customHeight="1" x14ac:dyDescent="0.45">
      <c r="A356" s="37"/>
      <c r="B356" s="29"/>
      <c r="C356" s="29"/>
      <c r="D356" s="28"/>
      <c r="E356" s="30" t="str">
        <f>IFERROR(VLOOKUP(D356,KRX종목마스터!$A:$B,2,FALSE),"")</f>
        <v/>
      </c>
      <c r="F356" s="42"/>
      <c r="G356" s="42"/>
      <c r="H356" s="31" t="str">
        <f t="shared" si="15"/>
        <v/>
      </c>
      <c r="I356" s="43">
        <f ca="1">IFERROR(SUMPRODUCT((참고!$A$31:$A$130=C356)*(참고!$B$31:$B$130&lt;=A356)*(참고!$B$31:$B$130=_xludf.MAXIFS(참고!$B$31:$B$130,참고!$A$31:$A$130,C356,참고!$B$31:$B$130,"&lt;="&amp;A356))*참고!$C$31:$C$130)/100,0)</f>
        <v>0</v>
      </c>
      <c r="J356" s="31" t="str">
        <f t="shared" si="16"/>
        <v/>
      </c>
      <c r="K356" s="43">
        <f>IF(B356="매도",IFERROR(SUMPRODUCT((참고!$A$31:$A$130=C356)*(참고!$B$31:$B$130&lt;=A356)*(참고!$B$31:$B$130=_xludf.MAXIFS(참고!$B$31:$B$130,참고!$A$31:$A$130,C356,참고!$B$31:$B$130,"&lt;="&amp;A356))*참고!$D$31:$D$130)/100,0),0)</f>
        <v>0</v>
      </c>
      <c r="L356" s="31" t="str">
        <f t="shared" si="17"/>
        <v/>
      </c>
      <c r="M356" s="39"/>
    </row>
    <row r="357" spans="1:13" ht="18" customHeight="1" x14ac:dyDescent="0.45">
      <c r="A357" s="37"/>
      <c r="B357" s="29"/>
      <c r="C357" s="29"/>
      <c r="D357" s="28"/>
      <c r="E357" s="30" t="str">
        <f>IFERROR(VLOOKUP(D357,KRX종목마스터!$A:$B,2,FALSE),"")</f>
        <v/>
      </c>
      <c r="F357" s="42"/>
      <c r="G357" s="42"/>
      <c r="H357" s="31" t="str">
        <f t="shared" si="15"/>
        <v/>
      </c>
      <c r="I357" s="43">
        <f ca="1">IFERROR(SUMPRODUCT((참고!$A$31:$A$130=C357)*(참고!$B$31:$B$130&lt;=A357)*(참고!$B$31:$B$130=_xludf.MAXIFS(참고!$B$31:$B$130,참고!$A$31:$A$130,C357,참고!$B$31:$B$130,"&lt;="&amp;A357))*참고!$C$31:$C$130)/100,0)</f>
        <v>0</v>
      </c>
      <c r="J357" s="31" t="str">
        <f t="shared" si="16"/>
        <v/>
      </c>
      <c r="K357" s="43">
        <f>IF(B357="매도",IFERROR(SUMPRODUCT((참고!$A$31:$A$130=C357)*(참고!$B$31:$B$130&lt;=A357)*(참고!$B$31:$B$130=_xludf.MAXIFS(참고!$B$31:$B$130,참고!$A$31:$A$130,C357,참고!$B$31:$B$130,"&lt;="&amp;A357))*참고!$D$31:$D$130)/100,0),0)</f>
        <v>0</v>
      </c>
      <c r="L357" s="31" t="str">
        <f t="shared" si="17"/>
        <v/>
      </c>
      <c r="M357" s="39"/>
    </row>
    <row r="358" spans="1:13" ht="18" customHeight="1" x14ac:dyDescent="0.45">
      <c r="A358" s="37"/>
      <c r="B358" s="29"/>
      <c r="C358" s="29"/>
      <c r="D358" s="28"/>
      <c r="E358" s="30" t="str">
        <f>IFERROR(VLOOKUP(D358,KRX종목마스터!$A:$B,2,FALSE),"")</f>
        <v/>
      </c>
      <c r="F358" s="42"/>
      <c r="G358" s="42"/>
      <c r="H358" s="31" t="str">
        <f t="shared" si="15"/>
        <v/>
      </c>
      <c r="I358" s="43">
        <f ca="1">IFERROR(SUMPRODUCT((참고!$A$31:$A$130=C358)*(참고!$B$31:$B$130&lt;=A358)*(참고!$B$31:$B$130=_xludf.MAXIFS(참고!$B$31:$B$130,참고!$A$31:$A$130,C358,참고!$B$31:$B$130,"&lt;="&amp;A358))*참고!$C$31:$C$130)/100,0)</f>
        <v>0</v>
      </c>
      <c r="J358" s="31" t="str">
        <f t="shared" si="16"/>
        <v/>
      </c>
      <c r="K358" s="43">
        <f>IF(B358="매도",IFERROR(SUMPRODUCT((참고!$A$31:$A$130=C358)*(참고!$B$31:$B$130&lt;=A358)*(참고!$B$31:$B$130=_xludf.MAXIFS(참고!$B$31:$B$130,참고!$A$31:$A$130,C358,참고!$B$31:$B$130,"&lt;="&amp;A358))*참고!$D$31:$D$130)/100,0),0)</f>
        <v>0</v>
      </c>
      <c r="L358" s="31" t="str">
        <f t="shared" si="17"/>
        <v/>
      </c>
      <c r="M358" s="39"/>
    </row>
    <row r="359" spans="1:13" ht="18" customHeight="1" x14ac:dyDescent="0.45">
      <c r="A359" s="37"/>
      <c r="B359" s="29"/>
      <c r="C359" s="29"/>
      <c r="D359" s="28"/>
      <c r="E359" s="30" t="str">
        <f>IFERROR(VLOOKUP(D359,KRX종목마스터!$A:$B,2,FALSE),"")</f>
        <v/>
      </c>
      <c r="F359" s="42"/>
      <c r="G359" s="42"/>
      <c r="H359" s="31" t="str">
        <f t="shared" si="15"/>
        <v/>
      </c>
      <c r="I359" s="43">
        <f ca="1">IFERROR(SUMPRODUCT((참고!$A$31:$A$130=C359)*(참고!$B$31:$B$130&lt;=A359)*(참고!$B$31:$B$130=_xludf.MAXIFS(참고!$B$31:$B$130,참고!$A$31:$A$130,C359,참고!$B$31:$B$130,"&lt;="&amp;A359))*참고!$C$31:$C$130)/100,0)</f>
        <v>0</v>
      </c>
      <c r="J359" s="31" t="str">
        <f t="shared" si="16"/>
        <v/>
      </c>
      <c r="K359" s="43">
        <f>IF(B359="매도",IFERROR(SUMPRODUCT((참고!$A$31:$A$130=C359)*(참고!$B$31:$B$130&lt;=A359)*(참고!$B$31:$B$130=_xludf.MAXIFS(참고!$B$31:$B$130,참고!$A$31:$A$130,C359,참고!$B$31:$B$130,"&lt;="&amp;A359))*참고!$D$31:$D$130)/100,0),0)</f>
        <v>0</v>
      </c>
      <c r="L359" s="31" t="str">
        <f t="shared" si="17"/>
        <v/>
      </c>
      <c r="M359" s="39"/>
    </row>
    <row r="360" spans="1:13" ht="18" customHeight="1" x14ac:dyDescent="0.45">
      <c r="A360" s="37"/>
      <c r="B360" s="29"/>
      <c r="C360" s="29"/>
      <c r="D360" s="28"/>
      <c r="E360" s="30" t="str">
        <f>IFERROR(VLOOKUP(D360,KRX종목마스터!$A:$B,2,FALSE),"")</f>
        <v/>
      </c>
      <c r="F360" s="42"/>
      <c r="G360" s="42"/>
      <c r="H360" s="31" t="str">
        <f t="shared" si="15"/>
        <v/>
      </c>
      <c r="I360" s="43">
        <f ca="1">IFERROR(SUMPRODUCT((참고!$A$31:$A$130=C360)*(참고!$B$31:$B$130&lt;=A360)*(참고!$B$31:$B$130=_xludf.MAXIFS(참고!$B$31:$B$130,참고!$A$31:$A$130,C360,참고!$B$31:$B$130,"&lt;="&amp;A360))*참고!$C$31:$C$130)/100,0)</f>
        <v>0</v>
      </c>
      <c r="J360" s="31" t="str">
        <f t="shared" si="16"/>
        <v/>
      </c>
      <c r="K360" s="43">
        <f>IF(B360="매도",IFERROR(SUMPRODUCT((참고!$A$31:$A$130=C360)*(참고!$B$31:$B$130&lt;=A360)*(참고!$B$31:$B$130=_xludf.MAXIFS(참고!$B$31:$B$130,참고!$A$31:$A$130,C360,참고!$B$31:$B$130,"&lt;="&amp;A360))*참고!$D$31:$D$130)/100,0),0)</f>
        <v>0</v>
      </c>
      <c r="L360" s="31" t="str">
        <f t="shared" si="17"/>
        <v/>
      </c>
      <c r="M360" s="39"/>
    </row>
    <row r="361" spans="1:13" ht="18" customHeight="1" x14ac:dyDescent="0.45">
      <c r="A361" s="37"/>
      <c r="B361" s="29"/>
      <c r="C361" s="29"/>
      <c r="D361" s="28"/>
      <c r="E361" s="30" t="str">
        <f>IFERROR(VLOOKUP(D361,KRX종목마스터!$A:$B,2,FALSE),"")</f>
        <v/>
      </c>
      <c r="F361" s="42"/>
      <c r="G361" s="42"/>
      <c r="H361" s="31" t="str">
        <f t="shared" si="15"/>
        <v/>
      </c>
      <c r="I361" s="43">
        <f ca="1">IFERROR(SUMPRODUCT((참고!$A$31:$A$130=C361)*(참고!$B$31:$B$130&lt;=A361)*(참고!$B$31:$B$130=_xludf.MAXIFS(참고!$B$31:$B$130,참고!$A$31:$A$130,C361,참고!$B$31:$B$130,"&lt;="&amp;A361))*참고!$C$31:$C$130)/100,0)</f>
        <v>0</v>
      </c>
      <c r="J361" s="31" t="str">
        <f t="shared" si="16"/>
        <v/>
      </c>
      <c r="K361" s="43">
        <f>IF(B361="매도",IFERROR(SUMPRODUCT((참고!$A$31:$A$130=C361)*(참고!$B$31:$B$130&lt;=A361)*(참고!$B$31:$B$130=_xludf.MAXIFS(참고!$B$31:$B$130,참고!$A$31:$A$130,C361,참고!$B$31:$B$130,"&lt;="&amp;A361))*참고!$D$31:$D$130)/100,0),0)</f>
        <v>0</v>
      </c>
      <c r="L361" s="31" t="str">
        <f t="shared" si="17"/>
        <v/>
      </c>
      <c r="M361" s="39"/>
    </row>
    <row r="362" spans="1:13" ht="18" customHeight="1" x14ac:dyDescent="0.45">
      <c r="A362" s="37"/>
      <c r="B362" s="29"/>
      <c r="C362" s="29"/>
      <c r="D362" s="28"/>
      <c r="E362" s="30" t="str">
        <f>IFERROR(VLOOKUP(D362,KRX종목마스터!$A:$B,2,FALSE),"")</f>
        <v/>
      </c>
      <c r="F362" s="42"/>
      <c r="G362" s="42"/>
      <c r="H362" s="31" t="str">
        <f t="shared" si="15"/>
        <v/>
      </c>
      <c r="I362" s="43">
        <f ca="1">IFERROR(SUMPRODUCT((참고!$A$31:$A$130=C362)*(참고!$B$31:$B$130&lt;=A362)*(참고!$B$31:$B$130=_xludf.MAXIFS(참고!$B$31:$B$130,참고!$A$31:$A$130,C362,참고!$B$31:$B$130,"&lt;="&amp;A362))*참고!$C$31:$C$130)/100,0)</f>
        <v>0</v>
      </c>
      <c r="J362" s="31" t="str">
        <f t="shared" si="16"/>
        <v/>
      </c>
      <c r="K362" s="43">
        <f>IF(B362="매도",IFERROR(SUMPRODUCT((참고!$A$31:$A$130=C362)*(참고!$B$31:$B$130&lt;=A362)*(참고!$B$31:$B$130=_xludf.MAXIFS(참고!$B$31:$B$130,참고!$A$31:$A$130,C362,참고!$B$31:$B$130,"&lt;="&amp;A362))*참고!$D$31:$D$130)/100,0),0)</f>
        <v>0</v>
      </c>
      <c r="L362" s="31" t="str">
        <f t="shared" si="17"/>
        <v/>
      </c>
      <c r="M362" s="39"/>
    </row>
    <row r="363" spans="1:13" ht="18" customHeight="1" x14ac:dyDescent="0.45">
      <c r="A363" s="37"/>
      <c r="B363" s="29"/>
      <c r="C363" s="29"/>
      <c r="D363" s="28"/>
      <c r="E363" s="30" t="str">
        <f>IFERROR(VLOOKUP(D363,KRX종목마스터!$A:$B,2,FALSE),"")</f>
        <v/>
      </c>
      <c r="F363" s="42"/>
      <c r="G363" s="42"/>
      <c r="H363" s="31" t="str">
        <f t="shared" si="15"/>
        <v/>
      </c>
      <c r="I363" s="43">
        <f ca="1">IFERROR(SUMPRODUCT((참고!$A$31:$A$130=C363)*(참고!$B$31:$B$130&lt;=A363)*(참고!$B$31:$B$130=_xludf.MAXIFS(참고!$B$31:$B$130,참고!$A$31:$A$130,C363,참고!$B$31:$B$130,"&lt;="&amp;A363))*참고!$C$31:$C$130)/100,0)</f>
        <v>0</v>
      </c>
      <c r="J363" s="31" t="str">
        <f t="shared" si="16"/>
        <v/>
      </c>
      <c r="K363" s="43">
        <f>IF(B363="매도",IFERROR(SUMPRODUCT((참고!$A$31:$A$130=C363)*(참고!$B$31:$B$130&lt;=A363)*(참고!$B$31:$B$130=_xludf.MAXIFS(참고!$B$31:$B$130,참고!$A$31:$A$130,C363,참고!$B$31:$B$130,"&lt;="&amp;A363))*참고!$D$31:$D$130)/100,0),0)</f>
        <v>0</v>
      </c>
      <c r="L363" s="31" t="str">
        <f t="shared" si="17"/>
        <v/>
      </c>
      <c r="M363" s="39"/>
    </row>
    <row r="364" spans="1:13" ht="18" customHeight="1" x14ac:dyDescent="0.45">
      <c r="A364" s="37"/>
      <c r="B364" s="29"/>
      <c r="C364" s="29"/>
      <c r="D364" s="28"/>
      <c r="E364" s="30" t="str">
        <f>IFERROR(VLOOKUP(D364,KRX종목마스터!$A:$B,2,FALSE),"")</f>
        <v/>
      </c>
      <c r="F364" s="42"/>
      <c r="G364" s="42"/>
      <c r="H364" s="31" t="str">
        <f t="shared" si="15"/>
        <v/>
      </c>
      <c r="I364" s="43">
        <f ca="1">IFERROR(SUMPRODUCT((참고!$A$31:$A$130=C364)*(참고!$B$31:$B$130&lt;=A364)*(참고!$B$31:$B$130=_xludf.MAXIFS(참고!$B$31:$B$130,참고!$A$31:$A$130,C364,참고!$B$31:$B$130,"&lt;="&amp;A364))*참고!$C$31:$C$130)/100,0)</f>
        <v>0</v>
      </c>
      <c r="J364" s="31" t="str">
        <f t="shared" si="16"/>
        <v/>
      </c>
      <c r="K364" s="43">
        <f>IF(B364="매도",IFERROR(SUMPRODUCT((참고!$A$31:$A$130=C364)*(참고!$B$31:$B$130&lt;=A364)*(참고!$B$31:$B$130=_xludf.MAXIFS(참고!$B$31:$B$130,참고!$A$31:$A$130,C364,참고!$B$31:$B$130,"&lt;="&amp;A364))*참고!$D$31:$D$130)/100,0),0)</f>
        <v>0</v>
      </c>
      <c r="L364" s="31" t="str">
        <f t="shared" si="17"/>
        <v/>
      </c>
      <c r="M364" s="39"/>
    </row>
    <row r="365" spans="1:13" ht="18" customHeight="1" x14ac:dyDescent="0.45">
      <c r="A365" s="37"/>
      <c r="B365" s="29"/>
      <c r="C365" s="29"/>
      <c r="D365" s="28"/>
      <c r="E365" s="30" t="str">
        <f>IFERROR(VLOOKUP(D365,KRX종목마스터!$A:$B,2,FALSE),"")</f>
        <v/>
      </c>
      <c r="F365" s="42"/>
      <c r="G365" s="42"/>
      <c r="H365" s="31" t="str">
        <f t="shared" si="15"/>
        <v/>
      </c>
      <c r="I365" s="43">
        <f ca="1">IFERROR(SUMPRODUCT((참고!$A$31:$A$130=C365)*(참고!$B$31:$B$130&lt;=A365)*(참고!$B$31:$B$130=_xludf.MAXIFS(참고!$B$31:$B$130,참고!$A$31:$A$130,C365,참고!$B$31:$B$130,"&lt;="&amp;A365))*참고!$C$31:$C$130)/100,0)</f>
        <v>0</v>
      </c>
      <c r="J365" s="31" t="str">
        <f t="shared" si="16"/>
        <v/>
      </c>
      <c r="K365" s="43">
        <f>IF(B365="매도",IFERROR(SUMPRODUCT((참고!$A$31:$A$130=C365)*(참고!$B$31:$B$130&lt;=A365)*(참고!$B$31:$B$130=_xludf.MAXIFS(참고!$B$31:$B$130,참고!$A$31:$A$130,C365,참고!$B$31:$B$130,"&lt;="&amp;A365))*참고!$D$31:$D$130)/100,0),0)</f>
        <v>0</v>
      </c>
      <c r="L365" s="31" t="str">
        <f t="shared" si="17"/>
        <v/>
      </c>
      <c r="M365" s="39"/>
    </row>
    <row r="366" spans="1:13" ht="18" customHeight="1" x14ac:dyDescent="0.45">
      <c r="A366" s="37"/>
      <c r="B366" s="29"/>
      <c r="C366" s="29"/>
      <c r="D366" s="28"/>
      <c r="E366" s="30" t="str">
        <f>IFERROR(VLOOKUP(D366,KRX종목마스터!$A:$B,2,FALSE),"")</f>
        <v/>
      </c>
      <c r="F366" s="42"/>
      <c r="G366" s="42"/>
      <c r="H366" s="31" t="str">
        <f t="shared" si="15"/>
        <v/>
      </c>
      <c r="I366" s="43">
        <f ca="1">IFERROR(SUMPRODUCT((참고!$A$31:$A$130=C366)*(참고!$B$31:$B$130&lt;=A366)*(참고!$B$31:$B$130=_xludf.MAXIFS(참고!$B$31:$B$130,참고!$A$31:$A$130,C366,참고!$B$31:$B$130,"&lt;="&amp;A366))*참고!$C$31:$C$130)/100,0)</f>
        <v>0</v>
      </c>
      <c r="J366" s="31" t="str">
        <f t="shared" si="16"/>
        <v/>
      </c>
      <c r="K366" s="43">
        <f>IF(B366="매도",IFERROR(SUMPRODUCT((참고!$A$31:$A$130=C366)*(참고!$B$31:$B$130&lt;=A366)*(참고!$B$31:$B$130=_xludf.MAXIFS(참고!$B$31:$B$130,참고!$A$31:$A$130,C366,참고!$B$31:$B$130,"&lt;="&amp;A366))*참고!$D$31:$D$130)/100,0),0)</f>
        <v>0</v>
      </c>
      <c r="L366" s="31" t="str">
        <f t="shared" si="17"/>
        <v/>
      </c>
      <c r="M366" s="39"/>
    </row>
    <row r="367" spans="1:13" ht="18" customHeight="1" x14ac:dyDescent="0.45">
      <c r="A367" s="37"/>
      <c r="B367" s="29"/>
      <c r="C367" s="29"/>
      <c r="D367" s="28"/>
      <c r="E367" s="30" t="str">
        <f>IFERROR(VLOOKUP(D367,KRX종목마스터!$A:$B,2,FALSE),"")</f>
        <v/>
      </c>
      <c r="F367" s="42"/>
      <c r="G367" s="42"/>
      <c r="H367" s="31" t="str">
        <f t="shared" si="15"/>
        <v/>
      </c>
      <c r="I367" s="43">
        <f ca="1">IFERROR(SUMPRODUCT((참고!$A$31:$A$130=C367)*(참고!$B$31:$B$130&lt;=A367)*(참고!$B$31:$B$130=_xludf.MAXIFS(참고!$B$31:$B$130,참고!$A$31:$A$130,C367,참고!$B$31:$B$130,"&lt;="&amp;A367))*참고!$C$31:$C$130)/100,0)</f>
        <v>0</v>
      </c>
      <c r="J367" s="31" t="str">
        <f t="shared" si="16"/>
        <v/>
      </c>
      <c r="K367" s="43">
        <f>IF(B367="매도",IFERROR(SUMPRODUCT((참고!$A$31:$A$130=C367)*(참고!$B$31:$B$130&lt;=A367)*(참고!$B$31:$B$130=_xludf.MAXIFS(참고!$B$31:$B$130,참고!$A$31:$A$130,C367,참고!$B$31:$B$130,"&lt;="&amp;A367))*참고!$D$31:$D$130)/100,0),0)</f>
        <v>0</v>
      </c>
      <c r="L367" s="31" t="str">
        <f t="shared" si="17"/>
        <v/>
      </c>
      <c r="M367" s="39"/>
    </row>
    <row r="368" spans="1:13" ht="18" customHeight="1" x14ac:dyDescent="0.45">
      <c r="A368" s="37"/>
      <c r="B368" s="29"/>
      <c r="C368" s="29"/>
      <c r="D368" s="28"/>
      <c r="E368" s="30" t="str">
        <f>IFERROR(VLOOKUP(D368,KRX종목마스터!$A:$B,2,FALSE),"")</f>
        <v/>
      </c>
      <c r="F368" s="42"/>
      <c r="G368" s="42"/>
      <c r="H368" s="31" t="str">
        <f t="shared" si="15"/>
        <v/>
      </c>
      <c r="I368" s="43">
        <f ca="1">IFERROR(SUMPRODUCT((참고!$A$31:$A$130=C368)*(참고!$B$31:$B$130&lt;=A368)*(참고!$B$31:$B$130=_xludf.MAXIFS(참고!$B$31:$B$130,참고!$A$31:$A$130,C368,참고!$B$31:$B$130,"&lt;="&amp;A368))*참고!$C$31:$C$130)/100,0)</f>
        <v>0</v>
      </c>
      <c r="J368" s="31" t="str">
        <f t="shared" si="16"/>
        <v/>
      </c>
      <c r="K368" s="43">
        <f>IF(B368="매도",IFERROR(SUMPRODUCT((참고!$A$31:$A$130=C368)*(참고!$B$31:$B$130&lt;=A368)*(참고!$B$31:$B$130=_xludf.MAXIFS(참고!$B$31:$B$130,참고!$A$31:$A$130,C368,참고!$B$31:$B$130,"&lt;="&amp;A368))*참고!$D$31:$D$130)/100,0),0)</f>
        <v>0</v>
      </c>
      <c r="L368" s="31" t="str">
        <f t="shared" si="17"/>
        <v/>
      </c>
      <c r="M368" s="39"/>
    </row>
    <row r="369" spans="1:13" ht="18" customHeight="1" x14ac:dyDescent="0.45">
      <c r="A369" s="37"/>
      <c r="B369" s="29"/>
      <c r="C369" s="29"/>
      <c r="D369" s="28"/>
      <c r="E369" s="30" t="str">
        <f>IFERROR(VLOOKUP(D369,KRX종목마스터!$A:$B,2,FALSE),"")</f>
        <v/>
      </c>
      <c r="F369" s="42"/>
      <c r="G369" s="42"/>
      <c r="H369" s="31" t="str">
        <f t="shared" si="15"/>
        <v/>
      </c>
      <c r="I369" s="43">
        <f ca="1">IFERROR(SUMPRODUCT((참고!$A$31:$A$130=C369)*(참고!$B$31:$B$130&lt;=A369)*(참고!$B$31:$B$130=_xludf.MAXIFS(참고!$B$31:$B$130,참고!$A$31:$A$130,C369,참고!$B$31:$B$130,"&lt;="&amp;A369))*참고!$C$31:$C$130)/100,0)</f>
        <v>0</v>
      </c>
      <c r="J369" s="31" t="str">
        <f t="shared" si="16"/>
        <v/>
      </c>
      <c r="K369" s="43">
        <f>IF(B369="매도",IFERROR(SUMPRODUCT((참고!$A$31:$A$130=C369)*(참고!$B$31:$B$130&lt;=A369)*(참고!$B$31:$B$130=_xludf.MAXIFS(참고!$B$31:$B$130,참고!$A$31:$A$130,C369,참고!$B$31:$B$130,"&lt;="&amp;A369))*참고!$D$31:$D$130)/100,0),0)</f>
        <v>0</v>
      </c>
      <c r="L369" s="31" t="str">
        <f t="shared" si="17"/>
        <v/>
      </c>
      <c r="M369" s="39"/>
    </row>
    <row r="370" spans="1:13" ht="18" customHeight="1" x14ac:dyDescent="0.45">
      <c r="A370" s="37"/>
      <c r="B370" s="29"/>
      <c r="C370" s="29"/>
      <c r="D370" s="28"/>
      <c r="E370" s="30" t="str">
        <f>IFERROR(VLOOKUP(D370,KRX종목마스터!$A:$B,2,FALSE),"")</f>
        <v/>
      </c>
      <c r="F370" s="42"/>
      <c r="G370" s="42"/>
      <c r="H370" s="31" t="str">
        <f t="shared" si="15"/>
        <v/>
      </c>
      <c r="I370" s="43">
        <f ca="1">IFERROR(SUMPRODUCT((참고!$A$31:$A$130=C370)*(참고!$B$31:$B$130&lt;=A370)*(참고!$B$31:$B$130=_xludf.MAXIFS(참고!$B$31:$B$130,참고!$A$31:$A$130,C370,참고!$B$31:$B$130,"&lt;="&amp;A370))*참고!$C$31:$C$130)/100,0)</f>
        <v>0</v>
      </c>
      <c r="J370" s="31" t="str">
        <f t="shared" si="16"/>
        <v/>
      </c>
      <c r="K370" s="43">
        <f>IF(B370="매도",IFERROR(SUMPRODUCT((참고!$A$31:$A$130=C370)*(참고!$B$31:$B$130&lt;=A370)*(참고!$B$31:$B$130=_xludf.MAXIFS(참고!$B$31:$B$130,참고!$A$31:$A$130,C370,참고!$B$31:$B$130,"&lt;="&amp;A370))*참고!$D$31:$D$130)/100,0),0)</f>
        <v>0</v>
      </c>
      <c r="L370" s="31" t="str">
        <f t="shared" si="17"/>
        <v/>
      </c>
      <c r="M370" s="39"/>
    </row>
    <row r="371" spans="1:13" ht="18" customHeight="1" x14ac:dyDescent="0.45">
      <c r="A371" s="37"/>
      <c r="B371" s="29"/>
      <c r="C371" s="29"/>
      <c r="D371" s="28"/>
      <c r="E371" s="30" t="str">
        <f>IFERROR(VLOOKUP(D371,KRX종목마스터!$A:$B,2,FALSE),"")</f>
        <v/>
      </c>
      <c r="F371" s="42"/>
      <c r="G371" s="42"/>
      <c r="H371" s="31" t="str">
        <f t="shared" si="15"/>
        <v/>
      </c>
      <c r="I371" s="43">
        <f ca="1">IFERROR(SUMPRODUCT((참고!$A$31:$A$130=C371)*(참고!$B$31:$B$130&lt;=A371)*(참고!$B$31:$B$130=_xludf.MAXIFS(참고!$B$31:$B$130,참고!$A$31:$A$130,C371,참고!$B$31:$B$130,"&lt;="&amp;A371))*참고!$C$31:$C$130)/100,0)</f>
        <v>0</v>
      </c>
      <c r="J371" s="31" t="str">
        <f t="shared" si="16"/>
        <v/>
      </c>
      <c r="K371" s="43">
        <f>IF(B371="매도",IFERROR(SUMPRODUCT((참고!$A$31:$A$130=C371)*(참고!$B$31:$B$130&lt;=A371)*(참고!$B$31:$B$130=_xludf.MAXIFS(참고!$B$31:$B$130,참고!$A$31:$A$130,C371,참고!$B$31:$B$130,"&lt;="&amp;A371))*참고!$D$31:$D$130)/100,0),0)</f>
        <v>0</v>
      </c>
      <c r="L371" s="31" t="str">
        <f t="shared" si="17"/>
        <v/>
      </c>
      <c r="M371" s="39"/>
    </row>
    <row r="372" spans="1:13" ht="18" customHeight="1" x14ac:dyDescent="0.45">
      <c r="A372" s="37"/>
      <c r="B372" s="29"/>
      <c r="C372" s="29"/>
      <c r="D372" s="28"/>
      <c r="E372" s="30" t="str">
        <f>IFERROR(VLOOKUP(D372,KRX종목마스터!$A:$B,2,FALSE),"")</f>
        <v/>
      </c>
      <c r="F372" s="42"/>
      <c r="G372" s="42"/>
      <c r="H372" s="31" t="str">
        <f t="shared" si="15"/>
        <v/>
      </c>
      <c r="I372" s="43">
        <f ca="1">IFERROR(SUMPRODUCT((참고!$A$31:$A$130=C372)*(참고!$B$31:$B$130&lt;=A372)*(참고!$B$31:$B$130=_xludf.MAXIFS(참고!$B$31:$B$130,참고!$A$31:$A$130,C372,참고!$B$31:$B$130,"&lt;="&amp;A372))*참고!$C$31:$C$130)/100,0)</f>
        <v>0</v>
      </c>
      <c r="J372" s="31" t="str">
        <f t="shared" si="16"/>
        <v/>
      </c>
      <c r="K372" s="43">
        <f>IF(B372="매도",IFERROR(SUMPRODUCT((참고!$A$31:$A$130=C372)*(참고!$B$31:$B$130&lt;=A372)*(참고!$B$31:$B$130=_xludf.MAXIFS(참고!$B$31:$B$130,참고!$A$31:$A$130,C372,참고!$B$31:$B$130,"&lt;="&amp;A372))*참고!$D$31:$D$130)/100,0),0)</f>
        <v>0</v>
      </c>
      <c r="L372" s="31" t="str">
        <f t="shared" si="17"/>
        <v/>
      </c>
      <c r="M372" s="39"/>
    </row>
    <row r="373" spans="1:13" ht="18" customHeight="1" x14ac:dyDescent="0.45">
      <c r="A373" s="37"/>
      <c r="B373" s="29"/>
      <c r="C373" s="29"/>
      <c r="D373" s="28"/>
      <c r="E373" s="30" t="str">
        <f>IFERROR(VLOOKUP(D373,KRX종목마스터!$A:$B,2,FALSE),"")</f>
        <v/>
      </c>
      <c r="F373" s="42"/>
      <c r="G373" s="42"/>
      <c r="H373" s="31" t="str">
        <f t="shared" si="15"/>
        <v/>
      </c>
      <c r="I373" s="43">
        <f ca="1">IFERROR(SUMPRODUCT((참고!$A$31:$A$130=C373)*(참고!$B$31:$B$130&lt;=A373)*(참고!$B$31:$B$130=_xludf.MAXIFS(참고!$B$31:$B$130,참고!$A$31:$A$130,C373,참고!$B$31:$B$130,"&lt;="&amp;A373))*참고!$C$31:$C$130)/100,0)</f>
        <v>0</v>
      </c>
      <c r="J373" s="31" t="str">
        <f t="shared" si="16"/>
        <v/>
      </c>
      <c r="K373" s="43">
        <f>IF(B373="매도",IFERROR(SUMPRODUCT((참고!$A$31:$A$130=C373)*(참고!$B$31:$B$130&lt;=A373)*(참고!$B$31:$B$130=_xludf.MAXIFS(참고!$B$31:$B$130,참고!$A$31:$A$130,C373,참고!$B$31:$B$130,"&lt;="&amp;A373))*참고!$D$31:$D$130)/100,0),0)</f>
        <v>0</v>
      </c>
      <c r="L373" s="31" t="str">
        <f t="shared" si="17"/>
        <v/>
      </c>
      <c r="M373" s="39"/>
    </row>
    <row r="374" spans="1:13" ht="18" customHeight="1" x14ac:dyDescent="0.45">
      <c r="A374" s="37"/>
      <c r="B374" s="29"/>
      <c r="C374" s="29"/>
      <c r="D374" s="28"/>
      <c r="E374" s="30" t="str">
        <f>IFERROR(VLOOKUP(D374,KRX종목마스터!$A:$B,2,FALSE),"")</f>
        <v/>
      </c>
      <c r="F374" s="42"/>
      <c r="G374" s="42"/>
      <c r="H374" s="31" t="str">
        <f t="shared" si="15"/>
        <v/>
      </c>
      <c r="I374" s="43">
        <f ca="1">IFERROR(SUMPRODUCT((참고!$A$31:$A$130=C374)*(참고!$B$31:$B$130&lt;=A374)*(참고!$B$31:$B$130=_xludf.MAXIFS(참고!$B$31:$B$130,참고!$A$31:$A$130,C374,참고!$B$31:$B$130,"&lt;="&amp;A374))*참고!$C$31:$C$130)/100,0)</f>
        <v>0</v>
      </c>
      <c r="J374" s="31" t="str">
        <f t="shared" si="16"/>
        <v/>
      </c>
      <c r="K374" s="43">
        <f>IF(B374="매도",IFERROR(SUMPRODUCT((참고!$A$31:$A$130=C374)*(참고!$B$31:$B$130&lt;=A374)*(참고!$B$31:$B$130=_xludf.MAXIFS(참고!$B$31:$B$130,참고!$A$31:$A$130,C374,참고!$B$31:$B$130,"&lt;="&amp;A374))*참고!$D$31:$D$130)/100,0),0)</f>
        <v>0</v>
      </c>
      <c r="L374" s="31" t="str">
        <f t="shared" si="17"/>
        <v/>
      </c>
      <c r="M374" s="39"/>
    </row>
    <row r="375" spans="1:13" ht="18" customHeight="1" x14ac:dyDescent="0.45">
      <c r="A375" s="37"/>
      <c r="B375" s="29"/>
      <c r="C375" s="29"/>
      <c r="D375" s="28"/>
      <c r="E375" s="30" t="str">
        <f>IFERROR(VLOOKUP(D375,KRX종목마스터!$A:$B,2,FALSE),"")</f>
        <v/>
      </c>
      <c r="F375" s="42"/>
      <c r="G375" s="42"/>
      <c r="H375" s="31" t="str">
        <f t="shared" si="15"/>
        <v/>
      </c>
      <c r="I375" s="43">
        <f ca="1">IFERROR(SUMPRODUCT((참고!$A$31:$A$130=C375)*(참고!$B$31:$B$130&lt;=A375)*(참고!$B$31:$B$130=_xludf.MAXIFS(참고!$B$31:$B$130,참고!$A$31:$A$130,C375,참고!$B$31:$B$130,"&lt;="&amp;A375))*참고!$C$31:$C$130)/100,0)</f>
        <v>0</v>
      </c>
      <c r="J375" s="31" t="str">
        <f t="shared" si="16"/>
        <v/>
      </c>
      <c r="K375" s="43">
        <f>IF(B375="매도",IFERROR(SUMPRODUCT((참고!$A$31:$A$130=C375)*(참고!$B$31:$B$130&lt;=A375)*(참고!$B$31:$B$130=_xludf.MAXIFS(참고!$B$31:$B$130,참고!$A$31:$A$130,C375,참고!$B$31:$B$130,"&lt;="&amp;A375))*참고!$D$31:$D$130)/100,0),0)</f>
        <v>0</v>
      </c>
      <c r="L375" s="31" t="str">
        <f t="shared" si="17"/>
        <v/>
      </c>
      <c r="M375" s="39"/>
    </row>
    <row r="376" spans="1:13" ht="18" customHeight="1" x14ac:dyDescent="0.45">
      <c r="A376" s="37"/>
      <c r="B376" s="29"/>
      <c r="C376" s="29"/>
      <c r="D376" s="28"/>
      <c r="E376" s="30" t="str">
        <f>IFERROR(VLOOKUP(D376,KRX종목마스터!$A:$B,2,FALSE),"")</f>
        <v/>
      </c>
      <c r="F376" s="42"/>
      <c r="G376" s="42"/>
      <c r="H376" s="31" t="str">
        <f t="shared" si="15"/>
        <v/>
      </c>
      <c r="I376" s="43">
        <f ca="1">IFERROR(SUMPRODUCT((참고!$A$31:$A$130=C376)*(참고!$B$31:$B$130&lt;=A376)*(참고!$B$31:$B$130=_xludf.MAXIFS(참고!$B$31:$B$130,참고!$A$31:$A$130,C376,참고!$B$31:$B$130,"&lt;="&amp;A376))*참고!$C$31:$C$130)/100,0)</f>
        <v>0</v>
      </c>
      <c r="J376" s="31" t="str">
        <f t="shared" si="16"/>
        <v/>
      </c>
      <c r="K376" s="43">
        <f>IF(B376="매도",IFERROR(SUMPRODUCT((참고!$A$31:$A$130=C376)*(참고!$B$31:$B$130&lt;=A376)*(참고!$B$31:$B$130=_xludf.MAXIFS(참고!$B$31:$B$130,참고!$A$31:$A$130,C376,참고!$B$31:$B$130,"&lt;="&amp;A376))*참고!$D$31:$D$130)/100,0),0)</f>
        <v>0</v>
      </c>
      <c r="L376" s="31" t="str">
        <f t="shared" si="17"/>
        <v/>
      </c>
      <c r="M376" s="39"/>
    </row>
    <row r="377" spans="1:13" ht="18" customHeight="1" x14ac:dyDescent="0.45">
      <c r="A377" s="37"/>
      <c r="B377" s="29"/>
      <c r="C377" s="29"/>
      <c r="D377" s="28"/>
      <c r="E377" s="30" t="str">
        <f>IFERROR(VLOOKUP(D377,KRX종목마스터!$A:$B,2,FALSE),"")</f>
        <v/>
      </c>
      <c r="F377" s="42"/>
      <c r="G377" s="42"/>
      <c r="H377" s="31" t="str">
        <f t="shared" si="15"/>
        <v/>
      </c>
      <c r="I377" s="43">
        <f ca="1">IFERROR(SUMPRODUCT((참고!$A$31:$A$130=C377)*(참고!$B$31:$B$130&lt;=A377)*(참고!$B$31:$B$130=_xludf.MAXIFS(참고!$B$31:$B$130,참고!$A$31:$A$130,C377,참고!$B$31:$B$130,"&lt;="&amp;A377))*참고!$C$31:$C$130)/100,0)</f>
        <v>0</v>
      </c>
      <c r="J377" s="31" t="str">
        <f t="shared" si="16"/>
        <v/>
      </c>
      <c r="K377" s="43">
        <f>IF(B377="매도",IFERROR(SUMPRODUCT((참고!$A$31:$A$130=C377)*(참고!$B$31:$B$130&lt;=A377)*(참고!$B$31:$B$130=_xludf.MAXIFS(참고!$B$31:$B$130,참고!$A$31:$A$130,C377,참고!$B$31:$B$130,"&lt;="&amp;A377))*참고!$D$31:$D$130)/100,0),0)</f>
        <v>0</v>
      </c>
      <c r="L377" s="31" t="str">
        <f t="shared" si="17"/>
        <v/>
      </c>
      <c r="M377" s="39"/>
    </row>
    <row r="378" spans="1:13" ht="18" customHeight="1" x14ac:dyDescent="0.45">
      <c r="A378" s="37"/>
      <c r="B378" s="29"/>
      <c r="C378" s="29"/>
      <c r="D378" s="28"/>
      <c r="E378" s="30" t="str">
        <f>IFERROR(VLOOKUP(D378,KRX종목마스터!$A:$B,2,FALSE),"")</f>
        <v/>
      </c>
      <c r="F378" s="42"/>
      <c r="G378" s="42"/>
      <c r="H378" s="31" t="str">
        <f t="shared" si="15"/>
        <v/>
      </c>
      <c r="I378" s="43">
        <f ca="1">IFERROR(SUMPRODUCT((참고!$A$31:$A$130=C378)*(참고!$B$31:$B$130&lt;=A378)*(참고!$B$31:$B$130=_xludf.MAXIFS(참고!$B$31:$B$130,참고!$A$31:$A$130,C378,참고!$B$31:$B$130,"&lt;="&amp;A378))*참고!$C$31:$C$130)/100,0)</f>
        <v>0</v>
      </c>
      <c r="J378" s="31" t="str">
        <f t="shared" si="16"/>
        <v/>
      </c>
      <c r="K378" s="43">
        <f>IF(B378="매도",IFERROR(SUMPRODUCT((참고!$A$31:$A$130=C378)*(참고!$B$31:$B$130&lt;=A378)*(참고!$B$31:$B$130=_xludf.MAXIFS(참고!$B$31:$B$130,참고!$A$31:$A$130,C378,참고!$B$31:$B$130,"&lt;="&amp;A378))*참고!$D$31:$D$130)/100,0),0)</f>
        <v>0</v>
      </c>
      <c r="L378" s="31" t="str">
        <f t="shared" si="17"/>
        <v/>
      </c>
      <c r="M378" s="39"/>
    </row>
    <row r="379" spans="1:13" ht="18" customHeight="1" x14ac:dyDescent="0.45">
      <c r="A379" s="37"/>
      <c r="B379" s="29"/>
      <c r="C379" s="29"/>
      <c r="D379" s="28"/>
      <c r="E379" s="30" t="str">
        <f>IFERROR(VLOOKUP(D379,KRX종목마스터!$A:$B,2,FALSE),"")</f>
        <v/>
      </c>
      <c r="F379" s="42"/>
      <c r="G379" s="42"/>
      <c r="H379" s="31" t="str">
        <f t="shared" si="15"/>
        <v/>
      </c>
      <c r="I379" s="43">
        <f ca="1">IFERROR(SUMPRODUCT((참고!$A$31:$A$130=C379)*(참고!$B$31:$B$130&lt;=A379)*(참고!$B$31:$B$130=_xludf.MAXIFS(참고!$B$31:$B$130,참고!$A$31:$A$130,C379,참고!$B$31:$B$130,"&lt;="&amp;A379))*참고!$C$31:$C$130)/100,0)</f>
        <v>0</v>
      </c>
      <c r="J379" s="31" t="str">
        <f t="shared" si="16"/>
        <v/>
      </c>
      <c r="K379" s="43">
        <f>IF(B379="매도",IFERROR(SUMPRODUCT((참고!$A$31:$A$130=C379)*(참고!$B$31:$B$130&lt;=A379)*(참고!$B$31:$B$130=_xludf.MAXIFS(참고!$B$31:$B$130,참고!$A$31:$A$130,C379,참고!$B$31:$B$130,"&lt;="&amp;A379))*참고!$D$31:$D$130)/100,0),0)</f>
        <v>0</v>
      </c>
      <c r="L379" s="31" t="str">
        <f t="shared" si="17"/>
        <v/>
      </c>
      <c r="M379" s="39"/>
    </row>
    <row r="380" spans="1:13" ht="18" customHeight="1" x14ac:dyDescent="0.45">
      <c r="A380" s="37"/>
      <c r="B380" s="29"/>
      <c r="C380" s="29"/>
      <c r="D380" s="28"/>
      <c r="E380" s="30" t="str">
        <f>IFERROR(VLOOKUP(D380,KRX종목마스터!$A:$B,2,FALSE),"")</f>
        <v/>
      </c>
      <c r="F380" s="42"/>
      <c r="G380" s="42"/>
      <c r="H380" s="31" t="str">
        <f t="shared" si="15"/>
        <v/>
      </c>
      <c r="I380" s="43">
        <f ca="1">IFERROR(SUMPRODUCT((참고!$A$31:$A$130=C380)*(참고!$B$31:$B$130&lt;=A380)*(참고!$B$31:$B$130=_xludf.MAXIFS(참고!$B$31:$B$130,참고!$A$31:$A$130,C380,참고!$B$31:$B$130,"&lt;="&amp;A380))*참고!$C$31:$C$130)/100,0)</f>
        <v>0</v>
      </c>
      <c r="J380" s="31" t="str">
        <f t="shared" si="16"/>
        <v/>
      </c>
      <c r="K380" s="43">
        <f>IF(B380="매도",IFERROR(SUMPRODUCT((참고!$A$31:$A$130=C380)*(참고!$B$31:$B$130&lt;=A380)*(참고!$B$31:$B$130=_xludf.MAXIFS(참고!$B$31:$B$130,참고!$A$31:$A$130,C380,참고!$B$31:$B$130,"&lt;="&amp;A380))*참고!$D$31:$D$130)/100,0),0)</f>
        <v>0</v>
      </c>
      <c r="L380" s="31" t="str">
        <f t="shared" si="17"/>
        <v/>
      </c>
      <c r="M380" s="39"/>
    </row>
    <row r="381" spans="1:13" ht="18" customHeight="1" x14ac:dyDescent="0.45">
      <c r="A381" s="37"/>
      <c r="B381" s="29"/>
      <c r="C381" s="29"/>
      <c r="D381" s="28"/>
      <c r="E381" s="30" t="str">
        <f>IFERROR(VLOOKUP(D381,KRX종목마스터!$A:$B,2,FALSE),"")</f>
        <v/>
      </c>
      <c r="F381" s="42"/>
      <c r="G381" s="42"/>
      <c r="H381" s="31" t="str">
        <f t="shared" si="15"/>
        <v/>
      </c>
      <c r="I381" s="43">
        <f ca="1">IFERROR(SUMPRODUCT((참고!$A$31:$A$130=C381)*(참고!$B$31:$B$130&lt;=A381)*(참고!$B$31:$B$130=_xludf.MAXIFS(참고!$B$31:$B$130,참고!$A$31:$A$130,C381,참고!$B$31:$B$130,"&lt;="&amp;A381))*참고!$C$31:$C$130)/100,0)</f>
        <v>0</v>
      </c>
      <c r="J381" s="31" t="str">
        <f t="shared" si="16"/>
        <v/>
      </c>
      <c r="K381" s="43">
        <f>IF(B381="매도",IFERROR(SUMPRODUCT((참고!$A$31:$A$130=C381)*(참고!$B$31:$B$130&lt;=A381)*(참고!$B$31:$B$130=_xludf.MAXIFS(참고!$B$31:$B$130,참고!$A$31:$A$130,C381,참고!$B$31:$B$130,"&lt;="&amp;A381))*참고!$D$31:$D$130)/100,0),0)</f>
        <v>0</v>
      </c>
      <c r="L381" s="31" t="str">
        <f t="shared" si="17"/>
        <v/>
      </c>
      <c r="M381" s="39"/>
    </row>
    <row r="382" spans="1:13" ht="18" customHeight="1" x14ac:dyDescent="0.45">
      <c r="A382" s="37"/>
      <c r="B382" s="29"/>
      <c r="C382" s="29"/>
      <c r="D382" s="28"/>
      <c r="E382" s="30" t="str">
        <f>IFERROR(VLOOKUP(D382,KRX종목마스터!$A:$B,2,FALSE),"")</f>
        <v/>
      </c>
      <c r="F382" s="42"/>
      <c r="G382" s="42"/>
      <c r="H382" s="31" t="str">
        <f t="shared" si="15"/>
        <v/>
      </c>
      <c r="I382" s="43">
        <f ca="1">IFERROR(SUMPRODUCT((참고!$A$31:$A$130=C382)*(참고!$B$31:$B$130&lt;=A382)*(참고!$B$31:$B$130=_xludf.MAXIFS(참고!$B$31:$B$130,참고!$A$31:$A$130,C382,참고!$B$31:$B$130,"&lt;="&amp;A382))*참고!$C$31:$C$130)/100,0)</f>
        <v>0</v>
      </c>
      <c r="J382" s="31" t="str">
        <f t="shared" si="16"/>
        <v/>
      </c>
      <c r="K382" s="43">
        <f>IF(B382="매도",IFERROR(SUMPRODUCT((참고!$A$31:$A$130=C382)*(참고!$B$31:$B$130&lt;=A382)*(참고!$B$31:$B$130=_xludf.MAXIFS(참고!$B$31:$B$130,참고!$A$31:$A$130,C382,참고!$B$31:$B$130,"&lt;="&amp;A382))*참고!$D$31:$D$130)/100,0),0)</f>
        <v>0</v>
      </c>
      <c r="L382" s="31" t="str">
        <f t="shared" si="17"/>
        <v/>
      </c>
      <c r="M382" s="39"/>
    </row>
    <row r="383" spans="1:13" ht="18" customHeight="1" x14ac:dyDescent="0.45">
      <c r="A383" s="37"/>
      <c r="B383" s="29"/>
      <c r="C383" s="29"/>
      <c r="D383" s="28"/>
      <c r="E383" s="30" t="str">
        <f>IFERROR(VLOOKUP(D383,KRX종목마스터!$A:$B,2,FALSE),"")</f>
        <v/>
      </c>
      <c r="F383" s="42"/>
      <c r="G383" s="42"/>
      <c r="H383" s="31" t="str">
        <f t="shared" si="15"/>
        <v/>
      </c>
      <c r="I383" s="43">
        <f ca="1">IFERROR(SUMPRODUCT((참고!$A$31:$A$130=C383)*(참고!$B$31:$B$130&lt;=A383)*(참고!$B$31:$B$130=_xludf.MAXIFS(참고!$B$31:$B$130,참고!$A$31:$A$130,C383,참고!$B$31:$B$130,"&lt;="&amp;A383))*참고!$C$31:$C$130)/100,0)</f>
        <v>0</v>
      </c>
      <c r="J383" s="31" t="str">
        <f t="shared" si="16"/>
        <v/>
      </c>
      <c r="K383" s="43">
        <f>IF(B383="매도",IFERROR(SUMPRODUCT((참고!$A$31:$A$130=C383)*(참고!$B$31:$B$130&lt;=A383)*(참고!$B$31:$B$130=_xludf.MAXIFS(참고!$B$31:$B$130,참고!$A$31:$A$130,C383,참고!$B$31:$B$130,"&lt;="&amp;A383))*참고!$D$31:$D$130)/100,0),0)</f>
        <v>0</v>
      </c>
      <c r="L383" s="31" t="str">
        <f t="shared" si="17"/>
        <v/>
      </c>
      <c r="M383" s="39"/>
    </row>
    <row r="384" spans="1:13" ht="18" customHeight="1" x14ac:dyDescent="0.45">
      <c r="A384" s="37"/>
      <c r="B384" s="29"/>
      <c r="C384" s="29"/>
      <c r="D384" s="28"/>
      <c r="E384" s="30" t="str">
        <f>IFERROR(VLOOKUP(D384,KRX종목마스터!$A:$B,2,FALSE),"")</f>
        <v/>
      </c>
      <c r="F384" s="42"/>
      <c r="G384" s="42"/>
      <c r="H384" s="31" t="str">
        <f t="shared" si="15"/>
        <v/>
      </c>
      <c r="I384" s="43">
        <f ca="1">IFERROR(SUMPRODUCT((참고!$A$31:$A$130=C384)*(참고!$B$31:$B$130&lt;=A384)*(참고!$B$31:$B$130=_xludf.MAXIFS(참고!$B$31:$B$130,참고!$A$31:$A$130,C384,참고!$B$31:$B$130,"&lt;="&amp;A384))*참고!$C$31:$C$130)/100,0)</f>
        <v>0</v>
      </c>
      <c r="J384" s="31" t="str">
        <f t="shared" si="16"/>
        <v/>
      </c>
      <c r="K384" s="43">
        <f>IF(B384="매도",IFERROR(SUMPRODUCT((참고!$A$31:$A$130=C384)*(참고!$B$31:$B$130&lt;=A384)*(참고!$B$31:$B$130=_xludf.MAXIFS(참고!$B$31:$B$130,참고!$A$31:$A$130,C384,참고!$B$31:$B$130,"&lt;="&amp;A384))*참고!$D$31:$D$130)/100,0),0)</f>
        <v>0</v>
      </c>
      <c r="L384" s="31" t="str">
        <f t="shared" si="17"/>
        <v/>
      </c>
      <c r="M384" s="39"/>
    </row>
    <row r="385" spans="1:13" ht="18" customHeight="1" x14ac:dyDescent="0.45">
      <c r="A385" s="37"/>
      <c r="B385" s="29"/>
      <c r="C385" s="29"/>
      <c r="D385" s="28"/>
      <c r="E385" s="30" t="str">
        <f>IFERROR(VLOOKUP(D385,KRX종목마스터!$A:$B,2,FALSE),"")</f>
        <v/>
      </c>
      <c r="F385" s="42"/>
      <c r="G385" s="42"/>
      <c r="H385" s="31" t="str">
        <f t="shared" si="15"/>
        <v/>
      </c>
      <c r="I385" s="43">
        <f ca="1">IFERROR(SUMPRODUCT((참고!$A$31:$A$130=C385)*(참고!$B$31:$B$130&lt;=A385)*(참고!$B$31:$B$130=_xludf.MAXIFS(참고!$B$31:$B$130,참고!$A$31:$A$130,C385,참고!$B$31:$B$130,"&lt;="&amp;A385))*참고!$C$31:$C$130)/100,0)</f>
        <v>0</v>
      </c>
      <c r="J385" s="31" t="str">
        <f t="shared" si="16"/>
        <v/>
      </c>
      <c r="K385" s="43">
        <f>IF(B385="매도",IFERROR(SUMPRODUCT((참고!$A$31:$A$130=C385)*(참고!$B$31:$B$130&lt;=A385)*(참고!$B$31:$B$130=_xludf.MAXIFS(참고!$B$31:$B$130,참고!$A$31:$A$130,C385,참고!$B$31:$B$130,"&lt;="&amp;A385))*참고!$D$31:$D$130)/100,0),0)</f>
        <v>0</v>
      </c>
      <c r="L385" s="31" t="str">
        <f t="shared" si="17"/>
        <v/>
      </c>
      <c r="M385" s="39"/>
    </row>
    <row r="386" spans="1:13" ht="18" customHeight="1" x14ac:dyDescent="0.45">
      <c r="A386" s="37"/>
      <c r="B386" s="29"/>
      <c r="C386" s="29"/>
      <c r="D386" s="28"/>
      <c r="E386" s="30" t="str">
        <f>IFERROR(VLOOKUP(D386,KRX종목마스터!$A:$B,2,FALSE),"")</f>
        <v/>
      </c>
      <c r="F386" s="42"/>
      <c r="G386" s="42"/>
      <c r="H386" s="31" t="str">
        <f t="shared" si="15"/>
        <v/>
      </c>
      <c r="I386" s="43">
        <f ca="1">IFERROR(SUMPRODUCT((참고!$A$31:$A$130=C386)*(참고!$B$31:$B$130&lt;=A386)*(참고!$B$31:$B$130=_xludf.MAXIFS(참고!$B$31:$B$130,참고!$A$31:$A$130,C386,참고!$B$31:$B$130,"&lt;="&amp;A386))*참고!$C$31:$C$130)/100,0)</f>
        <v>0</v>
      </c>
      <c r="J386" s="31" t="str">
        <f t="shared" si="16"/>
        <v/>
      </c>
      <c r="K386" s="43">
        <f>IF(B386="매도",IFERROR(SUMPRODUCT((참고!$A$31:$A$130=C386)*(참고!$B$31:$B$130&lt;=A386)*(참고!$B$31:$B$130=_xludf.MAXIFS(참고!$B$31:$B$130,참고!$A$31:$A$130,C386,참고!$B$31:$B$130,"&lt;="&amp;A386))*참고!$D$31:$D$130)/100,0),0)</f>
        <v>0</v>
      </c>
      <c r="L386" s="31" t="str">
        <f t="shared" si="17"/>
        <v/>
      </c>
      <c r="M386" s="39"/>
    </row>
    <row r="387" spans="1:13" ht="18" customHeight="1" x14ac:dyDescent="0.45">
      <c r="A387" s="37"/>
      <c r="B387" s="29"/>
      <c r="C387" s="29"/>
      <c r="D387" s="28"/>
      <c r="E387" s="30" t="str">
        <f>IFERROR(VLOOKUP(D387,KRX종목마스터!$A:$B,2,FALSE),"")</f>
        <v/>
      </c>
      <c r="F387" s="42"/>
      <c r="G387" s="42"/>
      <c r="H387" s="31" t="str">
        <f t="shared" si="15"/>
        <v/>
      </c>
      <c r="I387" s="43">
        <f ca="1">IFERROR(SUMPRODUCT((참고!$A$31:$A$130=C387)*(참고!$B$31:$B$130&lt;=A387)*(참고!$B$31:$B$130=_xludf.MAXIFS(참고!$B$31:$B$130,참고!$A$31:$A$130,C387,참고!$B$31:$B$130,"&lt;="&amp;A387))*참고!$C$31:$C$130)/100,0)</f>
        <v>0</v>
      </c>
      <c r="J387" s="31" t="str">
        <f t="shared" si="16"/>
        <v/>
      </c>
      <c r="K387" s="43">
        <f>IF(B387="매도",IFERROR(SUMPRODUCT((참고!$A$31:$A$130=C387)*(참고!$B$31:$B$130&lt;=A387)*(참고!$B$31:$B$130=_xludf.MAXIFS(참고!$B$31:$B$130,참고!$A$31:$A$130,C387,참고!$B$31:$B$130,"&lt;="&amp;A387))*참고!$D$31:$D$130)/100,0),0)</f>
        <v>0</v>
      </c>
      <c r="L387" s="31" t="str">
        <f t="shared" si="17"/>
        <v/>
      </c>
      <c r="M387" s="39"/>
    </row>
    <row r="388" spans="1:13" ht="18" customHeight="1" x14ac:dyDescent="0.45">
      <c r="A388" s="37"/>
      <c r="B388" s="29"/>
      <c r="C388" s="29"/>
      <c r="D388" s="28"/>
      <c r="E388" s="30" t="str">
        <f>IFERROR(VLOOKUP(D388,KRX종목마스터!$A:$B,2,FALSE),"")</f>
        <v/>
      </c>
      <c r="F388" s="42"/>
      <c r="G388" s="42"/>
      <c r="H388" s="31" t="str">
        <f t="shared" si="15"/>
        <v/>
      </c>
      <c r="I388" s="43">
        <f ca="1">IFERROR(SUMPRODUCT((참고!$A$31:$A$130=C388)*(참고!$B$31:$B$130&lt;=A388)*(참고!$B$31:$B$130=_xludf.MAXIFS(참고!$B$31:$B$130,참고!$A$31:$A$130,C388,참고!$B$31:$B$130,"&lt;="&amp;A388))*참고!$C$31:$C$130)/100,0)</f>
        <v>0</v>
      </c>
      <c r="J388" s="31" t="str">
        <f t="shared" si="16"/>
        <v/>
      </c>
      <c r="K388" s="43">
        <f>IF(B388="매도",IFERROR(SUMPRODUCT((참고!$A$31:$A$130=C388)*(참고!$B$31:$B$130&lt;=A388)*(참고!$B$31:$B$130=_xludf.MAXIFS(참고!$B$31:$B$130,참고!$A$31:$A$130,C388,참고!$B$31:$B$130,"&lt;="&amp;A388))*참고!$D$31:$D$130)/100,0),0)</f>
        <v>0</v>
      </c>
      <c r="L388" s="31" t="str">
        <f t="shared" si="17"/>
        <v/>
      </c>
      <c r="M388" s="39"/>
    </row>
    <row r="389" spans="1:13" ht="18" customHeight="1" x14ac:dyDescent="0.45">
      <c r="A389" s="37"/>
      <c r="B389" s="29"/>
      <c r="C389" s="29"/>
      <c r="D389" s="28"/>
      <c r="E389" s="30" t="str">
        <f>IFERROR(VLOOKUP(D389,KRX종목마스터!$A:$B,2,FALSE),"")</f>
        <v/>
      </c>
      <c r="F389" s="42"/>
      <c r="G389" s="42"/>
      <c r="H389" s="31" t="str">
        <f t="shared" ref="H389:H452" si="18">IF(AND(F389&lt;&gt;"",G389&lt;&gt;""),F389*G389,"")</f>
        <v/>
      </c>
      <c r="I389" s="43">
        <f ca="1">IFERROR(SUMPRODUCT((참고!$A$31:$A$130=C389)*(참고!$B$31:$B$130&lt;=A389)*(참고!$B$31:$B$130=_xludf.MAXIFS(참고!$B$31:$B$130,참고!$A$31:$A$130,C389,참고!$B$31:$B$130,"&lt;="&amp;A389))*참고!$C$31:$C$130)/100,0)</f>
        <v>0</v>
      </c>
      <c r="J389" s="31" t="str">
        <f t="shared" ref="J389:J452" si="19">IF(H389="","",ROUND(H389*I389,0))</f>
        <v/>
      </c>
      <c r="K389" s="43">
        <f>IF(B389="매도",IFERROR(SUMPRODUCT((참고!$A$31:$A$130=C389)*(참고!$B$31:$B$130&lt;=A389)*(참고!$B$31:$B$130=_xludf.MAXIFS(참고!$B$31:$B$130,참고!$A$31:$A$130,C389,참고!$B$31:$B$130,"&lt;="&amp;A389))*참고!$D$31:$D$130)/100,0),0)</f>
        <v>0</v>
      </c>
      <c r="L389" s="31" t="str">
        <f t="shared" ref="L389:L452" si="20">IF(H389="","",ROUND(H389*K389,0))</f>
        <v/>
      </c>
      <c r="M389" s="39"/>
    </row>
    <row r="390" spans="1:13" ht="18" customHeight="1" x14ac:dyDescent="0.45">
      <c r="A390" s="37"/>
      <c r="B390" s="29"/>
      <c r="C390" s="29"/>
      <c r="D390" s="28"/>
      <c r="E390" s="30" t="str">
        <f>IFERROR(VLOOKUP(D390,KRX종목마스터!$A:$B,2,FALSE),"")</f>
        <v/>
      </c>
      <c r="F390" s="42"/>
      <c r="G390" s="42"/>
      <c r="H390" s="31" t="str">
        <f t="shared" si="18"/>
        <v/>
      </c>
      <c r="I390" s="43">
        <f ca="1">IFERROR(SUMPRODUCT((참고!$A$31:$A$130=C390)*(참고!$B$31:$B$130&lt;=A390)*(참고!$B$31:$B$130=_xludf.MAXIFS(참고!$B$31:$B$130,참고!$A$31:$A$130,C390,참고!$B$31:$B$130,"&lt;="&amp;A390))*참고!$C$31:$C$130)/100,0)</f>
        <v>0</v>
      </c>
      <c r="J390" s="31" t="str">
        <f t="shared" si="19"/>
        <v/>
      </c>
      <c r="K390" s="43">
        <f>IF(B390="매도",IFERROR(SUMPRODUCT((참고!$A$31:$A$130=C390)*(참고!$B$31:$B$130&lt;=A390)*(참고!$B$31:$B$130=_xludf.MAXIFS(참고!$B$31:$B$130,참고!$A$31:$A$130,C390,참고!$B$31:$B$130,"&lt;="&amp;A390))*참고!$D$31:$D$130)/100,0),0)</f>
        <v>0</v>
      </c>
      <c r="L390" s="31" t="str">
        <f t="shared" si="20"/>
        <v/>
      </c>
      <c r="M390" s="39"/>
    </row>
    <row r="391" spans="1:13" ht="18" customHeight="1" x14ac:dyDescent="0.45">
      <c r="A391" s="37"/>
      <c r="B391" s="29"/>
      <c r="C391" s="29"/>
      <c r="D391" s="28"/>
      <c r="E391" s="30" t="str">
        <f>IFERROR(VLOOKUP(D391,KRX종목마스터!$A:$B,2,FALSE),"")</f>
        <v/>
      </c>
      <c r="F391" s="42"/>
      <c r="G391" s="42"/>
      <c r="H391" s="31" t="str">
        <f t="shared" si="18"/>
        <v/>
      </c>
      <c r="I391" s="43">
        <f ca="1">IFERROR(SUMPRODUCT((참고!$A$31:$A$130=C391)*(참고!$B$31:$B$130&lt;=A391)*(참고!$B$31:$B$130=_xludf.MAXIFS(참고!$B$31:$B$130,참고!$A$31:$A$130,C391,참고!$B$31:$B$130,"&lt;="&amp;A391))*참고!$C$31:$C$130)/100,0)</f>
        <v>0</v>
      </c>
      <c r="J391" s="31" t="str">
        <f t="shared" si="19"/>
        <v/>
      </c>
      <c r="K391" s="43">
        <f>IF(B391="매도",IFERROR(SUMPRODUCT((참고!$A$31:$A$130=C391)*(참고!$B$31:$B$130&lt;=A391)*(참고!$B$31:$B$130=_xludf.MAXIFS(참고!$B$31:$B$130,참고!$A$31:$A$130,C391,참고!$B$31:$B$130,"&lt;="&amp;A391))*참고!$D$31:$D$130)/100,0),0)</f>
        <v>0</v>
      </c>
      <c r="L391" s="31" t="str">
        <f t="shared" si="20"/>
        <v/>
      </c>
      <c r="M391" s="39"/>
    </row>
    <row r="392" spans="1:13" ht="18" customHeight="1" x14ac:dyDescent="0.45">
      <c r="A392" s="37"/>
      <c r="B392" s="29"/>
      <c r="C392" s="29"/>
      <c r="D392" s="28"/>
      <c r="E392" s="30" t="str">
        <f>IFERROR(VLOOKUP(D392,KRX종목마스터!$A:$B,2,FALSE),"")</f>
        <v/>
      </c>
      <c r="F392" s="42"/>
      <c r="G392" s="42"/>
      <c r="H392" s="31" t="str">
        <f t="shared" si="18"/>
        <v/>
      </c>
      <c r="I392" s="43">
        <f ca="1">IFERROR(SUMPRODUCT((참고!$A$31:$A$130=C392)*(참고!$B$31:$B$130&lt;=A392)*(참고!$B$31:$B$130=_xludf.MAXIFS(참고!$B$31:$B$130,참고!$A$31:$A$130,C392,참고!$B$31:$B$130,"&lt;="&amp;A392))*참고!$C$31:$C$130)/100,0)</f>
        <v>0</v>
      </c>
      <c r="J392" s="31" t="str">
        <f t="shared" si="19"/>
        <v/>
      </c>
      <c r="K392" s="43">
        <f>IF(B392="매도",IFERROR(SUMPRODUCT((참고!$A$31:$A$130=C392)*(참고!$B$31:$B$130&lt;=A392)*(참고!$B$31:$B$130=_xludf.MAXIFS(참고!$B$31:$B$130,참고!$A$31:$A$130,C392,참고!$B$31:$B$130,"&lt;="&amp;A392))*참고!$D$31:$D$130)/100,0),0)</f>
        <v>0</v>
      </c>
      <c r="L392" s="31" t="str">
        <f t="shared" si="20"/>
        <v/>
      </c>
      <c r="M392" s="39"/>
    </row>
    <row r="393" spans="1:13" ht="18" customHeight="1" x14ac:dyDescent="0.45">
      <c r="A393" s="37"/>
      <c r="B393" s="29"/>
      <c r="C393" s="29"/>
      <c r="D393" s="28"/>
      <c r="E393" s="30" t="str">
        <f>IFERROR(VLOOKUP(D393,KRX종목마스터!$A:$B,2,FALSE),"")</f>
        <v/>
      </c>
      <c r="F393" s="42"/>
      <c r="G393" s="42"/>
      <c r="H393" s="31" t="str">
        <f t="shared" si="18"/>
        <v/>
      </c>
      <c r="I393" s="43">
        <f ca="1">IFERROR(SUMPRODUCT((참고!$A$31:$A$130=C393)*(참고!$B$31:$B$130&lt;=A393)*(참고!$B$31:$B$130=_xludf.MAXIFS(참고!$B$31:$B$130,참고!$A$31:$A$130,C393,참고!$B$31:$B$130,"&lt;="&amp;A393))*참고!$C$31:$C$130)/100,0)</f>
        <v>0</v>
      </c>
      <c r="J393" s="31" t="str">
        <f t="shared" si="19"/>
        <v/>
      </c>
      <c r="K393" s="43">
        <f>IF(B393="매도",IFERROR(SUMPRODUCT((참고!$A$31:$A$130=C393)*(참고!$B$31:$B$130&lt;=A393)*(참고!$B$31:$B$130=_xludf.MAXIFS(참고!$B$31:$B$130,참고!$A$31:$A$130,C393,참고!$B$31:$B$130,"&lt;="&amp;A393))*참고!$D$31:$D$130)/100,0),0)</f>
        <v>0</v>
      </c>
      <c r="L393" s="31" t="str">
        <f t="shared" si="20"/>
        <v/>
      </c>
      <c r="M393" s="39"/>
    </row>
    <row r="394" spans="1:13" ht="18" customHeight="1" x14ac:dyDescent="0.45">
      <c r="A394" s="37"/>
      <c r="B394" s="29"/>
      <c r="C394" s="29"/>
      <c r="D394" s="28"/>
      <c r="E394" s="30" t="str">
        <f>IFERROR(VLOOKUP(D394,KRX종목마스터!$A:$B,2,FALSE),"")</f>
        <v/>
      </c>
      <c r="F394" s="42"/>
      <c r="G394" s="42"/>
      <c r="H394" s="31" t="str">
        <f t="shared" si="18"/>
        <v/>
      </c>
      <c r="I394" s="43">
        <f ca="1">IFERROR(SUMPRODUCT((참고!$A$31:$A$130=C394)*(참고!$B$31:$B$130&lt;=A394)*(참고!$B$31:$B$130=_xludf.MAXIFS(참고!$B$31:$B$130,참고!$A$31:$A$130,C394,참고!$B$31:$B$130,"&lt;="&amp;A394))*참고!$C$31:$C$130)/100,0)</f>
        <v>0</v>
      </c>
      <c r="J394" s="31" t="str">
        <f t="shared" si="19"/>
        <v/>
      </c>
      <c r="K394" s="43">
        <f>IF(B394="매도",IFERROR(SUMPRODUCT((참고!$A$31:$A$130=C394)*(참고!$B$31:$B$130&lt;=A394)*(참고!$B$31:$B$130=_xludf.MAXIFS(참고!$B$31:$B$130,참고!$A$31:$A$130,C394,참고!$B$31:$B$130,"&lt;="&amp;A394))*참고!$D$31:$D$130)/100,0),0)</f>
        <v>0</v>
      </c>
      <c r="L394" s="31" t="str">
        <f t="shared" si="20"/>
        <v/>
      </c>
      <c r="M394" s="39"/>
    </row>
    <row r="395" spans="1:13" ht="18" customHeight="1" x14ac:dyDescent="0.45">
      <c r="A395" s="37"/>
      <c r="B395" s="29"/>
      <c r="C395" s="29"/>
      <c r="D395" s="28"/>
      <c r="E395" s="30" t="str">
        <f>IFERROR(VLOOKUP(D395,KRX종목마스터!$A:$B,2,FALSE),"")</f>
        <v/>
      </c>
      <c r="F395" s="42"/>
      <c r="G395" s="42"/>
      <c r="H395" s="31" t="str">
        <f t="shared" si="18"/>
        <v/>
      </c>
      <c r="I395" s="43">
        <f ca="1">IFERROR(SUMPRODUCT((참고!$A$31:$A$130=C395)*(참고!$B$31:$B$130&lt;=A395)*(참고!$B$31:$B$130=_xludf.MAXIFS(참고!$B$31:$B$130,참고!$A$31:$A$130,C395,참고!$B$31:$B$130,"&lt;="&amp;A395))*참고!$C$31:$C$130)/100,0)</f>
        <v>0</v>
      </c>
      <c r="J395" s="31" t="str">
        <f t="shared" si="19"/>
        <v/>
      </c>
      <c r="K395" s="43">
        <f>IF(B395="매도",IFERROR(SUMPRODUCT((참고!$A$31:$A$130=C395)*(참고!$B$31:$B$130&lt;=A395)*(참고!$B$31:$B$130=_xludf.MAXIFS(참고!$B$31:$B$130,참고!$A$31:$A$130,C395,참고!$B$31:$B$130,"&lt;="&amp;A395))*참고!$D$31:$D$130)/100,0),0)</f>
        <v>0</v>
      </c>
      <c r="L395" s="31" t="str">
        <f t="shared" si="20"/>
        <v/>
      </c>
      <c r="M395" s="39"/>
    </row>
    <row r="396" spans="1:13" ht="18" customHeight="1" x14ac:dyDescent="0.45">
      <c r="A396" s="37"/>
      <c r="B396" s="29"/>
      <c r="C396" s="29"/>
      <c r="D396" s="28"/>
      <c r="E396" s="30" t="str">
        <f>IFERROR(VLOOKUP(D396,KRX종목마스터!$A:$B,2,FALSE),"")</f>
        <v/>
      </c>
      <c r="F396" s="42"/>
      <c r="G396" s="42"/>
      <c r="H396" s="31" t="str">
        <f t="shared" si="18"/>
        <v/>
      </c>
      <c r="I396" s="43">
        <f ca="1">IFERROR(SUMPRODUCT((참고!$A$31:$A$130=C396)*(참고!$B$31:$B$130&lt;=A396)*(참고!$B$31:$B$130=_xludf.MAXIFS(참고!$B$31:$B$130,참고!$A$31:$A$130,C396,참고!$B$31:$B$130,"&lt;="&amp;A396))*참고!$C$31:$C$130)/100,0)</f>
        <v>0</v>
      </c>
      <c r="J396" s="31" t="str">
        <f t="shared" si="19"/>
        <v/>
      </c>
      <c r="K396" s="43">
        <f>IF(B396="매도",IFERROR(SUMPRODUCT((참고!$A$31:$A$130=C396)*(참고!$B$31:$B$130&lt;=A396)*(참고!$B$31:$B$130=_xludf.MAXIFS(참고!$B$31:$B$130,참고!$A$31:$A$130,C396,참고!$B$31:$B$130,"&lt;="&amp;A396))*참고!$D$31:$D$130)/100,0),0)</f>
        <v>0</v>
      </c>
      <c r="L396" s="31" t="str">
        <f t="shared" si="20"/>
        <v/>
      </c>
      <c r="M396" s="39"/>
    </row>
    <row r="397" spans="1:13" ht="18" customHeight="1" x14ac:dyDescent="0.45">
      <c r="A397" s="37"/>
      <c r="B397" s="29"/>
      <c r="C397" s="29"/>
      <c r="D397" s="28"/>
      <c r="E397" s="30" t="str">
        <f>IFERROR(VLOOKUP(D397,KRX종목마스터!$A:$B,2,FALSE),"")</f>
        <v/>
      </c>
      <c r="F397" s="42"/>
      <c r="G397" s="42"/>
      <c r="H397" s="31" t="str">
        <f t="shared" si="18"/>
        <v/>
      </c>
      <c r="I397" s="43">
        <f ca="1">IFERROR(SUMPRODUCT((참고!$A$31:$A$130=C397)*(참고!$B$31:$B$130&lt;=A397)*(참고!$B$31:$B$130=_xludf.MAXIFS(참고!$B$31:$B$130,참고!$A$31:$A$130,C397,참고!$B$31:$B$130,"&lt;="&amp;A397))*참고!$C$31:$C$130)/100,0)</f>
        <v>0</v>
      </c>
      <c r="J397" s="31" t="str">
        <f t="shared" si="19"/>
        <v/>
      </c>
      <c r="K397" s="43">
        <f>IF(B397="매도",IFERROR(SUMPRODUCT((참고!$A$31:$A$130=C397)*(참고!$B$31:$B$130&lt;=A397)*(참고!$B$31:$B$130=_xludf.MAXIFS(참고!$B$31:$B$130,참고!$A$31:$A$130,C397,참고!$B$31:$B$130,"&lt;="&amp;A397))*참고!$D$31:$D$130)/100,0),0)</f>
        <v>0</v>
      </c>
      <c r="L397" s="31" t="str">
        <f t="shared" si="20"/>
        <v/>
      </c>
      <c r="M397" s="39"/>
    </row>
    <row r="398" spans="1:13" ht="18" customHeight="1" x14ac:dyDescent="0.45">
      <c r="A398" s="37"/>
      <c r="B398" s="29"/>
      <c r="C398" s="29"/>
      <c r="D398" s="28"/>
      <c r="E398" s="30" t="str">
        <f>IFERROR(VLOOKUP(D398,KRX종목마스터!$A:$B,2,FALSE),"")</f>
        <v/>
      </c>
      <c r="F398" s="42"/>
      <c r="G398" s="42"/>
      <c r="H398" s="31" t="str">
        <f t="shared" si="18"/>
        <v/>
      </c>
      <c r="I398" s="43">
        <f ca="1">IFERROR(SUMPRODUCT((참고!$A$31:$A$130=C398)*(참고!$B$31:$B$130&lt;=A398)*(참고!$B$31:$B$130=_xludf.MAXIFS(참고!$B$31:$B$130,참고!$A$31:$A$130,C398,참고!$B$31:$B$130,"&lt;="&amp;A398))*참고!$C$31:$C$130)/100,0)</f>
        <v>0</v>
      </c>
      <c r="J398" s="31" t="str">
        <f t="shared" si="19"/>
        <v/>
      </c>
      <c r="K398" s="43">
        <f>IF(B398="매도",IFERROR(SUMPRODUCT((참고!$A$31:$A$130=C398)*(참고!$B$31:$B$130&lt;=A398)*(참고!$B$31:$B$130=_xludf.MAXIFS(참고!$B$31:$B$130,참고!$A$31:$A$130,C398,참고!$B$31:$B$130,"&lt;="&amp;A398))*참고!$D$31:$D$130)/100,0),0)</f>
        <v>0</v>
      </c>
      <c r="L398" s="31" t="str">
        <f t="shared" si="20"/>
        <v/>
      </c>
      <c r="M398" s="39"/>
    </row>
    <row r="399" spans="1:13" ht="18" customHeight="1" x14ac:dyDescent="0.45">
      <c r="A399" s="37"/>
      <c r="B399" s="29"/>
      <c r="C399" s="29"/>
      <c r="D399" s="28"/>
      <c r="E399" s="30" t="str">
        <f>IFERROR(VLOOKUP(D399,KRX종목마스터!$A:$B,2,FALSE),"")</f>
        <v/>
      </c>
      <c r="F399" s="42"/>
      <c r="G399" s="42"/>
      <c r="H399" s="31" t="str">
        <f t="shared" si="18"/>
        <v/>
      </c>
      <c r="I399" s="43">
        <f ca="1">IFERROR(SUMPRODUCT((참고!$A$31:$A$130=C399)*(참고!$B$31:$B$130&lt;=A399)*(참고!$B$31:$B$130=_xludf.MAXIFS(참고!$B$31:$B$130,참고!$A$31:$A$130,C399,참고!$B$31:$B$130,"&lt;="&amp;A399))*참고!$C$31:$C$130)/100,0)</f>
        <v>0</v>
      </c>
      <c r="J399" s="31" t="str">
        <f t="shared" si="19"/>
        <v/>
      </c>
      <c r="K399" s="43">
        <f>IF(B399="매도",IFERROR(SUMPRODUCT((참고!$A$31:$A$130=C399)*(참고!$B$31:$B$130&lt;=A399)*(참고!$B$31:$B$130=_xludf.MAXIFS(참고!$B$31:$B$130,참고!$A$31:$A$130,C399,참고!$B$31:$B$130,"&lt;="&amp;A399))*참고!$D$31:$D$130)/100,0),0)</f>
        <v>0</v>
      </c>
      <c r="L399" s="31" t="str">
        <f t="shared" si="20"/>
        <v/>
      </c>
      <c r="M399" s="39"/>
    </row>
    <row r="400" spans="1:13" ht="18" customHeight="1" x14ac:dyDescent="0.45">
      <c r="A400" s="37"/>
      <c r="B400" s="29"/>
      <c r="C400" s="29"/>
      <c r="D400" s="28"/>
      <c r="E400" s="30" t="str">
        <f>IFERROR(VLOOKUP(D400,KRX종목마스터!$A:$B,2,FALSE),"")</f>
        <v/>
      </c>
      <c r="F400" s="42"/>
      <c r="G400" s="42"/>
      <c r="H400" s="31" t="str">
        <f t="shared" si="18"/>
        <v/>
      </c>
      <c r="I400" s="43">
        <f ca="1">IFERROR(SUMPRODUCT((참고!$A$31:$A$130=C400)*(참고!$B$31:$B$130&lt;=A400)*(참고!$B$31:$B$130=_xludf.MAXIFS(참고!$B$31:$B$130,참고!$A$31:$A$130,C400,참고!$B$31:$B$130,"&lt;="&amp;A400))*참고!$C$31:$C$130)/100,0)</f>
        <v>0</v>
      </c>
      <c r="J400" s="31" t="str">
        <f t="shared" si="19"/>
        <v/>
      </c>
      <c r="K400" s="43">
        <f>IF(B400="매도",IFERROR(SUMPRODUCT((참고!$A$31:$A$130=C400)*(참고!$B$31:$B$130&lt;=A400)*(참고!$B$31:$B$130=_xludf.MAXIFS(참고!$B$31:$B$130,참고!$A$31:$A$130,C400,참고!$B$31:$B$130,"&lt;="&amp;A400))*참고!$D$31:$D$130)/100,0),0)</f>
        <v>0</v>
      </c>
      <c r="L400" s="31" t="str">
        <f t="shared" si="20"/>
        <v/>
      </c>
      <c r="M400" s="39"/>
    </row>
    <row r="401" spans="1:13" ht="18" customHeight="1" x14ac:dyDescent="0.45">
      <c r="A401" s="37"/>
      <c r="B401" s="29"/>
      <c r="C401" s="29"/>
      <c r="D401" s="28"/>
      <c r="E401" s="30" t="str">
        <f>IFERROR(VLOOKUP(D401,KRX종목마스터!$A:$B,2,FALSE),"")</f>
        <v/>
      </c>
      <c r="F401" s="42"/>
      <c r="G401" s="42"/>
      <c r="H401" s="31" t="str">
        <f t="shared" si="18"/>
        <v/>
      </c>
      <c r="I401" s="43">
        <f ca="1">IFERROR(SUMPRODUCT((참고!$A$31:$A$130=C401)*(참고!$B$31:$B$130&lt;=A401)*(참고!$B$31:$B$130=_xludf.MAXIFS(참고!$B$31:$B$130,참고!$A$31:$A$130,C401,참고!$B$31:$B$130,"&lt;="&amp;A401))*참고!$C$31:$C$130)/100,0)</f>
        <v>0</v>
      </c>
      <c r="J401" s="31" t="str">
        <f t="shared" si="19"/>
        <v/>
      </c>
      <c r="K401" s="43">
        <f>IF(B401="매도",IFERROR(SUMPRODUCT((참고!$A$31:$A$130=C401)*(참고!$B$31:$B$130&lt;=A401)*(참고!$B$31:$B$130=_xludf.MAXIFS(참고!$B$31:$B$130,참고!$A$31:$A$130,C401,참고!$B$31:$B$130,"&lt;="&amp;A401))*참고!$D$31:$D$130)/100,0),0)</f>
        <v>0</v>
      </c>
      <c r="L401" s="31" t="str">
        <f t="shared" si="20"/>
        <v/>
      </c>
      <c r="M401" s="39"/>
    </row>
    <row r="402" spans="1:13" ht="18" customHeight="1" x14ac:dyDescent="0.45">
      <c r="A402" s="37"/>
      <c r="B402" s="29"/>
      <c r="C402" s="29"/>
      <c r="D402" s="28"/>
      <c r="E402" s="30" t="str">
        <f>IFERROR(VLOOKUP(D402,KRX종목마스터!$A:$B,2,FALSE),"")</f>
        <v/>
      </c>
      <c r="F402" s="42"/>
      <c r="G402" s="42"/>
      <c r="H402" s="31" t="str">
        <f t="shared" si="18"/>
        <v/>
      </c>
      <c r="I402" s="43">
        <f ca="1">IFERROR(SUMPRODUCT((참고!$A$31:$A$130=C402)*(참고!$B$31:$B$130&lt;=A402)*(참고!$B$31:$B$130=_xludf.MAXIFS(참고!$B$31:$B$130,참고!$A$31:$A$130,C402,참고!$B$31:$B$130,"&lt;="&amp;A402))*참고!$C$31:$C$130)/100,0)</f>
        <v>0</v>
      </c>
      <c r="J402" s="31" t="str">
        <f t="shared" si="19"/>
        <v/>
      </c>
      <c r="K402" s="43">
        <f>IF(B402="매도",IFERROR(SUMPRODUCT((참고!$A$31:$A$130=C402)*(참고!$B$31:$B$130&lt;=A402)*(참고!$B$31:$B$130=_xludf.MAXIFS(참고!$B$31:$B$130,참고!$A$31:$A$130,C402,참고!$B$31:$B$130,"&lt;="&amp;A402))*참고!$D$31:$D$130)/100,0),0)</f>
        <v>0</v>
      </c>
      <c r="L402" s="31" t="str">
        <f t="shared" si="20"/>
        <v/>
      </c>
      <c r="M402" s="39"/>
    </row>
    <row r="403" spans="1:13" ht="18" customHeight="1" x14ac:dyDescent="0.45">
      <c r="A403" s="37"/>
      <c r="B403" s="29"/>
      <c r="C403" s="29"/>
      <c r="D403" s="28"/>
      <c r="E403" s="30" t="str">
        <f>IFERROR(VLOOKUP(D403,KRX종목마스터!$A:$B,2,FALSE),"")</f>
        <v/>
      </c>
      <c r="F403" s="42"/>
      <c r="G403" s="42"/>
      <c r="H403" s="31" t="str">
        <f t="shared" si="18"/>
        <v/>
      </c>
      <c r="I403" s="43">
        <f ca="1">IFERROR(SUMPRODUCT((참고!$A$31:$A$130=C403)*(참고!$B$31:$B$130&lt;=A403)*(참고!$B$31:$B$130=_xludf.MAXIFS(참고!$B$31:$B$130,참고!$A$31:$A$130,C403,참고!$B$31:$B$130,"&lt;="&amp;A403))*참고!$C$31:$C$130)/100,0)</f>
        <v>0</v>
      </c>
      <c r="J403" s="31" t="str">
        <f t="shared" si="19"/>
        <v/>
      </c>
      <c r="K403" s="43">
        <f>IF(B403="매도",IFERROR(SUMPRODUCT((참고!$A$31:$A$130=C403)*(참고!$B$31:$B$130&lt;=A403)*(참고!$B$31:$B$130=_xludf.MAXIFS(참고!$B$31:$B$130,참고!$A$31:$A$130,C403,참고!$B$31:$B$130,"&lt;="&amp;A403))*참고!$D$31:$D$130)/100,0),0)</f>
        <v>0</v>
      </c>
      <c r="L403" s="31" t="str">
        <f t="shared" si="20"/>
        <v/>
      </c>
      <c r="M403" s="39"/>
    </row>
    <row r="404" spans="1:13" ht="18" customHeight="1" x14ac:dyDescent="0.45">
      <c r="A404" s="37"/>
      <c r="B404" s="29"/>
      <c r="C404" s="29"/>
      <c r="D404" s="28"/>
      <c r="E404" s="30" t="str">
        <f>IFERROR(VLOOKUP(D404,KRX종목마스터!$A:$B,2,FALSE),"")</f>
        <v/>
      </c>
      <c r="F404" s="42"/>
      <c r="G404" s="42"/>
      <c r="H404" s="31" t="str">
        <f t="shared" si="18"/>
        <v/>
      </c>
      <c r="I404" s="43">
        <f ca="1">IFERROR(SUMPRODUCT((참고!$A$31:$A$130=C404)*(참고!$B$31:$B$130&lt;=A404)*(참고!$B$31:$B$130=_xludf.MAXIFS(참고!$B$31:$B$130,참고!$A$31:$A$130,C404,참고!$B$31:$B$130,"&lt;="&amp;A404))*참고!$C$31:$C$130)/100,0)</f>
        <v>0</v>
      </c>
      <c r="J404" s="31" t="str">
        <f t="shared" si="19"/>
        <v/>
      </c>
      <c r="K404" s="43">
        <f>IF(B404="매도",IFERROR(SUMPRODUCT((참고!$A$31:$A$130=C404)*(참고!$B$31:$B$130&lt;=A404)*(참고!$B$31:$B$130=_xludf.MAXIFS(참고!$B$31:$B$130,참고!$A$31:$A$130,C404,참고!$B$31:$B$130,"&lt;="&amp;A404))*참고!$D$31:$D$130)/100,0),0)</f>
        <v>0</v>
      </c>
      <c r="L404" s="31" t="str">
        <f t="shared" si="20"/>
        <v/>
      </c>
      <c r="M404" s="39"/>
    </row>
    <row r="405" spans="1:13" ht="18" customHeight="1" x14ac:dyDescent="0.45">
      <c r="A405" s="37"/>
      <c r="B405" s="29"/>
      <c r="C405" s="29"/>
      <c r="D405" s="28"/>
      <c r="E405" s="30" t="str">
        <f>IFERROR(VLOOKUP(D405,KRX종목마스터!$A:$B,2,FALSE),"")</f>
        <v/>
      </c>
      <c r="F405" s="42"/>
      <c r="G405" s="42"/>
      <c r="H405" s="31" t="str">
        <f t="shared" si="18"/>
        <v/>
      </c>
      <c r="I405" s="43">
        <f ca="1">IFERROR(SUMPRODUCT((참고!$A$31:$A$130=C405)*(참고!$B$31:$B$130&lt;=A405)*(참고!$B$31:$B$130=_xludf.MAXIFS(참고!$B$31:$B$130,참고!$A$31:$A$130,C405,참고!$B$31:$B$130,"&lt;="&amp;A405))*참고!$C$31:$C$130)/100,0)</f>
        <v>0</v>
      </c>
      <c r="J405" s="31" t="str">
        <f t="shared" si="19"/>
        <v/>
      </c>
      <c r="K405" s="43">
        <f>IF(B405="매도",IFERROR(SUMPRODUCT((참고!$A$31:$A$130=C405)*(참고!$B$31:$B$130&lt;=A405)*(참고!$B$31:$B$130=_xludf.MAXIFS(참고!$B$31:$B$130,참고!$A$31:$A$130,C405,참고!$B$31:$B$130,"&lt;="&amp;A405))*참고!$D$31:$D$130)/100,0),0)</f>
        <v>0</v>
      </c>
      <c r="L405" s="31" t="str">
        <f t="shared" si="20"/>
        <v/>
      </c>
      <c r="M405" s="39"/>
    </row>
    <row r="406" spans="1:13" ht="18" customHeight="1" x14ac:dyDescent="0.45">
      <c r="A406" s="37"/>
      <c r="B406" s="29"/>
      <c r="C406" s="29"/>
      <c r="D406" s="28"/>
      <c r="E406" s="30" t="str">
        <f>IFERROR(VLOOKUP(D406,KRX종목마스터!$A:$B,2,FALSE),"")</f>
        <v/>
      </c>
      <c r="F406" s="42"/>
      <c r="G406" s="42"/>
      <c r="H406" s="31" t="str">
        <f t="shared" si="18"/>
        <v/>
      </c>
      <c r="I406" s="43">
        <f ca="1">IFERROR(SUMPRODUCT((참고!$A$31:$A$130=C406)*(참고!$B$31:$B$130&lt;=A406)*(참고!$B$31:$B$130=_xludf.MAXIFS(참고!$B$31:$B$130,참고!$A$31:$A$130,C406,참고!$B$31:$B$130,"&lt;="&amp;A406))*참고!$C$31:$C$130)/100,0)</f>
        <v>0</v>
      </c>
      <c r="J406" s="31" t="str">
        <f t="shared" si="19"/>
        <v/>
      </c>
      <c r="K406" s="43">
        <f>IF(B406="매도",IFERROR(SUMPRODUCT((참고!$A$31:$A$130=C406)*(참고!$B$31:$B$130&lt;=A406)*(참고!$B$31:$B$130=_xludf.MAXIFS(참고!$B$31:$B$130,참고!$A$31:$A$130,C406,참고!$B$31:$B$130,"&lt;="&amp;A406))*참고!$D$31:$D$130)/100,0),0)</f>
        <v>0</v>
      </c>
      <c r="L406" s="31" t="str">
        <f t="shared" si="20"/>
        <v/>
      </c>
      <c r="M406" s="39"/>
    </row>
    <row r="407" spans="1:13" ht="18" customHeight="1" x14ac:dyDescent="0.45">
      <c r="A407" s="37"/>
      <c r="B407" s="29"/>
      <c r="C407" s="29"/>
      <c r="D407" s="28"/>
      <c r="E407" s="30" t="str">
        <f>IFERROR(VLOOKUP(D407,KRX종목마스터!$A:$B,2,FALSE),"")</f>
        <v/>
      </c>
      <c r="F407" s="42"/>
      <c r="G407" s="42"/>
      <c r="H407" s="31" t="str">
        <f t="shared" si="18"/>
        <v/>
      </c>
      <c r="I407" s="43">
        <f ca="1">IFERROR(SUMPRODUCT((참고!$A$31:$A$130=C407)*(참고!$B$31:$B$130&lt;=A407)*(참고!$B$31:$B$130=_xludf.MAXIFS(참고!$B$31:$B$130,참고!$A$31:$A$130,C407,참고!$B$31:$B$130,"&lt;="&amp;A407))*참고!$C$31:$C$130)/100,0)</f>
        <v>0</v>
      </c>
      <c r="J407" s="31" t="str">
        <f t="shared" si="19"/>
        <v/>
      </c>
      <c r="K407" s="43">
        <f>IF(B407="매도",IFERROR(SUMPRODUCT((참고!$A$31:$A$130=C407)*(참고!$B$31:$B$130&lt;=A407)*(참고!$B$31:$B$130=_xludf.MAXIFS(참고!$B$31:$B$130,참고!$A$31:$A$130,C407,참고!$B$31:$B$130,"&lt;="&amp;A407))*참고!$D$31:$D$130)/100,0),0)</f>
        <v>0</v>
      </c>
      <c r="L407" s="31" t="str">
        <f t="shared" si="20"/>
        <v/>
      </c>
      <c r="M407" s="39"/>
    </row>
    <row r="408" spans="1:13" ht="18" customHeight="1" x14ac:dyDescent="0.45">
      <c r="A408" s="37"/>
      <c r="B408" s="29"/>
      <c r="C408" s="29"/>
      <c r="D408" s="28"/>
      <c r="E408" s="30" t="str">
        <f>IFERROR(VLOOKUP(D408,KRX종목마스터!$A:$B,2,FALSE),"")</f>
        <v/>
      </c>
      <c r="F408" s="42"/>
      <c r="G408" s="42"/>
      <c r="H408" s="31" t="str">
        <f t="shared" si="18"/>
        <v/>
      </c>
      <c r="I408" s="43">
        <f ca="1">IFERROR(SUMPRODUCT((참고!$A$31:$A$130=C408)*(참고!$B$31:$B$130&lt;=A408)*(참고!$B$31:$B$130=_xludf.MAXIFS(참고!$B$31:$B$130,참고!$A$31:$A$130,C408,참고!$B$31:$B$130,"&lt;="&amp;A408))*참고!$C$31:$C$130)/100,0)</f>
        <v>0</v>
      </c>
      <c r="J408" s="31" t="str">
        <f t="shared" si="19"/>
        <v/>
      </c>
      <c r="K408" s="43">
        <f>IF(B408="매도",IFERROR(SUMPRODUCT((참고!$A$31:$A$130=C408)*(참고!$B$31:$B$130&lt;=A408)*(참고!$B$31:$B$130=_xludf.MAXIFS(참고!$B$31:$B$130,참고!$A$31:$A$130,C408,참고!$B$31:$B$130,"&lt;="&amp;A408))*참고!$D$31:$D$130)/100,0),0)</f>
        <v>0</v>
      </c>
      <c r="L408" s="31" t="str">
        <f t="shared" si="20"/>
        <v/>
      </c>
      <c r="M408" s="39"/>
    </row>
    <row r="409" spans="1:13" ht="18" customHeight="1" x14ac:dyDescent="0.45">
      <c r="A409" s="37"/>
      <c r="B409" s="29"/>
      <c r="C409" s="29"/>
      <c r="D409" s="28"/>
      <c r="E409" s="30" t="str">
        <f>IFERROR(VLOOKUP(D409,KRX종목마스터!$A:$B,2,FALSE),"")</f>
        <v/>
      </c>
      <c r="F409" s="42"/>
      <c r="G409" s="42"/>
      <c r="H409" s="31" t="str">
        <f t="shared" si="18"/>
        <v/>
      </c>
      <c r="I409" s="43">
        <f ca="1">IFERROR(SUMPRODUCT((참고!$A$31:$A$130=C409)*(참고!$B$31:$B$130&lt;=A409)*(참고!$B$31:$B$130=_xludf.MAXIFS(참고!$B$31:$B$130,참고!$A$31:$A$130,C409,참고!$B$31:$B$130,"&lt;="&amp;A409))*참고!$C$31:$C$130)/100,0)</f>
        <v>0</v>
      </c>
      <c r="J409" s="31" t="str">
        <f t="shared" si="19"/>
        <v/>
      </c>
      <c r="K409" s="43">
        <f>IF(B409="매도",IFERROR(SUMPRODUCT((참고!$A$31:$A$130=C409)*(참고!$B$31:$B$130&lt;=A409)*(참고!$B$31:$B$130=_xludf.MAXIFS(참고!$B$31:$B$130,참고!$A$31:$A$130,C409,참고!$B$31:$B$130,"&lt;="&amp;A409))*참고!$D$31:$D$130)/100,0),0)</f>
        <v>0</v>
      </c>
      <c r="L409" s="31" t="str">
        <f t="shared" si="20"/>
        <v/>
      </c>
      <c r="M409" s="39"/>
    </row>
    <row r="410" spans="1:13" ht="18" customHeight="1" x14ac:dyDescent="0.45">
      <c r="A410" s="37"/>
      <c r="B410" s="29"/>
      <c r="C410" s="29"/>
      <c r="D410" s="28"/>
      <c r="E410" s="30" t="str">
        <f>IFERROR(VLOOKUP(D410,KRX종목마스터!$A:$B,2,FALSE),"")</f>
        <v/>
      </c>
      <c r="F410" s="42"/>
      <c r="G410" s="42"/>
      <c r="H410" s="31" t="str">
        <f t="shared" si="18"/>
        <v/>
      </c>
      <c r="I410" s="43">
        <f ca="1">IFERROR(SUMPRODUCT((참고!$A$31:$A$130=C410)*(참고!$B$31:$B$130&lt;=A410)*(참고!$B$31:$B$130=_xludf.MAXIFS(참고!$B$31:$B$130,참고!$A$31:$A$130,C410,참고!$B$31:$B$130,"&lt;="&amp;A410))*참고!$C$31:$C$130)/100,0)</f>
        <v>0</v>
      </c>
      <c r="J410" s="31" t="str">
        <f t="shared" si="19"/>
        <v/>
      </c>
      <c r="K410" s="43">
        <f>IF(B410="매도",IFERROR(SUMPRODUCT((참고!$A$31:$A$130=C410)*(참고!$B$31:$B$130&lt;=A410)*(참고!$B$31:$B$130=_xludf.MAXIFS(참고!$B$31:$B$130,참고!$A$31:$A$130,C410,참고!$B$31:$B$130,"&lt;="&amp;A410))*참고!$D$31:$D$130)/100,0),0)</f>
        <v>0</v>
      </c>
      <c r="L410" s="31" t="str">
        <f t="shared" si="20"/>
        <v/>
      </c>
      <c r="M410" s="39"/>
    </row>
    <row r="411" spans="1:13" ht="18" customHeight="1" x14ac:dyDescent="0.45">
      <c r="A411" s="37"/>
      <c r="B411" s="29"/>
      <c r="C411" s="29"/>
      <c r="D411" s="28"/>
      <c r="E411" s="30" t="str">
        <f>IFERROR(VLOOKUP(D411,KRX종목마스터!$A:$B,2,FALSE),"")</f>
        <v/>
      </c>
      <c r="F411" s="42"/>
      <c r="G411" s="42"/>
      <c r="H411" s="31" t="str">
        <f t="shared" si="18"/>
        <v/>
      </c>
      <c r="I411" s="43">
        <f ca="1">IFERROR(SUMPRODUCT((참고!$A$31:$A$130=C411)*(참고!$B$31:$B$130&lt;=A411)*(참고!$B$31:$B$130=_xludf.MAXIFS(참고!$B$31:$B$130,참고!$A$31:$A$130,C411,참고!$B$31:$B$130,"&lt;="&amp;A411))*참고!$C$31:$C$130)/100,0)</f>
        <v>0</v>
      </c>
      <c r="J411" s="31" t="str">
        <f t="shared" si="19"/>
        <v/>
      </c>
      <c r="K411" s="43">
        <f>IF(B411="매도",IFERROR(SUMPRODUCT((참고!$A$31:$A$130=C411)*(참고!$B$31:$B$130&lt;=A411)*(참고!$B$31:$B$130=_xludf.MAXIFS(참고!$B$31:$B$130,참고!$A$31:$A$130,C411,참고!$B$31:$B$130,"&lt;="&amp;A411))*참고!$D$31:$D$130)/100,0),0)</f>
        <v>0</v>
      </c>
      <c r="L411" s="31" t="str">
        <f t="shared" si="20"/>
        <v/>
      </c>
      <c r="M411" s="39"/>
    </row>
    <row r="412" spans="1:13" ht="18" customHeight="1" x14ac:dyDescent="0.45">
      <c r="A412" s="37"/>
      <c r="B412" s="29"/>
      <c r="C412" s="29"/>
      <c r="D412" s="28"/>
      <c r="E412" s="30" t="str">
        <f>IFERROR(VLOOKUP(D412,KRX종목마스터!$A:$B,2,FALSE),"")</f>
        <v/>
      </c>
      <c r="F412" s="42"/>
      <c r="G412" s="42"/>
      <c r="H412" s="31" t="str">
        <f t="shared" si="18"/>
        <v/>
      </c>
      <c r="I412" s="43">
        <f ca="1">IFERROR(SUMPRODUCT((참고!$A$31:$A$130=C412)*(참고!$B$31:$B$130&lt;=A412)*(참고!$B$31:$B$130=_xludf.MAXIFS(참고!$B$31:$B$130,참고!$A$31:$A$130,C412,참고!$B$31:$B$130,"&lt;="&amp;A412))*참고!$C$31:$C$130)/100,0)</f>
        <v>0</v>
      </c>
      <c r="J412" s="31" t="str">
        <f t="shared" si="19"/>
        <v/>
      </c>
      <c r="K412" s="43">
        <f>IF(B412="매도",IFERROR(SUMPRODUCT((참고!$A$31:$A$130=C412)*(참고!$B$31:$B$130&lt;=A412)*(참고!$B$31:$B$130=_xludf.MAXIFS(참고!$B$31:$B$130,참고!$A$31:$A$130,C412,참고!$B$31:$B$130,"&lt;="&amp;A412))*참고!$D$31:$D$130)/100,0),0)</f>
        <v>0</v>
      </c>
      <c r="L412" s="31" t="str">
        <f t="shared" si="20"/>
        <v/>
      </c>
      <c r="M412" s="39"/>
    </row>
    <row r="413" spans="1:13" ht="18" customHeight="1" x14ac:dyDescent="0.45">
      <c r="A413" s="37"/>
      <c r="B413" s="29"/>
      <c r="C413" s="29"/>
      <c r="D413" s="28"/>
      <c r="E413" s="30" t="str">
        <f>IFERROR(VLOOKUP(D413,KRX종목마스터!$A:$B,2,FALSE),"")</f>
        <v/>
      </c>
      <c r="F413" s="42"/>
      <c r="G413" s="42"/>
      <c r="H413" s="31" t="str">
        <f t="shared" si="18"/>
        <v/>
      </c>
      <c r="I413" s="43">
        <f ca="1">IFERROR(SUMPRODUCT((참고!$A$31:$A$130=C413)*(참고!$B$31:$B$130&lt;=A413)*(참고!$B$31:$B$130=_xludf.MAXIFS(참고!$B$31:$B$130,참고!$A$31:$A$130,C413,참고!$B$31:$B$130,"&lt;="&amp;A413))*참고!$C$31:$C$130)/100,0)</f>
        <v>0</v>
      </c>
      <c r="J413" s="31" t="str">
        <f t="shared" si="19"/>
        <v/>
      </c>
      <c r="K413" s="43">
        <f>IF(B413="매도",IFERROR(SUMPRODUCT((참고!$A$31:$A$130=C413)*(참고!$B$31:$B$130&lt;=A413)*(참고!$B$31:$B$130=_xludf.MAXIFS(참고!$B$31:$B$130,참고!$A$31:$A$130,C413,참고!$B$31:$B$130,"&lt;="&amp;A413))*참고!$D$31:$D$130)/100,0),0)</f>
        <v>0</v>
      </c>
      <c r="L413" s="31" t="str">
        <f t="shared" si="20"/>
        <v/>
      </c>
      <c r="M413" s="39"/>
    </row>
    <row r="414" spans="1:13" ht="18" customHeight="1" x14ac:dyDescent="0.45">
      <c r="A414" s="37"/>
      <c r="B414" s="29"/>
      <c r="C414" s="29"/>
      <c r="D414" s="28"/>
      <c r="E414" s="30" t="str">
        <f>IFERROR(VLOOKUP(D414,KRX종목마스터!$A:$B,2,FALSE),"")</f>
        <v/>
      </c>
      <c r="F414" s="42"/>
      <c r="G414" s="42"/>
      <c r="H414" s="31" t="str">
        <f t="shared" si="18"/>
        <v/>
      </c>
      <c r="I414" s="43">
        <f ca="1">IFERROR(SUMPRODUCT((참고!$A$31:$A$130=C414)*(참고!$B$31:$B$130&lt;=A414)*(참고!$B$31:$B$130=_xludf.MAXIFS(참고!$B$31:$B$130,참고!$A$31:$A$130,C414,참고!$B$31:$B$130,"&lt;="&amp;A414))*참고!$C$31:$C$130)/100,0)</f>
        <v>0</v>
      </c>
      <c r="J414" s="31" t="str">
        <f t="shared" si="19"/>
        <v/>
      </c>
      <c r="K414" s="43">
        <f>IF(B414="매도",IFERROR(SUMPRODUCT((참고!$A$31:$A$130=C414)*(참고!$B$31:$B$130&lt;=A414)*(참고!$B$31:$B$130=_xludf.MAXIFS(참고!$B$31:$B$130,참고!$A$31:$A$130,C414,참고!$B$31:$B$130,"&lt;="&amp;A414))*참고!$D$31:$D$130)/100,0),0)</f>
        <v>0</v>
      </c>
      <c r="L414" s="31" t="str">
        <f t="shared" si="20"/>
        <v/>
      </c>
      <c r="M414" s="39"/>
    </row>
    <row r="415" spans="1:13" ht="18" customHeight="1" x14ac:dyDescent="0.45">
      <c r="A415" s="37"/>
      <c r="B415" s="29"/>
      <c r="C415" s="29"/>
      <c r="D415" s="28"/>
      <c r="E415" s="30" t="str">
        <f>IFERROR(VLOOKUP(D415,KRX종목마스터!$A:$B,2,FALSE),"")</f>
        <v/>
      </c>
      <c r="F415" s="42"/>
      <c r="G415" s="42"/>
      <c r="H415" s="31" t="str">
        <f t="shared" si="18"/>
        <v/>
      </c>
      <c r="I415" s="43">
        <f ca="1">IFERROR(SUMPRODUCT((참고!$A$31:$A$130=C415)*(참고!$B$31:$B$130&lt;=A415)*(참고!$B$31:$B$130=_xludf.MAXIFS(참고!$B$31:$B$130,참고!$A$31:$A$130,C415,참고!$B$31:$B$130,"&lt;="&amp;A415))*참고!$C$31:$C$130)/100,0)</f>
        <v>0</v>
      </c>
      <c r="J415" s="31" t="str">
        <f t="shared" si="19"/>
        <v/>
      </c>
      <c r="K415" s="43">
        <f>IF(B415="매도",IFERROR(SUMPRODUCT((참고!$A$31:$A$130=C415)*(참고!$B$31:$B$130&lt;=A415)*(참고!$B$31:$B$130=_xludf.MAXIFS(참고!$B$31:$B$130,참고!$A$31:$A$130,C415,참고!$B$31:$B$130,"&lt;="&amp;A415))*참고!$D$31:$D$130)/100,0),0)</f>
        <v>0</v>
      </c>
      <c r="L415" s="31" t="str">
        <f t="shared" si="20"/>
        <v/>
      </c>
      <c r="M415" s="39"/>
    </row>
    <row r="416" spans="1:13" ht="18" customHeight="1" x14ac:dyDescent="0.45">
      <c r="A416" s="37"/>
      <c r="B416" s="29"/>
      <c r="C416" s="29"/>
      <c r="D416" s="28"/>
      <c r="E416" s="30" t="str">
        <f>IFERROR(VLOOKUP(D416,KRX종목마스터!$A:$B,2,FALSE),"")</f>
        <v/>
      </c>
      <c r="F416" s="42"/>
      <c r="G416" s="42"/>
      <c r="H416" s="31" t="str">
        <f t="shared" si="18"/>
        <v/>
      </c>
      <c r="I416" s="43">
        <f ca="1">IFERROR(SUMPRODUCT((참고!$A$31:$A$130=C416)*(참고!$B$31:$B$130&lt;=A416)*(참고!$B$31:$B$130=_xludf.MAXIFS(참고!$B$31:$B$130,참고!$A$31:$A$130,C416,참고!$B$31:$B$130,"&lt;="&amp;A416))*참고!$C$31:$C$130)/100,0)</f>
        <v>0</v>
      </c>
      <c r="J416" s="31" t="str">
        <f t="shared" si="19"/>
        <v/>
      </c>
      <c r="K416" s="43">
        <f>IF(B416="매도",IFERROR(SUMPRODUCT((참고!$A$31:$A$130=C416)*(참고!$B$31:$B$130&lt;=A416)*(참고!$B$31:$B$130=_xludf.MAXIFS(참고!$B$31:$B$130,참고!$A$31:$A$130,C416,참고!$B$31:$B$130,"&lt;="&amp;A416))*참고!$D$31:$D$130)/100,0),0)</f>
        <v>0</v>
      </c>
      <c r="L416" s="31" t="str">
        <f t="shared" si="20"/>
        <v/>
      </c>
      <c r="M416" s="39"/>
    </row>
    <row r="417" spans="1:13" ht="18" customHeight="1" x14ac:dyDescent="0.45">
      <c r="A417" s="37"/>
      <c r="B417" s="29"/>
      <c r="C417" s="29"/>
      <c r="D417" s="28"/>
      <c r="E417" s="30" t="str">
        <f>IFERROR(VLOOKUP(D417,KRX종목마스터!$A:$B,2,FALSE),"")</f>
        <v/>
      </c>
      <c r="F417" s="42"/>
      <c r="G417" s="42"/>
      <c r="H417" s="31" t="str">
        <f t="shared" si="18"/>
        <v/>
      </c>
      <c r="I417" s="43">
        <f ca="1">IFERROR(SUMPRODUCT((참고!$A$31:$A$130=C417)*(참고!$B$31:$B$130&lt;=A417)*(참고!$B$31:$B$130=_xludf.MAXIFS(참고!$B$31:$B$130,참고!$A$31:$A$130,C417,참고!$B$31:$B$130,"&lt;="&amp;A417))*참고!$C$31:$C$130)/100,0)</f>
        <v>0</v>
      </c>
      <c r="J417" s="31" t="str">
        <f t="shared" si="19"/>
        <v/>
      </c>
      <c r="K417" s="43">
        <f>IF(B417="매도",IFERROR(SUMPRODUCT((참고!$A$31:$A$130=C417)*(참고!$B$31:$B$130&lt;=A417)*(참고!$B$31:$B$130=_xludf.MAXIFS(참고!$B$31:$B$130,참고!$A$31:$A$130,C417,참고!$B$31:$B$130,"&lt;="&amp;A417))*참고!$D$31:$D$130)/100,0),0)</f>
        <v>0</v>
      </c>
      <c r="L417" s="31" t="str">
        <f t="shared" si="20"/>
        <v/>
      </c>
      <c r="M417" s="39"/>
    </row>
    <row r="418" spans="1:13" ht="18" customHeight="1" x14ac:dyDescent="0.45">
      <c r="A418" s="37"/>
      <c r="B418" s="29"/>
      <c r="C418" s="29"/>
      <c r="D418" s="28"/>
      <c r="E418" s="30" t="str">
        <f>IFERROR(VLOOKUP(D418,KRX종목마스터!$A:$B,2,FALSE),"")</f>
        <v/>
      </c>
      <c r="F418" s="42"/>
      <c r="G418" s="42"/>
      <c r="H418" s="31" t="str">
        <f t="shared" si="18"/>
        <v/>
      </c>
      <c r="I418" s="43">
        <f ca="1">IFERROR(SUMPRODUCT((참고!$A$31:$A$130=C418)*(참고!$B$31:$B$130&lt;=A418)*(참고!$B$31:$B$130=_xludf.MAXIFS(참고!$B$31:$B$130,참고!$A$31:$A$130,C418,참고!$B$31:$B$130,"&lt;="&amp;A418))*참고!$C$31:$C$130)/100,0)</f>
        <v>0</v>
      </c>
      <c r="J418" s="31" t="str">
        <f t="shared" si="19"/>
        <v/>
      </c>
      <c r="K418" s="43">
        <f>IF(B418="매도",IFERROR(SUMPRODUCT((참고!$A$31:$A$130=C418)*(참고!$B$31:$B$130&lt;=A418)*(참고!$B$31:$B$130=_xludf.MAXIFS(참고!$B$31:$B$130,참고!$A$31:$A$130,C418,참고!$B$31:$B$130,"&lt;="&amp;A418))*참고!$D$31:$D$130)/100,0),0)</f>
        <v>0</v>
      </c>
      <c r="L418" s="31" t="str">
        <f t="shared" si="20"/>
        <v/>
      </c>
      <c r="M418" s="39"/>
    </row>
    <row r="419" spans="1:13" ht="18" customHeight="1" x14ac:dyDescent="0.45">
      <c r="A419" s="37"/>
      <c r="B419" s="29"/>
      <c r="C419" s="29"/>
      <c r="D419" s="28"/>
      <c r="E419" s="30" t="str">
        <f>IFERROR(VLOOKUP(D419,KRX종목마스터!$A:$B,2,FALSE),"")</f>
        <v/>
      </c>
      <c r="F419" s="42"/>
      <c r="G419" s="42"/>
      <c r="H419" s="31" t="str">
        <f t="shared" si="18"/>
        <v/>
      </c>
      <c r="I419" s="43">
        <f ca="1">IFERROR(SUMPRODUCT((참고!$A$31:$A$130=C419)*(참고!$B$31:$B$130&lt;=A419)*(참고!$B$31:$B$130=_xludf.MAXIFS(참고!$B$31:$B$130,참고!$A$31:$A$130,C419,참고!$B$31:$B$130,"&lt;="&amp;A419))*참고!$C$31:$C$130)/100,0)</f>
        <v>0</v>
      </c>
      <c r="J419" s="31" t="str">
        <f t="shared" si="19"/>
        <v/>
      </c>
      <c r="K419" s="43">
        <f>IF(B419="매도",IFERROR(SUMPRODUCT((참고!$A$31:$A$130=C419)*(참고!$B$31:$B$130&lt;=A419)*(참고!$B$31:$B$130=_xludf.MAXIFS(참고!$B$31:$B$130,참고!$A$31:$A$130,C419,참고!$B$31:$B$130,"&lt;="&amp;A419))*참고!$D$31:$D$130)/100,0),0)</f>
        <v>0</v>
      </c>
      <c r="L419" s="31" t="str">
        <f t="shared" si="20"/>
        <v/>
      </c>
      <c r="M419" s="39"/>
    </row>
    <row r="420" spans="1:13" ht="18" customHeight="1" x14ac:dyDescent="0.45">
      <c r="A420" s="37"/>
      <c r="B420" s="29"/>
      <c r="C420" s="29"/>
      <c r="D420" s="28"/>
      <c r="E420" s="30" t="str">
        <f>IFERROR(VLOOKUP(D420,KRX종목마스터!$A:$B,2,FALSE),"")</f>
        <v/>
      </c>
      <c r="F420" s="42"/>
      <c r="G420" s="42"/>
      <c r="H420" s="31" t="str">
        <f t="shared" si="18"/>
        <v/>
      </c>
      <c r="I420" s="43">
        <f ca="1">IFERROR(SUMPRODUCT((참고!$A$31:$A$130=C420)*(참고!$B$31:$B$130&lt;=A420)*(참고!$B$31:$B$130=_xludf.MAXIFS(참고!$B$31:$B$130,참고!$A$31:$A$130,C420,참고!$B$31:$B$130,"&lt;="&amp;A420))*참고!$C$31:$C$130)/100,0)</f>
        <v>0</v>
      </c>
      <c r="J420" s="31" t="str">
        <f t="shared" si="19"/>
        <v/>
      </c>
      <c r="K420" s="43">
        <f>IF(B420="매도",IFERROR(SUMPRODUCT((참고!$A$31:$A$130=C420)*(참고!$B$31:$B$130&lt;=A420)*(참고!$B$31:$B$130=_xludf.MAXIFS(참고!$B$31:$B$130,참고!$A$31:$A$130,C420,참고!$B$31:$B$130,"&lt;="&amp;A420))*참고!$D$31:$D$130)/100,0),0)</f>
        <v>0</v>
      </c>
      <c r="L420" s="31" t="str">
        <f t="shared" si="20"/>
        <v/>
      </c>
      <c r="M420" s="39"/>
    </row>
    <row r="421" spans="1:13" ht="18" customHeight="1" x14ac:dyDescent="0.45">
      <c r="A421" s="37"/>
      <c r="B421" s="29"/>
      <c r="C421" s="29"/>
      <c r="D421" s="28"/>
      <c r="E421" s="30" t="str">
        <f>IFERROR(VLOOKUP(D421,KRX종목마스터!$A:$B,2,FALSE),"")</f>
        <v/>
      </c>
      <c r="F421" s="42"/>
      <c r="G421" s="42"/>
      <c r="H421" s="31" t="str">
        <f t="shared" si="18"/>
        <v/>
      </c>
      <c r="I421" s="43">
        <f ca="1">IFERROR(SUMPRODUCT((참고!$A$31:$A$130=C421)*(참고!$B$31:$B$130&lt;=A421)*(참고!$B$31:$B$130=_xludf.MAXIFS(참고!$B$31:$B$130,참고!$A$31:$A$130,C421,참고!$B$31:$B$130,"&lt;="&amp;A421))*참고!$C$31:$C$130)/100,0)</f>
        <v>0</v>
      </c>
      <c r="J421" s="31" t="str">
        <f t="shared" si="19"/>
        <v/>
      </c>
      <c r="K421" s="43">
        <f>IF(B421="매도",IFERROR(SUMPRODUCT((참고!$A$31:$A$130=C421)*(참고!$B$31:$B$130&lt;=A421)*(참고!$B$31:$B$130=_xludf.MAXIFS(참고!$B$31:$B$130,참고!$A$31:$A$130,C421,참고!$B$31:$B$130,"&lt;="&amp;A421))*참고!$D$31:$D$130)/100,0),0)</f>
        <v>0</v>
      </c>
      <c r="L421" s="31" t="str">
        <f t="shared" si="20"/>
        <v/>
      </c>
      <c r="M421" s="39"/>
    </row>
    <row r="422" spans="1:13" ht="18" customHeight="1" x14ac:dyDescent="0.45">
      <c r="A422" s="37"/>
      <c r="B422" s="29"/>
      <c r="C422" s="29"/>
      <c r="D422" s="28"/>
      <c r="E422" s="30" t="str">
        <f>IFERROR(VLOOKUP(D422,KRX종목마스터!$A:$B,2,FALSE),"")</f>
        <v/>
      </c>
      <c r="F422" s="42"/>
      <c r="G422" s="42"/>
      <c r="H422" s="31" t="str">
        <f t="shared" si="18"/>
        <v/>
      </c>
      <c r="I422" s="43">
        <f ca="1">IFERROR(SUMPRODUCT((참고!$A$31:$A$130=C422)*(참고!$B$31:$B$130&lt;=A422)*(참고!$B$31:$B$130=_xludf.MAXIFS(참고!$B$31:$B$130,참고!$A$31:$A$130,C422,참고!$B$31:$B$130,"&lt;="&amp;A422))*참고!$C$31:$C$130)/100,0)</f>
        <v>0</v>
      </c>
      <c r="J422" s="31" t="str">
        <f t="shared" si="19"/>
        <v/>
      </c>
      <c r="K422" s="43">
        <f>IF(B422="매도",IFERROR(SUMPRODUCT((참고!$A$31:$A$130=C422)*(참고!$B$31:$B$130&lt;=A422)*(참고!$B$31:$B$130=_xludf.MAXIFS(참고!$B$31:$B$130,참고!$A$31:$A$130,C422,참고!$B$31:$B$130,"&lt;="&amp;A422))*참고!$D$31:$D$130)/100,0),0)</f>
        <v>0</v>
      </c>
      <c r="L422" s="31" t="str">
        <f t="shared" si="20"/>
        <v/>
      </c>
      <c r="M422" s="39"/>
    </row>
    <row r="423" spans="1:13" ht="18" customHeight="1" x14ac:dyDescent="0.45">
      <c r="A423" s="37"/>
      <c r="B423" s="29"/>
      <c r="C423" s="29"/>
      <c r="D423" s="28"/>
      <c r="E423" s="30" t="str">
        <f>IFERROR(VLOOKUP(D423,KRX종목마스터!$A:$B,2,FALSE),"")</f>
        <v/>
      </c>
      <c r="F423" s="42"/>
      <c r="G423" s="42"/>
      <c r="H423" s="31" t="str">
        <f t="shared" si="18"/>
        <v/>
      </c>
      <c r="I423" s="43">
        <f ca="1">IFERROR(SUMPRODUCT((참고!$A$31:$A$130=C423)*(참고!$B$31:$B$130&lt;=A423)*(참고!$B$31:$B$130=_xludf.MAXIFS(참고!$B$31:$B$130,참고!$A$31:$A$130,C423,참고!$B$31:$B$130,"&lt;="&amp;A423))*참고!$C$31:$C$130)/100,0)</f>
        <v>0</v>
      </c>
      <c r="J423" s="31" t="str">
        <f t="shared" si="19"/>
        <v/>
      </c>
      <c r="K423" s="43">
        <f>IF(B423="매도",IFERROR(SUMPRODUCT((참고!$A$31:$A$130=C423)*(참고!$B$31:$B$130&lt;=A423)*(참고!$B$31:$B$130=_xludf.MAXIFS(참고!$B$31:$B$130,참고!$A$31:$A$130,C423,참고!$B$31:$B$130,"&lt;="&amp;A423))*참고!$D$31:$D$130)/100,0),0)</f>
        <v>0</v>
      </c>
      <c r="L423" s="31" t="str">
        <f t="shared" si="20"/>
        <v/>
      </c>
      <c r="M423" s="39"/>
    </row>
    <row r="424" spans="1:13" ht="18" customHeight="1" x14ac:dyDescent="0.45">
      <c r="A424" s="37"/>
      <c r="B424" s="29"/>
      <c r="C424" s="29"/>
      <c r="D424" s="28"/>
      <c r="E424" s="30" t="str">
        <f>IFERROR(VLOOKUP(D424,KRX종목마스터!$A:$B,2,FALSE),"")</f>
        <v/>
      </c>
      <c r="F424" s="42"/>
      <c r="G424" s="42"/>
      <c r="H424" s="31" t="str">
        <f t="shared" si="18"/>
        <v/>
      </c>
      <c r="I424" s="43">
        <f ca="1">IFERROR(SUMPRODUCT((참고!$A$31:$A$130=C424)*(참고!$B$31:$B$130&lt;=A424)*(참고!$B$31:$B$130=_xludf.MAXIFS(참고!$B$31:$B$130,참고!$A$31:$A$130,C424,참고!$B$31:$B$130,"&lt;="&amp;A424))*참고!$C$31:$C$130)/100,0)</f>
        <v>0</v>
      </c>
      <c r="J424" s="31" t="str">
        <f t="shared" si="19"/>
        <v/>
      </c>
      <c r="K424" s="43">
        <f>IF(B424="매도",IFERROR(SUMPRODUCT((참고!$A$31:$A$130=C424)*(참고!$B$31:$B$130&lt;=A424)*(참고!$B$31:$B$130=_xludf.MAXIFS(참고!$B$31:$B$130,참고!$A$31:$A$130,C424,참고!$B$31:$B$130,"&lt;="&amp;A424))*참고!$D$31:$D$130)/100,0),0)</f>
        <v>0</v>
      </c>
      <c r="L424" s="31" t="str">
        <f t="shared" si="20"/>
        <v/>
      </c>
      <c r="M424" s="39"/>
    </row>
    <row r="425" spans="1:13" ht="18" customHeight="1" x14ac:dyDescent="0.45">
      <c r="A425" s="37"/>
      <c r="B425" s="29"/>
      <c r="C425" s="29"/>
      <c r="D425" s="28"/>
      <c r="E425" s="30" t="str">
        <f>IFERROR(VLOOKUP(D425,KRX종목마스터!$A:$B,2,FALSE),"")</f>
        <v/>
      </c>
      <c r="F425" s="42"/>
      <c r="G425" s="42"/>
      <c r="H425" s="31" t="str">
        <f t="shared" si="18"/>
        <v/>
      </c>
      <c r="I425" s="43">
        <f ca="1">IFERROR(SUMPRODUCT((참고!$A$31:$A$130=C425)*(참고!$B$31:$B$130&lt;=A425)*(참고!$B$31:$B$130=_xludf.MAXIFS(참고!$B$31:$B$130,참고!$A$31:$A$130,C425,참고!$B$31:$B$130,"&lt;="&amp;A425))*참고!$C$31:$C$130)/100,0)</f>
        <v>0</v>
      </c>
      <c r="J425" s="31" t="str">
        <f t="shared" si="19"/>
        <v/>
      </c>
      <c r="K425" s="43">
        <f>IF(B425="매도",IFERROR(SUMPRODUCT((참고!$A$31:$A$130=C425)*(참고!$B$31:$B$130&lt;=A425)*(참고!$B$31:$B$130=_xludf.MAXIFS(참고!$B$31:$B$130,참고!$A$31:$A$130,C425,참고!$B$31:$B$130,"&lt;="&amp;A425))*참고!$D$31:$D$130)/100,0),0)</f>
        <v>0</v>
      </c>
      <c r="L425" s="31" t="str">
        <f t="shared" si="20"/>
        <v/>
      </c>
      <c r="M425" s="39"/>
    </row>
    <row r="426" spans="1:13" ht="18" customHeight="1" x14ac:dyDescent="0.45">
      <c r="A426" s="37"/>
      <c r="B426" s="29"/>
      <c r="C426" s="29"/>
      <c r="D426" s="28"/>
      <c r="E426" s="30" t="str">
        <f>IFERROR(VLOOKUP(D426,KRX종목마스터!$A:$B,2,FALSE),"")</f>
        <v/>
      </c>
      <c r="F426" s="42"/>
      <c r="G426" s="42"/>
      <c r="H426" s="31" t="str">
        <f t="shared" si="18"/>
        <v/>
      </c>
      <c r="I426" s="43">
        <f ca="1">IFERROR(SUMPRODUCT((참고!$A$31:$A$130=C426)*(참고!$B$31:$B$130&lt;=A426)*(참고!$B$31:$B$130=_xludf.MAXIFS(참고!$B$31:$B$130,참고!$A$31:$A$130,C426,참고!$B$31:$B$130,"&lt;="&amp;A426))*참고!$C$31:$C$130)/100,0)</f>
        <v>0</v>
      </c>
      <c r="J426" s="31" t="str">
        <f t="shared" si="19"/>
        <v/>
      </c>
      <c r="K426" s="43">
        <f>IF(B426="매도",IFERROR(SUMPRODUCT((참고!$A$31:$A$130=C426)*(참고!$B$31:$B$130&lt;=A426)*(참고!$B$31:$B$130=_xludf.MAXIFS(참고!$B$31:$B$130,참고!$A$31:$A$130,C426,참고!$B$31:$B$130,"&lt;="&amp;A426))*참고!$D$31:$D$130)/100,0),0)</f>
        <v>0</v>
      </c>
      <c r="L426" s="31" t="str">
        <f t="shared" si="20"/>
        <v/>
      </c>
      <c r="M426" s="39"/>
    </row>
    <row r="427" spans="1:13" ht="18" customHeight="1" x14ac:dyDescent="0.45">
      <c r="A427" s="37"/>
      <c r="B427" s="29"/>
      <c r="C427" s="29"/>
      <c r="D427" s="28"/>
      <c r="E427" s="30" t="str">
        <f>IFERROR(VLOOKUP(D427,KRX종목마스터!$A:$B,2,FALSE),"")</f>
        <v/>
      </c>
      <c r="F427" s="42"/>
      <c r="G427" s="42"/>
      <c r="H427" s="31" t="str">
        <f t="shared" si="18"/>
        <v/>
      </c>
      <c r="I427" s="43">
        <f ca="1">IFERROR(SUMPRODUCT((참고!$A$31:$A$130=C427)*(참고!$B$31:$B$130&lt;=A427)*(참고!$B$31:$B$130=_xludf.MAXIFS(참고!$B$31:$B$130,참고!$A$31:$A$130,C427,참고!$B$31:$B$130,"&lt;="&amp;A427))*참고!$C$31:$C$130)/100,0)</f>
        <v>0</v>
      </c>
      <c r="J427" s="31" t="str">
        <f t="shared" si="19"/>
        <v/>
      </c>
      <c r="K427" s="43">
        <f>IF(B427="매도",IFERROR(SUMPRODUCT((참고!$A$31:$A$130=C427)*(참고!$B$31:$B$130&lt;=A427)*(참고!$B$31:$B$130=_xludf.MAXIFS(참고!$B$31:$B$130,참고!$A$31:$A$130,C427,참고!$B$31:$B$130,"&lt;="&amp;A427))*참고!$D$31:$D$130)/100,0),0)</f>
        <v>0</v>
      </c>
      <c r="L427" s="31" t="str">
        <f t="shared" si="20"/>
        <v/>
      </c>
      <c r="M427" s="39"/>
    </row>
    <row r="428" spans="1:13" ht="18" customHeight="1" x14ac:dyDescent="0.45">
      <c r="A428" s="37"/>
      <c r="B428" s="29"/>
      <c r="C428" s="29"/>
      <c r="D428" s="28"/>
      <c r="E428" s="30" t="str">
        <f>IFERROR(VLOOKUP(D428,KRX종목마스터!$A:$B,2,FALSE),"")</f>
        <v/>
      </c>
      <c r="F428" s="42"/>
      <c r="G428" s="42"/>
      <c r="H428" s="31" t="str">
        <f t="shared" si="18"/>
        <v/>
      </c>
      <c r="I428" s="43">
        <f ca="1">IFERROR(SUMPRODUCT((참고!$A$31:$A$130=C428)*(참고!$B$31:$B$130&lt;=A428)*(참고!$B$31:$B$130=_xludf.MAXIFS(참고!$B$31:$B$130,참고!$A$31:$A$130,C428,참고!$B$31:$B$130,"&lt;="&amp;A428))*참고!$C$31:$C$130)/100,0)</f>
        <v>0</v>
      </c>
      <c r="J428" s="31" t="str">
        <f t="shared" si="19"/>
        <v/>
      </c>
      <c r="K428" s="43">
        <f>IF(B428="매도",IFERROR(SUMPRODUCT((참고!$A$31:$A$130=C428)*(참고!$B$31:$B$130&lt;=A428)*(참고!$B$31:$B$130=_xludf.MAXIFS(참고!$B$31:$B$130,참고!$A$31:$A$130,C428,참고!$B$31:$B$130,"&lt;="&amp;A428))*참고!$D$31:$D$130)/100,0),0)</f>
        <v>0</v>
      </c>
      <c r="L428" s="31" t="str">
        <f t="shared" si="20"/>
        <v/>
      </c>
      <c r="M428" s="39"/>
    </row>
    <row r="429" spans="1:13" ht="18" customHeight="1" x14ac:dyDescent="0.45">
      <c r="A429" s="37"/>
      <c r="B429" s="29"/>
      <c r="C429" s="29"/>
      <c r="D429" s="28"/>
      <c r="E429" s="30" t="str">
        <f>IFERROR(VLOOKUP(D429,KRX종목마스터!$A:$B,2,FALSE),"")</f>
        <v/>
      </c>
      <c r="F429" s="42"/>
      <c r="G429" s="42"/>
      <c r="H429" s="31" t="str">
        <f t="shared" si="18"/>
        <v/>
      </c>
      <c r="I429" s="43">
        <f ca="1">IFERROR(SUMPRODUCT((참고!$A$31:$A$130=C429)*(참고!$B$31:$B$130&lt;=A429)*(참고!$B$31:$B$130=_xludf.MAXIFS(참고!$B$31:$B$130,참고!$A$31:$A$130,C429,참고!$B$31:$B$130,"&lt;="&amp;A429))*참고!$C$31:$C$130)/100,0)</f>
        <v>0</v>
      </c>
      <c r="J429" s="31" t="str">
        <f t="shared" si="19"/>
        <v/>
      </c>
      <c r="K429" s="43">
        <f>IF(B429="매도",IFERROR(SUMPRODUCT((참고!$A$31:$A$130=C429)*(참고!$B$31:$B$130&lt;=A429)*(참고!$B$31:$B$130=_xludf.MAXIFS(참고!$B$31:$B$130,참고!$A$31:$A$130,C429,참고!$B$31:$B$130,"&lt;="&amp;A429))*참고!$D$31:$D$130)/100,0),0)</f>
        <v>0</v>
      </c>
      <c r="L429" s="31" t="str">
        <f t="shared" si="20"/>
        <v/>
      </c>
      <c r="M429" s="39"/>
    </row>
    <row r="430" spans="1:13" ht="18" customHeight="1" x14ac:dyDescent="0.45">
      <c r="A430" s="37"/>
      <c r="B430" s="29"/>
      <c r="C430" s="29"/>
      <c r="D430" s="28"/>
      <c r="E430" s="30" t="str">
        <f>IFERROR(VLOOKUP(D430,KRX종목마스터!$A:$B,2,FALSE),"")</f>
        <v/>
      </c>
      <c r="F430" s="42"/>
      <c r="G430" s="42"/>
      <c r="H430" s="31" t="str">
        <f t="shared" si="18"/>
        <v/>
      </c>
      <c r="I430" s="43">
        <f ca="1">IFERROR(SUMPRODUCT((참고!$A$31:$A$130=C430)*(참고!$B$31:$B$130&lt;=A430)*(참고!$B$31:$B$130=_xludf.MAXIFS(참고!$B$31:$B$130,참고!$A$31:$A$130,C430,참고!$B$31:$B$130,"&lt;="&amp;A430))*참고!$C$31:$C$130)/100,0)</f>
        <v>0</v>
      </c>
      <c r="J430" s="31" t="str">
        <f t="shared" si="19"/>
        <v/>
      </c>
      <c r="K430" s="43">
        <f>IF(B430="매도",IFERROR(SUMPRODUCT((참고!$A$31:$A$130=C430)*(참고!$B$31:$B$130&lt;=A430)*(참고!$B$31:$B$130=_xludf.MAXIFS(참고!$B$31:$B$130,참고!$A$31:$A$130,C430,참고!$B$31:$B$130,"&lt;="&amp;A430))*참고!$D$31:$D$130)/100,0),0)</f>
        <v>0</v>
      </c>
      <c r="L430" s="31" t="str">
        <f t="shared" si="20"/>
        <v/>
      </c>
      <c r="M430" s="39"/>
    </row>
    <row r="431" spans="1:13" ht="18" customHeight="1" x14ac:dyDescent="0.45">
      <c r="A431" s="37"/>
      <c r="B431" s="29"/>
      <c r="C431" s="29"/>
      <c r="D431" s="28"/>
      <c r="E431" s="30" t="str">
        <f>IFERROR(VLOOKUP(D431,KRX종목마스터!$A:$B,2,FALSE),"")</f>
        <v/>
      </c>
      <c r="F431" s="42"/>
      <c r="G431" s="42"/>
      <c r="H431" s="31" t="str">
        <f t="shared" si="18"/>
        <v/>
      </c>
      <c r="I431" s="43">
        <f ca="1">IFERROR(SUMPRODUCT((참고!$A$31:$A$130=C431)*(참고!$B$31:$B$130&lt;=A431)*(참고!$B$31:$B$130=_xludf.MAXIFS(참고!$B$31:$B$130,참고!$A$31:$A$130,C431,참고!$B$31:$B$130,"&lt;="&amp;A431))*참고!$C$31:$C$130)/100,0)</f>
        <v>0</v>
      </c>
      <c r="J431" s="31" t="str">
        <f t="shared" si="19"/>
        <v/>
      </c>
      <c r="K431" s="43">
        <f>IF(B431="매도",IFERROR(SUMPRODUCT((참고!$A$31:$A$130=C431)*(참고!$B$31:$B$130&lt;=A431)*(참고!$B$31:$B$130=_xludf.MAXIFS(참고!$B$31:$B$130,참고!$A$31:$A$130,C431,참고!$B$31:$B$130,"&lt;="&amp;A431))*참고!$D$31:$D$130)/100,0),0)</f>
        <v>0</v>
      </c>
      <c r="L431" s="31" t="str">
        <f t="shared" si="20"/>
        <v/>
      </c>
      <c r="M431" s="39"/>
    </row>
    <row r="432" spans="1:13" ht="18" customHeight="1" x14ac:dyDescent="0.45">
      <c r="A432" s="37"/>
      <c r="B432" s="29"/>
      <c r="C432" s="29"/>
      <c r="D432" s="28"/>
      <c r="E432" s="30" t="str">
        <f>IFERROR(VLOOKUP(D432,KRX종목마스터!$A:$B,2,FALSE),"")</f>
        <v/>
      </c>
      <c r="F432" s="42"/>
      <c r="G432" s="42"/>
      <c r="H432" s="31" t="str">
        <f t="shared" si="18"/>
        <v/>
      </c>
      <c r="I432" s="43">
        <f ca="1">IFERROR(SUMPRODUCT((참고!$A$31:$A$130=C432)*(참고!$B$31:$B$130&lt;=A432)*(참고!$B$31:$B$130=_xludf.MAXIFS(참고!$B$31:$B$130,참고!$A$31:$A$130,C432,참고!$B$31:$B$130,"&lt;="&amp;A432))*참고!$C$31:$C$130)/100,0)</f>
        <v>0</v>
      </c>
      <c r="J432" s="31" t="str">
        <f t="shared" si="19"/>
        <v/>
      </c>
      <c r="K432" s="43">
        <f>IF(B432="매도",IFERROR(SUMPRODUCT((참고!$A$31:$A$130=C432)*(참고!$B$31:$B$130&lt;=A432)*(참고!$B$31:$B$130=_xludf.MAXIFS(참고!$B$31:$B$130,참고!$A$31:$A$130,C432,참고!$B$31:$B$130,"&lt;="&amp;A432))*참고!$D$31:$D$130)/100,0),0)</f>
        <v>0</v>
      </c>
      <c r="L432" s="31" t="str">
        <f t="shared" si="20"/>
        <v/>
      </c>
      <c r="M432" s="39"/>
    </row>
    <row r="433" spans="1:13" ht="18" customHeight="1" x14ac:dyDescent="0.45">
      <c r="A433" s="37"/>
      <c r="B433" s="29"/>
      <c r="C433" s="29"/>
      <c r="D433" s="28"/>
      <c r="E433" s="30" t="str">
        <f>IFERROR(VLOOKUP(D433,KRX종목마스터!$A:$B,2,FALSE),"")</f>
        <v/>
      </c>
      <c r="F433" s="42"/>
      <c r="G433" s="42"/>
      <c r="H433" s="31" t="str">
        <f t="shared" si="18"/>
        <v/>
      </c>
      <c r="I433" s="43">
        <f ca="1">IFERROR(SUMPRODUCT((참고!$A$31:$A$130=C433)*(참고!$B$31:$B$130&lt;=A433)*(참고!$B$31:$B$130=_xludf.MAXIFS(참고!$B$31:$B$130,참고!$A$31:$A$130,C433,참고!$B$31:$B$130,"&lt;="&amp;A433))*참고!$C$31:$C$130)/100,0)</f>
        <v>0</v>
      </c>
      <c r="J433" s="31" t="str">
        <f t="shared" si="19"/>
        <v/>
      </c>
      <c r="K433" s="43">
        <f>IF(B433="매도",IFERROR(SUMPRODUCT((참고!$A$31:$A$130=C433)*(참고!$B$31:$B$130&lt;=A433)*(참고!$B$31:$B$130=_xludf.MAXIFS(참고!$B$31:$B$130,참고!$A$31:$A$130,C433,참고!$B$31:$B$130,"&lt;="&amp;A433))*참고!$D$31:$D$130)/100,0),0)</f>
        <v>0</v>
      </c>
      <c r="L433" s="31" t="str">
        <f t="shared" si="20"/>
        <v/>
      </c>
      <c r="M433" s="39"/>
    </row>
    <row r="434" spans="1:13" ht="18" customHeight="1" x14ac:dyDescent="0.45">
      <c r="A434" s="37"/>
      <c r="B434" s="29"/>
      <c r="C434" s="29"/>
      <c r="D434" s="28"/>
      <c r="E434" s="30" t="str">
        <f>IFERROR(VLOOKUP(D434,KRX종목마스터!$A:$B,2,FALSE),"")</f>
        <v/>
      </c>
      <c r="F434" s="42"/>
      <c r="G434" s="42"/>
      <c r="H434" s="31" t="str">
        <f t="shared" si="18"/>
        <v/>
      </c>
      <c r="I434" s="43">
        <f ca="1">IFERROR(SUMPRODUCT((참고!$A$31:$A$130=C434)*(참고!$B$31:$B$130&lt;=A434)*(참고!$B$31:$B$130=_xludf.MAXIFS(참고!$B$31:$B$130,참고!$A$31:$A$130,C434,참고!$B$31:$B$130,"&lt;="&amp;A434))*참고!$C$31:$C$130)/100,0)</f>
        <v>0</v>
      </c>
      <c r="J434" s="31" t="str">
        <f t="shared" si="19"/>
        <v/>
      </c>
      <c r="K434" s="43">
        <f>IF(B434="매도",IFERROR(SUMPRODUCT((참고!$A$31:$A$130=C434)*(참고!$B$31:$B$130&lt;=A434)*(참고!$B$31:$B$130=_xludf.MAXIFS(참고!$B$31:$B$130,참고!$A$31:$A$130,C434,참고!$B$31:$B$130,"&lt;="&amp;A434))*참고!$D$31:$D$130)/100,0),0)</f>
        <v>0</v>
      </c>
      <c r="L434" s="31" t="str">
        <f t="shared" si="20"/>
        <v/>
      </c>
      <c r="M434" s="39"/>
    </row>
    <row r="435" spans="1:13" ht="18" customHeight="1" x14ac:dyDescent="0.45">
      <c r="A435" s="37"/>
      <c r="B435" s="29"/>
      <c r="C435" s="29"/>
      <c r="D435" s="28"/>
      <c r="E435" s="30" t="str">
        <f>IFERROR(VLOOKUP(D435,KRX종목마스터!$A:$B,2,FALSE),"")</f>
        <v/>
      </c>
      <c r="F435" s="42"/>
      <c r="G435" s="42"/>
      <c r="H435" s="31" t="str">
        <f t="shared" si="18"/>
        <v/>
      </c>
      <c r="I435" s="43">
        <f ca="1">IFERROR(SUMPRODUCT((참고!$A$31:$A$130=C435)*(참고!$B$31:$B$130&lt;=A435)*(참고!$B$31:$B$130=_xludf.MAXIFS(참고!$B$31:$B$130,참고!$A$31:$A$130,C435,참고!$B$31:$B$130,"&lt;="&amp;A435))*참고!$C$31:$C$130)/100,0)</f>
        <v>0</v>
      </c>
      <c r="J435" s="31" t="str">
        <f t="shared" si="19"/>
        <v/>
      </c>
      <c r="K435" s="43">
        <f>IF(B435="매도",IFERROR(SUMPRODUCT((참고!$A$31:$A$130=C435)*(참고!$B$31:$B$130&lt;=A435)*(참고!$B$31:$B$130=_xludf.MAXIFS(참고!$B$31:$B$130,참고!$A$31:$A$130,C435,참고!$B$31:$B$130,"&lt;="&amp;A435))*참고!$D$31:$D$130)/100,0),0)</f>
        <v>0</v>
      </c>
      <c r="L435" s="31" t="str">
        <f t="shared" si="20"/>
        <v/>
      </c>
      <c r="M435" s="39"/>
    </row>
    <row r="436" spans="1:13" ht="18" customHeight="1" x14ac:dyDescent="0.45">
      <c r="A436" s="37"/>
      <c r="B436" s="29"/>
      <c r="C436" s="29"/>
      <c r="D436" s="28"/>
      <c r="E436" s="30" t="str">
        <f>IFERROR(VLOOKUP(D436,KRX종목마스터!$A:$B,2,FALSE),"")</f>
        <v/>
      </c>
      <c r="F436" s="42"/>
      <c r="G436" s="42"/>
      <c r="H436" s="31" t="str">
        <f t="shared" si="18"/>
        <v/>
      </c>
      <c r="I436" s="43">
        <f ca="1">IFERROR(SUMPRODUCT((참고!$A$31:$A$130=C436)*(참고!$B$31:$B$130&lt;=A436)*(참고!$B$31:$B$130=_xludf.MAXIFS(참고!$B$31:$B$130,참고!$A$31:$A$130,C436,참고!$B$31:$B$130,"&lt;="&amp;A436))*참고!$C$31:$C$130)/100,0)</f>
        <v>0</v>
      </c>
      <c r="J436" s="31" t="str">
        <f t="shared" si="19"/>
        <v/>
      </c>
      <c r="K436" s="43">
        <f>IF(B436="매도",IFERROR(SUMPRODUCT((참고!$A$31:$A$130=C436)*(참고!$B$31:$B$130&lt;=A436)*(참고!$B$31:$B$130=_xludf.MAXIFS(참고!$B$31:$B$130,참고!$A$31:$A$130,C436,참고!$B$31:$B$130,"&lt;="&amp;A436))*참고!$D$31:$D$130)/100,0),0)</f>
        <v>0</v>
      </c>
      <c r="L436" s="31" t="str">
        <f t="shared" si="20"/>
        <v/>
      </c>
      <c r="M436" s="39"/>
    </row>
    <row r="437" spans="1:13" ht="18" customHeight="1" x14ac:dyDescent="0.45">
      <c r="A437" s="37"/>
      <c r="B437" s="29"/>
      <c r="C437" s="29"/>
      <c r="D437" s="28"/>
      <c r="E437" s="30" t="str">
        <f>IFERROR(VLOOKUP(D437,KRX종목마스터!$A:$B,2,FALSE),"")</f>
        <v/>
      </c>
      <c r="F437" s="42"/>
      <c r="G437" s="42"/>
      <c r="H437" s="31" t="str">
        <f t="shared" si="18"/>
        <v/>
      </c>
      <c r="I437" s="43">
        <f ca="1">IFERROR(SUMPRODUCT((참고!$A$31:$A$130=C437)*(참고!$B$31:$B$130&lt;=A437)*(참고!$B$31:$B$130=_xludf.MAXIFS(참고!$B$31:$B$130,참고!$A$31:$A$130,C437,참고!$B$31:$B$130,"&lt;="&amp;A437))*참고!$C$31:$C$130)/100,0)</f>
        <v>0</v>
      </c>
      <c r="J437" s="31" t="str">
        <f t="shared" si="19"/>
        <v/>
      </c>
      <c r="K437" s="43">
        <f>IF(B437="매도",IFERROR(SUMPRODUCT((참고!$A$31:$A$130=C437)*(참고!$B$31:$B$130&lt;=A437)*(참고!$B$31:$B$130=_xludf.MAXIFS(참고!$B$31:$B$130,참고!$A$31:$A$130,C437,참고!$B$31:$B$130,"&lt;="&amp;A437))*참고!$D$31:$D$130)/100,0),0)</f>
        <v>0</v>
      </c>
      <c r="L437" s="31" t="str">
        <f t="shared" si="20"/>
        <v/>
      </c>
      <c r="M437" s="39"/>
    </row>
    <row r="438" spans="1:13" ht="18" customHeight="1" x14ac:dyDescent="0.45">
      <c r="A438" s="37"/>
      <c r="B438" s="29"/>
      <c r="C438" s="29"/>
      <c r="D438" s="28"/>
      <c r="E438" s="30" t="str">
        <f>IFERROR(VLOOKUP(D438,KRX종목마스터!$A:$B,2,FALSE),"")</f>
        <v/>
      </c>
      <c r="F438" s="42"/>
      <c r="G438" s="42"/>
      <c r="H438" s="31" t="str">
        <f t="shared" si="18"/>
        <v/>
      </c>
      <c r="I438" s="43">
        <f ca="1">IFERROR(SUMPRODUCT((참고!$A$31:$A$130=C438)*(참고!$B$31:$B$130&lt;=A438)*(참고!$B$31:$B$130=_xludf.MAXIFS(참고!$B$31:$B$130,참고!$A$31:$A$130,C438,참고!$B$31:$B$130,"&lt;="&amp;A438))*참고!$C$31:$C$130)/100,0)</f>
        <v>0</v>
      </c>
      <c r="J438" s="31" t="str">
        <f t="shared" si="19"/>
        <v/>
      </c>
      <c r="K438" s="43">
        <f>IF(B438="매도",IFERROR(SUMPRODUCT((참고!$A$31:$A$130=C438)*(참고!$B$31:$B$130&lt;=A438)*(참고!$B$31:$B$130=_xludf.MAXIFS(참고!$B$31:$B$130,참고!$A$31:$A$130,C438,참고!$B$31:$B$130,"&lt;="&amp;A438))*참고!$D$31:$D$130)/100,0),0)</f>
        <v>0</v>
      </c>
      <c r="L438" s="31" t="str">
        <f t="shared" si="20"/>
        <v/>
      </c>
      <c r="M438" s="39"/>
    </row>
    <row r="439" spans="1:13" ht="18" customHeight="1" x14ac:dyDescent="0.45">
      <c r="A439" s="37"/>
      <c r="B439" s="29"/>
      <c r="C439" s="29"/>
      <c r="D439" s="28"/>
      <c r="E439" s="30" t="str">
        <f>IFERROR(VLOOKUP(D439,KRX종목마스터!$A:$B,2,FALSE),"")</f>
        <v/>
      </c>
      <c r="F439" s="42"/>
      <c r="G439" s="42"/>
      <c r="H439" s="31" t="str">
        <f t="shared" si="18"/>
        <v/>
      </c>
      <c r="I439" s="43">
        <f ca="1">IFERROR(SUMPRODUCT((참고!$A$31:$A$130=C439)*(참고!$B$31:$B$130&lt;=A439)*(참고!$B$31:$B$130=_xludf.MAXIFS(참고!$B$31:$B$130,참고!$A$31:$A$130,C439,참고!$B$31:$B$130,"&lt;="&amp;A439))*참고!$C$31:$C$130)/100,0)</f>
        <v>0</v>
      </c>
      <c r="J439" s="31" t="str">
        <f t="shared" si="19"/>
        <v/>
      </c>
      <c r="K439" s="43">
        <f>IF(B439="매도",IFERROR(SUMPRODUCT((참고!$A$31:$A$130=C439)*(참고!$B$31:$B$130&lt;=A439)*(참고!$B$31:$B$130=_xludf.MAXIFS(참고!$B$31:$B$130,참고!$A$31:$A$130,C439,참고!$B$31:$B$130,"&lt;="&amp;A439))*참고!$D$31:$D$130)/100,0),0)</f>
        <v>0</v>
      </c>
      <c r="L439" s="31" t="str">
        <f t="shared" si="20"/>
        <v/>
      </c>
      <c r="M439" s="39"/>
    </row>
    <row r="440" spans="1:13" ht="18" customHeight="1" x14ac:dyDescent="0.45">
      <c r="A440" s="37"/>
      <c r="B440" s="29"/>
      <c r="C440" s="29"/>
      <c r="D440" s="28"/>
      <c r="E440" s="30" t="str">
        <f>IFERROR(VLOOKUP(D440,KRX종목마스터!$A:$B,2,FALSE),"")</f>
        <v/>
      </c>
      <c r="F440" s="42"/>
      <c r="G440" s="42"/>
      <c r="H440" s="31" t="str">
        <f t="shared" si="18"/>
        <v/>
      </c>
      <c r="I440" s="43">
        <f ca="1">IFERROR(SUMPRODUCT((참고!$A$31:$A$130=C440)*(참고!$B$31:$B$130&lt;=A440)*(참고!$B$31:$B$130=_xludf.MAXIFS(참고!$B$31:$B$130,참고!$A$31:$A$130,C440,참고!$B$31:$B$130,"&lt;="&amp;A440))*참고!$C$31:$C$130)/100,0)</f>
        <v>0</v>
      </c>
      <c r="J440" s="31" t="str">
        <f t="shared" si="19"/>
        <v/>
      </c>
      <c r="K440" s="43">
        <f>IF(B440="매도",IFERROR(SUMPRODUCT((참고!$A$31:$A$130=C440)*(참고!$B$31:$B$130&lt;=A440)*(참고!$B$31:$B$130=_xludf.MAXIFS(참고!$B$31:$B$130,참고!$A$31:$A$130,C440,참고!$B$31:$B$130,"&lt;="&amp;A440))*참고!$D$31:$D$130)/100,0),0)</f>
        <v>0</v>
      </c>
      <c r="L440" s="31" t="str">
        <f t="shared" si="20"/>
        <v/>
      </c>
      <c r="M440" s="39"/>
    </row>
    <row r="441" spans="1:13" ht="18" customHeight="1" x14ac:dyDescent="0.45">
      <c r="A441" s="37"/>
      <c r="B441" s="29"/>
      <c r="C441" s="29"/>
      <c r="D441" s="28"/>
      <c r="E441" s="30" t="str">
        <f>IFERROR(VLOOKUP(D441,KRX종목마스터!$A:$B,2,FALSE),"")</f>
        <v/>
      </c>
      <c r="F441" s="42"/>
      <c r="G441" s="42"/>
      <c r="H441" s="31" t="str">
        <f t="shared" si="18"/>
        <v/>
      </c>
      <c r="I441" s="43">
        <f ca="1">IFERROR(SUMPRODUCT((참고!$A$31:$A$130=C441)*(참고!$B$31:$B$130&lt;=A441)*(참고!$B$31:$B$130=_xludf.MAXIFS(참고!$B$31:$B$130,참고!$A$31:$A$130,C441,참고!$B$31:$B$130,"&lt;="&amp;A441))*참고!$C$31:$C$130)/100,0)</f>
        <v>0</v>
      </c>
      <c r="J441" s="31" t="str">
        <f t="shared" si="19"/>
        <v/>
      </c>
      <c r="K441" s="43">
        <f>IF(B441="매도",IFERROR(SUMPRODUCT((참고!$A$31:$A$130=C441)*(참고!$B$31:$B$130&lt;=A441)*(참고!$B$31:$B$130=_xludf.MAXIFS(참고!$B$31:$B$130,참고!$A$31:$A$130,C441,참고!$B$31:$B$130,"&lt;="&amp;A441))*참고!$D$31:$D$130)/100,0),0)</f>
        <v>0</v>
      </c>
      <c r="L441" s="31" t="str">
        <f t="shared" si="20"/>
        <v/>
      </c>
      <c r="M441" s="39"/>
    </row>
    <row r="442" spans="1:13" ht="18" customHeight="1" x14ac:dyDescent="0.45">
      <c r="A442" s="37"/>
      <c r="B442" s="29"/>
      <c r="C442" s="29"/>
      <c r="D442" s="28"/>
      <c r="E442" s="30" t="str">
        <f>IFERROR(VLOOKUP(D442,KRX종목마스터!$A:$B,2,FALSE),"")</f>
        <v/>
      </c>
      <c r="F442" s="42"/>
      <c r="G442" s="42"/>
      <c r="H442" s="31" t="str">
        <f t="shared" si="18"/>
        <v/>
      </c>
      <c r="I442" s="43">
        <f ca="1">IFERROR(SUMPRODUCT((참고!$A$31:$A$130=C442)*(참고!$B$31:$B$130&lt;=A442)*(참고!$B$31:$B$130=_xludf.MAXIFS(참고!$B$31:$B$130,참고!$A$31:$A$130,C442,참고!$B$31:$B$130,"&lt;="&amp;A442))*참고!$C$31:$C$130)/100,0)</f>
        <v>0</v>
      </c>
      <c r="J442" s="31" t="str">
        <f t="shared" si="19"/>
        <v/>
      </c>
      <c r="K442" s="43">
        <f>IF(B442="매도",IFERROR(SUMPRODUCT((참고!$A$31:$A$130=C442)*(참고!$B$31:$B$130&lt;=A442)*(참고!$B$31:$B$130=_xludf.MAXIFS(참고!$B$31:$B$130,참고!$A$31:$A$130,C442,참고!$B$31:$B$130,"&lt;="&amp;A442))*참고!$D$31:$D$130)/100,0),0)</f>
        <v>0</v>
      </c>
      <c r="L442" s="31" t="str">
        <f t="shared" si="20"/>
        <v/>
      </c>
      <c r="M442" s="39"/>
    </row>
    <row r="443" spans="1:13" ht="18" customHeight="1" x14ac:dyDescent="0.45">
      <c r="A443" s="37"/>
      <c r="B443" s="29"/>
      <c r="C443" s="29"/>
      <c r="D443" s="28"/>
      <c r="E443" s="30" t="str">
        <f>IFERROR(VLOOKUP(D443,KRX종목마스터!$A:$B,2,FALSE),"")</f>
        <v/>
      </c>
      <c r="F443" s="42"/>
      <c r="G443" s="42"/>
      <c r="H443" s="31" t="str">
        <f t="shared" si="18"/>
        <v/>
      </c>
      <c r="I443" s="43">
        <f ca="1">IFERROR(SUMPRODUCT((참고!$A$31:$A$130=C443)*(참고!$B$31:$B$130&lt;=A443)*(참고!$B$31:$B$130=_xludf.MAXIFS(참고!$B$31:$B$130,참고!$A$31:$A$130,C443,참고!$B$31:$B$130,"&lt;="&amp;A443))*참고!$C$31:$C$130)/100,0)</f>
        <v>0</v>
      </c>
      <c r="J443" s="31" t="str">
        <f t="shared" si="19"/>
        <v/>
      </c>
      <c r="K443" s="43">
        <f>IF(B443="매도",IFERROR(SUMPRODUCT((참고!$A$31:$A$130=C443)*(참고!$B$31:$B$130&lt;=A443)*(참고!$B$31:$B$130=_xludf.MAXIFS(참고!$B$31:$B$130,참고!$A$31:$A$130,C443,참고!$B$31:$B$130,"&lt;="&amp;A443))*참고!$D$31:$D$130)/100,0),0)</f>
        <v>0</v>
      </c>
      <c r="L443" s="31" t="str">
        <f t="shared" si="20"/>
        <v/>
      </c>
      <c r="M443" s="39"/>
    </row>
    <row r="444" spans="1:13" ht="18" customHeight="1" x14ac:dyDescent="0.45">
      <c r="A444" s="37"/>
      <c r="B444" s="29"/>
      <c r="C444" s="29"/>
      <c r="D444" s="28"/>
      <c r="E444" s="30" t="str">
        <f>IFERROR(VLOOKUP(D444,KRX종목마스터!$A:$B,2,FALSE),"")</f>
        <v/>
      </c>
      <c r="F444" s="42"/>
      <c r="G444" s="42"/>
      <c r="H444" s="31" t="str">
        <f t="shared" si="18"/>
        <v/>
      </c>
      <c r="I444" s="43">
        <f ca="1">IFERROR(SUMPRODUCT((참고!$A$31:$A$130=C444)*(참고!$B$31:$B$130&lt;=A444)*(참고!$B$31:$B$130=_xludf.MAXIFS(참고!$B$31:$B$130,참고!$A$31:$A$130,C444,참고!$B$31:$B$130,"&lt;="&amp;A444))*참고!$C$31:$C$130)/100,0)</f>
        <v>0</v>
      </c>
      <c r="J444" s="31" t="str">
        <f t="shared" si="19"/>
        <v/>
      </c>
      <c r="K444" s="43">
        <f>IF(B444="매도",IFERROR(SUMPRODUCT((참고!$A$31:$A$130=C444)*(참고!$B$31:$B$130&lt;=A444)*(참고!$B$31:$B$130=_xludf.MAXIFS(참고!$B$31:$B$130,참고!$A$31:$A$130,C444,참고!$B$31:$B$130,"&lt;="&amp;A444))*참고!$D$31:$D$130)/100,0),0)</f>
        <v>0</v>
      </c>
      <c r="L444" s="31" t="str">
        <f t="shared" si="20"/>
        <v/>
      </c>
      <c r="M444" s="39"/>
    </row>
    <row r="445" spans="1:13" ht="18" customHeight="1" x14ac:dyDescent="0.45">
      <c r="A445" s="37"/>
      <c r="B445" s="29"/>
      <c r="C445" s="29"/>
      <c r="D445" s="28"/>
      <c r="E445" s="30" t="str">
        <f>IFERROR(VLOOKUP(D445,KRX종목마스터!$A:$B,2,FALSE),"")</f>
        <v/>
      </c>
      <c r="F445" s="42"/>
      <c r="G445" s="42"/>
      <c r="H445" s="31" t="str">
        <f t="shared" si="18"/>
        <v/>
      </c>
      <c r="I445" s="43">
        <f ca="1">IFERROR(SUMPRODUCT((참고!$A$31:$A$130=C445)*(참고!$B$31:$B$130&lt;=A445)*(참고!$B$31:$B$130=_xludf.MAXIFS(참고!$B$31:$B$130,참고!$A$31:$A$130,C445,참고!$B$31:$B$130,"&lt;="&amp;A445))*참고!$C$31:$C$130)/100,0)</f>
        <v>0</v>
      </c>
      <c r="J445" s="31" t="str">
        <f t="shared" si="19"/>
        <v/>
      </c>
      <c r="K445" s="43">
        <f>IF(B445="매도",IFERROR(SUMPRODUCT((참고!$A$31:$A$130=C445)*(참고!$B$31:$B$130&lt;=A445)*(참고!$B$31:$B$130=_xludf.MAXIFS(참고!$B$31:$B$130,참고!$A$31:$A$130,C445,참고!$B$31:$B$130,"&lt;="&amp;A445))*참고!$D$31:$D$130)/100,0),0)</f>
        <v>0</v>
      </c>
      <c r="L445" s="31" t="str">
        <f t="shared" si="20"/>
        <v/>
      </c>
      <c r="M445" s="39"/>
    </row>
    <row r="446" spans="1:13" ht="18" customHeight="1" x14ac:dyDescent="0.45">
      <c r="A446" s="37"/>
      <c r="B446" s="29"/>
      <c r="C446" s="29"/>
      <c r="D446" s="28"/>
      <c r="E446" s="30" t="str">
        <f>IFERROR(VLOOKUP(D446,KRX종목마스터!$A:$B,2,FALSE),"")</f>
        <v/>
      </c>
      <c r="F446" s="42"/>
      <c r="G446" s="42"/>
      <c r="H446" s="31" t="str">
        <f t="shared" si="18"/>
        <v/>
      </c>
      <c r="I446" s="43">
        <f ca="1">IFERROR(SUMPRODUCT((참고!$A$31:$A$130=C446)*(참고!$B$31:$B$130&lt;=A446)*(참고!$B$31:$B$130=_xludf.MAXIFS(참고!$B$31:$B$130,참고!$A$31:$A$130,C446,참고!$B$31:$B$130,"&lt;="&amp;A446))*참고!$C$31:$C$130)/100,0)</f>
        <v>0</v>
      </c>
      <c r="J446" s="31" t="str">
        <f t="shared" si="19"/>
        <v/>
      </c>
      <c r="K446" s="43">
        <f>IF(B446="매도",IFERROR(SUMPRODUCT((참고!$A$31:$A$130=C446)*(참고!$B$31:$B$130&lt;=A446)*(참고!$B$31:$B$130=_xludf.MAXIFS(참고!$B$31:$B$130,참고!$A$31:$A$130,C446,참고!$B$31:$B$130,"&lt;="&amp;A446))*참고!$D$31:$D$130)/100,0),0)</f>
        <v>0</v>
      </c>
      <c r="L446" s="31" t="str">
        <f t="shared" si="20"/>
        <v/>
      </c>
      <c r="M446" s="39"/>
    </row>
    <row r="447" spans="1:13" ht="18" customHeight="1" x14ac:dyDescent="0.45">
      <c r="A447" s="37"/>
      <c r="B447" s="29"/>
      <c r="C447" s="29"/>
      <c r="D447" s="28"/>
      <c r="E447" s="30" t="str">
        <f>IFERROR(VLOOKUP(D447,KRX종목마스터!$A:$B,2,FALSE),"")</f>
        <v/>
      </c>
      <c r="F447" s="42"/>
      <c r="G447" s="42"/>
      <c r="H447" s="31" t="str">
        <f t="shared" si="18"/>
        <v/>
      </c>
      <c r="I447" s="43">
        <f ca="1">IFERROR(SUMPRODUCT((참고!$A$31:$A$130=C447)*(참고!$B$31:$B$130&lt;=A447)*(참고!$B$31:$B$130=_xludf.MAXIFS(참고!$B$31:$B$130,참고!$A$31:$A$130,C447,참고!$B$31:$B$130,"&lt;="&amp;A447))*참고!$C$31:$C$130)/100,0)</f>
        <v>0</v>
      </c>
      <c r="J447" s="31" t="str">
        <f t="shared" si="19"/>
        <v/>
      </c>
      <c r="K447" s="43">
        <f>IF(B447="매도",IFERROR(SUMPRODUCT((참고!$A$31:$A$130=C447)*(참고!$B$31:$B$130&lt;=A447)*(참고!$B$31:$B$130=_xludf.MAXIFS(참고!$B$31:$B$130,참고!$A$31:$A$130,C447,참고!$B$31:$B$130,"&lt;="&amp;A447))*참고!$D$31:$D$130)/100,0),0)</f>
        <v>0</v>
      </c>
      <c r="L447" s="31" t="str">
        <f t="shared" si="20"/>
        <v/>
      </c>
      <c r="M447" s="39"/>
    </row>
    <row r="448" spans="1:13" ht="18" customHeight="1" x14ac:dyDescent="0.45">
      <c r="A448" s="37"/>
      <c r="B448" s="29"/>
      <c r="C448" s="29"/>
      <c r="D448" s="28"/>
      <c r="E448" s="30" t="str">
        <f>IFERROR(VLOOKUP(D448,KRX종목마스터!$A:$B,2,FALSE),"")</f>
        <v/>
      </c>
      <c r="F448" s="42"/>
      <c r="G448" s="42"/>
      <c r="H448" s="31" t="str">
        <f t="shared" si="18"/>
        <v/>
      </c>
      <c r="I448" s="43">
        <f ca="1">IFERROR(SUMPRODUCT((참고!$A$31:$A$130=C448)*(참고!$B$31:$B$130&lt;=A448)*(참고!$B$31:$B$130=_xludf.MAXIFS(참고!$B$31:$B$130,참고!$A$31:$A$130,C448,참고!$B$31:$B$130,"&lt;="&amp;A448))*참고!$C$31:$C$130)/100,0)</f>
        <v>0</v>
      </c>
      <c r="J448" s="31" t="str">
        <f t="shared" si="19"/>
        <v/>
      </c>
      <c r="K448" s="43">
        <f>IF(B448="매도",IFERROR(SUMPRODUCT((참고!$A$31:$A$130=C448)*(참고!$B$31:$B$130&lt;=A448)*(참고!$B$31:$B$130=_xludf.MAXIFS(참고!$B$31:$B$130,참고!$A$31:$A$130,C448,참고!$B$31:$B$130,"&lt;="&amp;A448))*참고!$D$31:$D$130)/100,0),0)</f>
        <v>0</v>
      </c>
      <c r="L448" s="31" t="str">
        <f t="shared" si="20"/>
        <v/>
      </c>
      <c r="M448" s="39"/>
    </row>
    <row r="449" spans="1:13" ht="18" customHeight="1" x14ac:dyDescent="0.45">
      <c r="A449" s="37"/>
      <c r="B449" s="29"/>
      <c r="C449" s="29"/>
      <c r="D449" s="28"/>
      <c r="E449" s="30" t="str">
        <f>IFERROR(VLOOKUP(D449,KRX종목마스터!$A:$B,2,FALSE),"")</f>
        <v/>
      </c>
      <c r="F449" s="42"/>
      <c r="G449" s="42"/>
      <c r="H449" s="31" t="str">
        <f t="shared" si="18"/>
        <v/>
      </c>
      <c r="I449" s="43">
        <f ca="1">IFERROR(SUMPRODUCT((참고!$A$31:$A$130=C449)*(참고!$B$31:$B$130&lt;=A449)*(참고!$B$31:$B$130=_xludf.MAXIFS(참고!$B$31:$B$130,참고!$A$31:$A$130,C449,참고!$B$31:$B$130,"&lt;="&amp;A449))*참고!$C$31:$C$130)/100,0)</f>
        <v>0</v>
      </c>
      <c r="J449" s="31" t="str">
        <f t="shared" si="19"/>
        <v/>
      </c>
      <c r="K449" s="43">
        <f>IF(B449="매도",IFERROR(SUMPRODUCT((참고!$A$31:$A$130=C449)*(참고!$B$31:$B$130&lt;=A449)*(참고!$B$31:$B$130=_xludf.MAXIFS(참고!$B$31:$B$130,참고!$A$31:$A$130,C449,참고!$B$31:$B$130,"&lt;="&amp;A449))*참고!$D$31:$D$130)/100,0),0)</f>
        <v>0</v>
      </c>
      <c r="L449" s="31" t="str">
        <f t="shared" si="20"/>
        <v/>
      </c>
      <c r="M449" s="39"/>
    </row>
    <row r="450" spans="1:13" ht="18" customHeight="1" x14ac:dyDescent="0.45">
      <c r="A450" s="37"/>
      <c r="B450" s="29"/>
      <c r="C450" s="29"/>
      <c r="D450" s="28"/>
      <c r="E450" s="30" t="str">
        <f>IFERROR(VLOOKUP(D450,KRX종목마스터!$A:$B,2,FALSE),"")</f>
        <v/>
      </c>
      <c r="F450" s="42"/>
      <c r="G450" s="42"/>
      <c r="H450" s="31" t="str">
        <f t="shared" si="18"/>
        <v/>
      </c>
      <c r="I450" s="43">
        <f ca="1">IFERROR(SUMPRODUCT((참고!$A$31:$A$130=C450)*(참고!$B$31:$B$130&lt;=A450)*(참고!$B$31:$B$130=_xludf.MAXIFS(참고!$B$31:$B$130,참고!$A$31:$A$130,C450,참고!$B$31:$B$130,"&lt;="&amp;A450))*참고!$C$31:$C$130)/100,0)</f>
        <v>0</v>
      </c>
      <c r="J450" s="31" t="str">
        <f t="shared" si="19"/>
        <v/>
      </c>
      <c r="K450" s="43">
        <f>IF(B450="매도",IFERROR(SUMPRODUCT((참고!$A$31:$A$130=C450)*(참고!$B$31:$B$130&lt;=A450)*(참고!$B$31:$B$130=_xludf.MAXIFS(참고!$B$31:$B$130,참고!$A$31:$A$130,C450,참고!$B$31:$B$130,"&lt;="&amp;A450))*참고!$D$31:$D$130)/100,0),0)</f>
        <v>0</v>
      </c>
      <c r="L450" s="31" t="str">
        <f t="shared" si="20"/>
        <v/>
      </c>
      <c r="M450" s="39"/>
    </row>
    <row r="451" spans="1:13" ht="18" customHeight="1" x14ac:dyDescent="0.45">
      <c r="A451" s="37"/>
      <c r="B451" s="29"/>
      <c r="C451" s="29"/>
      <c r="D451" s="28"/>
      <c r="E451" s="30" t="str">
        <f>IFERROR(VLOOKUP(D451,KRX종목마스터!$A:$B,2,FALSE),"")</f>
        <v/>
      </c>
      <c r="F451" s="42"/>
      <c r="G451" s="42"/>
      <c r="H451" s="31" t="str">
        <f t="shared" si="18"/>
        <v/>
      </c>
      <c r="I451" s="43">
        <f ca="1">IFERROR(SUMPRODUCT((참고!$A$31:$A$130=C451)*(참고!$B$31:$B$130&lt;=A451)*(참고!$B$31:$B$130=_xludf.MAXIFS(참고!$B$31:$B$130,참고!$A$31:$A$130,C451,참고!$B$31:$B$130,"&lt;="&amp;A451))*참고!$C$31:$C$130)/100,0)</f>
        <v>0</v>
      </c>
      <c r="J451" s="31" t="str">
        <f t="shared" si="19"/>
        <v/>
      </c>
      <c r="K451" s="43">
        <f>IF(B451="매도",IFERROR(SUMPRODUCT((참고!$A$31:$A$130=C451)*(참고!$B$31:$B$130&lt;=A451)*(참고!$B$31:$B$130=_xludf.MAXIFS(참고!$B$31:$B$130,참고!$A$31:$A$130,C451,참고!$B$31:$B$130,"&lt;="&amp;A451))*참고!$D$31:$D$130)/100,0),0)</f>
        <v>0</v>
      </c>
      <c r="L451" s="31" t="str">
        <f t="shared" si="20"/>
        <v/>
      </c>
      <c r="M451" s="39"/>
    </row>
    <row r="452" spans="1:13" ht="18" customHeight="1" x14ac:dyDescent="0.45">
      <c r="A452" s="37"/>
      <c r="B452" s="29"/>
      <c r="C452" s="29"/>
      <c r="D452" s="28"/>
      <c r="E452" s="30" t="str">
        <f>IFERROR(VLOOKUP(D452,KRX종목마스터!$A:$B,2,FALSE),"")</f>
        <v/>
      </c>
      <c r="F452" s="42"/>
      <c r="G452" s="42"/>
      <c r="H452" s="31" t="str">
        <f t="shared" si="18"/>
        <v/>
      </c>
      <c r="I452" s="43">
        <f ca="1">IFERROR(SUMPRODUCT((참고!$A$31:$A$130=C452)*(참고!$B$31:$B$130&lt;=A452)*(참고!$B$31:$B$130=_xludf.MAXIFS(참고!$B$31:$B$130,참고!$A$31:$A$130,C452,참고!$B$31:$B$130,"&lt;="&amp;A452))*참고!$C$31:$C$130)/100,0)</f>
        <v>0</v>
      </c>
      <c r="J452" s="31" t="str">
        <f t="shared" si="19"/>
        <v/>
      </c>
      <c r="K452" s="43">
        <f>IF(B452="매도",IFERROR(SUMPRODUCT((참고!$A$31:$A$130=C452)*(참고!$B$31:$B$130&lt;=A452)*(참고!$B$31:$B$130=_xludf.MAXIFS(참고!$B$31:$B$130,참고!$A$31:$A$130,C452,참고!$B$31:$B$130,"&lt;="&amp;A452))*참고!$D$31:$D$130)/100,0),0)</f>
        <v>0</v>
      </c>
      <c r="L452" s="31" t="str">
        <f t="shared" si="20"/>
        <v/>
      </c>
      <c r="M452" s="39"/>
    </row>
    <row r="453" spans="1:13" ht="18" customHeight="1" x14ac:dyDescent="0.45">
      <c r="A453" s="37"/>
      <c r="B453" s="29"/>
      <c r="C453" s="29"/>
      <c r="D453" s="28"/>
      <c r="E453" s="30" t="str">
        <f>IFERROR(VLOOKUP(D453,KRX종목마스터!$A:$B,2,FALSE),"")</f>
        <v/>
      </c>
      <c r="F453" s="42"/>
      <c r="G453" s="42"/>
      <c r="H453" s="31" t="str">
        <f t="shared" ref="H453:H516" si="21">IF(AND(F453&lt;&gt;"",G453&lt;&gt;""),F453*G453,"")</f>
        <v/>
      </c>
      <c r="I453" s="43">
        <f ca="1">IFERROR(SUMPRODUCT((참고!$A$31:$A$130=C453)*(참고!$B$31:$B$130&lt;=A453)*(참고!$B$31:$B$130=_xludf.MAXIFS(참고!$B$31:$B$130,참고!$A$31:$A$130,C453,참고!$B$31:$B$130,"&lt;="&amp;A453))*참고!$C$31:$C$130)/100,0)</f>
        <v>0</v>
      </c>
      <c r="J453" s="31" t="str">
        <f t="shared" ref="J453:J516" si="22">IF(H453="","",ROUND(H453*I453,0))</f>
        <v/>
      </c>
      <c r="K453" s="43">
        <f>IF(B453="매도",IFERROR(SUMPRODUCT((참고!$A$31:$A$130=C453)*(참고!$B$31:$B$130&lt;=A453)*(참고!$B$31:$B$130=_xludf.MAXIFS(참고!$B$31:$B$130,참고!$A$31:$A$130,C453,참고!$B$31:$B$130,"&lt;="&amp;A453))*참고!$D$31:$D$130)/100,0),0)</f>
        <v>0</v>
      </c>
      <c r="L453" s="31" t="str">
        <f t="shared" ref="L453:L516" si="23">IF(H453="","",ROUND(H453*K453,0))</f>
        <v/>
      </c>
      <c r="M453" s="39"/>
    </row>
    <row r="454" spans="1:13" ht="18" customHeight="1" x14ac:dyDescent="0.45">
      <c r="A454" s="37"/>
      <c r="B454" s="29"/>
      <c r="C454" s="29"/>
      <c r="D454" s="28"/>
      <c r="E454" s="30" t="str">
        <f>IFERROR(VLOOKUP(D454,KRX종목마스터!$A:$B,2,FALSE),"")</f>
        <v/>
      </c>
      <c r="F454" s="42"/>
      <c r="G454" s="42"/>
      <c r="H454" s="31" t="str">
        <f t="shared" si="21"/>
        <v/>
      </c>
      <c r="I454" s="43">
        <f ca="1">IFERROR(SUMPRODUCT((참고!$A$31:$A$130=C454)*(참고!$B$31:$B$130&lt;=A454)*(참고!$B$31:$B$130=_xludf.MAXIFS(참고!$B$31:$B$130,참고!$A$31:$A$130,C454,참고!$B$31:$B$130,"&lt;="&amp;A454))*참고!$C$31:$C$130)/100,0)</f>
        <v>0</v>
      </c>
      <c r="J454" s="31" t="str">
        <f t="shared" si="22"/>
        <v/>
      </c>
      <c r="K454" s="43">
        <f>IF(B454="매도",IFERROR(SUMPRODUCT((참고!$A$31:$A$130=C454)*(참고!$B$31:$B$130&lt;=A454)*(참고!$B$31:$B$130=_xludf.MAXIFS(참고!$B$31:$B$130,참고!$A$31:$A$130,C454,참고!$B$31:$B$130,"&lt;="&amp;A454))*참고!$D$31:$D$130)/100,0),0)</f>
        <v>0</v>
      </c>
      <c r="L454" s="31" t="str">
        <f t="shared" si="23"/>
        <v/>
      </c>
      <c r="M454" s="39"/>
    </row>
    <row r="455" spans="1:13" ht="18" customHeight="1" x14ac:dyDescent="0.45">
      <c r="A455" s="37"/>
      <c r="B455" s="29"/>
      <c r="C455" s="29"/>
      <c r="D455" s="28"/>
      <c r="E455" s="30" t="str">
        <f>IFERROR(VLOOKUP(D455,KRX종목마스터!$A:$B,2,FALSE),"")</f>
        <v/>
      </c>
      <c r="F455" s="42"/>
      <c r="G455" s="42"/>
      <c r="H455" s="31" t="str">
        <f t="shared" si="21"/>
        <v/>
      </c>
      <c r="I455" s="43">
        <f ca="1">IFERROR(SUMPRODUCT((참고!$A$31:$A$130=C455)*(참고!$B$31:$B$130&lt;=A455)*(참고!$B$31:$B$130=_xludf.MAXIFS(참고!$B$31:$B$130,참고!$A$31:$A$130,C455,참고!$B$31:$B$130,"&lt;="&amp;A455))*참고!$C$31:$C$130)/100,0)</f>
        <v>0</v>
      </c>
      <c r="J455" s="31" t="str">
        <f t="shared" si="22"/>
        <v/>
      </c>
      <c r="K455" s="43">
        <f>IF(B455="매도",IFERROR(SUMPRODUCT((참고!$A$31:$A$130=C455)*(참고!$B$31:$B$130&lt;=A455)*(참고!$B$31:$B$130=_xludf.MAXIFS(참고!$B$31:$B$130,참고!$A$31:$A$130,C455,참고!$B$31:$B$130,"&lt;="&amp;A455))*참고!$D$31:$D$130)/100,0),0)</f>
        <v>0</v>
      </c>
      <c r="L455" s="31" t="str">
        <f t="shared" si="23"/>
        <v/>
      </c>
      <c r="M455" s="39"/>
    </row>
    <row r="456" spans="1:13" ht="18" customHeight="1" x14ac:dyDescent="0.45">
      <c r="A456" s="37"/>
      <c r="B456" s="29"/>
      <c r="C456" s="29"/>
      <c r="D456" s="28"/>
      <c r="E456" s="30" t="str">
        <f>IFERROR(VLOOKUP(D456,KRX종목마스터!$A:$B,2,FALSE),"")</f>
        <v/>
      </c>
      <c r="F456" s="42"/>
      <c r="G456" s="42"/>
      <c r="H456" s="31" t="str">
        <f t="shared" si="21"/>
        <v/>
      </c>
      <c r="I456" s="43">
        <f ca="1">IFERROR(SUMPRODUCT((참고!$A$31:$A$130=C456)*(참고!$B$31:$B$130&lt;=A456)*(참고!$B$31:$B$130=_xludf.MAXIFS(참고!$B$31:$B$130,참고!$A$31:$A$130,C456,참고!$B$31:$B$130,"&lt;="&amp;A456))*참고!$C$31:$C$130)/100,0)</f>
        <v>0</v>
      </c>
      <c r="J456" s="31" t="str">
        <f t="shared" si="22"/>
        <v/>
      </c>
      <c r="K456" s="43">
        <f>IF(B456="매도",IFERROR(SUMPRODUCT((참고!$A$31:$A$130=C456)*(참고!$B$31:$B$130&lt;=A456)*(참고!$B$31:$B$130=_xludf.MAXIFS(참고!$B$31:$B$130,참고!$A$31:$A$130,C456,참고!$B$31:$B$130,"&lt;="&amp;A456))*참고!$D$31:$D$130)/100,0),0)</f>
        <v>0</v>
      </c>
      <c r="L456" s="31" t="str">
        <f t="shared" si="23"/>
        <v/>
      </c>
      <c r="M456" s="39"/>
    </row>
    <row r="457" spans="1:13" ht="18" customHeight="1" x14ac:dyDescent="0.45">
      <c r="A457" s="37"/>
      <c r="B457" s="29"/>
      <c r="C457" s="29"/>
      <c r="D457" s="28"/>
      <c r="E457" s="30" t="str">
        <f>IFERROR(VLOOKUP(D457,KRX종목마스터!$A:$B,2,FALSE),"")</f>
        <v/>
      </c>
      <c r="F457" s="42"/>
      <c r="G457" s="42"/>
      <c r="H457" s="31" t="str">
        <f t="shared" si="21"/>
        <v/>
      </c>
      <c r="I457" s="43">
        <f ca="1">IFERROR(SUMPRODUCT((참고!$A$31:$A$130=C457)*(참고!$B$31:$B$130&lt;=A457)*(참고!$B$31:$B$130=_xludf.MAXIFS(참고!$B$31:$B$130,참고!$A$31:$A$130,C457,참고!$B$31:$B$130,"&lt;="&amp;A457))*참고!$C$31:$C$130)/100,0)</f>
        <v>0</v>
      </c>
      <c r="J457" s="31" t="str">
        <f t="shared" si="22"/>
        <v/>
      </c>
      <c r="K457" s="43">
        <f>IF(B457="매도",IFERROR(SUMPRODUCT((참고!$A$31:$A$130=C457)*(참고!$B$31:$B$130&lt;=A457)*(참고!$B$31:$B$130=_xludf.MAXIFS(참고!$B$31:$B$130,참고!$A$31:$A$130,C457,참고!$B$31:$B$130,"&lt;="&amp;A457))*참고!$D$31:$D$130)/100,0),0)</f>
        <v>0</v>
      </c>
      <c r="L457" s="31" t="str">
        <f t="shared" si="23"/>
        <v/>
      </c>
      <c r="M457" s="39"/>
    </row>
    <row r="458" spans="1:13" ht="18" customHeight="1" x14ac:dyDescent="0.45">
      <c r="A458" s="37"/>
      <c r="B458" s="29"/>
      <c r="C458" s="29"/>
      <c r="D458" s="28"/>
      <c r="E458" s="30" t="str">
        <f>IFERROR(VLOOKUP(D458,KRX종목마스터!$A:$B,2,FALSE),"")</f>
        <v/>
      </c>
      <c r="F458" s="42"/>
      <c r="G458" s="42"/>
      <c r="H458" s="31" t="str">
        <f t="shared" si="21"/>
        <v/>
      </c>
      <c r="I458" s="43">
        <f ca="1">IFERROR(SUMPRODUCT((참고!$A$31:$A$130=C458)*(참고!$B$31:$B$130&lt;=A458)*(참고!$B$31:$B$130=_xludf.MAXIFS(참고!$B$31:$B$130,참고!$A$31:$A$130,C458,참고!$B$31:$B$130,"&lt;="&amp;A458))*참고!$C$31:$C$130)/100,0)</f>
        <v>0</v>
      </c>
      <c r="J458" s="31" t="str">
        <f t="shared" si="22"/>
        <v/>
      </c>
      <c r="K458" s="43">
        <f>IF(B458="매도",IFERROR(SUMPRODUCT((참고!$A$31:$A$130=C458)*(참고!$B$31:$B$130&lt;=A458)*(참고!$B$31:$B$130=_xludf.MAXIFS(참고!$B$31:$B$130,참고!$A$31:$A$130,C458,참고!$B$31:$B$130,"&lt;="&amp;A458))*참고!$D$31:$D$130)/100,0),0)</f>
        <v>0</v>
      </c>
      <c r="L458" s="31" t="str">
        <f t="shared" si="23"/>
        <v/>
      </c>
      <c r="M458" s="39"/>
    </row>
    <row r="459" spans="1:13" ht="18" customHeight="1" x14ac:dyDescent="0.45">
      <c r="A459" s="37"/>
      <c r="B459" s="29"/>
      <c r="C459" s="29"/>
      <c r="D459" s="28"/>
      <c r="E459" s="30" t="str">
        <f>IFERROR(VLOOKUP(D459,KRX종목마스터!$A:$B,2,FALSE),"")</f>
        <v/>
      </c>
      <c r="F459" s="42"/>
      <c r="G459" s="42"/>
      <c r="H459" s="31" t="str">
        <f t="shared" si="21"/>
        <v/>
      </c>
      <c r="I459" s="43">
        <f ca="1">IFERROR(SUMPRODUCT((참고!$A$31:$A$130=C459)*(참고!$B$31:$B$130&lt;=A459)*(참고!$B$31:$B$130=_xludf.MAXIFS(참고!$B$31:$B$130,참고!$A$31:$A$130,C459,참고!$B$31:$B$130,"&lt;="&amp;A459))*참고!$C$31:$C$130)/100,0)</f>
        <v>0</v>
      </c>
      <c r="J459" s="31" t="str">
        <f t="shared" si="22"/>
        <v/>
      </c>
      <c r="K459" s="43">
        <f>IF(B459="매도",IFERROR(SUMPRODUCT((참고!$A$31:$A$130=C459)*(참고!$B$31:$B$130&lt;=A459)*(참고!$B$31:$B$130=_xludf.MAXIFS(참고!$B$31:$B$130,참고!$A$31:$A$130,C459,참고!$B$31:$B$130,"&lt;="&amp;A459))*참고!$D$31:$D$130)/100,0),0)</f>
        <v>0</v>
      </c>
      <c r="L459" s="31" t="str">
        <f t="shared" si="23"/>
        <v/>
      </c>
      <c r="M459" s="39"/>
    </row>
    <row r="460" spans="1:13" ht="18" customHeight="1" x14ac:dyDescent="0.45">
      <c r="A460" s="37"/>
      <c r="B460" s="29"/>
      <c r="C460" s="29"/>
      <c r="D460" s="28"/>
      <c r="E460" s="30" t="str">
        <f>IFERROR(VLOOKUP(D460,KRX종목마스터!$A:$B,2,FALSE),"")</f>
        <v/>
      </c>
      <c r="F460" s="42"/>
      <c r="G460" s="42"/>
      <c r="H460" s="31" t="str">
        <f t="shared" si="21"/>
        <v/>
      </c>
      <c r="I460" s="43">
        <f ca="1">IFERROR(SUMPRODUCT((참고!$A$31:$A$130=C460)*(참고!$B$31:$B$130&lt;=A460)*(참고!$B$31:$B$130=_xludf.MAXIFS(참고!$B$31:$B$130,참고!$A$31:$A$130,C460,참고!$B$31:$B$130,"&lt;="&amp;A460))*참고!$C$31:$C$130)/100,0)</f>
        <v>0</v>
      </c>
      <c r="J460" s="31" t="str">
        <f t="shared" si="22"/>
        <v/>
      </c>
      <c r="K460" s="43">
        <f>IF(B460="매도",IFERROR(SUMPRODUCT((참고!$A$31:$A$130=C460)*(참고!$B$31:$B$130&lt;=A460)*(참고!$B$31:$B$130=_xludf.MAXIFS(참고!$B$31:$B$130,참고!$A$31:$A$130,C460,참고!$B$31:$B$130,"&lt;="&amp;A460))*참고!$D$31:$D$130)/100,0),0)</f>
        <v>0</v>
      </c>
      <c r="L460" s="31" t="str">
        <f t="shared" si="23"/>
        <v/>
      </c>
      <c r="M460" s="39"/>
    </row>
    <row r="461" spans="1:13" ht="18" customHeight="1" x14ac:dyDescent="0.45">
      <c r="A461" s="37"/>
      <c r="B461" s="29"/>
      <c r="C461" s="29"/>
      <c r="D461" s="28"/>
      <c r="E461" s="30" t="str">
        <f>IFERROR(VLOOKUP(D461,KRX종목마스터!$A:$B,2,FALSE),"")</f>
        <v/>
      </c>
      <c r="F461" s="42"/>
      <c r="G461" s="42"/>
      <c r="H461" s="31" t="str">
        <f t="shared" si="21"/>
        <v/>
      </c>
      <c r="I461" s="43">
        <f ca="1">IFERROR(SUMPRODUCT((참고!$A$31:$A$130=C461)*(참고!$B$31:$B$130&lt;=A461)*(참고!$B$31:$B$130=_xludf.MAXIFS(참고!$B$31:$B$130,참고!$A$31:$A$130,C461,참고!$B$31:$B$130,"&lt;="&amp;A461))*참고!$C$31:$C$130)/100,0)</f>
        <v>0</v>
      </c>
      <c r="J461" s="31" t="str">
        <f t="shared" si="22"/>
        <v/>
      </c>
      <c r="K461" s="43">
        <f>IF(B461="매도",IFERROR(SUMPRODUCT((참고!$A$31:$A$130=C461)*(참고!$B$31:$B$130&lt;=A461)*(참고!$B$31:$B$130=_xludf.MAXIFS(참고!$B$31:$B$130,참고!$A$31:$A$130,C461,참고!$B$31:$B$130,"&lt;="&amp;A461))*참고!$D$31:$D$130)/100,0),0)</f>
        <v>0</v>
      </c>
      <c r="L461" s="31" t="str">
        <f t="shared" si="23"/>
        <v/>
      </c>
      <c r="M461" s="39"/>
    </row>
    <row r="462" spans="1:13" ht="18" customHeight="1" x14ac:dyDescent="0.45">
      <c r="A462" s="37"/>
      <c r="B462" s="29"/>
      <c r="C462" s="29"/>
      <c r="D462" s="28"/>
      <c r="E462" s="30" t="str">
        <f>IFERROR(VLOOKUP(D462,KRX종목마스터!$A:$B,2,FALSE),"")</f>
        <v/>
      </c>
      <c r="F462" s="42"/>
      <c r="G462" s="42"/>
      <c r="H462" s="31" t="str">
        <f t="shared" si="21"/>
        <v/>
      </c>
      <c r="I462" s="43">
        <f ca="1">IFERROR(SUMPRODUCT((참고!$A$31:$A$130=C462)*(참고!$B$31:$B$130&lt;=A462)*(참고!$B$31:$B$130=_xludf.MAXIFS(참고!$B$31:$B$130,참고!$A$31:$A$130,C462,참고!$B$31:$B$130,"&lt;="&amp;A462))*참고!$C$31:$C$130)/100,0)</f>
        <v>0</v>
      </c>
      <c r="J462" s="31" t="str">
        <f t="shared" si="22"/>
        <v/>
      </c>
      <c r="K462" s="43">
        <f>IF(B462="매도",IFERROR(SUMPRODUCT((참고!$A$31:$A$130=C462)*(참고!$B$31:$B$130&lt;=A462)*(참고!$B$31:$B$130=_xludf.MAXIFS(참고!$B$31:$B$130,참고!$A$31:$A$130,C462,참고!$B$31:$B$130,"&lt;="&amp;A462))*참고!$D$31:$D$130)/100,0),0)</f>
        <v>0</v>
      </c>
      <c r="L462" s="31" t="str">
        <f t="shared" si="23"/>
        <v/>
      </c>
      <c r="M462" s="39"/>
    </row>
    <row r="463" spans="1:13" ht="18" customHeight="1" x14ac:dyDescent="0.45">
      <c r="A463" s="37"/>
      <c r="B463" s="29"/>
      <c r="C463" s="29"/>
      <c r="D463" s="28"/>
      <c r="E463" s="30" t="str">
        <f>IFERROR(VLOOKUP(D463,KRX종목마스터!$A:$B,2,FALSE),"")</f>
        <v/>
      </c>
      <c r="F463" s="42"/>
      <c r="G463" s="42"/>
      <c r="H463" s="31" t="str">
        <f t="shared" si="21"/>
        <v/>
      </c>
      <c r="I463" s="43">
        <f ca="1">IFERROR(SUMPRODUCT((참고!$A$31:$A$130=C463)*(참고!$B$31:$B$130&lt;=A463)*(참고!$B$31:$B$130=_xludf.MAXIFS(참고!$B$31:$B$130,참고!$A$31:$A$130,C463,참고!$B$31:$B$130,"&lt;="&amp;A463))*참고!$C$31:$C$130)/100,0)</f>
        <v>0</v>
      </c>
      <c r="J463" s="31" t="str">
        <f t="shared" si="22"/>
        <v/>
      </c>
      <c r="K463" s="43">
        <f>IF(B463="매도",IFERROR(SUMPRODUCT((참고!$A$31:$A$130=C463)*(참고!$B$31:$B$130&lt;=A463)*(참고!$B$31:$B$130=_xludf.MAXIFS(참고!$B$31:$B$130,참고!$A$31:$A$130,C463,참고!$B$31:$B$130,"&lt;="&amp;A463))*참고!$D$31:$D$130)/100,0),0)</f>
        <v>0</v>
      </c>
      <c r="L463" s="31" t="str">
        <f t="shared" si="23"/>
        <v/>
      </c>
      <c r="M463" s="39"/>
    </row>
    <row r="464" spans="1:13" ht="18" customHeight="1" x14ac:dyDescent="0.45">
      <c r="A464" s="37"/>
      <c r="B464" s="29"/>
      <c r="C464" s="29"/>
      <c r="D464" s="28"/>
      <c r="E464" s="30" t="str">
        <f>IFERROR(VLOOKUP(D464,KRX종목마스터!$A:$B,2,FALSE),"")</f>
        <v/>
      </c>
      <c r="F464" s="42"/>
      <c r="G464" s="42"/>
      <c r="H464" s="31" t="str">
        <f t="shared" si="21"/>
        <v/>
      </c>
      <c r="I464" s="43">
        <f ca="1">IFERROR(SUMPRODUCT((참고!$A$31:$A$130=C464)*(참고!$B$31:$B$130&lt;=A464)*(참고!$B$31:$B$130=_xludf.MAXIFS(참고!$B$31:$B$130,참고!$A$31:$A$130,C464,참고!$B$31:$B$130,"&lt;="&amp;A464))*참고!$C$31:$C$130)/100,0)</f>
        <v>0</v>
      </c>
      <c r="J464" s="31" t="str">
        <f t="shared" si="22"/>
        <v/>
      </c>
      <c r="K464" s="43">
        <f>IF(B464="매도",IFERROR(SUMPRODUCT((참고!$A$31:$A$130=C464)*(참고!$B$31:$B$130&lt;=A464)*(참고!$B$31:$B$130=_xludf.MAXIFS(참고!$B$31:$B$130,참고!$A$31:$A$130,C464,참고!$B$31:$B$130,"&lt;="&amp;A464))*참고!$D$31:$D$130)/100,0),0)</f>
        <v>0</v>
      </c>
      <c r="L464" s="31" t="str">
        <f t="shared" si="23"/>
        <v/>
      </c>
      <c r="M464" s="39"/>
    </row>
    <row r="465" spans="1:13" ht="18" customHeight="1" x14ac:dyDescent="0.45">
      <c r="A465" s="37"/>
      <c r="B465" s="29"/>
      <c r="C465" s="29"/>
      <c r="D465" s="28"/>
      <c r="E465" s="30" t="str">
        <f>IFERROR(VLOOKUP(D465,KRX종목마스터!$A:$B,2,FALSE),"")</f>
        <v/>
      </c>
      <c r="F465" s="42"/>
      <c r="G465" s="42"/>
      <c r="H465" s="31" t="str">
        <f t="shared" si="21"/>
        <v/>
      </c>
      <c r="I465" s="43">
        <f ca="1">IFERROR(SUMPRODUCT((참고!$A$31:$A$130=C465)*(참고!$B$31:$B$130&lt;=A465)*(참고!$B$31:$B$130=_xludf.MAXIFS(참고!$B$31:$B$130,참고!$A$31:$A$130,C465,참고!$B$31:$B$130,"&lt;="&amp;A465))*참고!$C$31:$C$130)/100,0)</f>
        <v>0</v>
      </c>
      <c r="J465" s="31" t="str">
        <f t="shared" si="22"/>
        <v/>
      </c>
      <c r="K465" s="43">
        <f>IF(B465="매도",IFERROR(SUMPRODUCT((참고!$A$31:$A$130=C465)*(참고!$B$31:$B$130&lt;=A465)*(참고!$B$31:$B$130=_xludf.MAXIFS(참고!$B$31:$B$130,참고!$A$31:$A$130,C465,참고!$B$31:$B$130,"&lt;="&amp;A465))*참고!$D$31:$D$130)/100,0),0)</f>
        <v>0</v>
      </c>
      <c r="L465" s="31" t="str">
        <f t="shared" si="23"/>
        <v/>
      </c>
      <c r="M465" s="39"/>
    </row>
    <row r="466" spans="1:13" ht="18" customHeight="1" x14ac:dyDescent="0.45">
      <c r="A466" s="37"/>
      <c r="B466" s="29"/>
      <c r="C466" s="29"/>
      <c r="D466" s="28"/>
      <c r="E466" s="30" t="str">
        <f>IFERROR(VLOOKUP(D466,KRX종목마스터!$A:$B,2,FALSE),"")</f>
        <v/>
      </c>
      <c r="F466" s="42"/>
      <c r="G466" s="42"/>
      <c r="H466" s="31" t="str">
        <f t="shared" si="21"/>
        <v/>
      </c>
      <c r="I466" s="43">
        <f ca="1">IFERROR(SUMPRODUCT((참고!$A$31:$A$130=C466)*(참고!$B$31:$B$130&lt;=A466)*(참고!$B$31:$B$130=_xludf.MAXIFS(참고!$B$31:$B$130,참고!$A$31:$A$130,C466,참고!$B$31:$B$130,"&lt;="&amp;A466))*참고!$C$31:$C$130)/100,0)</f>
        <v>0</v>
      </c>
      <c r="J466" s="31" t="str">
        <f t="shared" si="22"/>
        <v/>
      </c>
      <c r="K466" s="43">
        <f>IF(B466="매도",IFERROR(SUMPRODUCT((참고!$A$31:$A$130=C466)*(참고!$B$31:$B$130&lt;=A466)*(참고!$B$31:$B$130=_xludf.MAXIFS(참고!$B$31:$B$130,참고!$A$31:$A$130,C466,참고!$B$31:$B$130,"&lt;="&amp;A466))*참고!$D$31:$D$130)/100,0),0)</f>
        <v>0</v>
      </c>
      <c r="L466" s="31" t="str">
        <f t="shared" si="23"/>
        <v/>
      </c>
      <c r="M466" s="39"/>
    </row>
    <row r="467" spans="1:13" ht="18" customHeight="1" x14ac:dyDescent="0.45">
      <c r="A467" s="37"/>
      <c r="B467" s="29"/>
      <c r="C467" s="29"/>
      <c r="D467" s="28"/>
      <c r="E467" s="30" t="str">
        <f>IFERROR(VLOOKUP(D467,KRX종목마스터!$A:$B,2,FALSE),"")</f>
        <v/>
      </c>
      <c r="F467" s="42"/>
      <c r="G467" s="42"/>
      <c r="H467" s="31" t="str">
        <f t="shared" si="21"/>
        <v/>
      </c>
      <c r="I467" s="43">
        <f ca="1">IFERROR(SUMPRODUCT((참고!$A$31:$A$130=C467)*(참고!$B$31:$B$130&lt;=A467)*(참고!$B$31:$B$130=_xludf.MAXIFS(참고!$B$31:$B$130,참고!$A$31:$A$130,C467,참고!$B$31:$B$130,"&lt;="&amp;A467))*참고!$C$31:$C$130)/100,0)</f>
        <v>0</v>
      </c>
      <c r="J467" s="31" t="str">
        <f t="shared" si="22"/>
        <v/>
      </c>
      <c r="K467" s="43">
        <f>IF(B467="매도",IFERROR(SUMPRODUCT((참고!$A$31:$A$130=C467)*(참고!$B$31:$B$130&lt;=A467)*(참고!$B$31:$B$130=_xludf.MAXIFS(참고!$B$31:$B$130,참고!$A$31:$A$130,C467,참고!$B$31:$B$130,"&lt;="&amp;A467))*참고!$D$31:$D$130)/100,0),0)</f>
        <v>0</v>
      </c>
      <c r="L467" s="31" t="str">
        <f t="shared" si="23"/>
        <v/>
      </c>
      <c r="M467" s="39"/>
    </row>
    <row r="468" spans="1:13" ht="18" customHeight="1" x14ac:dyDescent="0.45">
      <c r="A468" s="37"/>
      <c r="B468" s="29"/>
      <c r="C468" s="29"/>
      <c r="D468" s="28"/>
      <c r="E468" s="30" t="str">
        <f>IFERROR(VLOOKUP(D468,KRX종목마스터!$A:$B,2,FALSE),"")</f>
        <v/>
      </c>
      <c r="F468" s="42"/>
      <c r="G468" s="42"/>
      <c r="H468" s="31" t="str">
        <f t="shared" si="21"/>
        <v/>
      </c>
      <c r="I468" s="43">
        <f ca="1">IFERROR(SUMPRODUCT((참고!$A$31:$A$130=C468)*(참고!$B$31:$B$130&lt;=A468)*(참고!$B$31:$B$130=_xludf.MAXIFS(참고!$B$31:$B$130,참고!$A$31:$A$130,C468,참고!$B$31:$B$130,"&lt;="&amp;A468))*참고!$C$31:$C$130)/100,0)</f>
        <v>0</v>
      </c>
      <c r="J468" s="31" t="str">
        <f t="shared" si="22"/>
        <v/>
      </c>
      <c r="K468" s="43">
        <f>IF(B468="매도",IFERROR(SUMPRODUCT((참고!$A$31:$A$130=C468)*(참고!$B$31:$B$130&lt;=A468)*(참고!$B$31:$B$130=_xludf.MAXIFS(참고!$B$31:$B$130,참고!$A$31:$A$130,C468,참고!$B$31:$B$130,"&lt;="&amp;A468))*참고!$D$31:$D$130)/100,0),0)</f>
        <v>0</v>
      </c>
      <c r="L468" s="31" t="str">
        <f t="shared" si="23"/>
        <v/>
      </c>
      <c r="M468" s="39"/>
    </row>
    <row r="469" spans="1:13" ht="18" customHeight="1" x14ac:dyDescent="0.45">
      <c r="A469" s="37"/>
      <c r="B469" s="29"/>
      <c r="C469" s="29"/>
      <c r="D469" s="28"/>
      <c r="E469" s="30" t="str">
        <f>IFERROR(VLOOKUP(D469,KRX종목마스터!$A:$B,2,FALSE),"")</f>
        <v/>
      </c>
      <c r="F469" s="42"/>
      <c r="G469" s="42"/>
      <c r="H469" s="31" t="str">
        <f t="shared" si="21"/>
        <v/>
      </c>
      <c r="I469" s="43">
        <f ca="1">IFERROR(SUMPRODUCT((참고!$A$31:$A$130=C469)*(참고!$B$31:$B$130&lt;=A469)*(참고!$B$31:$B$130=_xludf.MAXIFS(참고!$B$31:$B$130,참고!$A$31:$A$130,C469,참고!$B$31:$B$130,"&lt;="&amp;A469))*참고!$C$31:$C$130)/100,0)</f>
        <v>0</v>
      </c>
      <c r="J469" s="31" t="str">
        <f t="shared" si="22"/>
        <v/>
      </c>
      <c r="K469" s="43">
        <f>IF(B469="매도",IFERROR(SUMPRODUCT((참고!$A$31:$A$130=C469)*(참고!$B$31:$B$130&lt;=A469)*(참고!$B$31:$B$130=_xludf.MAXIFS(참고!$B$31:$B$130,참고!$A$31:$A$130,C469,참고!$B$31:$B$130,"&lt;="&amp;A469))*참고!$D$31:$D$130)/100,0),0)</f>
        <v>0</v>
      </c>
      <c r="L469" s="31" t="str">
        <f t="shared" si="23"/>
        <v/>
      </c>
      <c r="M469" s="39"/>
    </row>
    <row r="470" spans="1:13" ht="18" customHeight="1" x14ac:dyDescent="0.45">
      <c r="A470" s="37"/>
      <c r="B470" s="29"/>
      <c r="C470" s="29"/>
      <c r="D470" s="28"/>
      <c r="E470" s="30" t="str">
        <f>IFERROR(VLOOKUP(D470,KRX종목마스터!$A:$B,2,FALSE),"")</f>
        <v/>
      </c>
      <c r="F470" s="42"/>
      <c r="G470" s="42"/>
      <c r="H470" s="31" t="str">
        <f t="shared" si="21"/>
        <v/>
      </c>
      <c r="I470" s="43">
        <f ca="1">IFERROR(SUMPRODUCT((참고!$A$31:$A$130=C470)*(참고!$B$31:$B$130&lt;=A470)*(참고!$B$31:$B$130=_xludf.MAXIFS(참고!$B$31:$B$130,참고!$A$31:$A$130,C470,참고!$B$31:$B$130,"&lt;="&amp;A470))*참고!$C$31:$C$130)/100,0)</f>
        <v>0</v>
      </c>
      <c r="J470" s="31" t="str">
        <f t="shared" si="22"/>
        <v/>
      </c>
      <c r="K470" s="43">
        <f>IF(B470="매도",IFERROR(SUMPRODUCT((참고!$A$31:$A$130=C470)*(참고!$B$31:$B$130&lt;=A470)*(참고!$B$31:$B$130=_xludf.MAXIFS(참고!$B$31:$B$130,참고!$A$31:$A$130,C470,참고!$B$31:$B$130,"&lt;="&amp;A470))*참고!$D$31:$D$130)/100,0),0)</f>
        <v>0</v>
      </c>
      <c r="L470" s="31" t="str">
        <f t="shared" si="23"/>
        <v/>
      </c>
      <c r="M470" s="39"/>
    </row>
    <row r="471" spans="1:13" ht="18" customHeight="1" x14ac:dyDescent="0.45">
      <c r="A471" s="37"/>
      <c r="B471" s="29"/>
      <c r="C471" s="29"/>
      <c r="D471" s="28"/>
      <c r="E471" s="30" t="str">
        <f>IFERROR(VLOOKUP(D471,KRX종목마스터!$A:$B,2,FALSE),"")</f>
        <v/>
      </c>
      <c r="F471" s="42"/>
      <c r="G471" s="42"/>
      <c r="H471" s="31" t="str">
        <f t="shared" si="21"/>
        <v/>
      </c>
      <c r="I471" s="43">
        <f ca="1">IFERROR(SUMPRODUCT((참고!$A$31:$A$130=C471)*(참고!$B$31:$B$130&lt;=A471)*(참고!$B$31:$B$130=_xludf.MAXIFS(참고!$B$31:$B$130,참고!$A$31:$A$130,C471,참고!$B$31:$B$130,"&lt;="&amp;A471))*참고!$C$31:$C$130)/100,0)</f>
        <v>0</v>
      </c>
      <c r="J471" s="31" t="str">
        <f t="shared" si="22"/>
        <v/>
      </c>
      <c r="K471" s="43">
        <f>IF(B471="매도",IFERROR(SUMPRODUCT((참고!$A$31:$A$130=C471)*(참고!$B$31:$B$130&lt;=A471)*(참고!$B$31:$B$130=_xludf.MAXIFS(참고!$B$31:$B$130,참고!$A$31:$A$130,C471,참고!$B$31:$B$130,"&lt;="&amp;A471))*참고!$D$31:$D$130)/100,0),0)</f>
        <v>0</v>
      </c>
      <c r="L471" s="31" t="str">
        <f t="shared" si="23"/>
        <v/>
      </c>
      <c r="M471" s="39"/>
    </row>
    <row r="472" spans="1:13" ht="18" customHeight="1" x14ac:dyDescent="0.45">
      <c r="A472" s="37"/>
      <c r="B472" s="29"/>
      <c r="C472" s="29"/>
      <c r="D472" s="28"/>
      <c r="E472" s="30" t="str">
        <f>IFERROR(VLOOKUP(D472,KRX종목마스터!$A:$B,2,FALSE),"")</f>
        <v/>
      </c>
      <c r="F472" s="42"/>
      <c r="G472" s="42"/>
      <c r="H472" s="31" t="str">
        <f t="shared" si="21"/>
        <v/>
      </c>
      <c r="I472" s="43">
        <f ca="1">IFERROR(SUMPRODUCT((참고!$A$31:$A$130=C472)*(참고!$B$31:$B$130&lt;=A472)*(참고!$B$31:$B$130=_xludf.MAXIFS(참고!$B$31:$B$130,참고!$A$31:$A$130,C472,참고!$B$31:$B$130,"&lt;="&amp;A472))*참고!$C$31:$C$130)/100,0)</f>
        <v>0</v>
      </c>
      <c r="J472" s="31" t="str">
        <f t="shared" si="22"/>
        <v/>
      </c>
      <c r="K472" s="43">
        <f>IF(B472="매도",IFERROR(SUMPRODUCT((참고!$A$31:$A$130=C472)*(참고!$B$31:$B$130&lt;=A472)*(참고!$B$31:$B$130=_xludf.MAXIFS(참고!$B$31:$B$130,참고!$A$31:$A$130,C472,참고!$B$31:$B$130,"&lt;="&amp;A472))*참고!$D$31:$D$130)/100,0),0)</f>
        <v>0</v>
      </c>
      <c r="L472" s="31" t="str">
        <f t="shared" si="23"/>
        <v/>
      </c>
      <c r="M472" s="39"/>
    </row>
    <row r="473" spans="1:13" ht="18" customHeight="1" x14ac:dyDescent="0.45">
      <c r="A473" s="37"/>
      <c r="B473" s="29"/>
      <c r="C473" s="29"/>
      <c r="D473" s="28"/>
      <c r="E473" s="30" t="str">
        <f>IFERROR(VLOOKUP(D473,KRX종목마스터!$A:$B,2,FALSE),"")</f>
        <v/>
      </c>
      <c r="F473" s="42"/>
      <c r="G473" s="42"/>
      <c r="H473" s="31" t="str">
        <f t="shared" si="21"/>
        <v/>
      </c>
      <c r="I473" s="43">
        <f ca="1">IFERROR(SUMPRODUCT((참고!$A$31:$A$130=C473)*(참고!$B$31:$B$130&lt;=A473)*(참고!$B$31:$B$130=_xludf.MAXIFS(참고!$B$31:$B$130,참고!$A$31:$A$130,C473,참고!$B$31:$B$130,"&lt;="&amp;A473))*참고!$C$31:$C$130)/100,0)</f>
        <v>0</v>
      </c>
      <c r="J473" s="31" t="str">
        <f t="shared" si="22"/>
        <v/>
      </c>
      <c r="K473" s="43">
        <f>IF(B473="매도",IFERROR(SUMPRODUCT((참고!$A$31:$A$130=C473)*(참고!$B$31:$B$130&lt;=A473)*(참고!$B$31:$B$130=_xludf.MAXIFS(참고!$B$31:$B$130,참고!$A$31:$A$130,C473,참고!$B$31:$B$130,"&lt;="&amp;A473))*참고!$D$31:$D$130)/100,0),0)</f>
        <v>0</v>
      </c>
      <c r="L473" s="31" t="str">
        <f t="shared" si="23"/>
        <v/>
      </c>
      <c r="M473" s="39"/>
    </row>
    <row r="474" spans="1:13" ht="18" customHeight="1" x14ac:dyDescent="0.45">
      <c r="A474" s="37"/>
      <c r="B474" s="29"/>
      <c r="C474" s="29"/>
      <c r="D474" s="28"/>
      <c r="E474" s="30" t="str">
        <f>IFERROR(VLOOKUP(D474,KRX종목마스터!$A:$B,2,FALSE),"")</f>
        <v/>
      </c>
      <c r="F474" s="42"/>
      <c r="G474" s="42"/>
      <c r="H474" s="31" t="str">
        <f t="shared" si="21"/>
        <v/>
      </c>
      <c r="I474" s="43">
        <f ca="1">IFERROR(SUMPRODUCT((참고!$A$31:$A$130=C474)*(참고!$B$31:$B$130&lt;=A474)*(참고!$B$31:$B$130=_xludf.MAXIFS(참고!$B$31:$B$130,참고!$A$31:$A$130,C474,참고!$B$31:$B$130,"&lt;="&amp;A474))*참고!$C$31:$C$130)/100,0)</f>
        <v>0</v>
      </c>
      <c r="J474" s="31" t="str">
        <f t="shared" si="22"/>
        <v/>
      </c>
      <c r="K474" s="43">
        <f>IF(B474="매도",IFERROR(SUMPRODUCT((참고!$A$31:$A$130=C474)*(참고!$B$31:$B$130&lt;=A474)*(참고!$B$31:$B$130=_xludf.MAXIFS(참고!$B$31:$B$130,참고!$A$31:$A$130,C474,참고!$B$31:$B$130,"&lt;="&amp;A474))*참고!$D$31:$D$130)/100,0),0)</f>
        <v>0</v>
      </c>
      <c r="L474" s="31" t="str">
        <f t="shared" si="23"/>
        <v/>
      </c>
      <c r="M474" s="39"/>
    </row>
    <row r="475" spans="1:13" ht="18" customHeight="1" x14ac:dyDescent="0.45">
      <c r="A475" s="37"/>
      <c r="B475" s="29"/>
      <c r="C475" s="29"/>
      <c r="D475" s="28"/>
      <c r="E475" s="30" t="str">
        <f>IFERROR(VLOOKUP(D475,KRX종목마스터!$A:$B,2,FALSE),"")</f>
        <v/>
      </c>
      <c r="F475" s="42"/>
      <c r="G475" s="42"/>
      <c r="H475" s="31" t="str">
        <f t="shared" si="21"/>
        <v/>
      </c>
      <c r="I475" s="43">
        <f ca="1">IFERROR(SUMPRODUCT((참고!$A$31:$A$130=C475)*(참고!$B$31:$B$130&lt;=A475)*(참고!$B$31:$B$130=_xludf.MAXIFS(참고!$B$31:$B$130,참고!$A$31:$A$130,C475,참고!$B$31:$B$130,"&lt;="&amp;A475))*참고!$C$31:$C$130)/100,0)</f>
        <v>0</v>
      </c>
      <c r="J475" s="31" t="str">
        <f t="shared" si="22"/>
        <v/>
      </c>
      <c r="K475" s="43">
        <f>IF(B475="매도",IFERROR(SUMPRODUCT((참고!$A$31:$A$130=C475)*(참고!$B$31:$B$130&lt;=A475)*(참고!$B$31:$B$130=_xludf.MAXIFS(참고!$B$31:$B$130,참고!$A$31:$A$130,C475,참고!$B$31:$B$130,"&lt;="&amp;A475))*참고!$D$31:$D$130)/100,0),0)</f>
        <v>0</v>
      </c>
      <c r="L475" s="31" t="str">
        <f t="shared" si="23"/>
        <v/>
      </c>
      <c r="M475" s="39"/>
    </row>
    <row r="476" spans="1:13" ht="18" customHeight="1" x14ac:dyDescent="0.45">
      <c r="A476" s="37"/>
      <c r="B476" s="29"/>
      <c r="C476" s="29"/>
      <c r="D476" s="28"/>
      <c r="E476" s="30" t="str">
        <f>IFERROR(VLOOKUP(D476,KRX종목마스터!$A:$B,2,FALSE),"")</f>
        <v/>
      </c>
      <c r="F476" s="42"/>
      <c r="G476" s="42"/>
      <c r="H476" s="31" t="str">
        <f t="shared" si="21"/>
        <v/>
      </c>
      <c r="I476" s="43">
        <f ca="1">IFERROR(SUMPRODUCT((참고!$A$31:$A$130=C476)*(참고!$B$31:$B$130&lt;=A476)*(참고!$B$31:$B$130=_xludf.MAXIFS(참고!$B$31:$B$130,참고!$A$31:$A$130,C476,참고!$B$31:$B$130,"&lt;="&amp;A476))*참고!$C$31:$C$130)/100,0)</f>
        <v>0</v>
      </c>
      <c r="J476" s="31" t="str">
        <f t="shared" si="22"/>
        <v/>
      </c>
      <c r="K476" s="43">
        <f>IF(B476="매도",IFERROR(SUMPRODUCT((참고!$A$31:$A$130=C476)*(참고!$B$31:$B$130&lt;=A476)*(참고!$B$31:$B$130=_xludf.MAXIFS(참고!$B$31:$B$130,참고!$A$31:$A$130,C476,참고!$B$31:$B$130,"&lt;="&amp;A476))*참고!$D$31:$D$130)/100,0),0)</f>
        <v>0</v>
      </c>
      <c r="L476" s="31" t="str">
        <f t="shared" si="23"/>
        <v/>
      </c>
      <c r="M476" s="39"/>
    </row>
    <row r="477" spans="1:13" ht="18" customHeight="1" x14ac:dyDescent="0.45">
      <c r="A477" s="37"/>
      <c r="B477" s="29"/>
      <c r="C477" s="29"/>
      <c r="D477" s="28"/>
      <c r="E477" s="30" t="str">
        <f>IFERROR(VLOOKUP(D477,KRX종목마스터!$A:$B,2,FALSE),"")</f>
        <v/>
      </c>
      <c r="F477" s="42"/>
      <c r="G477" s="42"/>
      <c r="H477" s="31" t="str">
        <f t="shared" si="21"/>
        <v/>
      </c>
      <c r="I477" s="43">
        <f ca="1">IFERROR(SUMPRODUCT((참고!$A$31:$A$130=C477)*(참고!$B$31:$B$130&lt;=A477)*(참고!$B$31:$B$130=_xludf.MAXIFS(참고!$B$31:$B$130,참고!$A$31:$A$130,C477,참고!$B$31:$B$130,"&lt;="&amp;A477))*참고!$C$31:$C$130)/100,0)</f>
        <v>0</v>
      </c>
      <c r="J477" s="31" t="str">
        <f t="shared" si="22"/>
        <v/>
      </c>
      <c r="K477" s="43">
        <f>IF(B477="매도",IFERROR(SUMPRODUCT((참고!$A$31:$A$130=C477)*(참고!$B$31:$B$130&lt;=A477)*(참고!$B$31:$B$130=_xludf.MAXIFS(참고!$B$31:$B$130,참고!$A$31:$A$130,C477,참고!$B$31:$B$130,"&lt;="&amp;A477))*참고!$D$31:$D$130)/100,0),0)</f>
        <v>0</v>
      </c>
      <c r="L477" s="31" t="str">
        <f t="shared" si="23"/>
        <v/>
      </c>
      <c r="M477" s="39"/>
    </row>
    <row r="478" spans="1:13" ht="18" customHeight="1" x14ac:dyDescent="0.45">
      <c r="A478" s="37"/>
      <c r="B478" s="29"/>
      <c r="C478" s="29"/>
      <c r="D478" s="28"/>
      <c r="E478" s="30" t="str">
        <f>IFERROR(VLOOKUP(D478,KRX종목마스터!$A:$B,2,FALSE),"")</f>
        <v/>
      </c>
      <c r="F478" s="42"/>
      <c r="G478" s="42"/>
      <c r="H478" s="31" t="str">
        <f t="shared" si="21"/>
        <v/>
      </c>
      <c r="I478" s="43">
        <f ca="1">IFERROR(SUMPRODUCT((참고!$A$31:$A$130=C478)*(참고!$B$31:$B$130&lt;=A478)*(참고!$B$31:$B$130=_xludf.MAXIFS(참고!$B$31:$B$130,참고!$A$31:$A$130,C478,참고!$B$31:$B$130,"&lt;="&amp;A478))*참고!$C$31:$C$130)/100,0)</f>
        <v>0</v>
      </c>
      <c r="J478" s="31" t="str">
        <f t="shared" si="22"/>
        <v/>
      </c>
      <c r="K478" s="43">
        <f>IF(B478="매도",IFERROR(SUMPRODUCT((참고!$A$31:$A$130=C478)*(참고!$B$31:$B$130&lt;=A478)*(참고!$B$31:$B$130=_xludf.MAXIFS(참고!$B$31:$B$130,참고!$A$31:$A$130,C478,참고!$B$31:$B$130,"&lt;="&amp;A478))*참고!$D$31:$D$130)/100,0),0)</f>
        <v>0</v>
      </c>
      <c r="L478" s="31" t="str">
        <f t="shared" si="23"/>
        <v/>
      </c>
      <c r="M478" s="39"/>
    </row>
    <row r="479" spans="1:13" ht="18" customHeight="1" x14ac:dyDescent="0.45">
      <c r="A479" s="37"/>
      <c r="B479" s="29"/>
      <c r="C479" s="29"/>
      <c r="D479" s="28"/>
      <c r="E479" s="30" t="str">
        <f>IFERROR(VLOOKUP(D479,KRX종목마스터!$A:$B,2,FALSE),"")</f>
        <v/>
      </c>
      <c r="F479" s="42"/>
      <c r="G479" s="42"/>
      <c r="H479" s="31" t="str">
        <f t="shared" si="21"/>
        <v/>
      </c>
      <c r="I479" s="43">
        <f ca="1">IFERROR(SUMPRODUCT((참고!$A$31:$A$130=C479)*(참고!$B$31:$B$130&lt;=A479)*(참고!$B$31:$B$130=_xludf.MAXIFS(참고!$B$31:$B$130,참고!$A$31:$A$130,C479,참고!$B$31:$B$130,"&lt;="&amp;A479))*참고!$C$31:$C$130)/100,0)</f>
        <v>0</v>
      </c>
      <c r="J479" s="31" t="str">
        <f t="shared" si="22"/>
        <v/>
      </c>
      <c r="K479" s="43">
        <f>IF(B479="매도",IFERROR(SUMPRODUCT((참고!$A$31:$A$130=C479)*(참고!$B$31:$B$130&lt;=A479)*(참고!$B$31:$B$130=_xludf.MAXIFS(참고!$B$31:$B$130,참고!$A$31:$A$130,C479,참고!$B$31:$B$130,"&lt;="&amp;A479))*참고!$D$31:$D$130)/100,0),0)</f>
        <v>0</v>
      </c>
      <c r="L479" s="31" t="str">
        <f t="shared" si="23"/>
        <v/>
      </c>
      <c r="M479" s="39"/>
    </row>
    <row r="480" spans="1:13" ht="18" customHeight="1" x14ac:dyDescent="0.45">
      <c r="A480" s="37"/>
      <c r="B480" s="29"/>
      <c r="C480" s="29"/>
      <c r="D480" s="28"/>
      <c r="E480" s="30" t="str">
        <f>IFERROR(VLOOKUP(D480,KRX종목마스터!$A:$B,2,FALSE),"")</f>
        <v/>
      </c>
      <c r="F480" s="42"/>
      <c r="G480" s="42"/>
      <c r="H480" s="31" t="str">
        <f t="shared" si="21"/>
        <v/>
      </c>
      <c r="I480" s="43">
        <f ca="1">IFERROR(SUMPRODUCT((참고!$A$31:$A$130=C480)*(참고!$B$31:$B$130&lt;=A480)*(참고!$B$31:$B$130=_xludf.MAXIFS(참고!$B$31:$B$130,참고!$A$31:$A$130,C480,참고!$B$31:$B$130,"&lt;="&amp;A480))*참고!$C$31:$C$130)/100,0)</f>
        <v>0</v>
      </c>
      <c r="J480" s="31" t="str">
        <f t="shared" si="22"/>
        <v/>
      </c>
      <c r="K480" s="43">
        <f>IF(B480="매도",IFERROR(SUMPRODUCT((참고!$A$31:$A$130=C480)*(참고!$B$31:$B$130&lt;=A480)*(참고!$B$31:$B$130=_xludf.MAXIFS(참고!$B$31:$B$130,참고!$A$31:$A$130,C480,참고!$B$31:$B$130,"&lt;="&amp;A480))*참고!$D$31:$D$130)/100,0),0)</f>
        <v>0</v>
      </c>
      <c r="L480" s="31" t="str">
        <f t="shared" si="23"/>
        <v/>
      </c>
      <c r="M480" s="39"/>
    </row>
    <row r="481" spans="1:13" ht="18" customHeight="1" x14ac:dyDescent="0.45">
      <c r="A481" s="37"/>
      <c r="B481" s="29"/>
      <c r="C481" s="29"/>
      <c r="D481" s="28"/>
      <c r="E481" s="30" t="str">
        <f>IFERROR(VLOOKUP(D481,KRX종목마스터!$A:$B,2,FALSE),"")</f>
        <v/>
      </c>
      <c r="F481" s="42"/>
      <c r="G481" s="42"/>
      <c r="H481" s="31" t="str">
        <f t="shared" si="21"/>
        <v/>
      </c>
      <c r="I481" s="43">
        <f ca="1">IFERROR(SUMPRODUCT((참고!$A$31:$A$130=C481)*(참고!$B$31:$B$130&lt;=A481)*(참고!$B$31:$B$130=_xludf.MAXIFS(참고!$B$31:$B$130,참고!$A$31:$A$130,C481,참고!$B$31:$B$130,"&lt;="&amp;A481))*참고!$C$31:$C$130)/100,0)</f>
        <v>0</v>
      </c>
      <c r="J481" s="31" t="str">
        <f t="shared" si="22"/>
        <v/>
      </c>
      <c r="K481" s="43">
        <f>IF(B481="매도",IFERROR(SUMPRODUCT((참고!$A$31:$A$130=C481)*(참고!$B$31:$B$130&lt;=A481)*(참고!$B$31:$B$130=_xludf.MAXIFS(참고!$B$31:$B$130,참고!$A$31:$A$130,C481,참고!$B$31:$B$130,"&lt;="&amp;A481))*참고!$D$31:$D$130)/100,0),0)</f>
        <v>0</v>
      </c>
      <c r="L481" s="31" t="str">
        <f t="shared" si="23"/>
        <v/>
      </c>
      <c r="M481" s="39"/>
    </row>
    <row r="482" spans="1:13" ht="18" customHeight="1" x14ac:dyDescent="0.45">
      <c r="A482" s="37"/>
      <c r="B482" s="29"/>
      <c r="C482" s="29"/>
      <c r="D482" s="28"/>
      <c r="E482" s="30" t="str">
        <f>IFERROR(VLOOKUP(D482,KRX종목마스터!$A:$B,2,FALSE),"")</f>
        <v/>
      </c>
      <c r="F482" s="42"/>
      <c r="G482" s="42"/>
      <c r="H482" s="31" t="str">
        <f t="shared" si="21"/>
        <v/>
      </c>
      <c r="I482" s="43">
        <f ca="1">IFERROR(SUMPRODUCT((참고!$A$31:$A$130=C482)*(참고!$B$31:$B$130&lt;=A482)*(참고!$B$31:$B$130=_xludf.MAXIFS(참고!$B$31:$B$130,참고!$A$31:$A$130,C482,참고!$B$31:$B$130,"&lt;="&amp;A482))*참고!$C$31:$C$130)/100,0)</f>
        <v>0</v>
      </c>
      <c r="J482" s="31" t="str">
        <f t="shared" si="22"/>
        <v/>
      </c>
      <c r="K482" s="43">
        <f>IF(B482="매도",IFERROR(SUMPRODUCT((참고!$A$31:$A$130=C482)*(참고!$B$31:$B$130&lt;=A482)*(참고!$B$31:$B$130=_xludf.MAXIFS(참고!$B$31:$B$130,참고!$A$31:$A$130,C482,참고!$B$31:$B$130,"&lt;="&amp;A482))*참고!$D$31:$D$130)/100,0),0)</f>
        <v>0</v>
      </c>
      <c r="L482" s="31" t="str">
        <f t="shared" si="23"/>
        <v/>
      </c>
      <c r="M482" s="39"/>
    </row>
    <row r="483" spans="1:13" ht="18" customHeight="1" x14ac:dyDescent="0.45">
      <c r="A483" s="37"/>
      <c r="B483" s="29"/>
      <c r="C483" s="29"/>
      <c r="D483" s="28"/>
      <c r="E483" s="30" t="str">
        <f>IFERROR(VLOOKUP(D483,KRX종목마스터!$A:$B,2,FALSE),"")</f>
        <v/>
      </c>
      <c r="F483" s="42"/>
      <c r="G483" s="42"/>
      <c r="H483" s="31" t="str">
        <f t="shared" si="21"/>
        <v/>
      </c>
      <c r="I483" s="43">
        <f ca="1">IFERROR(SUMPRODUCT((참고!$A$31:$A$130=C483)*(참고!$B$31:$B$130&lt;=A483)*(참고!$B$31:$B$130=_xludf.MAXIFS(참고!$B$31:$B$130,참고!$A$31:$A$130,C483,참고!$B$31:$B$130,"&lt;="&amp;A483))*참고!$C$31:$C$130)/100,0)</f>
        <v>0</v>
      </c>
      <c r="J483" s="31" t="str">
        <f t="shared" si="22"/>
        <v/>
      </c>
      <c r="K483" s="43">
        <f>IF(B483="매도",IFERROR(SUMPRODUCT((참고!$A$31:$A$130=C483)*(참고!$B$31:$B$130&lt;=A483)*(참고!$B$31:$B$130=_xludf.MAXIFS(참고!$B$31:$B$130,참고!$A$31:$A$130,C483,참고!$B$31:$B$130,"&lt;="&amp;A483))*참고!$D$31:$D$130)/100,0),0)</f>
        <v>0</v>
      </c>
      <c r="L483" s="31" t="str">
        <f t="shared" si="23"/>
        <v/>
      </c>
      <c r="M483" s="39"/>
    </row>
    <row r="484" spans="1:13" ht="18" customHeight="1" x14ac:dyDescent="0.45">
      <c r="A484" s="37"/>
      <c r="B484" s="29"/>
      <c r="C484" s="29"/>
      <c r="D484" s="28"/>
      <c r="E484" s="30" t="str">
        <f>IFERROR(VLOOKUP(D484,KRX종목마스터!$A:$B,2,FALSE),"")</f>
        <v/>
      </c>
      <c r="F484" s="42"/>
      <c r="G484" s="42"/>
      <c r="H484" s="31" t="str">
        <f t="shared" si="21"/>
        <v/>
      </c>
      <c r="I484" s="43">
        <f ca="1">IFERROR(SUMPRODUCT((참고!$A$31:$A$130=C484)*(참고!$B$31:$B$130&lt;=A484)*(참고!$B$31:$B$130=_xludf.MAXIFS(참고!$B$31:$B$130,참고!$A$31:$A$130,C484,참고!$B$31:$B$130,"&lt;="&amp;A484))*참고!$C$31:$C$130)/100,0)</f>
        <v>0</v>
      </c>
      <c r="J484" s="31" t="str">
        <f t="shared" si="22"/>
        <v/>
      </c>
      <c r="K484" s="43">
        <f>IF(B484="매도",IFERROR(SUMPRODUCT((참고!$A$31:$A$130=C484)*(참고!$B$31:$B$130&lt;=A484)*(참고!$B$31:$B$130=_xludf.MAXIFS(참고!$B$31:$B$130,참고!$A$31:$A$130,C484,참고!$B$31:$B$130,"&lt;="&amp;A484))*참고!$D$31:$D$130)/100,0),0)</f>
        <v>0</v>
      </c>
      <c r="L484" s="31" t="str">
        <f t="shared" si="23"/>
        <v/>
      </c>
      <c r="M484" s="39"/>
    </row>
    <row r="485" spans="1:13" ht="18" customHeight="1" x14ac:dyDescent="0.45">
      <c r="A485" s="37"/>
      <c r="B485" s="29"/>
      <c r="C485" s="29"/>
      <c r="D485" s="28"/>
      <c r="E485" s="30" t="str">
        <f>IFERROR(VLOOKUP(D485,KRX종목마스터!$A:$B,2,FALSE),"")</f>
        <v/>
      </c>
      <c r="F485" s="42"/>
      <c r="G485" s="42"/>
      <c r="H485" s="31" t="str">
        <f t="shared" si="21"/>
        <v/>
      </c>
      <c r="I485" s="43">
        <f ca="1">IFERROR(SUMPRODUCT((참고!$A$31:$A$130=C485)*(참고!$B$31:$B$130&lt;=A485)*(참고!$B$31:$B$130=_xludf.MAXIFS(참고!$B$31:$B$130,참고!$A$31:$A$130,C485,참고!$B$31:$B$130,"&lt;="&amp;A485))*참고!$C$31:$C$130)/100,0)</f>
        <v>0</v>
      </c>
      <c r="J485" s="31" t="str">
        <f t="shared" si="22"/>
        <v/>
      </c>
      <c r="K485" s="43">
        <f>IF(B485="매도",IFERROR(SUMPRODUCT((참고!$A$31:$A$130=C485)*(참고!$B$31:$B$130&lt;=A485)*(참고!$B$31:$B$130=_xludf.MAXIFS(참고!$B$31:$B$130,참고!$A$31:$A$130,C485,참고!$B$31:$B$130,"&lt;="&amp;A485))*참고!$D$31:$D$130)/100,0),0)</f>
        <v>0</v>
      </c>
      <c r="L485" s="31" t="str">
        <f t="shared" si="23"/>
        <v/>
      </c>
      <c r="M485" s="39"/>
    </row>
    <row r="486" spans="1:13" ht="18" customHeight="1" x14ac:dyDescent="0.45">
      <c r="A486" s="37"/>
      <c r="B486" s="29"/>
      <c r="C486" s="29"/>
      <c r="D486" s="28"/>
      <c r="E486" s="30" t="str">
        <f>IFERROR(VLOOKUP(D486,KRX종목마스터!$A:$B,2,FALSE),"")</f>
        <v/>
      </c>
      <c r="F486" s="42"/>
      <c r="G486" s="42"/>
      <c r="H486" s="31" t="str">
        <f t="shared" si="21"/>
        <v/>
      </c>
      <c r="I486" s="43">
        <f ca="1">IFERROR(SUMPRODUCT((참고!$A$31:$A$130=C486)*(참고!$B$31:$B$130&lt;=A486)*(참고!$B$31:$B$130=_xludf.MAXIFS(참고!$B$31:$B$130,참고!$A$31:$A$130,C486,참고!$B$31:$B$130,"&lt;="&amp;A486))*참고!$C$31:$C$130)/100,0)</f>
        <v>0</v>
      </c>
      <c r="J486" s="31" t="str">
        <f t="shared" si="22"/>
        <v/>
      </c>
      <c r="K486" s="43">
        <f>IF(B486="매도",IFERROR(SUMPRODUCT((참고!$A$31:$A$130=C486)*(참고!$B$31:$B$130&lt;=A486)*(참고!$B$31:$B$130=_xludf.MAXIFS(참고!$B$31:$B$130,참고!$A$31:$A$130,C486,참고!$B$31:$B$130,"&lt;="&amp;A486))*참고!$D$31:$D$130)/100,0),0)</f>
        <v>0</v>
      </c>
      <c r="L486" s="31" t="str">
        <f t="shared" si="23"/>
        <v/>
      </c>
      <c r="M486" s="39"/>
    </row>
    <row r="487" spans="1:13" ht="18" customHeight="1" x14ac:dyDescent="0.45">
      <c r="A487" s="37"/>
      <c r="B487" s="29"/>
      <c r="C487" s="29"/>
      <c r="D487" s="28"/>
      <c r="E487" s="30" t="str">
        <f>IFERROR(VLOOKUP(D487,KRX종목마스터!$A:$B,2,FALSE),"")</f>
        <v/>
      </c>
      <c r="F487" s="42"/>
      <c r="G487" s="42"/>
      <c r="H487" s="31" t="str">
        <f t="shared" si="21"/>
        <v/>
      </c>
      <c r="I487" s="43">
        <f ca="1">IFERROR(SUMPRODUCT((참고!$A$31:$A$130=C487)*(참고!$B$31:$B$130&lt;=A487)*(참고!$B$31:$B$130=_xludf.MAXIFS(참고!$B$31:$B$130,참고!$A$31:$A$130,C487,참고!$B$31:$B$130,"&lt;="&amp;A487))*참고!$C$31:$C$130)/100,0)</f>
        <v>0</v>
      </c>
      <c r="J487" s="31" t="str">
        <f t="shared" si="22"/>
        <v/>
      </c>
      <c r="K487" s="43">
        <f>IF(B487="매도",IFERROR(SUMPRODUCT((참고!$A$31:$A$130=C487)*(참고!$B$31:$B$130&lt;=A487)*(참고!$B$31:$B$130=_xludf.MAXIFS(참고!$B$31:$B$130,참고!$A$31:$A$130,C487,참고!$B$31:$B$130,"&lt;="&amp;A487))*참고!$D$31:$D$130)/100,0),0)</f>
        <v>0</v>
      </c>
      <c r="L487" s="31" t="str">
        <f t="shared" si="23"/>
        <v/>
      </c>
      <c r="M487" s="39"/>
    </row>
    <row r="488" spans="1:13" ht="18" customHeight="1" x14ac:dyDescent="0.45">
      <c r="A488" s="37"/>
      <c r="B488" s="29"/>
      <c r="C488" s="29"/>
      <c r="D488" s="28"/>
      <c r="E488" s="30" t="str">
        <f>IFERROR(VLOOKUP(D488,KRX종목마스터!$A:$B,2,FALSE),"")</f>
        <v/>
      </c>
      <c r="F488" s="42"/>
      <c r="G488" s="42"/>
      <c r="H488" s="31" t="str">
        <f t="shared" si="21"/>
        <v/>
      </c>
      <c r="I488" s="43">
        <f ca="1">IFERROR(SUMPRODUCT((참고!$A$31:$A$130=C488)*(참고!$B$31:$B$130&lt;=A488)*(참고!$B$31:$B$130=_xludf.MAXIFS(참고!$B$31:$B$130,참고!$A$31:$A$130,C488,참고!$B$31:$B$130,"&lt;="&amp;A488))*참고!$C$31:$C$130)/100,0)</f>
        <v>0</v>
      </c>
      <c r="J488" s="31" t="str">
        <f t="shared" si="22"/>
        <v/>
      </c>
      <c r="K488" s="43">
        <f>IF(B488="매도",IFERROR(SUMPRODUCT((참고!$A$31:$A$130=C488)*(참고!$B$31:$B$130&lt;=A488)*(참고!$B$31:$B$130=_xludf.MAXIFS(참고!$B$31:$B$130,참고!$A$31:$A$130,C488,참고!$B$31:$B$130,"&lt;="&amp;A488))*참고!$D$31:$D$130)/100,0),0)</f>
        <v>0</v>
      </c>
      <c r="L488" s="31" t="str">
        <f t="shared" si="23"/>
        <v/>
      </c>
      <c r="M488" s="39"/>
    </row>
    <row r="489" spans="1:13" ht="18" customHeight="1" x14ac:dyDescent="0.45">
      <c r="A489" s="37"/>
      <c r="B489" s="29"/>
      <c r="C489" s="29"/>
      <c r="D489" s="28"/>
      <c r="E489" s="30" t="str">
        <f>IFERROR(VLOOKUP(D489,KRX종목마스터!$A:$B,2,FALSE),"")</f>
        <v/>
      </c>
      <c r="F489" s="42"/>
      <c r="G489" s="42"/>
      <c r="H489" s="31" t="str">
        <f t="shared" si="21"/>
        <v/>
      </c>
      <c r="I489" s="43">
        <f ca="1">IFERROR(SUMPRODUCT((참고!$A$31:$A$130=C489)*(참고!$B$31:$B$130&lt;=A489)*(참고!$B$31:$B$130=_xludf.MAXIFS(참고!$B$31:$B$130,참고!$A$31:$A$130,C489,참고!$B$31:$B$130,"&lt;="&amp;A489))*참고!$C$31:$C$130)/100,0)</f>
        <v>0</v>
      </c>
      <c r="J489" s="31" t="str">
        <f t="shared" si="22"/>
        <v/>
      </c>
      <c r="K489" s="43">
        <f>IF(B489="매도",IFERROR(SUMPRODUCT((참고!$A$31:$A$130=C489)*(참고!$B$31:$B$130&lt;=A489)*(참고!$B$31:$B$130=_xludf.MAXIFS(참고!$B$31:$B$130,참고!$A$31:$A$130,C489,참고!$B$31:$B$130,"&lt;="&amp;A489))*참고!$D$31:$D$130)/100,0),0)</f>
        <v>0</v>
      </c>
      <c r="L489" s="31" t="str">
        <f t="shared" si="23"/>
        <v/>
      </c>
      <c r="M489" s="39"/>
    </row>
    <row r="490" spans="1:13" ht="18" customHeight="1" x14ac:dyDescent="0.45">
      <c r="A490" s="37"/>
      <c r="B490" s="29"/>
      <c r="C490" s="29"/>
      <c r="D490" s="28"/>
      <c r="E490" s="30" t="str">
        <f>IFERROR(VLOOKUP(D490,KRX종목마스터!$A:$B,2,FALSE),"")</f>
        <v/>
      </c>
      <c r="F490" s="42"/>
      <c r="G490" s="42"/>
      <c r="H490" s="31" t="str">
        <f t="shared" si="21"/>
        <v/>
      </c>
      <c r="I490" s="43">
        <f ca="1">IFERROR(SUMPRODUCT((참고!$A$31:$A$130=C490)*(참고!$B$31:$B$130&lt;=A490)*(참고!$B$31:$B$130=_xludf.MAXIFS(참고!$B$31:$B$130,참고!$A$31:$A$130,C490,참고!$B$31:$B$130,"&lt;="&amp;A490))*참고!$C$31:$C$130)/100,0)</f>
        <v>0</v>
      </c>
      <c r="J490" s="31" t="str">
        <f t="shared" si="22"/>
        <v/>
      </c>
      <c r="K490" s="43">
        <f>IF(B490="매도",IFERROR(SUMPRODUCT((참고!$A$31:$A$130=C490)*(참고!$B$31:$B$130&lt;=A490)*(참고!$B$31:$B$130=_xludf.MAXIFS(참고!$B$31:$B$130,참고!$A$31:$A$130,C490,참고!$B$31:$B$130,"&lt;="&amp;A490))*참고!$D$31:$D$130)/100,0),0)</f>
        <v>0</v>
      </c>
      <c r="L490" s="31" t="str">
        <f t="shared" si="23"/>
        <v/>
      </c>
      <c r="M490" s="39"/>
    </row>
    <row r="491" spans="1:13" ht="18" customHeight="1" x14ac:dyDescent="0.45">
      <c r="A491" s="37"/>
      <c r="B491" s="29"/>
      <c r="C491" s="29"/>
      <c r="D491" s="28"/>
      <c r="E491" s="30" t="str">
        <f>IFERROR(VLOOKUP(D491,KRX종목마스터!$A:$B,2,FALSE),"")</f>
        <v/>
      </c>
      <c r="F491" s="42"/>
      <c r="G491" s="42"/>
      <c r="H491" s="31" t="str">
        <f t="shared" si="21"/>
        <v/>
      </c>
      <c r="I491" s="43">
        <f ca="1">IFERROR(SUMPRODUCT((참고!$A$31:$A$130=C491)*(참고!$B$31:$B$130&lt;=A491)*(참고!$B$31:$B$130=_xludf.MAXIFS(참고!$B$31:$B$130,참고!$A$31:$A$130,C491,참고!$B$31:$B$130,"&lt;="&amp;A491))*참고!$C$31:$C$130)/100,0)</f>
        <v>0</v>
      </c>
      <c r="J491" s="31" t="str">
        <f t="shared" si="22"/>
        <v/>
      </c>
      <c r="K491" s="43">
        <f>IF(B491="매도",IFERROR(SUMPRODUCT((참고!$A$31:$A$130=C491)*(참고!$B$31:$B$130&lt;=A491)*(참고!$B$31:$B$130=_xludf.MAXIFS(참고!$B$31:$B$130,참고!$A$31:$A$130,C491,참고!$B$31:$B$130,"&lt;="&amp;A491))*참고!$D$31:$D$130)/100,0),0)</f>
        <v>0</v>
      </c>
      <c r="L491" s="31" t="str">
        <f t="shared" si="23"/>
        <v/>
      </c>
      <c r="M491" s="39"/>
    </row>
    <row r="492" spans="1:13" ht="18" customHeight="1" x14ac:dyDescent="0.45">
      <c r="A492" s="37"/>
      <c r="B492" s="29"/>
      <c r="C492" s="29"/>
      <c r="D492" s="28"/>
      <c r="E492" s="30" t="str">
        <f>IFERROR(VLOOKUP(D492,KRX종목마스터!$A:$B,2,FALSE),"")</f>
        <v/>
      </c>
      <c r="F492" s="42"/>
      <c r="G492" s="42"/>
      <c r="H492" s="31" t="str">
        <f t="shared" si="21"/>
        <v/>
      </c>
      <c r="I492" s="43">
        <f ca="1">IFERROR(SUMPRODUCT((참고!$A$31:$A$130=C492)*(참고!$B$31:$B$130&lt;=A492)*(참고!$B$31:$B$130=_xludf.MAXIFS(참고!$B$31:$B$130,참고!$A$31:$A$130,C492,참고!$B$31:$B$130,"&lt;="&amp;A492))*참고!$C$31:$C$130)/100,0)</f>
        <v>0</v>
      </c>
      <c r="J492" s="31" t="str">
        <f t="shared" si="22"/>
        <v/>
      </c>
      <c r="K492" s="43">
        <f>IF(B492="매도",IFERROR(SUMPRODUCT((참고!$A$31:$A$130=C492)*(참고!$B$31:$B$130&lt;=A492)*(참고!$B$31:$B$130=_xludf.MAXIFS(참고!$B$31:$B$130,참고!$A$31:$A$130,C492,참고!$B$31:$B$130,"&lt;="&amp;A492))*참고!$D$31:$D$130)/100,0),0)</f>
        <v>0</v>
      </c>
      <c r="L492" s="31" t="str">
        <f t="shared" si="23"/>
        <v/>
      </c>
      <c r="M492" s="39"/>
    </row>
    <row r="493" spans="1:13" ht="18" customHeight="1" x14ac:dyDescent="0.45">
      <c r="A493" s="37"/>
      <c r="B493" s="29"/>
      <c r="C493" s="29"/>
      <c r="D493" s="28"/>
      <c r="E493" s="30" t="str">
        <f>IFERROR(VLOOKUP(D493,KRX종목마스터!$A:$B,2,FALSE),"")</f>
        <v/>
      </c>
      <c r="F493" s="42"/>
      <c r="G493" s="42"/>
      <c r="H493" s="31" t="str">
        <f t="shared" si="21"/>
        <v/>
      </c>
      <c r="I493" s="43">
        <f ca="1">IFERROR(SUMPRODUCT((참고!$A$31:$A$130=C493)*(참고!$B$31:$B$130&lt;=A493)*(참고!$B$31:$B$130=_xludf.MAXIFS(참고!$B$31:$B$130,참고!$A$31:$A$130,C493,참고!$B$31:$B$130,"&lt;="&amp;A493))*참고!$C$31:$C$130)/100,0)</f>
        <v>0</v>
      </c>
      <c r="J493" s="31" t="str">
        <f t="shared" si="22"/>
        <v/>
      </c>
      <c r="K493" s="43">
        <f>IF(B493="매도",IFERROR(SUMPRODUCT((참고!$A$31:$A$130=C493)*(참고!$B$31:$B$130&lt;=A493)*(참고!$B$31:$B$130=_xludf.MAXIFS(참고!$B$31:$B$130,참고!$A$31:$A$130,C493,참고!$B$31:$B$130,"&lt;="&amp;A493))*참고!$D$31:$D$130)/100,0),0)</f>
        <v>0</v>
      </c>
      <c r="L493" s="31" t="str">
        <f t="shared" si="23"/>
        <v/>
      </c>
      <c r="M493" s="39"/>
    </row>
    <row r="494" spans="1:13" ht="18" customHeight="1" x14ac:dyDescent="0.45">
      <c r="A494" s="37"/>
      <c r="B494" s="29"/>
      <c r="C494" s="29"/>
      <c r="D494" s="28"/>
      <c r="E494" s="30" t="str">
        <f>IFERROR(VLOOKUP(D494,KRX종목마스터!$A:$B,2,FALSE),"")</f>
        <v/>
      </c>
      <c r="F494" s="42"/>
      <c r="G494" s="42"/>
      <c r="H494" s="31" t="str">
        <f t="shared" si="21"/>
        <v/>
      </c>
      <c r="I494" s="43">
        <f ca="1">IFERROR(SUMPRODUCT((참고!$A$31:$A$130=C494)*(참고!$B$31:$B$130&lt;=A494)*(참고!$B$31:$B$130=_xludf.MAXIFS(참고!$B$31:$B$130,참고!$A$31:$A$130,C494,참고!$B$31:$B$130,"&lt;="&amp;A494))*참고!$C$31:$C$130)/100,0)</f>
        <v>0</v>
      </c>
      <c r="J494" s="31" t="str">
        <f t="shared" si="22"/>
        <v/>
      </c>
      <c r="K494" s="43">
        <f>IF(B494="매도",IFERROR(SUMPRODUCT((참고!$A$31:$A$130=C494)*(참고!$B$31:$B$130&lt;=A494)*(참고!$B$31:$B$130=_xludf.MAXIFS(참고!$B$31:$B$130,참고!$A$31:$A$130,C494,참고!$B$31:$B$130,"&lt;="&amp;A494))*참고!$D$31:$D$130)/100,0),0)</f>
        <v>0</v>
      </c>
      <c r="L494" s="31" t="str">
        <f t="shared" si="23"/>
        <v/>
      </c>
      <c r="M494" s="39"/>
    </row>
    <row r="495" spans="1:13" ht="18" customHeight="1" x14ac:dyDescent="0.45">
      <c r="A495" s="37"/>
      <c r="B495" s="29"/>
      <c r="C495" s="29"/>
      <c r="D495" s="28"/>
      <c r="E495" s="30" t="str">
        <f>IFERROR(VLOOKUP(D495,KRX종목마스터!$A:$B,2,FALSE),"")</f>
        <v/>
      </c>
      <c r="F495" s="42"/>
      <c r="G495" s="42"/>
      <c r="H495" s="31" t="str">
        <f t="shared" si="21"/>
        <v/>
      </c>
      <c r="I495" s="43">
        <f ca="1">IFERROR(SUMPRODUCT((참고!$A$31:$A$130=C495)*(참고!$B$31:$B$130&lt;=A495)*(참고!$B$31:$B$130=_xludf.MAXIFS(참고!$B$31:$B$130,참고!$A$31:$A$130,C495,참고!$B$31:$B$130,"&lt;="&amp;A495))*참고!$C$31:$C$130)/100,0)</f>
        <v>0</v>
      </c>
      <c r="J495" s="31" t="str">
        <f t="shared" si="22"/>
        <v/>
      </c>
      <c r="K495" s="43">
        <f>IF(B495="매도",IFERROR(SUMPRODUCT((참고!$A$31:$A$130=C495)*(참고!$B$31:$B$130&lt;=A495)*(참고!$B$31:$B$130=_xludf.MAXIFS(참고!$B$31:$B$130,참고!$A$31:$A$130,C495,참고!$B$31:$B$130,"&lt;="&amp;A495))*참고!$D$31:$D$130)/100,0),0)</f>
        <v>0</v>
      </c>
      <c r="L495" s="31" t="str">
        <f t="shared" si="23"/>
        <v/>
      </c>
      <c r="M495" s="39"/>
    </row>
    <row r="496" spans="1:13" ht="18" customHeight="1" x14ac:dyDescent="0.45">
      <c r="A496" s="37"/>
      <c r="B496" s="29"/>
      <c r="C496" s="29"/>
      <c r="D496" s="28"/>
      <c r="E496" s="30" t="str">
        <f>IFERROR(VLOOKUP(D496,KRX종목마스터!$A:$B,2,FALSE),"")</f>
        <v/>
      </c>
      <c r="F496" s="42"/>
      <c r="G496" s="42"/>
      <c r="H496" s="31" t="str">
        <f t="shared" si="21"/>
        <v/>
      </c>
      <c r="I496" s="43">
        <f ca="1">IFERROR(SUMPRODUCT((참고!$A$31:$A$130=C496)*(참고!$B$31:$B$130&lt;=A496)*(참고!$B$31:$B$130=_xludf.MAXIFS(참고!$B$31:$B$130,참고!$A$31:$A$130,C496,참고!$B$31:$B$130,"&lt;="&amp;A496))*참고!$C$31:$C$130)/100,0)</f>
        <v>0</v>
      </c>
      <c r="J496" s="31" t="str">
        <f t="shared" si="22"/>
        <v/>
      </c>
      <c r="K496" s="43">
        <f>IF(B496="매도",IFERROR(SUMPRODUCT((참고!$A$31:$A$130=C496)*(참고!$B$31:$B$130&lt;=A496)*(참고!$B$31:$B$130=_xludf.MAXIFS(참고!$B$31:$B$130,참고!$A$31:$A$130,C496,참고!$B$31:$B$130,"&lt;="&amp;A496))*참고!$D$31:$D$130)/100,0),0)</f>
        <v>0</v>
      </c>
      <c r="L496" s="31" t="str">
        <f t="shared" si="23"/>
        <v/>
      </c>
      <c r="M496" s="39"/>
    </row>
    <row r="497" spans="1:13" ht="18" customHeight="1" x14ac:dyDescent="0.45">
      <c r="A497" s="37"/>
      <c r="B497" s="29"/>
      <c r="C497" s="29"/>
      <c r="D497" s="28"/>
      <c r="E497" s="30" t="str">
        <f>IFERROR(VLOOKUP(D497,KRX종목마스터!$A:$B,2,FALSE),"")</f>
        <v/>
      </c>
      <c r="F497" s="42"/>
      <c r="G497" s="42"/>
      <c r="H497" s="31" t="str">
        <f t="shared" si="21"/>
        <v/>
      </c>
      <c r="I497" s="43">
        <f ca="1">IFERROR(SUMPRODUCT((참고!$A$31:$A$130=C497)*(참고!$B$31:$B$130&lt;=A497)*(참고!$B$31:$B$130=_xludf.MAXIFS(참고!$B$31:$B$130,참고!$A$31:$A$130,C497,참고!$B$31:$B$130,"&lt;="&amp;A497))*참고!$C$31:$C$130)/100,0)</f>
        <v>0</v>
      </c>
      <c r="J497" s="31" t="str">
        <f t="shared" si="22"/>
        <v/>
      </c>
      <c r="K497" s="43">
        <f>IF(B497="매도",IFERROR(SUMPRODUCT((참고!$A$31:$A$130=C497)*(참고!$B$31:$B$130&lt;=A497)*(참고!$B$31:$B$130=_xludf.MAXIFS(참고!$B$31:$B$130,참고!$A$31:$A$130,C497,참고!$B$31:$B$130,"&lt;="&amp;A497))*참고!$D$31:$D$130)/100,0),0)</f>
        <v>0</v>
      </c>
      <c r="L497" s="31" t="str">
        <f t="shared" si="23"/>
        <v/>
      </c>
      <c r="M497" s="39"/>
    </row>
    <row r="498" spans="1:13" ht="18" customHeight="1" x14ac:dyDescent="0.45">
      <c r="A498" s="37"/>
      <c r="B498" s="29"/>
      <c r="C498" s="29"/>
      <c r="D498" s="28"/>
      <c r="E498" s="30" t="str">
        <f>IFERROR(VLOOKUP(D498,KRX종목마스터!$A:$B,2,FALSE),"")</f>
        <v/>
      </c>
      <c r="F498" s="42"/>
      <c r="G498" s="42"/>
      <c r="H498" s="31" t="str">
        <f t="shared" si="21"/>
        <v/>
      </c>
      <c r="I498" s="43">
        <f ca="1">IFERROR(SUMPRODUCT((참고!$A$31:$A$130=C498)*(참고!$B$31:$B$130&lt;=A498)*(참고!$B$31:$B$130=_xludf.MAXIFS(참고!$B$31:$B$130,참고!$A$31:$A$130,C498,참고!$B$31:$B$130,"&lt;="&amp;A498))*참고!$C$31:$C$130)/100,0)</f>
        <v>0</v>
      </c>
      <c r="J498" s="31" t="str">
        <f t="shared" si="22"/>
        <v/>
      </c>
      <c r="K498" s="43">
        <f>IF(B498="매도",IFERROR(SUMPRODUCT((참고!$A$31:$A$130=C498)*(참고!$B$31:$B$130&lt;=A498)*(참고!$B$31:$B$130=_xludf.MAXIFS(참고!$B$31:$B$130,참고!$A$31:$A$130,C498,참고!$B$31:$B$130,"&lt;="&amp;A498))*참고!$D$31:$D$130)/100,0),0)</f>
        <v>0</v>
      </c>
      <c r="L498" s="31" t="str">
        <f t="shared" si="23"/>
        <v/>
      </c>
      <c r="M498" s="39"/>
    </row>
    <row r="499" spans="1:13" ht="18" customHeight="1" x14ac:dyDescent="0.45">
      <c r="A499" s="37"/>
      <c r="B499" s="29"/>
      <c r="C499" s="29"/>
      <c r="D499" s="28"/>
      <c r="E499" s="30" t="str">
        <f>IFERROR(VLOOKUP(D499,KRX종목마스터!$A:$B,2,FALSE),"")</f>
        <v/>
      </c>
      <c r="F499" s="42"/>
      <c r="G499" s="42"/>
      <c r="H499" s="31" t="str">
        <f t="shared" si="21"/>
        <v/>
      </c>
      <c r="I499" s="43">
        <f ca="1">IFERROR(SUMPRODUCT((참고!$A$31:$A$130=C499)*(참고!$B$31:$B$130&lt;=A499)*(참고!$B$31:$B$130=_xludf.MAXIFS(참고!$B$31:$B$130,참고!$A$31:$A$130,C499,참고!$B$31:$B$130,"&lt;="&amp;A499))*참고!$C$31:$C$130)/100,0)</f>
        <v>0</v>
      </c>
      <c r="J499" s="31" t="str">
        <f t="shared" si="22"/>
        <v/>
      </c>
      <c r="K499" s="43">
        <f>IF(B499="매도",IFERROR(SUMPRODUCT((참고!$A$31:$A$130=C499)*(참고!$B$31:$B$130&lt;=A499)*(참고!$B$31:$B$130=_xludf.MAXIFS(참고!$B$31:$B$130,참고!$A$31:$A$130,C499,참고!$B$31:$B$130,"&lt;="&amp;A499))*참고!$D$31:$D$130)/100,0),0)</f>
        <v>0</v>
      </c>
      <c r="L499" s="31" t="str">
        <f t="shared" si="23"/>
        <v/>
      </c>
      <c r="M499" s="39"/>
    </row>
    <row r="500" spans="1:13" ht="18" customHeight="1" x14ac:dyDescent="0.45">
      <c r="A500" s="37"/>
      <c r="B500" s="29"/>
      <c r="C500" s="29"/>
      <c r="D500" s="28"/>
      <c r="E500" s="30" t="str">
        <f>IFERROR(VLOOKUP(D500,KRX종목마스터!$A:$B,2,FALSE),"")</f>
        <v/>
      </c>
      <c r="F500" s="42"/>
      <c r="G500" s="42"/>
      <c r="H500" s="31" t="str">
        <f t="shared" si="21"/>
        <v/>
      </c>
      <c r="I500" s="43">
        <f ca="1">IFERROR(SUMPRODUCT((참고!$A$31:$A$130=C500)*(참고!$B$31:$B$130&lt;=A500)*(참고!$B$31:$B$130=_xludf.MAXIFS(참고!$B$31:$B$130,참고!$A$31:$A$130,C500,참고!$B$31:$B$130,"&lt;="&amp;A500))*참고!$C$31:$C$130)/100,0)</f>
        <v>0</v>
      </c>
      <c r="J500" s="31" t="str">
        <f t="shared" si="22"/>
        <v/>
      </c>
      <c r="K500" s="43">
        <f>IF(B500="매도",IFERROR(SUMPRODUCT((참고!$A$31:$A$130=C500)*(참고!$B$31:$B$130&lt;=A500)*(참고!$B$31:$B$130=_xludf.MAXIFS(참고!$B$31:$B$130,참고!$A$31:$A$130,C500,참고!$B$31:$B$130,"&lt;="&amp;A500))*참고!$D$31:$D$130)/100,0),0)</f>
        <v>0</v>
      </c>
      <c r="L500" s="31" t="str">
        <f t="shared" si="23"/>
        <v/>
      </c>
      <c r="M500" s="39"/>
    </row>
    <row r="501" spans="1:13" ht="18" customHeight="1" x14ac:dyDescent="0.45">
      <c r="A501" s="37"/>
      <c r="B501" s="29"/>
      <c r="C501" s="29"/>
      <c r="D501" s="28"/>
      <c r="E501" s="30" t="str">
        <f>IFERROR(VLOOKUP(D501,KRX종목마스터!$A:$B,2,FALSE),"")</f>
        <v/>
      </c>
      <c r="F501" s="42"/>
      <c r="G501" s="42"/>
      <c r="H501" s="31" t="str">
        <f t="shared" si="21"/>
        <v/>
      </c>
      <c r="I501" s="43">
        <f ca="1">IFERROR(SUMPRODUCT((참고!$A$31:$A$130=C501)*(참고!$B$31:$B$130&lt;=A501)*(참고!$B$31:$B$130=_xludf.MAXIFS(참고!$B$31:$B$130,참고!$A$31:$A$130,C501,참고!$B$31:$B$130,"&lt;="&amp;A501))*참고!$C$31:$C$130)/100,0)</f>
        <v>0</v>
      </c>
      <c r="J501" s="31" t="str">
        <f t="shared" si="22"/>
        <v/>
      </c>
      <c r="K501" s="43">
        <f>IF(B501="매도",IFERROR(SUMPRODUCT((참고!$A$31:$A$130=C501)*(참고!$B$31:$B$130&lt;=A501)*(참고!$B$31:$B$130=_xludf.MAXIFS(참고!$B$31:$B$130,참고!$A$31:$A$130,C501,참고!$B$31:$B$130,"&lt;="&amp;A501))*참고!$D$31:$D$130)/100,0),0)</f>
        <v>0</v>
      </c>
      <c r="L501" s="31" t="str">
        <f t="shared" si="23"/>
        <v/>
      </c>
      <c r="M501" s="39"/>
    </row>
    <row r="502" spans="1:13" ht="18" customHeight="1" x14ac:dyDescent="0.45">
      <c r="A502" s="37"/>
      <c r="B502" s="29"/>
      <c r="C502" s="29"/>
      <c r="D502" s="28"/>
      <c r="E502" s="30" t="str">
        <f>IFERROR(VLOOKUP(D502,KRX종목마스터!$A:$B,2,FALSE),"")</f>
        <v/>
      </c>
      <c r="F502" s="42"/>
      <c r="G502" s="42"/>
      <c r="H502" s="31" t="str">
        <f t="shared" si="21"/>
        <v/>
      </c>
      <c r="I502" s="43">
        <f ca="1">IFERROR(SUMPRODUCT((참고!$A$31:$A$130=C502)*(참고!$B$31:$B$130&lt;=A502)*(참고!$B$31:$B$130=_xludf.MAXIFS(참고!$B$31:$B$130,참고!$A$31:$A$130,C502,참고!$B$31:$B$130,"&lt;="&amp;A502))*참고!$C$31:$C$130)/100,0)</f>
        <v>0</v>
      </c>
      <c r="J502" s="31" t="str">
        <f t="shared" si="22"/>
        <v/>
      </c>
      <c r="K502" s="43">
        <f>IF(B502="매도",IFERROR(SUMPRODUCT((참고!$A$31:$A$130=C502)*(참고!$B$31:$B$130&lt;=A502)*(참고!$B$31:$B$130=_xludf.MAXIFS(참고!$B$31:$B$130,참고!$A$31:$A$130,C502,참고!$B$31:$B$130,"&lt;="&amp;A502))*참고!$D$31:$D$130)/100,0),0)</f>
        <v>0</v>
      </c>
      <c r="L502" s="31" t="str">
        <f t="shared" si="23"/>
        <v/>
      </c>
      <c r="M502" s="39"/>
    </row>
    <row r="503" spans="1:13" ht="18" customHeight="1" x14ac:dyDescent="0.45">
      <c r="A503" s="37"/>
      <c r="B503" s="29"/>
      <c r="C503" s="29"/>
      <c r="D503" s="28"/>
      <c r="E503" s="30" t="str">
        <f>IFERROR(VLOOKUP(D503,KRX종목마스터!$A:$B,2,FALSE),"")</f>
        <v/>
      </c>
      <c r="F503" s="42"/>
      <c r="G503" s="42"/>
      <c r="H503" s="31" t="str">
        <f t="shared" si="21"/>
        <v/>
      </c>
      <c r="I503" s="43">
        <f ca="1">IFERROR(SUMPRODUCT((참고!$A$31:$A$130=C503)*(참고!$B$31:$B$130&lt;=A503)*(참고!$B$31:$B$130=_xludf.MAXIFS(참고!$B$31:$B$130,참고!$A$31:$A$130,C503,참고!$B$31:$B$130,"&lt;="&amp;A503))*참고!$C$31:$C$130)/100,0)</f>
        <v>0</v>
      </c>
      <c r="J503" s="31" t="str">
        <f t="shared" si="22"/>
        <v/>
      </c>
      <c r="K503" s="43">
        <f>IF(B503="매도",IFERROR(SUMPRODUCT((참고!$A$31:$A$130=C503)*(참고!$B$31:$B$130&lt;=A503)*(참고!$B$31:$B$130=_xludf.MAXIFS(참고!$B$31:$B$130,참고!$A$31:$A$130,C503,참고!$B$31:$B$130,"&lt;="&amp;A503))*참고!$D$31:$D$130)/100,0),0)</f>
        <v>0</v>
      </c>
      <c r="L503" s="31" t="str">
        <f t="shared" si="23"/>
        <v/>
      </c>
      <c r="M503" s="39"/>
    </row>
    <row r="504" spans="1:13" ht="18" customHeight="1" x14ac:dyDescent="0.45">
      <c r="A504" s="37"/>
      <c r="B504" s="29"/>
      <c r="C504" s="29"/>
      <c r="D504" s="28"/>
      <c r="E504" s="30" t="str">
        <f>IFERROR(VLOOKUP(D504,KRX종목마스터!$A:$B,2,FALSE),"")</f>
        <v/>
      </c>
      <c r="F504" s="42"/>
      <c r="G504" s="42"/>
      <c r="H504" s="31" t="str">
        <f t="shared" si="21"/>
        <v/>
      </c>
      <c r="I504" s="43">
        <f ca="1">IFERROR(SUMPRODUCT((참고!$A$31:$A$130=C504)*(참고!$B$31:$B$130&lt;=A504)*(참고!$B$31:$B$130=_xludf.MAXIFS(참고!$B$31:$B$130,참고!$A$31:$A$130,C504,참고!$B$31:$B$130,"&lt;="&amp;A504))*참고!$C$31:$C$130)/100,0)</f>
        <v>0</v>
      </c>
      <c r="J504" s="31" t="str">
        <f t="shared" si="22"/>
        <v/>
      </c>
      <c r="K504" s="43">
        <f>IF(B504="매도",IFERROR(SUMPRODUCT((참고!$A$31:$A$130=C504)*(참고!$B$31:$B$130&lt;=A504)*(참고!$B$31:$B$130=_xludf.MAXIFS(참고!$B$31:$B$130,참고!$A$31:$A$130,C504,참고!$B$31:$B$130,"&lt;="&amp;A504))*참고!$D$31:$D$130)/100,0),0)</f>
        <v>0</v>
      </c>
      <c r="L504" s="31" t="str">
        <f t="shared" si="23"/>
        <v/>
      </c>
      <c r="M504" s="39"/>
    </row>
    <row r="505" spans="1:13" ht="18" customHeight="1" x14ac:dyDescent="0.45">
      <c r="A505" s="37"/>
      <c r="B505" s="29"/>
      <c r="C505" s="29"/>
      <c r="D505" s="28"/>
      <c r="E505" s="30" t="str">
        <f>IFERROR(VLOOKUP(D505,KRX종목마스터!$A:$B,2,FALSE),"")</f>
        <v/>
      </c>
      <c r="F505" s="42"/>
      <c r="G505" s="42"/>
      <c r="H505" s="31" t="str">
        <f t="shared" si="21"/>
        <v/>
      </c>
      <c r="I505" s="43">
        <f ca="1">IFERROR(SUMPRODUCT((참고!$A$31:$A$130=C505)*(참고!$B$31:$B$130&lt;=A505)*(참고!$B$31:$B$130=_xludf.MAXIFS(참고!$B$31:$B$130,참고!$A$31:$A$130,C505,참고!$B$31:$B$130,"&lt;="&amp;A505))*참고!$C$31:$C$130)/100,0)</f>
        <v>0</v>
      </c>
      <c r="J505" s="31" t="str">
        <f t="shared" si="22"/>
        <v/>
      </c>
      <c r="K505" s="43">
        <f>IF(B505="매도",IFERROR(SUMPRODUCT((참고!$A$31:$A$130=C505)*(참고!$B$31:$B$130&lt;=A505)*(참고!$B$31:$B$130=_xludf.MAXIFS(참고!$B$31:$B$130,참고!$A$31:$A$130,C505,참고!$B$31:$B$130,"&lt;="&amp;A505))*참고!$D$31:$D$130)/100,0),0)</f>
        <v>0</v>
      </c>
      <c r="L505" s="31" t="str">
        <f t="shared" si="23"/>
        <v/>
      </c>
      <c r="M505" s="39"/>
    </row>
    <row r="506" spans="1:13" ht="18" customHeight="1" x14ac:dyDescent="0.45">
      <c r="A506" s="37"/>
      <c r="B506" s="29"/>
      <c r="C506" s="29"/>
      <c r="D506" s="28"/>
      <c r="E506" s="30" t="str">
        <f>IFERROR(VLOOKUP(D506,KRX종목마스터!$A:$B,2,FALSE),"")</f>
        <v/>
      </c>
      <c r="F506" s="42"/>
      <c r="G506" s="42"/>
      <c r="H506" s="31" t="str">
        <f t="shared" si="21"/>
        <v/>
      </c>
      <c r="I506" s="43">
        <f ca="1">IFERROR(SUMPRODUCT((참고!$A$31:$A$130=C506)*(참고!$B$31:$B$130&lt;=A506)*(참고!$B$31:$B$130=_xludf.MAXIFS(참고!$B$31:$B$130,참고!$A$31:$A$130,C506,참고!$B$31:$B$130,"&lt;="&amp;A506))*참고!$C$31:$C$130)/100,0)</f>
        <v>0</v>
      </c>
      <c r="J506" s="31" t="str">
        <f t="shared" si="22"/>
        <v/>
      </c>
      <c r="K506" s="43">
        <f>IF(B506="매도",IFERROR(SUMPRODUCT((참고!$A$31:$A$130=C506)*(참고!$B$31:$B$130&lt;=A506)*(참고!$B$31:$B$130=_xludf.MAXIFS(참고!$B$31:$B$130,참고!$A$31:$A$130,C506,참고!$B$31:$B$130,"&lt;="&amp;A506))*참고!$D$31:$D$130)/100,0),0)</f>
        <v>0</v>
      </c>
      <c r="L506" s="31" t="str">
        <f t="shared" si="23"/>
        <v/>
      </c>
      <c r="M506" s="39"/>
    </row>
    <row r="507" spans="1:13" ht="18" customHeight="1" x14ac:dyDescent="0.45">
      <c r="A507" s="37"/>
      <c r="B507" s="29"/>
      <c r="C507" s="29"/>
      <c r="D507" s="28"/>
      <c r="E507" s="30" t="str">
        <f>IFERROR(VLOOKUP(D507,KRX종목마스터!$A:$B,2,FALSE),"")</f>
        <v/>
      </c>
      <c r="F507" s="42"/>
      <c r="G507" s="42"/>
      <c r="H507" s="31" t="str">
        <f t="shared" si="21"/>
        <v/>
      </c>
      <c r="I507" s="43">
        <f ca="1">IFERROR(SUMPRODUCT((참고!$A$31:$A$130=C507)*(참고!$B$31:$B$130&lt;=A507)*(참고!$B$31:$B$130=_xludf.MAXIFS(참고!$B$31:$B$130,참고!$A$31:$A$130,C507,참고!$B$31:$B$130,"&lt;="&amp;A507))*참고!$C$31:$C$130)/100,0)</f>
        <v>0</v>
      </c>
      <c r="J507" s="31" t="str">
        <f t="shared" si="22"/>
        <v/>
      </c>
      <c r="K507" s="43">
        <f>IF(B507="매도",IFERROR(SUMPRODUCT((참고!$A$31:$A$130=C507)*(참고!$B$31:$B$130&lt;=A507)*(참고!$B$31:$B$130=_xludf.MAXIFS(참고!$B$31:$B$130,참고!$A$31:$A$130,C507,참고!$B$31:$B$130,"&lt;="&amp;A507))*참고!$D$31:$D$130)/100,0),0)</f>
        <v>0</v>
      </c>
      <c r="L507" s="31" t="str">
        <f t="shared" si="23"/>
        <v/>
      </c>
      <c r="M507" s="39"/>
    </row>
    <row r="508" spans="1:13" ht="18" customHeight="1" x14ac:dyDescent="0.45">
      <c r="A508" s="37"/>
      <c r="B508" s="29"/>
      <c r="C508" s="29"/>
      <c r="D508" s="28"/>
      <c r="E508" s="30" t="str">
        <f>IFERROR(VLOOKUP(D508,KRX종목마스터!$A:$B,2,FALSE),"")</f>
        <v/>
      </c>
      <c r="F508" s="42"/>
      <c r="G508" s="42"/>
      <c r="H508" s="31" t="str">
        <f t="shared" si="21"/>
        <v/>
      </c>
      <c r="I508" s="43">
        <f ca="1">IFERROR(SUMPRODUCT((참고!$A$31:$A$130=C508)*(참고!$B$31:$B$130&lt;=A508)*(참고!$B$31:$B$130=_xludf.MAXIFS(참고!$B$31:$B$130,참고!$A$31:$A$130,C508,참고!$B$31:$B$130,"&lt;="&amp;A508))*참고!$C$31:$C$130)/100,0)</f>
        <v>0</v>
      </c>
      <c r="J508" s="31" t="str">
        <f t="shared" si="22"/>
        <v/>
      </c>
      <c r="K508" s="43">
        <f>IF(B508="매도",IFERROR(SUMPRODUCT((참고!$A$31:$A$130=C508)*(참고!$B$31:$B$130&lt;=A508)*(참고!$B$31:$B$130=_xludf.MAXIFS(참고!$B$31:$B$130,참고!$A$31:$A$130,C508,참고!$B$31:$B$130,"&lt;="&amp;A508))*참고!$D$31:$D$130)/100,0),0)</f>
        <v>0</v>
      </c>
      <c r="L508" s="31" t="str">
        <f t="shared" si="23"/>
        <v/>
      </c>
      <c r="M508" s="39"/>
    </row>
    <row r="509" spans="1:13" ht="18" customHeight="1" x14ac:dyDescent="0.45">
      <c r="A509" s="37"/>
      <c r="B509" s="29"/>
      <c r="C509" s="29"/>
      <c r="D509" s="28"/>
      <c r="E509" s="30" t="str">
        <f>IFERROR(VLOOKUP(D509,KRX종목마스터!$A:$B,2,FALSE),"")</f>
        <v/>
      </c>
      <c r="F509" s="42"/>
      <c r="G509" s="42"/>
      <c r="H509" s="31" t="str">
        <f t="shared" si="21"/>
        <v/>
      </c>
      <c r="I509" s="43">
        <f ca="1">IFERROR(SUMPRODUCT((참고!$A$31:$A$130=C509)*(참고!$B$31:$B$130&lt;=A509)*(참고!$B$31:$B$130=_xludf.MAXIFS(참고!$B$31:$B$130,참고!$A$31:$A$130,C509,참고!$B$31:$B$130,"&lt;="&amp;A509))*참고!$C$31:$C$130)/100,0)</f>
        <v>0</v>
      </c>
      <c r="J509" s="31" t="str">
        <f t="shared" si="22"/>
        <v/>
      </c>
      <c r="K509" s="43">
        <f>IF(B509="매도",IFERROR(SUMPRODUCT((참고!$A$31:$A$130=C509)*(참고!$B$31:$B$130&lt;=A509)*(참고!$B$31:$B$130=_xludf.MAXIFS(참고!$B$31:$B$130,참고!$A$31:$A$130,C509,참고!$B$31:$B$130,"&lt;="&amp;A509))*참고!$D$31:$D$130)/100,0),0)</f>
        <v>0</v>
      </c>
      <c r="L509" s="31" t="str">
        <f t="shared" si="23"/>
        <v/>
      </c>
      <c r="M509" s="39"/>
    </row>
    <row r="510" spans="1:13" ht="18" customHeight="1" x14ac:dyDescent="0.45">
      <c r="A510" s="37"/>
      <c r="B510" s="29"/>
      <c r="C510" s="29"/>
      <c r="D510" s="28"/>
      <c r="E510" s="30" t="str">
        <f>IFERROR(VLOOKUP(D510,KRX종목마스터!$A:$B,2,FALSE),"")</f>
        <v/>
      </c>
      <c r="F510" s="42"/>
      <c r="G510" s="42"/>
      <c r="H510" s="31" t="str">
        <f t="shared" si="21"/>
        <v/>
      </c>
      <c r="I510" s="43">
        <f ca="1">IFERROR(SUMPRODUCT((참고!$A$31:$A$130=C510)*(참고!$B$31:$B$130&lt;=A510)*(참고!$B$31:$B$130=_xludf.MAXIFS(참고!$B$31:$B$130,참고!$A$31:$A$130,C510,참고!$B$31:$B$130,"&lt;="&amp;A510))*참고!$C$31:$C$130)/100,0)</f>
        <v>0</v>
      </c>
      <c r="J510" s="31" t="str">
        <f t="shared" si="22"/>
        <v/>
      </c>
      <c r="K510" s="43">
        <f>IF(B510="매도",IFERROR(SUMPRODUCT((참고!$A$31:$A$130=C510)*(참고!$B$31:$B$130&lt;=A510)*(참고!$B$31:$B$130=_xludf.MAXIFS(참고!$B$31:$B$130,참고!$A$31:$A$130,C510,참고!$B$31:$B$130,"&lt;="&amp;A510))*참고!$D$31:$D$130)/100,0),0)</f>
        <v>0</v>
      </c>
      <c r="L510" s="31" t="str">
        <f t="shared" si="23"/>
        <v/>
      </c>
      <c r="M510" s="39"/>
    </row>
    <row r="511" spans="1:13" ht="18" customHeight="1" x14ac:dyDescent="0.45">
      <c r="A511" s="37"/>
      <c r="B511" s="29"/>
      <c r="C511" s="29"/>
      <c r="D511" s="28"/>
      <c r="E511" s="30" t="str">
        <f>IFERROR(VLOOKUP(D511,KRX종목마스터!$A:$B,2,FALSE),"")</f>
        <v/>
      </c>
      <c r="F511" s="42"/>
      <c r="G511" s="42"/>
      <c r="H511" s="31" t="str">
        <f t="shared" si="21"/>
        <v/>
      </c>
      <c r="I511" s="43">
        <f ca="1">IFERROR(SUMPRODUCT((참고!$A$31:$A$130=C511)*(참고!$B$31:$B$130&lt;=A511)*(참고!$B$31:$B$130=_xludf.MAXIFS(참고!$B$31:$B$130,참고!$A$31:$A$130,C511,참고!$B$31:$B$130,"&lt;="&amp;A511))*참고!$C$31:$C$130)/100,0)</f>
        <v>0</v>
      </c>
      <c r="J511" s="31" t="str">
        <f t="shared" si="22"/>
        <v/>
      </c>
      <c r="K511" s="43">
        <f>IF(B511="매도",IFERROR(SUMPRODUCT((참고!$A$31:$A$130=C511)*(참고!$B$31:$B$130&lt;=A511)*(참고!$B$31:$B$130=_xludf.MAXIFS(참고!$B$31:$B$130,참고!$A$31:$A$130,C511,참고!$B$31:$B$130,"&lt;="&amp;A511))*참고!$D$31:$D$130)/100,0),0)</f>
        <v>0</v>
      </c>
      <c r="L511" s="31" t="str">
        <f t="shared" si="23"/>
        <v/>
      </c>
      <c r="M511" s="39"/>
    </row>
    <row r="512" spans="1:13" ht="18" customHeight="1" x14ac:dyDescent="0.45">
      <c r="A512" s="37"/>
      <c r="B512" s="29"/>
      <c r="C512" s="29"/>
      <c r="D512" s="28"/>
      <c r="E512" s="30" t="str">
        <f>IFERROR(VLOOKUP(D512,KRX종목마스터!$A:$B,2,FALSE),"")</f>
        <v/>
      </c>
      <c r="F512" s="42"/>
      <c r="G512" s="42"/>
      <c r="H512" s="31" t="str">
        <f t="shared" si="21"/>
        <v/>
      </c>
      <c r="I512" s="43">
        <f ca="1">IFERROR(SUMPRODUCT((참고!$A$31:$A$130=C512)*(참고!$B$31:$B$130&lt;=A512)*(참고!$B$31:$B$130=_xludf.MAXIFS(참고!$B$31:$B$130,참고!$A$31:$A$130,C512,참고!$B$31:$B$130,"&lt;="&amp;A512))*참고!$C$31:$C$130)/100,0)</f>
        <v>0</v>
      </c>
      <c r="J512" s="31" t="str">
        <f t="shared" si="22"/>
        <v/>
      </c>
      <c r="K512" s="43">
        <f>IF(B512="매도",IFERROR(SUMPRODUCT((참고!$A$31:$A$130=C512)*(참고!$B$31:$B$130&lt;=A512)*(참고!$B$31:$B$130=_xludf.MAXIFS(참고!$B$31:$B$130,참고!$A$31:$A$130,C512,참고!$B$31:$B$130,"&lt;="&amp;A512))*참고!$D$31:$D$130)/100,0),0)</f>
        <v>0</v>
      </c>
      <c r="L512" s="31" t="str">
        <f t="shared" si="23"/>
        <v/>
      </c>
      <c r="M512" s="39"/>
    </row>
    <row r="513" spans="1:13" ht="18" customHeight="1" x14ac:dyDescent="0.45">
      <c r="A513" s="37"/>
      <c r="B513" s="29"/>
      <c r="C513" s="29"/>
      <c r="D513" s="28"/>
      <c r="E513" s="30" t="str">
        <f>IFERROR(VLOOKUP(D513,KRX종목마스터!$A:$B,2,FALSE),"")</f>
        <v/>
      </c>
      <c r="F513" s="42"/>
      <c r="G513" s="42"/>
      <c r="H513" s="31" t="str">
        <f t="shared" si="21"/>
        <v/>
      </c>
      <c r="I513" s="43">
        <f ca="1">IFERROR(SUMPRODUCT((참고!$A$31:$A$130=C513)*(참고!$B$31:$B$130&lt;=A513)*(참고!$B$31:$B$130=_xludf.MAXIFS(참고!$B$31:$B$130,참고!$A$31:$A$130,C513,참고!$B$31:$B$130,"&lt;="&amp;A513))*참고!$C$31:$C$130)/100,0)</f>
        <v>0</v>
      </c>
      <c r="J513" s="31" t="str">
        <f t="shared" si="22"/>
        <v/>
      </c>
      <c r="K513" s="43">
        <f>IF(B513="매도",IFERROR(SUMPRODUCT((참고!$A$31:$A$130=C513)*(참고!$B$31:$B$130&lt;=A513)*(참고!$B$31:$B$130=_xludf.MAXIFS(참고!$B$31:$B$130,참고!$A$31:$A$130,C513,참고!$B$31:$B$130,"&lt;="&amp;A513))*참고!$D$31:$D$130)/100,0),0)</f>
        <v>0</v>
      </c>
      <c r="L513" s="31" t="str">
        <f t="shared" si="23"/>
        <v/>
      </c>
      <c r="M513" s="39"/>
    </row>
    <row r="514" spans="1:13" ht="18" customHeight="1" x14ac:dyDescent="0.45">
      <c r="A514" s="37"/>
      <c r="B514" s="29"/>
      <c r="C514" s="29"/>
      <c r="D514" s="28"/>
      <c r="E514" s="30" t="str">
        <f>IFERROR(VLOOKUP(D514,KRX종목마스터!$A:$B,2,FALSE),"")</f>
        <v/>
      </c>
      <c r="F514" s="42"/>
      <c r="G514" s="42"/>
      <c r="H514" s="31" t="str">
        <f t="shared" si="21"/>
        <v/>
      </c>
      <c r="I514" s="43">
        <f ca="1">IFERROR(SUMPRODUCT((참고!$A$31:$A$130=C514)*(참고!$B$31:$B$130&lt;=A514)*(참고!$B$31:$B$130=_xludf.MAXIFS(참고!$B$31:$B$130,참고!$A$31:$A$130,C514,참고!$B$31:$B$130,"&lt;="&amp;A514))*참고!$C$31:$C$130)/100,0)</f>
        <v>0</v>
      </c>
      <c r="J514" s="31" t="str">
        <f t="shared" si="22"/>
        <v/>
      </c>
      <c r="K514" s="43">
        <f>IF(B514="매도",IFERROR(SUMPRODUCT((참고!$A$31:$A$130=C514)*(참고!$B$31:$B$130&lt;=A514)*(참고!$B$31:$B$130=_xludf.MAXIFS(참고!$B$31:$B$130,참고!$A$31:$A$130,C514,참고!$B$31:$B$130,"&lt;="&amp;A514))*참고!$D$31:$D$130)/100,0),0)</f>
        <v>0</v>
      </c>
      <c r="L514" s="31" t="str">
        <f t="shared" si="23"/>
        <v/>
      </c>
      <c r="M514" s="39"/>
    </row>
    <row r="515" spans="1:13" ht="18" customHeight="1" x14ac:dyDescent="0.45">
      <c r="A515" s="37"/>
      <c r="B515" s="29"/>
      <c r="C515" s="29"/>
      <c r="D515" s="28"/>
      <c r="E515" s="30" t="str">
        <f>IFERROR(VLOOKUP(D515,KRX종목마스터!$A:$B,2,FALSE),"")</f>
        <v/>
      </c>
      <c r="F515" s="42"/>
      <c r="G515" s="42"/>
      <c r="H515" s="31" t="str">
        <f t="shared" si="21"/>
        <v/>
      </c>
      <c r="I515" s="43">
        <f ca="1">IFERROR(SUMPRODUCT((참고!$A$31:$A$130=C515)*(참고!$B$31:$B$130&lt;=A515)*(참고!$B$31:$B$130=_xludf.MAXIFS(참고!$B$31:$B$130,참고!$A$31:$A$130,C515,참고!$B$31:$B$130,"&lt;="&amp;A515))*참고!$C$31:$C$130)/100,0)</f>
        <v>0</v>
      </c>
      <c r="J515" s="31" t="str">
        <f t="shared" si="22"/>
        <v/>
      </c>
      <c r="K515" s="43">
        <f>IF(B515="매도",IFERROR(SUMPRODUCT((참고!$A$31:$A$130=C515)*(참고!$B$31:$B$130&lt;=A515)*(참고!$B$31:$B$130=_xludf.MAXIFS(참고!$B$31:$B$130,참고!$A$31:$A$130,C515,참고!$B$31:$B$130,"&lt;="&amp;A515))*참고!$D$31:$D$130)/100,0),0)</f>
        <v>0</v>
      </c>
      <c r="L515" s="31" t="str">
        <f t="shared" si="23"/>
        <v/>
      </c>
      <c r="M515" s="39"/>
    </row>
    <row r="516" spans="1:13" ht="18" customHeight="1" x14ac:dyDescent="0.45">
      <c r="A516" s="37"/>
      <c r="B516" s="29"/>
      <c r="C516" s="29"/>
      <c r="D516" s="28"/>
      <c r="E516" s="30" t="str">
        <f>IFERROR(VLOOKUP(D516,KRX종목마스터!$A:$B,2,FALSE),"")</f>
        <v/>
      </c>
      <c r="F516" s="42"/>
      <c r="G516" s="42"/>
      <c r="H516" s="31" t="str">
        <f t="shared" si="21"/>
        <v/>
      </c>
      <c r="I516" s="43">
        <f ca="1">IFERROR(SUMPRODUCT((참고!$A$31:$A$130=C516)*(참고!$B$31:$B$130&lt;=A516)*(참고!$B$31:$B$130=_xludf.MAXIFS(참고!$B$31:$B$130,참고!$A$31:$A$130,C516,참고!$B$31:$B$130,"&lt;="&amp;A516))*참고!$C$31:$C$130)/100,0)</f>
        <v>0</v>
      </c>
      <c r="J516" s="31" t="str">
        <f t="shared" si="22"/>
        <v/>
      </c>
      <c r="K516" s="43">
        <f>IF(B516="매도",IFERROR(SUMPRODUCT((참고!$A$31:$A$130=C516)*(참고!$B$31:$B$130&lt;=A516)*(참고!$B$31:$B$130=_xludf.MAXIFS(참고!$B$31:$B$130,참고!$A$31:$A$130,C516,참고!$B$31:$B$130,"&lt;="&amp;A516))*참고!$D$31:$D$130)/100,0),0)</f>
        <v>0</v>
      </c>
      <c r="L516" s="31" t="str">
        <f t="shared" si="23"/>
        <v/>
      </c>
      <c r="M516" s="39"/>
    </row>
    <row r="517" spans="1:13" ht="18" customHeight="1" x14ac:dyDescent="0.45">
      <c r="A517" s="37"/>
      <c r="B517" s="29"/>
      <c r="C517" s="29"/>
      <c r="D517" s="28"/>
      <c r="E517" s="30" t="str">
        <f>IFERROR(VLOOKUP(D517,KRX종목마스터!$A:$B,2,FALSE),"")</f>
        <v/>
      </c>
      <c r="F517" s="42"/>
      <c r="G517" s="42"/>
      <c r="H517" s="31" t="str">
        <f t="shared" ref="H517:H580" si="24">IF(AND(F517&lt;&gt;"",G517&lt;&gt;""),F517*G517,"")</f>
        <v/>
      </c>
      <c r="I517" s="43">
        <f ca="1">IFERROR(SUMPRODUCT((참고!$A$31:$A$130=C517)*(참고!$B$31:$B$130&lt;=A517)*(참고!$B$31:$B$130=_xludf.MAXIFS(참고!$B$31:$B$130,참고!$A$31:$A$130,C517,참고!$B$31:$B$130,"&lt;="&amp;A517))*참고!$C$31:$C$130)/100,0)</f>
        <v>0</v>
      </c>
      <c r="J517" s="31" t="str">
        <f t="shared" ref="J517:J580" si="25">IF(H517="","",ROUND(H517*I517,0))</f>
        <v/>
      </c>
      <c r="K517" s="43">
        <f>IF(B517="매도",IFERROR(SUMPRODUCT((참고!$A$31:$A$130=C517)*(참고!$B$31:$B$130&lt;=A517)*(참고!$B$31:$B$130=_xludf.MAXIFS(참고!$B$31:$B$130,참고!$A$31:$A$130,C517,참고!$B$31:$B$130,"&lt;="&amp;A517))*참고!$D$31:$D$130)/100,0),0)</f>
        <v>0</v>
      </c>
      <c r="L517" s="31" t="str">
        <f t="shared" ref="L517:L580" si="26">IF(H517="","",ROUND(H517*K517,0))</f>
        <v/>
      </c>
      <c r="M517" s="39"/>
    </row>
    <row r="518" spans="1:13" ht="18" customHeight="1" x14ac:dyDescent="0.45">
      <c r="A518" s="37"/>
      <c r="B518" s="29"/>
      <c r="C518" s="29"/>
      <c r="D518" s="28"/>
      <c r="E518" s="30" t="str">
        <f>IFERROR(VLOOKUP(D518,KRX종목마스터!$A:$B,2,FALSE),"")</f>
        <v/>
      </c>
      <c r="F518" s="42"/>
      <c r="G518" s="42"/>
      <c r="H518" s="31" t="str">
        <f t="shared" si="24"/>
        <v/>
      </c>
      <c r="I518" s="43">
        <f ca="1">IFERROR(SUMPRODUCT((참고!$A$31:$A$130=C518)*(참고!$B$31:$B$130&lt;=A518)*(참고!$B$31:$B$130=_xludf.MAXIFS(참고!$B$31:$B$130,참고!$A$31:$A$130,C518,참고!$B$31:$B$130,"&lt;="&amp;A518))*참고!$C$31:$C$130)/100,0)</f>
        <v>0</v>
      </c>
      <c r="J518" s="31" t="str">
        <f t="shared" si="25"/>
        <v/>
      </c>
      <c r="K518" s="43">
        <f>IF(B518="매도",IFERROR(SUMPRODUCT((참고!$A$31:$A$130=C518)*(참고!$B$31:$B$130&lt;=A518)*(참고!$B$31:$B$130=_xludf.MAXIFS(참고!$B$31:$B$130,참고!$A$31:$A$130,C518,참고!$B$31:$B$130,"&lt;="&amp;A518))*참고!$D$31:$D$130)/100,0),0)</f>
        <v>0</v>
      </c>
      <c r="L518" s="31" t="str">
        <f t="shared" si="26"/>
        <v/>
      </c>
      <c r="M518" s="39"/>
    </row>
    <row r="519" spans="1:13" ht="18" customHeight="1" x14ac:dyDescent="0.45">
      <c r="A519" s="37"/>
      <c r="B519" s="29"/>
      <c r="C519" s="29"/>
      <c r="D519" s="28"/>
      <c r="E519" s="30" t="str">
        <f>IFERROR(VLOOKUP(D519,KRX종목마스터!$A:$B,2,FALSE),"")</f>
        <v/>
      </c>
      <c r="F519" s="42"/>
      <c r="G519" s="42"/>
      <c r="H519" s="31" t="str">
        <f t="shared" si="24"/>
        <v/>
      </c>
      <c r="I519" s="43">
        <f ca="1">IFERROR(SUMPRODUCT((참고!$A$31:$A$130=C519)*(참고!$B$31:$B$130&lt;=A519)*(참고!$B$31:$B$130=_xludf.MAXIFS(참고!$B$31:$B$130,참고!$A$31:$A$130,C519,참고!$B$31:$B$130,"&lt;="&amp;A519))*참고!$C$31:$C$130)/100,0)</f>
        <v>0</v>
      </c>
      <c r="J519" s="31" t="str">
        <f t="shared" si="25"/>
        <v/>
      </c>
      <c r="K519" s="43">
        <f>IF(B519="매도",IFERROR(SUMPRODUCT((참고!$A$31:$A$130=C519)*(참고!$B$31:$B$130&lt;=A519)*(참고!$B$31:$B$130=_xludf.MAXIFS(참고!$B$31:$B$130,참고!$A$31:$A$130,C519,참고!$B$31:$B$130,"&lt;="&amp;A519))*참고!$D$31:$D$130)/100,0),0)</f>
        <v>0</v>
      </c>
      <c r="L519" s="31" t="str">
        <f t="shared" si="26"/>
        <v/>
      </c>
      <c r="M519" s="39"/>
    </row>
    <row r="520" spans="1:13" ht="18" customHeight="1" x14ac:dyDescent="0.45">
      <c r="A520" s="37"/>
      <c r="B520" s="29"/>
      <c r="C520" s="29"/>
      <c r="D520" s="28"/>
      <c r="E520" s="30" t="str">
        <f>IFERROR(VLOOKUP(D520,KRX종목마스터!$A:$B,2,FALSE),"")</f>
        <v/>
      </c>
      <c r="F520" s="42"/>
      <c r="G520" s="42"/>
      <c r="H520" s="31" t="str">
        <f t="shared" si="24"/>
        <v/>
      </c>
      <c r="I520" s="43">
        <f ca="1">IFERROR(SUMPRODUCT((참고!$A$31:$A$130=C520)*(참고!$B$31:$B$130&lt;=A520)*(참고!$B$31:$B$130=_xludf.MAXIFS(참고!$B$31:$B$130,참고!$A$31:$A$130,C520,참고!$B$31:$B$130,"&lt;="&amp;A520))*참고!$C$31:$C$130)/100,0)</f>
        <v>0</v>
      </c>
      <c r="J520" s="31" t="str">
        <f t="shared" si="25"/>
        <v/>
      </c>
      <c r="K520" s="43">
        <f>IF(B520="매도",IFERROR(SUMPRODUCT((참고!$A$31:$A$130=C520)*(참고!$B$31:$B$130&lt;=A520)*(참고!$B$31:$B$130=_xludf.MAXIFS(참고!$B$31:$B$130,참고!$A$31:$A$130,C520,참고!$B$31:$B$130,"&lt;="&amp;A520))*참고!$D$31:$D$130)/100,0),0)</f>
        <v>0</v>
      </c>
      <c r="L520" s="31" t="str">
        <f t="shared" si="26"/>
        <v/>
      </c>
      <c r="M520" s="39"/>
    </row>
    <row r="521" spans="1:13" ht="18" customHeight="1" x14ac:dyDescent="0.45">
      <c r="A521" s="37"/>
      <c r="B521" s="29"/>
      <c r="C521" s="29"/>
      <c r="D521" s="28"/>
      <c r="E521" s="30" t="str">
        <f>IFERROR(VLOOKUP(D521,KRX종목마스터!$A:$B,2,FALSE),"")</f>
        <v/>
      </c>
      <c r="F521" s="42"/>
      <c r="G521" s="42"/>
      <c r="H521" s="31" t="str">
        <f t="shared" si="24"/>
        <v/>
      </c>
      <c r="I521" s="43">
        <f ca="1">IFERROR(SUMPRODUCT((참고!$A$31:$A$130=C521)*(참고!$B$31:$B$130&lt;=A521)*(참고!$B$31:$B$130=_xludf.MAXIFS(참고!$B$31:$B$130,참고!$A$31:$A$130,C521,참고!$B$31:$B$130,"&lt;="&amp;A521))*참고!$C$31:$C$130)/100,0)</f>
        <v>0</v>
      </c>
      <c r="J521" s="31" t="str">
        <f t="shared" si="25"/>
        <v/>
      </c>
      <c r="K521" s="43">
        <f>IF(B521="매도",IFERROR(SUMPRODUCT((참고!$A$31:$A$130=C521)*(참고!$B$31:$B$130&lt;=A521)*(참고!$B$31:$B$130=_xludf.MAXIFS(참고!$B$31:$B$130,참고!$A$31:$A$130,C521,참고!$B$31:$B$130,"&lt;="&amp;A521))*참고!$D$31:$D$130)/100,0),0)</f>
        <v>0</v>
      </c>
      <c r="L521" s="31" t="str">
        <f t="shared" si="26"/>
        <v/>
      </c>
      <c r="M521" s="39"/>
    </row>
    <row r="522" spans="1:13" ht="18" customHeight="1" x14ac:dyDescent="0.45">
      <c r="A522" s="37"/>
      <c r="B522" s="29"/>
      <c r="C522" s="29"/>
      <c r="D522" s="28"/>
      <c r="E522" s="30" t="str">
        <f>IFERROR(VLOOKUP(D522,KRX종목마스터!$A:$B,2,FALSE),"")</f>
        <v/>
      </c>
      <c r="F522" s="42"/>
      <c r="G522" s="42"/>
      <c r="H522" s="31" t="str">
        <f t="shared" si="24"/>
        <v/>
      </c>
      <c r="I522" s="43">
        <f ca="1">IFERROR(SUMPRODUCT((참고!$A$31:$A$130=C522)*(참고!$B$31:$B$130&lt;=A522)*(참고!$B$31:$B$130=_xludf.MAXIFS(참고!$B$31:$B$130,참고!$A$31:$A$130,C522,참고!$B$31:$B$130,"&lt;="&amp;A522))*참고!$C$31:$C$130)/100,0)</f>
        <v>0</v>
      </c>
      <c r="J522" s="31" t="str">
        <f t="shared" si="25"/>
        <v/>
      </c>
      <c r="K522" s="43">
        <f>IF(B522="매도",IFERROR(SUMPRODUCT((참고!$A$31:$A$130=C522)*(참고!$B$31:$B$130&lt;=A522)*(참고!$B$31:$B$130=_xludf.MAXIFS(참고!$B$31:$B$130,참고!$A$31:$A$130,C522,참고!$B$31:$B$130,"&lt;="&amp;A522))*참고!$D$31:$D$130)/100,0),0)</f>
        <v>0</v>
      </c>
      <c r="L522" s="31" t="str">
        <f t="shared" si="26"/>
        <v/>
      </c>
      <c r="M522" s="39"/>
    </row>
    <row r="523" spans="1:13" ht="18" customHeight="1" x14ac:dyDescent="0.45">
      <c r="A523" s="37"/>
      <c r="B523" s="29"/>
      <c r="C523" s="29"/>
      <c r="D523" s="28"/>
      <c r="E523" s="30" t="str">
        <f>IFERROR(VLOOKUP(D523,KRX종목마스터!$A:$B,2,FALSE),"")</f>
        <v/>
      </c>
      <c r="F523" s="42"/>
      <c r="G523" s="42"/>
      <c r="H523" s="31" t="str">
        <f t="shared" si="24"/>
        <v/>
      </c>
      <c r="I523" s="43">
        <f ca="1">IFERROR(SUMPRODUCT((참고!$A$31:$A$130=C523)*(참고!$B$31:$B$130&lt;=A523)*(참고!$B$31:$B$130=_xludf.MAXIFS(참고!$B$31:$B$130,참고!$A$31:$A$130,C523,참고!$B$31:$B$130,"&lt;="&amp;A523))*참고!$C$31:$C$130)/100,0)</f>
        <v>0</v>
      </c>
      <c r="J523" s="31" t="str">
        <f t="shared" si="25"/>
        <v/>
      </c>
      <c r="K523" s="43">
        <f>IF(B523="매도",IFERROR(SUMPRODUCT((참고!$A$31:$A$130=C523)*(참고!$B$31:$B$130&lt;=A523)*(참고!$B$31:$B$130=_xludf.MAXIFS(참고!$B$31:$B$130,참고!$A$31:$A$130,C523,참고!$B$31:$B$130,"&lt;="&amp;A523))*참고!$D$31:$D$130)/100,0),0)</f>
        <v>0</v>
      </c>
      <c r="L523" s="31" t="str">
        <f t="shared" si="26"/>
        <v/>
      </c>
      <c r="M523" s="39"/>
    </row>
    <row r="524" spans="1:13" ht="18" customHeight="1" x14ac:dyDescent="0.45">
      <c r="A524" s="37"/>
      <c r="B524" s="29"/>
      <c r="C524" s="29"/>
      <c r="D524" s="28"/>
      <c r="E524" s="30" t="str">
        <f>IFERROR(VLOOKUP(D524,KRX종목마스터!$A:$B,2,FALSE),"")</f>
        <v/>
      </c>
      <c r="F524" s="42"/>
      <c r="G524" s="42"/>
      <c r="H524" s="31" t="str">
        <f t="shared" si="24"/>
        <v/>
      </c>
      <c r="I524" s="43">
        <f ca="1">IFERROR(SUMPRODUCT((참고!$A$31:$A$130=C524)*(참고!$B$31:$B$130&lt;=A524)*(참고!$B$31:$B$130=_xludf.MAXIFS(참고!$B$31:$B$130,참고!$A$31:$A$130,C524,참고!$B$31:$B$130,"&lt;="&amp;A524))*참고!$C$31:$C$130)/100,0)</f>
        <v>0</v>
      </c>
      <c r="J524" s="31" t="str">
        <f t="shared" si="25"/>
        <v/>
      </c>
      <c r="K524" s="43">
        <f>IF(B524="매도",IFERROR(SUMPRODUCT((참고!$A$31:$A$130=C524)*(참고!$B$31:$B$130&lt;=A524)*(참고!$B$31:$B$130=_xludf.MAXIFS(참고!$B$31:$B$130,참고!$A$31:$A$130,C524,참고!$B$31:$B$130,"&lt;="&amp;A524))*참고!$D$31:$D$130)/100,0),0)</f>
        <v>0</v>
      </c>
      <c r="L524" s="31" t="str">
        <f t="shared" si="26"/>
        <v/>
      </c>
      <c r="M524" s="39"/>
    </row>
    <row r="525" spans="1:13" ht="18" customHeight="1" x14ac:dyDescent="0.45">
      <c r="A525" s="37"/>
      <c r="B525" s="29"/>
      <c r="C525" s="29"/>
      <c r="D525" s="28"/>
      <c r="E525" s="30" t="str">
        <f>IFERROR(VLOOKUP(D525,KRX종목마스터!$A:$B,2,FALSE),"")</f>
        <v/>
      </c>
      <c r="F525" s="42"/>
      <c r="G525" s="42"/>
      <c r="H525" s="31" t="str">
        <f t="shared" si="24"/>
        <v/>
      </c>
      <c r="I525" s="43">
        <f ca="1">IFERROR(SUMPRODUCT((참고!$A$31:$A$130=C525)*(참고!$B$31:$B$130&lt;=A525)*(참고!$B$31:$B$130=_xludf.MAXIFS(참고!$B$31:$B$130,참고!$A$31:$A$130,C525,참고!$B$31:$B$130,"&lt;="&amp;A525))*참고!$C$31:$C$130)/100,0)</f>
        <v>0</v>
      </c>
      <c r="J525" s="31" t="str">
        <f t="shared" si="25"/>
        <v/>
      </c>
      <c r="K525" s="43">
        <f>IF(B525="매도",IFERROR(SUMPRODUCT((참고!$A$31:$A$130=C525)*(참고!$B$31:$B$130&lt;=A525)*(참고!$B$31:$B$130=_xludf.MAXIFS(참고!$B$31:$B$130,참고!$A$31:$A$130,C525,참고!$B$31:$B$130,"&lt;="&amp;A525))*참고!$D$31:$D$130)/100,0),0)</f>
        <v>0</v>
      </c>
      <c r="L525" s="31" t="str">
        <f t="shared" si="26"/>
        <v/>
      </c>
      <c r="M525" s="39"/>
    </row>
    <row r="526" spans="1:13" ht="18" customHeight="1" x14ac:dyDescent="0.45">
      <c r="A526" s="37"/>
      <c r="B526" s="29"/>
      <c r="C526" s="29"/>
      <c r="D526" s="28"/>
      <c r="E526" s="30" t="str">
        <f>IFERROR(VLOOKUP(D526,KRX종목마스터!$A:$B,2,FALSE),"")</f>
        <v/>
      </c>
      <c r="F526" s="42"/>
      <c r="G526" s="42"/>
      <c r="H526" s="31" t="str">
        <f t="shared" si="24"/>
        <v/>
      </c>
      <c r="I526" s="43">
        <f ca="1">IFERROR(SUMPRODUCT((참고!$A$31:$A$130=C526)*(참고!$B$31:$B$130&lt;=A526)*(참고!$B$31:$B$130=_xludf.MAXIFS(참고!$B$31:$B$130,참고!$A$31:$A$130,C526,참고!$B$31:$B$130,"&lt;="&amp;A526))*참고!$C$31:$C$130)/100,0)</f>
        <v>0</v>
      </c>
      <c r="J526" s="31" t="str">
        <f t="shared" si="25"/>
        <v/>
      </c>
      <c r="K526" s="43">
        <f>IF(B526="매도",IFERROR(SUMPRODUCT((참고!$A$31:$A$130=C526)*(참고!$B$31:$B$130&lt;=A526)*(참고!$B$31:$B$130=_xludf.MAXIFS(참고!$B$31:$B$130,참고!$A$31:$A$130,C526,참고!$B$31:$B$130,"&lt;="&amp;A526))*참고!$D$31:$D$130)/100,0),0)</f>
        <v>0</v>
      </c>
      <c r="L526" s="31" t="str">
        <f t="shared" si="26"/>
        <v/>
      </c>
      <c r="M526" s="39"/>
    </row>
    <row r="527" spans="1:13" ht="18" customHeight="1" x14ac:dyDescent="0.45">
      <c r="A527" s="37"/>
      <c r="B527" s="29"/>
      <c r="C527" s="29"/>
      <c r="D527" s="28"/>
      <c r="E527" s="30" t="str">
        <f>IFERROR(VLOOKUP(D527,KRX종목마스터!$A:$B,2,FALSE),"")</f>
        <v/>
      </c>
      <c r="F527" s="42"/>
      <c r="G527" s="42"/>
      <c r="H527" s="31" t="str">
        <f t="shared" si="24"/>
        <v/>
      </c>
      <c r="I527" s="43">
        <f ca="1">IFERROR(SUMPRODUCT((참고!$A$31:$A$130=C527)*(참고!$B$31:$B$130&lt;=A527)*(참고!$B$31:$B$130=_xludf.MAXIFS(참고!$B$31:$B$130,참고!$A$31:$A$130,C527,참고!$B$31:$B$130,"&lt;="&amp;A527))*참고!$C$31:$C$130)/100,0)</f>
        <v>0</v>
      </c>
      <c r="J527" s="31" t="str">
        <f t="shared" si="25"/>
        <v/>
      </c>
      <c r="K527" s="43">
        <f>IF(B527="매도",IFERROR(SUMPRODUCT((참고!$A$31:$A$130=C527)*(참고!$B$31:$B$130&lt;=A527)*(참고!$B$31:$B$130=_xludf.MAXIFS(참고!$B$31:$B$130,참고!$A$31:$A$130,C527,참고!$B$31:$B$130,"&lt;="&amp;A527))*참고!$D$31:$D$130)/100,0),0)</f>
        <v>0</v>
      </c>
      <c r="L527" s="31" t="str">
        <f t="shared" si="26"/>
        <v/>
      </c>
      <c r="M527" s="39"/>
    </row>
    <row r="528" spans="1:13" ht="18" customHeight="1" x14ac:dyDescent="0.45">
      <c r="A528" s="37"/>
      <c r="B528" s="29"/>
      <c r="C528" s="29"/>
      <c r="D528" s="28"/>
      <c r="E528" s="30" t="str">
        <f>IFERROR(VLOOKUP(D528,KRX종목마스터!$A:$B,2,FALSE),"")</f>
        <v/>
      </c>
      <c r="F528" s="42"/>
      <c r="G528" s="42"/>
      <c r="H528" s="31" t="str">
        <f t="shared" si="24"/>
        <v/>
      </c>
      <c r="I528" s="43">
        <f ca="1">IFERROR(SUMPRODUCT((참고!$A$31:$A$130=C528)*(참고!$B$31:$B$130&lt;=A528)*(참고!$B$31:$B$130=_xludf.MAXIFS(참고!$B$31:$B$130,참고!$A$31:$A$130,C528,참고!$B$31:$B$130,"&lt;="&amp;A528))*참고!$C$31:$C$130)/100,0)</f>
        <v>0</v>
      </c>
      <c r="J528" s="31" t="str">
        <f t="shared" si="25"/>
        <v/>
      </c>
      <c r="K528" s="43">
        <f>IF(B528="매도",IFERROR(SUMPRODUCT((참고!$A$31:$A$130=C528)*(참고!$B$31:$B$130&lt;=A528)*(참고!$B$31:$B$130=_xludf.MAXIFS(참고!$B$31:$B$130,참고!$A$31:$A$130,C528,참고!$B$31:$B$130,"&lt;="&amp;A528))*참고!$D$31:$D$130)/100,0),0)</f>
        <v>0</v>
      </c>
      <c r="L528" s="31" t="str">
        <f t="shared" si="26"/>
        <v/>
      </c>
      <c r="M528" s="39"/>
    </row>
    <row r="529" spans="1:13" ht="18" customHeight="1" x14ac:dyDescent="0.45">
      <c r="A529" s="37"/>
      <c r="B529" s="29"/>
      <c r="C529" s="29"/>
      <c r="D529" s="28"/>
      <c r="E529" s="30" t="str">
        <f>IFERROR(VLOOKUP(D529,KRX종목마스터!$A:$B,2,FALSE),"")</f>
        <v/>
      </c>
      <c r="F529" s="42"/>
      <c r="G529" s="42"/>
      <c r="H529" s="31" t="str">
        <f t="shared" si="24"/>
        <v/>
      </c>
      <c r="I529" s="43">
        <f ca="1">IFERROR(SUMPRODUCT((참고!$A$31:$A$130=C529)*(참고!$B$31:$B$130&lt;=A529)*(참고!$B$31:$B$130=_xludf.MAXIFS(참고!$B$31:$B$130,참고!$A$31:$A$130,C529,참고!$B$31:$B$130,"&lt;="&amp;A529))*참고!$C$31:$C$130)/100,0)</f>
        <v>0</v>
      </c>
      <c r="J529" s="31" t="str">
        <f t="shared" si="25"/>
        <v/>
      </c>
      <c r="K529" s="43">
        <f>IF(B529="매도",IFERROR(SUMPRODUCT((참고!$A$31:$A$130=C529)*(참고!$B$31:$B$130&lt;=A529)*(참고!$B$31:$B$130=_xludf.MAXIFS(참고!$B$31:$B$130,참고!$A$31:$A$130,C529,참고!$B$31:$B$130,"&lt;="&amp;A529))*참고!$D$31:$D$130)/100,0),0)</f>
        <v>0</v>
      </c>
      <c r="L529" s="31" t="str">
        <f t="shared" si="26"/>
        <v/>
      </c>
      <c r="M529" s="39"/>
    </row>
    <row r="530" spans="1:13" ht="18" customHeight="1" x14ac:dyDescent="0.45">
      <c r="A530" s="37"/>
      <c r="B530" s="29"/>
      <c r="C530" s="29"/>
      <c r="D530" s="28"/>
      <c r="E530" s="30" t="str">
        <f>IFERROR(VLOOKUP(D530,KRX종목마스터!$A:$B,2,FALSE),"")</f>
        <v/>
      </c>
      <c r="F530" s="42"/>
      <c r="G530" s="42"/>
      <c r="H530" s="31" t="str">
        <f t="shared" si="24"/>
        <v/>
      </c>
      <c r="I530" s="43">
        <f ca="1">IFERROR(SUMPRODUCT((참고!$A$31:$A$130=C530)*(참고!$B$31:$B$130&lt;=A530)*(참고!$B$31:$B$130=_xludf.MAXIFS(참고!$B$31:$B$130,참고!$A$31:$A$130,C530,참고!$B$31:$B$130,"&lt;="&amp;A530))*참고!$C$31:$C$130)/100,0)</f>
        <v>0</v>
      </c>
      <c r="J530" s="31" t="str">
        <f t="shared" si="25"/>
        <v/>
      </c>
      <c r="K530" s="43">
        <f>IF(B530="매도",IFERROR(SUMPRODUCT((참고!$A$31:$A$130=C530)*(참고!$B$31:$B$130&lt;=A530)*(참고!$B$31:$B$130=_xludf.MAXIFS(참고!$B$31:$B$130,참고!$A$31:$A$130,C530,참고!$B$31:$B$130,"&lt;="&amp;A530))*참고!$D$31:$D$130)/100,0),0)</f>
        <v>0</v>
      </c>
      <c r="L530" s="31" t="str">
        <f t="shared" si="26"/>
        <v/>
      </c>
      <c r="M530" s="39"/>
    </row>
    <row r="531" spans="1:13" ht="18" customHeight="1" x14ac:dyDescent="0.45">
      <c r="A531" s="37"/>
      <c r="B531" s="29"/>
      <c r="C531" s="29"/>
      <c r="D531" s="28"/>
      <c r="E531" s="30" t="str">
        <f>IFERROR(VLOOKUP(D531,KRX종목마스터!$A:$B,2,FALSE),"")</f>
        <v/>
      </c>
      <c r="F531" s="42"/>
      <c r="G531" s="42"/>
      <c r="H531" s="31" t="str">
        <f t="shared" si="24"/>
        <v/>
      </c>
      <c r="I531" s="43">
        <f ca="1">IFERROR(SUMPRODUCT((참고!$A$31:$A$130=C531)*(참고!$B$31:$B$130&lt;=A531)*(참고!$B$31:$B$130=_xludf.MAXIFS(참고!$B$31:$B$130,참고!$A$31:$A$130,C531,참고!$B$31:$B$130,"&lt;="&amp;A531))*참고!$C$31:$C$130)/100,0)</f>
        <v>0</v>
      </c>
      <c r="J531" s="31" t="str">
        <f t="shared" si="25"/>
        <v/>
      </c>
      <c r="K531" s="43">
        <f>IF(B531="매도",IFERROR(SUMPRODUCT((참고!$A$31:$A$130=C531)*(참고!$B$31:$B$130&lt;=A531)*(참고!$B$31:$B$130=_xludf.MAXIFS(참고!$B$31:$B$130,참고!$A$31:$A$130,C531,참고!$B$31:$B$130,"&lt;="&amp;A531))*참고!$D$31:$D$130)/100,0),0)</f>
        <v>0</v>
      </c>
      <c r="L531" s="31" t="str">
        <f t="shared" si="26"/>
        <v/>
      </c>
      <c r="M531" s="39"/>
    </row>
    <row r="532" spans="1:13" ht="18" customHeight="1" x14ac:dyDescent="0.45">
      <c r="A532" s="37"/>
      <c r="B532" s="29"/>
      <c r="C532" s="29"/>
      <c r="D532" s="28"/>
      <c r="E532" s="30" t="str">
        <f>IFERROR(VLOOKUP(D532,KRX종목마스터!$A:$B,2,FALSE),"")</f>
        <v/>
      </c>
      <c r="F532" s="42"/>
      <c r="G532" s="42"/>
      <c r="H532" s="31" t="str">
        <f t="shared" si="24"/>
        <v/>
      </c>
      <c r="I532" s="43">
        <f ca="1">IFERROR(SUMPRODUCT((참고!$A$31:$A$130=C532)*(참고!$B$31:$B$130&lt;=A532)*(참고!$B$31:$B$130=_xludf.MAXIFS(참고!$B$31:$B$130,참고!$A$31:$A$130,C532,참고!$B$31:$B$130,"&lt;="&amp;A532))*참고!$C$31:$C$130)/100,0)</f>
        <v>0</v>
      </c>
      <c r="J532" s="31" t="str">
        <f t="shared" si="25"/>
        <v/>
      </c>
      <c r="K532" s="43">
        <f>IF(B532="매도",IFERROR(SUMPRODUCT((참고!$A$31:$A$130=C532)*(참고!$B$31:$B$130&lt;=A532)*(참고!$B$31:$B$130=_xludf.MAXIFS(참고!$B$31:$B$130,참고!$A$31:$A$130,C532,참고!$B$31:$B$130,"&lt;="&amp;A532))*참고!$D$31:$D$130)/100,0),0)</f>
        <v>0</v>
      </c>
      <c r="L532" s="31" t="str">
        <f t="shared" si="26"/>
        <v/>
      </c>
      <c r="M532" s="39"/>
    </row>
    <row r="533" spans="1:13" ht="18" customHeight="1" x14ac:dyDescent="0.45">
      <c r="A533" s="37"/>
      <c r="B533" s="29"/>
      <c r="C533" s="29"/>
      <c r="D533" s="28"/>
      <c r="E533" s="30" t="str">
        <f>IFERROR(VLOOKUP(D533,KRX종목마스터!$A:$B,2,FALSE),"")</f>
        <v/>
      </c>
      <c r="F533" s="42"/>
      <c r="G533" s="42"/>
      <c r="H533" s="31" t="str">
        <f t="shared" si="24"/>
        <v/>
      </c>
      <c r="I533" s="43">
        <f ca="1">IFERROR(SUMPRODUCT((참고!$A$31:$A$130=C533)*(참고!$B$31:$B$130&lt;=A533)*(참고!$B$31:$B$130=_xludf.MAXIFS(참고!$B$31:$B$130,참고!$A$31:$A$130,C533,참고!$B$31:$B$130,"&lt;="&amp;A533))*참고!$C$31:$C$130)/100,0)</f>
        <v>0</v>
      </c>
      <c r="J533" s="31" t="str">
        <f t="shared" si="25"/>
        <v/>
      </c>
      <c r="K533" s="43">
        <f>IF(B533="매도",IFERROR(SUMPRODUCT((참고!$A$31:$A$130=C533)*(참고!$B$31:$B$130&lt;=A533)*(참고!$B$31:$B$130=_xludf.MAXIFS(참고!$B$31:$B$130,참고!$A$31:$A$130,C533,참고!$B$31:$B$130,"&lt;="&amp;A533))*참고!$D$31:$D$130)/100,0),0)</f>
        <v>0</v>
      </c>
      <c r="L533" s="31" t="str">
        <f t="shared" si="26"/>
        <v/>
      </c>
      <c r="M533" s="39"/>
    </row>
    <row r="534" spans="1:13" ht="18" customHeight="1" x14ac:dyDescent="0.45">
      <c r="A534" s="37"/>
      <c r="B534" s="29"/>
      <c r="C534" s="29"/>
      <c r="D534" s="28"/>
      <c r="E534" s="30" t="str">
        <f>IFERROR(VLOOKUP(D534,KRX종목마스터!$A:$B,2,FALSE),"")</f>
        <v/>
      </c>
      <c r="F534" s="42"/>
      <c r="G534" s="42"/>
      <c r="H534" s="31" t="str">
        <f t="shared" si="24"/>
        <v/>
      </c>
      <c r="I534" s="43">
        <f ca="1">IFERROR(SUMPRODUCT((참고!$A$31:$A$130=C534)*(참고!$B$31:$B$130&lt;=A534)*(참고!$B$31:$B$130=_xludf.MAXIFS(참고!$B$31:$B$130,참고!$A$31:$A$130,C534,참고!$B$31:$B$130,"&lt;="&amp;A534))*참고!$C$31:$C$130)/100,0)</f>
        <v>0</v>
      </c>
      <c r="J534" s="31" t="str">
        <f t="shared" si="25"/>
        <v/>
      </c>
      <c r="K534" s="43">
        <f>IF(B534="매도",IFERROR(SUMPRODUCT((참고!$A$31:$A$130=C534)*(참고!$B$31:$B$130&lt;=A534)*(참고!$B$31:$B$130=_xludf.MAXIFS(참고!$B$31:$B$130,참고!$A$31:$A$130,C534,참고!$B$31:$B$130,"&lt;="&amp;A534))*참고!$D$31:$D$130)/100,0),0)</f>
        <v>0</v>
      </c>
      <c r="L534" s="31" t="str">
        <f t="shared" si="26"/>
        <v/>
      </c>
      <c r="M534" s="39"/>
    </row>
    <row r="535" spans="1:13" ht="18" customHeight="1" x14ac:dyDescent="0.45">
      <c r="A535" s="37"/>
      <c r="B535" s="29"/>
      <c r="C535" s="29"/>
      <c r="D535" s="28"/>
      <c r="E535" s="30" t="str">
        <f>IFERROR(VLOOKUP(D535,KRX종목마스터!$A:$B,2,FALSE),"")</f>
        <v/>
      </c>
      <c r="F535" s="42"/>
      <c r="G535" s="42"/>
      <c r="H535" s="31" t="str">
        <f t="shared" si="24"/>
        <v/>
      </c>
      <c r="I535" s="43">
        <f ca="1">IFERROR(SUMPRODUCT((참고!$A$31:$A$130=C535)*(참고!$B$31:$B$130&lt;=A535)*(참고!$B$31:$B$130=_xludf.MAXIFS(참고!$B$31:$B$130,참고!$A$31:$A$130,C535,참고!$B$31:$B$130,"&lt;="&amp;A535))*참고!$C$31:$C$130)/100,0)</f>
        <v>0</v>
      </c>
      <c r="J535" s="31" t="str">
        <f t="shared" si="25"/>
        <v/>
      </c>
      <c r="K535" s="43">
        <f>IF(B535="매도",IFERROR(SUMPRODUCT((참고!$A$31:$A$130=C535)*(참고!$B$31:$B$130&lt;=A535)*(참고!$B$31:$B$130=_xludf.MAXIFS(참고!$B$31:$B$130,참고!$A$31:$A$130,C535,참고!$B$31:$B$130,"&lt;="&amp;A535))*참고!$D$31:$D$130)/100,0),0)</f>
        <v>0</v>
      </c>
      <c r="L535" s="31" t="str">
        <f t="shared" si="26"/>
        <v/>
      </c>
      <c r="M535" s="39"/>
    </row>
    <row r="536" spans="1:13" ht="18" customHeight="1" x14ac:dyDescent="0.45">
      <c r="A536" s="37"/>
      <c r="B536" s="29"/>
      <c r="C536" s="29"/>
      <c r="D536" s="28"/>
      <c r="E536" s="30" t="str">
        <f>IFERROR(VLOOKUP(D536,KRX종목마스터!$A:$B,2,FALSE),"")</f>
        <v/>
      </c>
      <c r="F536" s="42"/>
      <c r="G536" s="42"/>
      <c r="H536" s="31" t="str">
        <f t="shared" si="24"/>
        <v/>
      </c>
      <c r="I536" s="43">
        <f ca="1">IFERROR(SUMPRODUCT((참고!$A$31:$A$130=C536)*(참고!$B$31:$B$130&lt;=A536)*(참고!$B$31:$B$130=_xludf.MAXIFS(참고!$B$31:$B$130,참고!$A$31:$A$130,C536,참고!$B$31:$B$130,"&lt;="&amp;A536))*참고!$C$31:$C$130)/100,0)</f>
        <v>0</v>
      </c>
      <c r="J536" s="31" t="str">
        <f t="shared" si="25"/>
        <v/>
      </c>
      <c r="K536" s="43">
        <f>IF(B536="매도",IFERROR(SUMPRODUCT((참고!$A$31:$A$130=C536)*(참고!$B$31:$B$130&lt;=A536)*(참고!$B$31:$B$130=_xludf.MAXIFS(참고!$B$31:$B$130,참고!$A$31:$A$130,C536,참고!$B$31:$B$130,"&lt;="&amp;A536))*참고!$D$31:$D$130)/100,0),0)</f>
        <v>0</v>
      </c>
      <c r="L536" s="31" t="str">
        <f t="shared" si="26"/>
        <v/>
      </c>
      <c r="M536" s="39"/>
    </row>
    <row r="537" spans="1:13" ht="18" customHeight="1" x14ac:dyDescent="0.45">
      <c r="A537" s="37"/>
      <c r="B537" s="29"/>
      <c r="C537" s="29"/>
      <c r="D537" s="28"/>
      <c r="E537" s="30" t="str">
        <f>IFERROR(VLOOKUP(D537,KRX종목마스터!$A:$B,2,FALSE),"")</f>
        <v/>
      </c>
      <c r="F537" s="42"/>
      <c r="G537" s="42"/>
      <c r="H537" s="31" t="str">
        <f t="shared" si="24"/>
        <v/>
      </c>
      <c r="I537" s="43">
        <f ca="1">IFERROR(SUMPRODUCT((참고!$A$31:$A$130=C537)*(참고!$B$31:$B$130&lt;=A537)*(참고!$B$31:$B$130=_xludf.MAXIFS(참고!$B$31:$B$130,참고!$A$31:$A$130,C537,참고!$B$31:$B$130,"&lt;="&amp;A537))*참고!$C$31:$C$130)/100,0)</f>
        <v>0</v>
      </c>
      <c r="J537" s="31" t="str">
        <f t="shared" si="25"/>
        <v/>
      </c>
      <c r="K537" s="43">
        <f>IF(B537="매도",IFERROR(SUMPRODUCT((참고!$A$31:$A$130=C537)*(참고!$B$31:$B$130&lt;=A537)*(참고!$B$31:$B$130=_xludf.MAXIFS(참고!$B$31:$B$130,참고!$A$31:$A$130,C537,참고!$B$31:$B$130,"&lt;="&amp;A537))*참고!$D$31:$D$130)/100,0),0)</f>
        <v>0</v>
      </c>
      <c r="L537" s="31" t="str">
        <f t="shared" si="26"/>
        <v/>
      </c>
      <c r="M537" s="39"/>
    </row>
    <row r="538" spans="1:13" ht="18" customHeight="1" x14ac:dyDescent="0.45">
      <c r="A538" s="37"/>
      <c r="B538" s="29"/>
      <c r="C538" s="29"/>
      <c r="D538" s="28"/>
      <c r="E538" s="30" t="str">
        <f>IFERROR(VLOOKUP(D538,KRX종목마스터!$A:$B,2,FALSE),"")</f>
        <v/>
      </c>
      <c r="F538" s="42"/>
      <c r="G538" s="42"/>
      <c r="H538" s="31" t="str">
        <f t="shared" si="24"/>
        <v/>
      </c>
      <c r="I538" s="43">
        <f ca="1">IFERROR(SUMPRODUCT((참고!$A$31:$A$130=C538)*(참고!$B$31:$B$130&lt;=A538)*(참고!$B$31:$B$130=_xludf.MAXIFS(참고!$B$31:$B$130,참고!$A$31:$A$130,C538,참고!$B$31:$B$130,"&lt;="&amp;A538))*참고!$C$31:$C$130)/100,0)</f>
        <v>0</v>
      </c>
      <c r="J538" s="31" t="str">
        <f t="shared" si="25"/>
        <v/>
      </c>
      <c r="K538" s="43">
        <f>IF(B538="매도",IFERROR(SUMPRODUCT((참고!$A$31:$A$130=C538)*(참고!$B$31:$B$130&lt;=A538)*(참고!$B$31:$B$130=_xludf.MAXIFS(참고!$B$31:$B$130,참고!$A$31:$A$130,C538,참고!$B$31:$B$130,"&lt;="&amp;A538))*참고!$D$31:$D$130)/100,0),0)</f>
        <v>0</v>
      </c>
      <c r="L538" s="31" t="str">
        <f t="shared" si="26"/>
        <v/>
      </c>
      <c r="M538" s="39"/>
    </row>
    <row r="539" spans="1:13" ht="18" customHeight="1" x14ac:dyDescent="0.45">
      <c r="A539" s="37"/>
      <c r="B539" s="29"/>
      <c r="C539" s="29"/>
      <c r="D539" s="28"/>
      <c r="E539" s="30" t="str">
        <f>IFERROR(VLOOKUP(D539,KRX종목마스터!$A:$B,2,FALSE),"")</f>
        <v/>
      </c>
      <c r="F539" s="42"/>
      <c r="G539" s="42"/>
      <c r="H539" s="31" t="str">
        <f t="shared" si="24"/>
        <v/>
      </c>
      <c r="I539" s="43">
        <f ca="1">IFERROR(SUMPRODUCT((참고!$A$31:$A$130=C539)*(참고!$B$31:$B$130&lt;=A539)*(참고!$B$31:$B$130=_xludf.MAXIFS(참고!$B$31:$B$130,참고!$A$31:$A$130,C539,참고!$B$31:$B$130,"&lt;="&amp;A539))*참고!$C$31:$C$130)/100,0)</f>
        <v>0</v>
      </c>
      <c r="J539" s="31" t="str">
        <f t="shared" si="25"/>
        <v/>
      </c>
      <c r="K539" s="43">
        <f>IF(B539="매도",IFERROR(SUMPRODUCT((참고!$A$31:$A$130=C539)*(참고!$B$31:$B$130&lt;=A539)*(참고!$B$31:$B$130=_xludf.MAXIFS(참고!$B$31:$B$130,참고!$A$31:$A$130,C539,참고!$B$31:$B$130,"&lt;="&amp;A539))*참고!$D$31:$D$130)/100,0),0)</f>
        <v>0</v>
      </c>
      <c r="L539" s="31" t="str">
        <f t="shared" si="26"/>
        <v/>
      </c>
      <c r="M539" s="39"/>
    </row>
    <row r="540" spans="1:13" ht="18" customHeight="1" x14ac:dyDescent="0.45">
      <c r="A540" s="37"/>
      <c r="B540" s="29"/>
      <c r="C540" s="29"/>
      <c r="D540" s="28"/>
      <c r="E540" s="30" t="str">
        <f>IFERROR(VLOOKUP(D540,KRX종목마스터!$A:$B,2,FALSE),"")</f>
        <v/>
      </c>
      <c r="F540" s="42"/>
      <c r="G540" s="42"/>
      <c r="H540" s="31" t="str">
        <f t="shared" si="24"/>
        <v/>
      </c>
      <c r="I540" s="43">
        <f ca="1">IFERROR(SUMPRODUCT((참고!$A$31:$A$130=C540)*(참고!$B$31:$B$130&lt;=A540)*(참고!$B$31:$B$130=_xludf.MAXIFS(참고!$B$31:$B$130,참고!$A$31:$A$130,C540,참고!$B$31:$B$130,"&lt;="&amp;A540))*참고!$C$31:$C$130)/100,0)</f>
        <v>0</v>
      </c>
      <c r="J540" s="31" t="str">
        <f t="shared" si="25"/>
        <v/>
      </c>
      <c r="K540" s="43">
        <f>IF(B540="매도",IFERROR(SUMPRODUCT((참고!$A$31:$A$130=C540)*(참고!$B$31:$B$130&lt;=A540)*(참고!$B$31:$B$130=_xludf.MAXIFS(참고!$B$31:$B$130,참고!$A$31:$A$130,C540,참고!$B$31:$B$130,"&lt;="&amp;A540))*참고!$D$31:$D$130)/100,0),0)</f>
        <v>0</v>
      </c>
      <c r="L540" s="31" t="str">
        <f t="shared" si="26"/>
        <v/>
      </c>
      <c r="M540" s="39"/>
    </row>
    <row r="541" spans="1:13" ht="18" customHeight="1" x14ac:dyDescent="0.45">
      <c r="A541" s="37"/>
      <c r="B541" s="29"/>
      <c r="C541" s="29"/>
      <c r="D541" s="28"/>
      <c r="E541" s="30" t="str">
        <f>IFERROR(VLOOKUP(D541,KRX종목마스터!$A:$B,2,FALSE),"")</f>
        <v/>
      </c>
      <c r="F541" s="42"/>
      <c r="G541" s="42"/>
      <c r="H541" s="31" t="str">
        <f t="shared" si="24"/>
        <v/>
      </c>
      <c r="I541" s="43">
        <f ca="1">IFERROR(SUMPRODUCT((참고!$A$31:$A$130=C541)*(참고!$B$31:$B$130&lt;=A541)*(참고!$B$31:$B$130=_xludf.MAXIFS(참고!$B$31:$B$130,참고!$A$31:$A$130,C541,참고!$B$31:$B$130,"&lt;="&amp;A541))*참고!$C$31:$C$130)/100,0)</f>
        <v>0</v>
      </c>
      <c r="J541" s="31" t="str">
        <f t="shared" si="25"/>
        <v/>
      </c>
      <c r="K541" s="43">
        <f>IF(B541="매도",IFERROR(SUMPRODUCT((참고!$A$31:$A$130=C541)*(참고!$B$31:$B$130&lt;=A541)*(참고!$B$31:$B$130=_xludf.MAXIFS(참고!$B$31:$B$130,참고!$A$31:$A$130,C541,참고!$B$31:$B$130,"&lt;="&amp;A541))*참고!$D$31:$D$130)/100,0),0)</f>
        <v>0</v>
      </c>
      <c r="L541" s="31" t="str">
        <f t="shared" si="26"/>
        <v/>
      </c>
      <c r="M541" s="39"/>
    </row>
    <row r="542" spans="1:13" ht="18" customHeight="1" x14ac:dyDescent="0.45">
      <c r="A542" s="37"/>
      <c r="B542" s="29"/>
      <c r="C542" s="29"/>
      <c r="D542" s="28"/>
      <c r="E542" s="30" t="str">
        <f>IFERROR(VLOOKUP(D542,KRX종목마스터!$A:$B,2,FALSE),"")</f>
        <v/>
      </c>
      <c r="F542" s="42"/>
      <c r="G542" s="42"/>
      <c r="H542" s="31" t="str">
        <f t="shared" si="24"/>
        <v/>
      </c>
      <c r="I542" s="43">
        <f ca="1">IFERROR(SUMPRODUCT((참고!$A$31:$A$130=C542)*(참고!$B$31:$B$130&lt;=A542)*(참고!$B$31:$B$130=_xludf.MAXIFS(참고!$B$31:$B$130,참고!$A$31:$A$130,C542,참고!$B$31:$B$130,"&lt;="&amp;A542))*참고!$C$31:$C$130)/100,0)</f>
        <v>0</v>
      </c>
      <c r="J542" s="31" t="str">
        <f t="shared" si="25"/>
        <v/>
      </c>
      <c r="K542" s="43">
        <f>IF(B542="매도",IFERROR(SUMPRODUCT((참고!$A$31:$A$130=C542)*(참고!$B$31:$B$130&lt;=A542)*(참고!$B$31:$B$130=_xludf.MAXIFS(참고!$B$31:$B$130,참고!$A$31:$A$130,C542,참고!$B$31:$B$130,"&lt;="&amp;A542))*참고!$D$31:$D$130)/100,0),0)</f>
        <v>0</v>
      </c>
      <c r="L542" s="31" t="str">
        <f t="shared" si="26"/>
        <v/>
      </c>
      <c r="M542" s="39"/>
    </row>
    <row r="543" spans="1:13" ht="18" customHeight="1" x14ac:dyDescent="0.45">
      <c r="A543" s="37"/>
      <c r="B543" s="29"/>
      <c r="C543" s="29"/>
      <c r="D543" s="28"/>
      <c r="E543" s="30" t="str">
        <f>IFERROR(VLOOKUP(D543,KRX종목마스터!$A:$B,2,FALSE),"")</f>
        <v/>
      </c>
      <c r="F543" s="42"/>
      <c r="G543" s="42"/>
      <c r="H543" s="31" t="str">
        <f t="shared" si="24"/>
        <v/>
      </c>
      <c r="I543" s="43">
        <f ca="1">IFERROR(SUMPRODUCT((참고!$A$31:$A$130=C543)*(참고!$B$31:$B$130&lt;=A543)*(참고!$B$31:$B$130=_xludf.MAXIFS(참고!$B$31:$B$130,참고!$A$31:$A$130,C543,참고!$B$31:$B$130,"&lt;="&amp;A543))*참고!$C$31:$C$130)/100,0)</f>
        <v>0</v>
      </c>
      <c r="J543" s="31" t="str">
        <f t="shared" si="25"/>
        <v/>
      </c>
      <c r="K543" s="43">
        <f>IF(B543="매도",IFERROR(SUMPRODUCT((참고!$A$31:$A$130=C543)*(참고!$B$31:$B$130&lt;=A543)*(참고!$B$31:$B$130=_xludf.MAXIFS(참고!$B$31:$B$130,참고!$A$31:$A$130,C543,참고!$B$31:$B$130,"&lt;="&amp;A543))*참고!$D$31:$D$130)/100,0),0)</f>
        <v>0</v>
      </c>
      <c r="L543" s="31" t="str">
        <f t="shared" si="26"/>
        <v/>
      </c>
      <c r="M543" s="39"/>
    </row>
    <row r="544" spans="1:13" ht="18" customHeight="1" x14ac:dyDescent="0.45">
      <c r="A544" s="37"/>
      <c r="B544" s="29"/>
      <c r="C544" s="29"/>
      <c r="D544" s="28"/>
      <c r="E544" s="30" t="str">
        <f>IFERROR(VLOOKUP(D544,KRX종목마스터!$A:$B,2,FALSE),"")</f>
        <v/>
      </c>
      <c r="F544" s="42"/>
      <c r="G544" s="42"/>
      <c r="H544" s="31" t="str">
        <f t="shared" si="24"/>
        <v/>
      </c>
      <c r="I544" s="43">
        <f ca="1">IFERROR(SUMPRODUCT((참고!$A$31:$A$130=C544)*(참고!$B$31:$B$130&lt;=A544)*(참고!$B$31:$B$130=_xludf.MAXIFS(참고!$B$31:$B$130,참고!$A$31:$A$130,C544,참고!$B$31:$B$130,"&lt;="&amp;A544))*참고!$C$31:$C$130)/100,0)</f>
        <v>0</v>
      </c>
      <c r="J544" s="31" t="str">
        <f t="shared" si="25"/>
        <v/>
      </c>
      <c r="K544" s="43">
        <f>IF(B544="매도",IFERROR(SUMPRODUCT((참고!$A$31:$A$130=C544)*(참고!$B$31:$B$130&lt;=A544)*(참고!$B$31:$B$130=_xludf.MAXIFS(참고!$B$31:$B$130,참고!$A$31:$A$130,C544,참고!$B$31:$B$130,"&lt;="&amp;A544))*참고!$D$31:$D$130)/100,0),0)</f>
        <v>0</v>
      </c>
      <c r="L544" s="31" t="str">
        <f t="shared" si="26"/>
        <v/>
      </c>
      <c r="M544" s="39"/>
    </row>
    <row r="545" spans="1:13" ht="18" customHeight="1" x14ac:dyDescent="0.45">
      <c r="A545" s="37"/>
      <c r="B545" s="29"/>
      <c r="C545" s="29"/>
      <c r="D545" s="28"/>
      <c r="E545" s="30" t="str">
        <f>IFERROR(VLOOKUP(D545,KRX종목마스터!$A:$B,2,FALSE),"")</f>
        <v/>
      </c>
      <c r="F545" s="42"/>
      <c r="G545" s="42"/>
      <c r="H545" s="31" t="str">
        <f t="shared" si="24"/>
        <v/>
      </c>
      <c r="I545" s="43">
        <f ca="1">IFERROR(SUMPRODUCT((참고!$A$31:$A$130=C545)*(참고!$B$31:$B$130&lt;=A545)*(참고!$B$31:$B$130=_xludf.MAXIFS(참고!$B$31:$B$130,참고!$A$31:$A$130,C545,참고!$B$31:$B$130,"&lt;="&amp;A545))*참고!$C$31:$C$130)/100,0)</f>
        <v>0</v>
      </c>
      <c r="J545" s="31" t="str">
        <f t="shared" si="25"/>
        <v/>
      </c>
      <c r="K545" s="43">
        <f>IF(B545="매도",IFERROR(SUMPRODUCT((참고!$A$31:$A$130=C545)*(참고!$B$31:$B$130&lt;=A545)*(참고!$B$31:$B$130=_xludf.MAXIFS(참고!$B$31:$B$130,참고!$A$31:$A$130,C545,참고!$B$31:$B$130,"&lt;="&amp;A545))*참고!$D$31:$D$130)/100,0),0)</f>
        <v>0</v>
      </c>
      <c r="L545" s="31" t="str">
        <f t="shared" si="26"/>
        <v/>
      </c>
      <c r="M545" s="39"/>
    </row>
    <row r="546" spans="1:13" ht="18" customHeight="1" x14ac:dyDescent="0.45">
      <c r="A546" s="37"/>
      <c r="B546" s="29"/>
      <c r="C546" s="29"/>
      <c r="D546" s="28"/>
      <c r="E546" s="30" t="str">
        <f>IFERROR(VLOOKUP(D546,KRX종목마스터!$A:$B,2,FALSE),"")</f>
        <v/>
      </c>
      <c r="F546" s="42"/>
      <c r="G546" s="42"/>
      <c r="H546" s="31" t="str">
        <f t="shared" si="24"/>
        <v/>
      </c>
      <c r="I546" s="43">
        <f ca="1">IFERROR(SUMPRODUCT((참고!$A$31:$A$130=C546)*(참고!$B$31:$B$130&lt;=A546)*(참고!$B$31:$B$130=_xludf.MAXIFS(참고!$B$31:$B$130,참고!$A$31:$A$130,C546,참고!$B$31:$B$130,"&lt;="&amp;A546))*참고!$C$31:$C$130)/100,0)</f>
        <v>0</v>
      </c>
      <c r="J546" s="31" t="str">
        <f t="shared" si="25"/>
        <v/>
      </c>
      <c r="K546" s="43">
        <f>IF(B546="매도",IFERROR(SUMPRODUCT((참고!$A$31:$A$130=C546)*(참고!$B$31:$B$130&lt;=A546)*(참고!$B$31:$B$130=_xludf.MAXIFS(참고!$B$31:$B$130,참고!$A$31:$A$130,C546,참고!$B$31:$B$130,"&lt;="&amp;A546))*참고!$D$31:$D$130)/100,0),0)</f>
        <v>0</v>
      </c>
      <c r="L546" s="31" t="str">
        <f t="shared" si="26"/>
        <v/>
      </c>
      <c r="M546" s="39"/>
    </row>
    <row r="547" spans="1:13" ht="18" customHeight="1" x14ac:dyDescent="0.45">
      <c r="A547" s="37"/>
      <c r="B547" s="29"/>
      <c r="C547" s="29"/>
      <c r="D547" s="28"/>
      <c r="E547" s="30" t="str">
        <f>IFERROR(VLOOKUP(D547,KRX종목마스터!$A:$B,2,FALSE),"")</f>
        <v/>
      </c>
      <c r="F547" s="42"/>
      <c r="G547" s="42"/>
      <c r="H547" s="31" t="str">
        <f t="shared" si="24"/>
        <v/>
      </c>
      <c r="I547" s="43">
        <f ca="1">IFERROR(SUMPRODUCT((참고!$A$31:$A$130=C547)*(참고!$B$31:$B$130&lt;=A547)*(참고!$B$31:$B$130=_xludf.MAXIFS(참고!$B$31:$B$130,참고!$A$31:$A$130,C547,참고!$B$31:$B$130,"&lt;="&amp;A547))*참고!$C$31:$C$130)/100,0)</f>
        <v>0</v>
      </c>
      <c r="J547" s="31" t="str">
        <f t="shared" si="25"/>
        <v/>
      </c>
      <c r="K547" s="43">
        <f>IF(B547="매도",IFERROR(SUMPRODUCT((참고!$A$31:$A$130=C547)*(참고!$B$31:$B$130&lt;=A547)*(참고!$B$31:$B$130=_xludf.MAXIFS(참고!$B$31:$B$130,참고!$A$31:$A$130,C547,참고!$B$31:$B$130,"&lt;="&amp;A547))*참고!$D$31:$D$130)/100,0),0)</f>
        <v>0</v>
      </c>
      <c r="L547" s="31" t="str">
        <f t="shared" si="26"/>
        <v/>
      </c>
      <c r="M547" s="39"/>
    </row>
    <row r="548" spans="1:13" ht="18" customHeight="1" x14ac:dyDescent="0.45">
      <c r="A548" s="37"/>
      <c r="B548" s="29"/>
      <c r="C548" s="29"/>
      <c r="D548" s="28"/>
      <c r="E548" s="30" t="str">
        <f>IFERROR(VLOOKUP(D548,KRX종목마스터!$A:$B,2,FALSE),"")</f>
        <v/>
      </c>
      <c r="F548" s="42"/>
      <c r="G548" s="42"/>
      <c r="H548" s="31" t="str">
        <f t="shared" si="24"/>
        <v/>
      </c>
      <c r="I548" s="43">
        <f ca="1">IFERROR(SUMPRODUCT((참고!$A$31:$A$130=C548)*(참고!$B$31:$B$130&lt;=A548)*(참고!$B$31:$B$130=_xludf.MAXIFS(참고!$B$31:$B$130,참고!$A$31:$A$130,C548,참고!$B$31:$B$130,"&lt;="&amp;A548))*참고!$C$31:$C$130)/100,0)</f>
        <v>0</v>
      </c>
      <c r="J548" s="31" t="str">
        <f t="shared" si="25"/>
        <v/>
      </c>
      <c r="K548" s="43">
        <f>IF(B548="매도",IFERROR(SUMPRODUCT((참고!$A$31:$A$130=C548)*(참고!$B$31:$B$130&lt;=A548)*(참고!$B$31:$B$130=_xludf.MAXIFS(참고!$B$31:$B$130,참고!$A$31:$A$130,C548,참고!$B$31:$B$130,"&lt;="&amp;A548))*참고!$D$31:$D$130)/100,0),0)</f>
        <v>0</v>
      </c>
      <c r="L548" s="31" t="str">
        <f t="shared" si="26"/>
        <v/>
      </c>
      <c r="M548" s="39"/>
    </row>
    <row r="549" spans="1:13" ht="18" customHeight="1" x14ac:dyDescent="0.45">
      <c r="A549" s="37"/>
      <c r="B549" s="29"/>
      <c r="C549" s="29"/>
      <c r="D549" s="28"/>
      <c r="E549" s="30" t="str">
        <f>IFERROR(VLOOKUP(D549,KRX종목마스터!$A:$B,2,FALSE),"")</f>
        <v/>
      </c>
      <c r="F549" s="42"/>
      <c r="G549" s="42"/>
      <c r="H549" s="31" t="str">
        <f t="shared" si="24"/>
        <v/>
      </c>
      <c r="I549" s="43">
        <f ca="1">IFERROR(SUMPRODUCT((참고!$A$31:$A$130=C549)*(참고!$B$31:$B$130&lt;=A549)*(참고!$B$31:$B$130=_xludf.MAXIFS(참고!$B$31:$B$130,참고!$A$31:$A$130,C549,참고!$B$31:$B$130,"&lt;="&amp;A549))*참고!$C$31:$C$130)/100,0)</f>
        <v>0</v>
      </c>
      <c r="J549" s="31" t="str">
        <f t="shared" si="25"/>
        <v/>
      </c>
      <c r="K549" s="43">
        <f>IF(B549="매도",IFERROR(SUMPRODUCT((참고!$A$31:$A$130=C549)*(참고!$B$31:$B$130&lt;=A549)*(참고!$B$31:$B$130=_xludf.MAXIFS(참고!$B$31:$B$130,참고!$A$31:$A$130,C549,참고!$B$31:$B$130,"&lt;="&amp;A549))*참고!$D$31:$D$130)/100,0),0)</f>
        <v>0</v>
      </c>
      <c r="L549" s="31" t="str">
        <f t="shared" si="26"/>
        <v/>
      </c>
      <c r="M549" s="39"/>
    </row>
    <row r="550" spans="1:13" ht="18" customHeight="1" x14ac:dyDescent="0.45">
      <c r="A550" s="37"/>
      <c r="B550" s="29"/>
      <c r="C550" s="29"/>
      <c r="D550" s="28"/>
      <c r="E550" s="30" t="str">
        <f>IFERROR(VLOOKUP(D550,KRX종목마스터!$A:$B,2,FALSE),"")</f>
        <v/>
      </c>
      <c r="F550" s="42"/>
      <c r="G550" s="42"/>
      <c r="H550" s="31" t="str">
        <f t="shared" si="24"/>
        <v/>
      </c>
      <c r="I550" s="43">
        <f ca="1">IFERROR(SUMPRODUCT((참고!$A$31:$A$130=C550)*(참고!$B$31:$B$130&lt;=A550)*(참고!$B$31:$B$130=_xludf.MAXIFS(참고!$B$31:$B$130,참고!$A$31:$A$130,C550,참고!$B$31:$B$130,"&lt;="&amp;A550))*참고!$C$31:$C$130)/100,0)</f>
        <v>0</v>
      </c>
      <c r="J550" s="31" t="str">
        <f t="shared" si="25"/>
        <v/>
      </c>
      <c r="K550" s="43">
        <f>IF(B550="매도",IFERROR(SUMPRODUCT((참고!$A$31:$A$130=C550)*(참고!$B$31:$B$130&lt;=A550)*(참고!$B$31:$B$130=_xludf.MAXIFS(참고!$B$31:$B$130,참고!$A$31:$A$130,C550,참고!$B$31:$B$130,"&lt;="&amp;A550))*참고!$D$31:$D$130)/100,0),0)</f>
        <v>0</v>
      </c>
      <c r="L550" s="31" t="str">
        <f t="shared" si="26"/>
        <v/>
      </c>
      <c r="M550" s="39"/>
    </row>
    <row r="551" spans="1:13" ht="18" customHeight="1" x14ac:dyDescent="0.45">
      <c r="A551" s="37"/>
      <c r="B551" s="29"/>
      <c r="C551" s="29"/>
      <c r="D551" s="28"/>
      <c r="E551" s="30" t="str">
        <f>IFERROR(VLOOKUP(D551,KRX종목마스터!$A:$B,2,FALSE),"")</f>
        <v/>
      </c>
      <c r="F551" s="42"/>
      <c r="G551" s="42"/>
      <c r="H551" s="31" t="str">
        <f t="shared" si="24"/>
        <v/>
      </c>
      <c r="I551" s="43">
        <f ca="1">IFERROR(SUMPRODUCT((참고!$A$31:$A$130=C551)*(참고!$B$31:$B$130&lt;=A551)*(참고!$B$31:$B$130=_xludf.MAXIFS(참고!$B$31:$B$130,참고!$A$31:$A$130,C551,참고!$B$31:$B$130,"&lt;="&amp;A551))*참고!$C$31:$C$130)/100,0)</f>
        <v>0</v>
      </c>
      <c r="J551" s="31" t="str">
        <f t="shared" si="25"/>
        <v/>
      </c>
      <c r="K551" s="43">
        <f>IF(B551="매도",IFERROR(SUMPRODUCT((참고!$A$31:$A$130=C551)*(참고!$B$31:$B$130&lt;=A551)*(참고!$B$31:$B$130=_xludf.MAXIFS(참고!$B$31:$B$130,참고!$A$31:$A$130,C551,참고!$B$31:$B$130,"&lt;="&amp;A551))*참고!$D$31:$D$130)/100,0),0)</f>
        <v>0</v>
      </c>
      <c r="L551" s="31" t="str">
        <f t="shared" si="26"/>
        <v/>
      </c>
      <c r="M551" s="39"/>
    </row>
    <row r="552" spans="1:13" ht="18" customHeight="1" x14ac:dyDescent="0.45">
      <c r="A552" s="37"/>
      <c r="B552" s="29"/>
      <c r="C552" s="29"/>
      <c r="D552" s="28"/>
      <c r="E552" s="30" t="str">
        <f>IFERROR(VLOOKUP(D552,KRX종목마스터!$A:$B,2,FALSE),"")</f>
        <v/>
      </c>
      <c r="F552" s="42"/>
      <c r="G552" s="42"/>
      <c r="H552" s="31" t="str">
        <f t="shared" si="24"/>
        <v/>
      </c>
      <c r="I552" s="43">
        <f ca="1">IFERROR(SUMPRODUCT((참고!$A$31:$A$130=C552)*(참고!$B$31:$B$130&lt;=A552)*(참고!$B$31:$B$130=_xludf.MAXIFS(참고!$B$31:$B$130,참고!$A$31:$A$130,C552,참고!$B$31:$B$130,"&lt;="&amp;A552))*참고!$C$31:$C$130)/100,0)</f>
        <v>0</v>
      </c>
      <c r="J552" s="31" t="str">
        <f t="shared" si="25"/>
        <v/>
      </c>
      <c r="K552" s="43">
        <f>IF(B552="매도",IFERROR(SUMPRODUCT((참고!$A$31:$A$130=C552)*(참고!$B$31:$B$130&lt;=A552)*(참고!$B$31:$B$130=_xludf.MAXIFS(참고!$B$31:$B$130,참고!$A$31:$A$130,C552,참고!$B$31:$B$130,"&lt;="&amp;A552))*참고!$D$31:$D$130)/100,0),0)</f>
        <v>0</v>
      </c>
      <c r="L552" s="31" t="str">
        <f t="shared" si="26"/>
        <v/>
      </c>
      <c r="M552" s="39"/>
    </row>
    <row r="553" spans="1:13" ht="18" customHeight="1" x14ac:dyDescent="0.45">
      <c r="A553" s="37"/>
      <c r="B553" s="29"/>
      <c r="C553" s="29"/>
      <c r="D553" s="28"/>
      <c r="E553" s="30" t="str">
        <f>IFERROR(VLOOKUP(D553,KRX종목마스터!$A:$B,2,FALSE),"")</f>
        <v/>
      </c>
      <c r="F553" s="42"/>
      <c r="G553" s="42"/>
      <c r="H553" s="31" t="str">
        <f t="shared" si="24"/>
        <v/>
      </c>
      <c r="I553" s="43">
        <f ca="1">IFERROR(SUMPRODUCT((참고!$A$31:$A$130=C553)*(참고!$B$31:$B$130&lt;=A553)*(참고!$B$31:$B$130=_xludf.MAXIFS(참고!$B$31:$B$130,참고!$A$31:$A$130,C553,참고!$B$31:$B$130,"&lt;="&amp;A553))*참고!$C$31:$C$130)/100,0)</f>
        <v>0</v>
      </c>
      <c r="J553" s="31" t="str">
        <f t="shared" si="25"/>
        <v/>
      </c>
      <c r="K553" s="43">
        <f>IF(B553="매도",IFERROR(SUMPRODUCT((참고!$A$31:$A$130=C553)*(참고!$B$31:$B$130&lt;=A553)*(참고!$B$31:$B$130=_xludf.MAXIFS(참고!$B$31:$B$130,참고!$A$31:$A$130,C553,참고!$B$31:$B$130,"&lt;="&amp;A553))*참고!$D$31:$D$130)/100,0),0)</f>
        <v>0</v>
      </c>
      <c r="L553" s="31" t="str">
        <f t="shared" si="26"/>
        <v/>
      </c>
      <c r="M553" s="39"/>
    </row>
    <row r="554" spans="1:13" ht="18" customHeight="1" x14ac:dyDescent="0.45">
      <c r="A554" s="37"/>
      <c r="B554" s="29"/>
      <c r="C554" s="29"/>
      <c r="D554" s="28"/>
      <c r="E554" s="30" t="str">
        <f>IFERROR(VLOOKUP(D554,KRX종목마스터!$A:$B,2,FALSE),"")</f>
        <v/>
      </c>
      <c r="F554" s="42"/>
      <c r="G554" s="42"/>
      <c r="H554" s="31" t="str">
        <f t="shared" si="24"/>
        <v/>
      </c>
      <c r="I554" s="43">
        <f ca="1">IFERROR(SUMPRODUCT((참고!$A$31:$A$130=C554)*(참고!$B$31:$B$130&lt;=A554)*(참고!$B$31:$B$130=_xludf.MAXIFS(참고!$B$31:$B$130,참고!$A$31:$A$130,C554,참고!$B$31:$B$130,"&lt;="&amp;A554))*참고!$C$31:$C$130)/100,0)</f>
        <v>0</v>
      </c>
      <c r="J554" s="31" t="str">
        <f t="shared" si="25"/>
        <v/>
      </c>
      <c r="K554" s="43">
        <f>IF(B554="매도",IFERROR(SUMPRODUCT((참고!$A$31:$A$130=C554)*(참고!$B$31:$B$130&lt;=A554)*(참고!$B$31:$B$130=_xludf.MAXIFS(참고!$B$31:$B$130,참고!$A$31:$A$130,C554,참고!$B$31:$B$130,"&lt;="&amp;A554))*참고!$D$31:$D$130)/100,0),0)</f>
        <v>0</v>
      </c>
      <c r="L554" s="31" t="str">
        <f t="shared" si="26"/>
        <v/>
      </c>
      <c r="M554" s="39"/>
    </row>
    <row r="555" spans="1:13" ht="18" customHeight="1" x14ac:dyDescent="0.45">
      <c r="A555" s="37"/>
      <c r="B555" s="29"/>
      <c r="C555" s="29"/>
      <c r="D555" s="28"/>
      <c r="E555" s="30" t="str">
        <f>IFERROR(VLOOKUP(D555,KRX종목마스터!$A:$B,2,FALSE),"")</f>
        <v/>
      </c>
      <c r="F555" s="42"/>
      <c r="G555" s="42"/>
      <c r="H555" s="31" t="str">
        <f t="shared" si="24"/>
        <v/>
      </c>
      <c r="I555" s="43">
        <f ca="1">IFERROR(SUMPRODUCT((참고!$A$31:$A$130=C555)*(참고!$B$31:$B$130&lt;=A555)*(참고!$B$31:$B$130=_xludf.MAXIFS(참고!$B$31:$B$130,참고!$A$31:$A$130,C555,참고!$B$31:$B$130,"&lt;="&amp;A555))*참고!$C$31:$C$130)/100,0)</f>
        <v>0</v>
      </c>
      <c r="J555" s="31" t="str">
        <f t="shared" si="25"/>
        <v/>
      </c>
      <c r="K555" s="43">
        <f>IF(B555="매도",IFERROR(SUMPRODUCT((참고!$A$31:$A$130=C555)*(참고!$B$31:$B$130&lt;=A555)*(참고!$B$31:$B$130=_xludf.MAXIFS(참고!$B$31:$B$130,참고!$A$31:$A$130,C555,참고!$B$31:$B$130,"&lt;="&amp;A555))*참고!$D$31:$D$130)/100,0),0)</f>
        <v>0</v>
      </c>
      <c r="L555" s="31" t="str">
        <f t="shared" si="26"/>
        <v/>
      </c>
      <c r="M555" s="39"/>
    </row>
    <row r="556" spans="1:13" ht="18" customHeight="1" x14ac:dyDescent="0.45">
      <c r="A556" s="37"/>
      <c r="B556" s="29"/>
      <c r="C556" s="29"/>
      <c r="D556" s="28"/>
      <c r="E556" s="30" t="str">
        <f>IFERROR(VLOOKUP(D556,KRX종목마스터!$A:$B,2,FALSE),"")</f>
        <v/>
      </c>
      <c r="F556" s="42"/>
      <c r="G556" s="42"/>
      <c r="H556" s="31" t="str">
        <f t="shared" si="24"/>
        <v/>
      </c>
      <c r="I556" s="43">
        <f ca="1">IFERROR(SUMPRODUCT((참고!$A$31:$A$130=C556)*(참고!$B$31:$B$130&lt;=A556)*(참고!$B$31:$B$130=_xludf.MAXIFS(참고!$B$31:$B$130,참고!$A$31:$A$130,C556,참고!$B$31:$B$130,"&lt;="&amp;A556))*참고!$C$31:$C$130)/100,0)</f>
        <v>0</v>
      </c>
      <c r="J556" s="31" t="str">
        <f t="shared" si="25"/>
        <v/>
      </c>
      <c r="K556" s="43">
        <f>IF(B556="매도",IFERROR(SUMPRODUCT((참고!$A$31:$A$130=C556)*(참고!$B$31:$B$130&lt;=A556)*(참고!$B$31:$B$130=_xludf.MAXIFS(참고!$B$31:$B$130,참고!$A$31:$A$130,C556,참고!$B$31:$B$130,"&lt;="&amp;A556))*참고!$D$31:$D$130)/100,0),0)</f>
        <v>0</v>
      </c>
      <c r="L556" s="31" t="str">
        <f t="shared" si="26"/>
        <v/>
      </c>
      <c r="M556" s="39"/>
    </row>
    <row r="557" spans="1:13" ht="18" customHeight="1" x14ac:dyDescent="0.45">
      <c r="A557" s="37"/>
      <c r="B557" s="29"/>
      <c r="C557" s="29"/>
      <c r="D557" s="28"/>
      <c r="E557" s="30" t="str">
        <f>IFERROR(VLOOKUP(D557,KRX종목마스터!$A:$B,2,FALSE),"")</f>
        <v/>
      </c>
      <c r="F557" s="42"/>
      <c r="G557" s="42"/>
      <c r="H557" s="31" t="str">
        <f t="shared" si="24"/>
        <v/>
      </c>
      <c r="I557" s="43">
        <f ca="1">IFERROR(SUMPRODUCT((참고!$A$31:$A$130=C557)*(참고!$B$31:$B$130&lt;=A557)*(참고!$B$31:$B$130=_xludf.MAXIFS(참고!$B$31:$B$130,참고!$A$31:$A$130,C557,참고!$B$31:$B$130,"&lt;="&amp;A557))*참고!$C$31:$C$130)/100,0)</f>
        <v>0</v>
      </c>
      <c r="J557" s="31" t="str">
        <f t="shared" si="25"/>
        <v/>
      </c>
      <c r="K557" s="43">
        <f>IF(B557="매도",IFERROR(SUMPRODUCT((참고!$A$31:$A$130=C557)*(참고!$B$31:$B$130&lt;=A557)*(참고!$B$31:$B$130=_xludf.MAXIFS(참고!$B$31:$B$130,참고!$A$31:$A$130,C557,참고!$B$31:$B$130,"&lt;="&amp;A557))*참고!$D$31:$D$130)/100,0),0)</f>
        <v>0</v>
      </c>
      <c r="L557" s="31" t="str">
        <f t="shared" si="26"/>
        <v/>
      </c>
      <c r="M557" s="39"/>
    </row>
    <row r="558" spans="1:13" ht="18" customHeight="1" x14ac:dyDescent="0.45">
      <c r="A558" s="37"/>
      <c r="B558" s="29"/>
      <c r="C558" s="29"/>
      <c r="D558" s="28"/>
      <c r="E558" s="30" t="str">
        <f>IFERROR(VLOOKUP(D558,KRX종목마스터!$A:$B,2,FALSE),"")</f>
        <v/>
      </c>
      <c r="F558" s="42"/>
      <c r="G558" s="42"/>
      <c r="H558" s="31" t="str">
        <f t="shared" si="24"/>
        <v/>
      </c>
      <c r="I558" s="43">
        <f ca="1">IFERROR(SUMPRODUCT((참고!$A$31:$A$130=C558)*(참고!$B$31:$B$130&lt;=A558)*(참고!$B$31:$B$130=_xludf.MAXIFS(참고!$B$31:$B$130,참고!$A$31:$A$130,C558,참고!$B$31:$B$130,"&lt;="&amp;A558))*참고!$C$31:$C$130)/100,0)</f>
        <v>0</v>
      </c>
      <c r="J558" s="31" t="str">
        <f t="shared" si="25"/>
        <v/>
      </c>
      <c r="K558" s="43">
        <f>IF(B558="매도",IFERROR(SUMPRODUCT((참고!$A$31:$A$130=C558)*(참고!$B$31:$B$130&lt;=A558)*(참고!$B$31:$B$130=_xludf.MAXIFS(참고!$B$31:$B$130,참고!$A$31:$A$130,C558,참고!$B$31:$B$130,"&lt;="&amp;A558))*참고!$D$31:$D$130)/100,0),0)</f>
        <v>0</v>
      </c>
      <c r="L558" s="31" t="str">
        <f t="shared" si="26"/>
        <v/>
      </c>
      <c r="M558" s="39"/>
    </row>
    <row r="559" spans="1:13" ht="18" customHeight="1" x14ac:dyDescent="0.45">
      <c r="A559" s="37"/>
      <c r="B559" s="29"/>
      <c r="C559" s="29"/>
      <c r="D559" s="28"/>
      <c r="E559" s="30" t="str">
        <f>IFERROR(VLOOKUP(D559,KRX종목마스터!$A:$B,2,FALSE),"")</f>
        <v/>
      </c>
      <c r="F559" s="42"/>
      <c r="G559" s="42"/>
      <c r="H559" s="31" t="str">
        <f t="shared" si="24"/>
        <v/>
      </c>
      <c r="I559" s="43">
        <f ca="1">IFERROR(SUMPRODUCT((참고!$A$31:$A$130=C559)*(참고!$B$31:$B$130&lt;=A559)*(참고!$B$31:$B$130=_xludf.MAXIFS(참고!$B$31:$B$130,참고!$A$31:$A$130,C559,참고!$B$31:$B$130,"&lt;="&amp;A559))*참고!$C$31:$C$130)/100,0)</f>
        <v>0</v>
      </c>
      <c r="J559" s="31" t="str">
        <f t="shared" si="25"/>
        <v/>
      </c>
      <c r="K559" s="43">
        <f>IF(B559="매도",IFERROR(SUMPRODUCT((참고!$A$31:$A$130=C559)*(참고!$B$31:$B$130&lt;=A559)*(참고!$B$31:$B$130=_xludf.MAXIFS(참고!$B$31:$B$130,참고!$A$31:$A$130,C559,참고!$B$31:$B$130,"&lt;="&amp;A559))*참고!$D$31:$D$130)/100,0),0)</f>
        <v>0</v>
      </c>
      <c r="L559" s="31" t="str">
        <f t="shared" si="26"/>
        <v/>
      </c>
      <c r="M559" s="39"/>
    </row>
    <row r="560" spans="1:13" ht="18" customHeight="1" x14ac:dyDescent="0.45">
      <c r="A560" s="37"/>
      <c r="B560" s="29"/>
      <c r="C560" s="29"/>
      <c r="D560" s="28"/>
      <c r="E560" s="30" t="str">
        <f>IFERROR(VLOOKUP(D560,KRX종목마스터!$A:$B,2,FALSE),"")</f>
        <v/>
      </c>
      <c r="F560" s="42"/>
      <c r="G560" s="42"/>
      <c r="H560" s="31" t="str">
        <f t="shared" si="24"/>
        <v/>
      </c>
      <c r="I560" s="43">
        <f ca="1">IFERROR(SUMPRODUCT((참고!$A$31:$A$130=C560)*(참고!$B$31:$B$130&lt;=A560)*(참고!$B$31:$B$130=_xludf.MAXIFS(참고!$B$31:$B$130,참고!$A$31:$A$130,C560,참고!$B$31:$B$130,"&lt;="&amp;A560))*참고!$C$31:$C$130)/100,0)</f>
        <v>0</v>
      </c>
      <c r="J560" s="31" t="str">
        <f t="shared" si="25"/>
        <v/>
      </c>
      <c r="K560" s="43">
        <f>IF(B560="매도",IFERROR(SUMPRODUCT((참고!$A$31:$A$130=C560)*(참고!$B$31:$B$130&lt;=A560)*(참고!$B$31:$B$130=_xludf.MAXIFS(참고!$B$31:$B$130,참고!$A$31:$A$130,C560,참고!$B$31:$B$130,"&lt;="&amp;A560))*참고!$D$31:$D$130)/100,0),0)</f>
        <v>0</v>
      </c>
      <c r="L560" s="31" t="str">
        <f t="shared" si="26"/>
        <v/>
      </c>
      <c r="M560" s="39"/>
    </row>
    <row r="561" spans="1:13" ht="18" customHeight="1" x14ac:dyDescent="0.45">
      <c r="A561" s="37"/>
      <c r="B561" s="29"/>
      <c r="C561" s="29"/>
      <c r="D561" s="28"/>
      <c r="E561" s="30" t="str">
        <f>IFERROR(VLOOKUP(D561,KRX종목마스터!$A:$B,2,FALSE),"")</f>
        <v/>
      </c>
      <c r="F561" s="42"/>
      <c r="G561" s="42"/>
      <c r="H561" s="31" t="str">
        <f t="shared" si="24"/>
        <v/>
      </c>
      <c r="I561" s="43">
        <f ca="1">IFERROR(SUMPRODUCT((참고!$A$31:$A$130=C561)*(참고!$B$31:$B$130&lt;=A561)*(참고!$B$31:$B$130=_xludf.MAXIFS(참고!$B$31:$B$130,참고!$A$31:$A$130,C561,참고!$B$31:$B$130,"&lt;="&amp;A561))*참고!$C$31:$C$130)/100,0)</f>
        <v>0</v>
      </c>
      <c r="J561" s="31" t="str">
        <f t="shared" si="25"/>
        <v/>
      </c>
      <c r="K561" s="43">
        <f>IF(B561="매도",IFERROR(SUMPRODUCT((참고!$A$31:$A$130=C561)*(참고!$B$31:$B$130&lt;=A561)*(참고!$B$31:$B$130=_xludf.MAXIFS(참고!$B$31:$B$130,참고!$A$31:$A$130,C561,참고!$B$31:$B$130,"&lt;="&amp;A561))*참고!$D$31:$D$130)/100,0),0)</f>
        <v>0</v>
      </c>
      <c r="L561" s="31" t="str">
        <f t="shared" si="26"/>
        <v/>
      </c>
      <c r="M561" s="39"/>
    </row>
    <row r="562" spans="1:13" ht="18" customHeight="1" x14ac:dyDescent="0.45">
      <c r="A562" s="37"/>
      <c r="B562" s="29"/>
      <c r="C562" s="29"/>
      <c r="D562" s="28"/>
      <c r="E562" s="30" t="str">
        <f>IFERROR(VLOOKUP(D562,KRX종목마스터!$A:$B,2,FALSE),"")</f>
        <v/>
      </c>
      <c r="F562" s="42"/>
      <c r="G562" s="42"/>
      <c r="H562" s="31" t="str">
        <f t="shared" si="24"/>
        <v/>
      </c>
      <c r="I562" s="43">
        <f ca="1">IFERROR(SUMPRODUCT((참고!$A$31:$A$130=C562)*(참고!$B$31:$B$130&lt;=A562)*(참고!$B$31:$B$130=_xludf.MAXIFS(참고!$B$31:$B$130,참고!$A$31:$A$130,C562,참고!$B$31:$B$130,"&lt;="&amp;A562))*참고!$C$31:$C$130)/100,0)</f>
        <v>0</v>
      </c>
      <c r="J562" s="31" t="str">
        <f t="shared" si="25"/>
        <v/>
      </c>
      <c r="K562" s="43">
        <f>IF(B562="매도",IFERROR(SUMPRODUCT((참고!$A$31:$A$130=C562)*(참고!$B$31:$B$130&lt;=A562)*(참고!$B$31:$B$130=_xludf.MAXIFS(참고!$B$31:$B$130,참고!$A$31:$A$130,C562,참고!$B$31:$B$130,"&lt;="&amp;A562))*참고!$D$31:$D$130)/100,0),0)</f>
        <v>0</v>
      </c>
      <c r="L562" s="31" t="str">
        <f t="shared" si="26"/>
        <v/>
      </c>
      <c r="M562" s="39"/>
    </row>
    <row r="563" spans="1:13" ht="18" customHeight="1" x14ac:dyDescent="0.45">
      <c r="A563" s="37"/>
      <c r="B563" s="29"/>
      <c r="C563" s="29"/>
      <c r="D563" s="28"/>
      <c r="E563" s="30" t="str">
        <f>IFERROR(VLOOKUP(D563,KRX종목마스터!$A:$B,2,FALSE),"")</f>
        <v/>
      </c>
      <c r="F563" s="42"/>
      <c r="G563" s="42"/>
      <c r="H563" s="31" t="str">
        <f t="shared" si="24"/>
        <v/>
      </c>
      <c r="I563" s="43">
        <f ca="1">IFERROR(SUMPRODUCT((참고!$A$31:$A$130=C563)*(참고!$B$31:$B$130&lt;=A563)*(참고!$B$31:$B$130=_xludf.MAXIFS(참고!$B$31:$B$130,참고!$A$31:$A$130,C563,참고!$B$31:$B$130,"&lt;="&amp;A563))*참고!$C$31:$C$130)/100,0)</f>
        <v>0</v>
      </c>
      <c r="J563" s="31" t="str">
        <f t="shared" si="25"/>
        <v/>
      </c>
      <c r="K563" s="43">
        <f>IF(B563="매도",IFERROR(SUMPRODUCT((참고!$A$31:$A$130=C563)*(참고!$B$31:$B$130&lt;=A563)*(참고!$B$31:$B$130=_xludf.MAXIFS(참고!$B$31:$B$130,참고!$A$31:$A$130,C563,참고!$B$31:$B$130,"&lt;="&amp;A563))*참고!$D$31:$D$130)/100,0),0)</f>
        <v>0</v>
      </c>
      <c r="L563" s="31" t="str">
        <f t="shared" si="26"/>
        <v/>
      </c>
      <c r="M563" s="39"/>
    </row>
    <row r="564" spans="1:13" ht="18" customHeight="1" x14ac:dyDescent="0.45">
      <c r="A564" s="37"/>
      <c r="B564" s="29"/>
      <c r="C564" s="29"/>
      <c r="D564" s="28"/>
      <c r="E564" s="30" t="str">
        <f>IFERROR(VLOOKUP(D564,KRX종목마스터!$A:$B,2,FALSE),"")</f>
        <v/>
      </c>
      <c r="F564" s="42"/>
      <c r="G564" s="42"/>
      <c r="H564" s="31" t="str">
        <f t="shared" si="24"/>
        <v/>
      </c>
      <c r="I564" s="43">
        <f ca="1">IFERROR(SUMPRODUCT((참고!$A$31:$A$130=C564)*(참고!$B$31:$B$130&lt;=A564)*(참고!$B$31:$B$130=_xludf.MAXIFS(참고!$B$31:$B$130,참고!$A$31:$A$130,C564,참고!$B$31:$B$130,"&lt;="&amp;A564))*참고!$C$31:$C$130)/100,0)</f>
        <v>0</v>
      </c>
      <c r="J564" s="31" t="str">
        <f t="shared" si="25"/>
        <v/>
      </c>
      <c r="K564" s="43">
        <f>IF(B564="매도",IFERROR(SUMPRODUCT((참고!$A$31:$A$130=C564)*(참고!$B$31:$B$130&lt;=A564)*(참고!$B$31:$B$130=_xludf.MAXIFS(참고!$B$31:$B$130,참고!$A$31:$A$130,C564,참고!$B$31:$B$130,"&lt;="&amp;A564))*참고!$D$31:$D$130)/100,0),0)</f>
        <v>0</v>
      </c>
      <c r="L564" s="31" t="str">
        <f t="shared" si="26"/>
        <v/>
      </c>
      <c r="M564" s="39"/>
    </row>
    <row r="565" spans="1:13" ht="18" customHeight="1" x14ac:dyDescent="0.45">
      <c r="A565" s="37"/>
      <c r="B565" s="29"/>
      <c r="C565" s="29"/>
      <c r="D565" s="28"/>
      <c r="E565" s="30" t="str">
        <f>IFERROR(VLOOKUP(D565,KRX종목마스터!$A:$B,2,FALSE),"")</f>
        <v/>
      </c>
      <c r="F565" s="42"/>
      <c r="G565" s="42"/>
      <c r="H565" s="31" t="str">
        <f t="shared" si="24"/>
        <v/>
      </c>
      <c r="I565" s="43">
        <f ca="1">IFERROR(SUMPRODUCT((참고!$A$31:$A$130=C565)*(참고!$B$31:$B$130&lt;=A565)*(참고!$B$31:$B$130=_xludf.MAXIFS(참고!$B$31:$B$130,참고!$A$31:$A$130,C565,참고!$B$31:$B$130,"&lt;="&amp;A565))*참고!$C$31:$C$130)/100,0)</f>
        <v>0</v>
      </c>
      <c r="J565" s="31" t="str">
        <f t="shared" si="25"/>
        <v/>
      </c>
      <c r="K565" s="43">
        <f>IF(B565="매도",IFERROR(SUMPRODUCT((참고!$A$31:$A$130=C565)*(참고!$B$31:$B$130&lt;=A565)*(참고!$B$31:$B$130=_xludf.MAXIFS(참고!$B$31:$B$130,참고!$A$31:$A$130,C565,참고!$B$31:$B$130,"&lt;="&amp;A565))*참고!$D$31:$D$130)/100,0),0)</f>
        <v>0</v>
      </c>
      <c r="L565" s="31" t="str">
        <f t="shared" si="26"/>
        <v/>
      </c>
      <c r="M565" s="39"/>
    </row>
    <row r="566" spans="1:13" ht="18" customHeight="1" x14ac:dyDescent="0.45">
      <c r="A566" s="37"/>
      <c r="B566" s="29"/>
      <c r="C566" s="29"/>
      <c r="D566" s="28"/>
      <c r="E566" s="30" t="str">
        <f>IFERROR(VLOOKUP(D566,KRX종목마스터!$A:$B,2,FALSE),"")</f>
        <v/>
      </c>
      <c r="F566" s="42"/>
      <c r="G566" s="42"/>
      <c r="H566" s="31" t="str">
        <f t="shared" si="24"/>
        <v/>
      </c>
      <c r="I566" s="43">
        <f ca="1">IFERROR(SUMPRODUCT((참고!$A$31:$A$130=C566)*(참고!$B$31:$B$130&lt;=A566)*(참고!$B$31:$B$130=_xludf.MAXIFS(참고!$B$31:$B$130,참고!$A$31:$A$130,C566,참고!$B$31:$B$130,"&lt;="&amp;A566))*참고!$C$31:$C$130)/100,0)</f>
        <v>0</v>
      </c>
      <c r="J566" s="31" t="str">
        <f t="shared" si="25"/>
        <v/>
      </c>
      <c r="K566" s="43">
        <f>IF(B566="매도",IFERROR(SUMPRODUCT((참고!$A$31:$A$130=C566)*(참고!$B$31:$B$130&lt;=A566)*(참고!$B$31:$B$130=_xludf.MAXIFS(참고!$B$31:$B$130,참고!$A$31:$A$130,C566,참고!$B$31:$B$130,"&lt;="&amp;A566))*참고!$D$31:$D$130)/100,0),0)</f>
        <v>0</v>
      </c>
      <c r="L566" s="31" t="str">
        <f t="shared" si="26"/>
        <v/>
      </c>
      <c r="M566" s="39"/>
    </row>
    <row r="567" spans="1:13" ht="18" customHeight="1" x14ac:dyDescent="0.45">
      <c r="A567" s="37"/>
      <c r="B567" s="29"/>
      <c r="C567" s="29"/>
      <c r="D567" s="28"/>
      <c r="E567" s="30" t="str">
        <f>IFERROR(VLOOKUP(D567,KRX종목마스터!$A:$B,2,FALSE),"")</f>
        <v/>
      </c>
      <c r="F567" s="42"/>
      <c r="G567" s="42"/>
      <c r="H567" s="31" t="str">
        <f t="shared" si="24"/>
        <v/>
      </c>
      <c r="I567" s="43">
        <f ca="1">IFERROR(SUMPRODUCT((참고!$A$31:$A$130=C567)*(참고!$B$31:$B$130&lt;=A567)*(참고!$B$31:$B$130=_xludf.MAXIFS(참고!$B$31:$B$130,참고!$A$31:$A$130,C567,참고!$B$31:$B$130,"&lt;="&amp;A567))*참고!$C$31:$C$130)/100,0)</f>
        <v>0</v>
      </c>
      <c r="J567" s="31" t="str">
        <f t="shared" si="25"/>
        <v/>
      </c>
      <c r="K567" s="43">
        <f>IF(B567="매도",IFERROR(SUMPRODUCT((참고!$A$31:$A$130=C567)*(참고!$B$31:$B$130&lt;=A567)*(참고!$B$31:$B$130=_xludf.MAXIFS(참고!$B$31:$B$130,참고!$A$31:$A$130,C567,참고!$B$31:$B$130,"&lt;="&amp;A567))*참고!$D$31:$D$130)/100,0),0)</f>
        <v>0</v>
      </c>
      <c r="L567" s="31" t="str">
        <f t="shared" si="26"/>
        <v/>
      </c>
      <c r="M567" s="39"/>
    </row>
    <row r="568" spans="1:13" ht="18" customHeight="1" x14ac:dyDescent="0.45">
      <c r="A568" s="37"/>
      <c r="B568" s="29"/>
      <c r="C568" s="29"/>
      <c r="D568" s="28"/>
      <c r="E568" s="30" t="str">
        <f>IFERROR(VLOOKUP(D568,KRX종목마스터!$A:$B,2,FALSE),"")</f>
        <v/>
      </c>
      <c r="F568" s="42"/>
      <c r="G568" s="42"/>
      <c r="H568" s="31" t="str">
        <f t="shared" si="24"/>
        <v/>
      </c>
      <c r="I568" s="43">
        <f ca="1">IFERROR(SUMPRODUCT((참고!$A$31:$A$130=C568)*(참고!$B$31:$B$130&lt;=A568)*(참고!$B$31:$B$130=_xludf.MAXIFS(참고!$B$31:$B$130,참고!$A$31:$A$130,C568,참고!$B$31:$B$130,"&lt;="&amp;A568))*참고!$C$31:$C$130)/100,0)</f>
        <v>0</v>
      </c>
      <c r="J568" s="31" t="str">
        <f t="shared" si="25"/>
        <v/>
      </c>
      <c r="K568" s="43">
        <f>IF(B568="매도",IFERROR(SUMPRODUCT((참고!$A$31:$A$130=C568)*(참고!$B$31:$B$130&lt;=A568)*(참고!$B$31:$B$130=_xludf.MAXIFS(참고!$B$31:$B$130,참고!$A$31:$A$130,C568,참고!$B$31:$B$130,"&lt;="&amp;A568))*참고!$D$31:$D$130)/100,0),0)</f>
        <v>0</v>
      </c>
      <c r="L568" s="31" t="str">
        <f t="shared" si="26"/>
        <v/>
      </c>
      <c r="M568" s="39"/>
    </row>
    <row r="569" spans="1:13" ht="18" customHeight="1" x14ac:dyDescent="0.45">
      <c r="A569" s="37"/>
      <c r="B569" s="29"/>
      <c r="C569" s="29"/>
      <c r="D569" s="28"/>
      <c r="E569" s="30" t="str">
        <f>IFERROR(VLOOKUP(D569,KRX종목마스터!$A:$B,2,FALSE),"")</f>
        <v/>
      </c>
      <c r="F569" s="42"/>
      <c r="G569" s="42"/>
      <c r="H569" s="31" t="str">
        <f t="shared" si="24"/>
        <v/>
      </c>
      <c r="I569" s="43">
        <f ca="1">IFERROR(SUMPRODUCT((참고!$A$31:$A$130=C569)*(참고!$B$31:$B$130&lt;=A569)*(참고!$B$31:$B$130=_xludf.MAXIFS(참고!$B$31:$B$130,참고!$A$31:$A$130,C569,참고!$B$31:$B$130,"&lt;="&amp;A569))*참고!$C$31:$C$130)/100,0)</f>
        <v>0</v>
      </c>
      <c r="J569" s="31" t="str">
        <f t="shared" si="25"/>
        <v/>
      </c>
      <c r="K569" s="43">
        <f>IF(B569="매도",IFERROR(SUMPRODUCT((참고!$A$31:$A$130=C569)*(참고!$B$31:$B$130&lt;=A569)*(참고!$B$31:$B$130=_xludf.MAXIFS(참고!$B$31:$B$130,참고!$A$31:$A$130,C569,참고!$B$31:$B$130,"&lt;="&amp;A569))*참고!$D$31:$D$130)/100,0),0)</f>
        <v>0</v>
      </c>
      <c r="L569" s="31" t="str">
        <f t="shared" si="26"/>
        <v/>
      </c>
      <c r="M569" s="39"/>
    </row>
    <row r="570" spans="1:13" ht="18" customHeight="1" x14ac:dyDescent="0.45">
      <c r="A570" s="37"/>
      <c r="B570" s="29"/>
      <c r="C570" s="29"/>
      <c r="D570" s="28"/>
      <c r="E570" s="30" t="str">
        <f>IFERROR(VLOOKUP(D570,KRX종목마스터!$A:$B,2,FALSE),"")</f>
        <v/>
      </c>
      <c r="F570" s="42"/>
      <c r="G570" s="42"/>
      <c r="H570" s="31" t="str">
        <f t="shared" si="24"/>
        <v/>
      </c>
      <c r="I570" s="43">
        <f ca="1">IFERROR(SUMPRODUCT((참고!$A$31:$A$130=C570)*(참고!$B$31:$B$130&lt;=A570)*(참고!$B$31:$B$130=_xludf.MAXIFS(참고!$B$31:$B$130,참고!$A$31:$A$130,C570,참고!$B$31:$B$130,"&lt;="&amp;A570))*참고!$C$31:$C$130)/100,0)</f>
        <v>0</v>
      </c>
      <c r="J570" s="31" t="str">
        <f t="shared" si="25"/>
        <v/>
      </c>
      <c r="K570" s="43">
        <f>IF(B570="매도",IFERROR(SUMPRODUCT((참고!$A$31:$A$130=C570)*(참고!$B$31:$B$130&lt;=A570)*(참고!$B$31:$B$130=_xludf.MAXIFS(참고!$B$31:$B$130,참고!$A$31:$A$130,C570,참고!$B$31:$B$130,"&lt;="&amp;A570))*참고!$D$31:$D$130)/100,0),0)</f>
        <v>0</v>
      </c>
      <c r="L570" s="31" t="str">
        <f t="shared" si="26"/>
        <v/>
      </c>
      <c r="M570" s="39"/>
    </row>
    <row r="571" spans="1:13" ht="18" customHeight="1" x14ac:dyDescent="0.45">
      <c r="A571" s="37"/>
      <c r="B571" s="29"/>
      <c r="C571" s="29"/>
      <c r="D571" s="28"/>
      <c r="E571" s="30" t="str">
        <f>IFERROR(VLOOKUP(D571,KRX종목마스터!$A:$B,2,FALSE),"")</f>
        <v/>
      </c>
      <c r="F571" s="42"/>
      <c r="G571" s="42"/>
      <c r="H571" s="31" t="str">
        <f t="shared" si="24"/>
        <v/>
      </c>
      <c r="I571" s="43">
        <f ca="1">IFERROR(SUMPRODUCT((참고!$A$31:$A$130=C571)*(참고!$B$31:$B$130&lt;=A571)*(참고!$B$31:$B$130=_xludf.MAXIFS(참고!$B$31:$B$130,참고!$A$31:$A$130,C571,참고!$B$31:$B$130,"&lt;="&amp;A571))*참고!$C$31:$C$130)/100,0)</f>
        <v>0</v>
      </c>
      <c r="J571" s="31" t="str">
        <f t="shared" si="25"/>
        <v/>
      </c>
      <c r="K571" s="43">
        <f>IF(B571="매도",IFERROR(SUMPRODUCT((참고!$A$31:$A$130=C571)*(참고!$B$31:$B$130&lt;=A571)*(참고!$B$31:$B$130=_xludf.MAXIFS(참고!$B$31:$B$130,참고!$A$31:$A$130,C571,참고!$B$31:$B$130,"&lt;="&amp;A571))*참고!$D$31:$D$130)/100,0),0)</f>
        <v>0</v>
      </c>
      <c r="L571" s="31" t="str">
        <f t="shared" si="26"/>
        <v/>
      </c>
      <c r="M571" s="39"/>
    </row>
    <row r="572" spans="1:13" ht="18" customHeight="1" x14ac:dyDescent="0.45">
      <c r="A572" s="37"/>
      <c r="B572" s="29"/>
      <c r="C572" s="29"/>
      <c r="D572" s="28"/>
      <c r="E572" s="30" t="str">
        <f>IFERROR(VLOOKUP(D572,KRX종목마스터!$A:$B,2,FALSE),"")</f>
        <v/>
      </c>
      <c r="F572" s="42"/>
      <c r="G572" s="42"/>
      <c r="H572" s="31" t="str">
        <f t="shared" si="24"/>
        <v/>
      </c>
      <c r="I572" s="43">
        <f ca="1">IFERROR(SUMPRODUCT((참고!$A$31:$A$130=C572)*(참고!$B$31:$B$130&lt;=A572)*(참고!$B$31:$B$130=_xludf.MAXIFS(참고!$B$31:$B$130,참고!$A$31:$A$130,C572,참고!$B$31:$B$130,"&lt;="&amp;A572))*참고!$C$31:$C$130)/100,0)</f>
        <v>0</v>
      </c>
      <c r="J572" s="31" t="str">
        <f t="shared" si="25"/>
        <v/>
      </c>
      <c r="K572" s="43">
        <f>IF(B572="매도",IFERROR(SUMPRODUCT((참고!$A$31:$A$130=C572)*(참고!$B$31:$B$130&lt;=A572)*(참고!$B$31:$B$130=_xludf.MAXIFS(참고!$B$31:$B$130,참고!$A$31:$A$130,C572,참고!$B$31:$B$130,"&lt;="&amp;A572))*참고!$D$31:$D$130)/100,0),0)</f>
        <v>0</v>
      </c>
      <c r="L572" s="31" t="str">
        <f t="shared" si="26"/>
        <v/>
      </c>
      <c r="M572" s="39"/>
    </row>
    <row r="573" spans="1:13" ht="18" customHeight="1" x14ac:dyDescent="0.45">
      <c r="A573" s="37"/>
      <c r="B573" s="29"/>
      <c r="C573" s="29"/>
      <c r="D573" s="28"/>
      <c r="E573" s="30" t="str">
        <f>IFERROR(VLOOKUP(D573,KRX종목마스터!$A:$B,2,FALSE),"")</f>
        <v/>
      </c>
      <c r="F573" s="42"/>
      <c r="G573" s="42"/>
      <c r="H573" s="31" t="str">
        <f t="shared" si="24"/>
        <v/>
      </c>
      <c r="I573" s="43">
        <f ca="1">IFERROR(SUMPRODUCT((참고!$A$31:$A$130=C573)*(참고!$B$31:$B$130&lt;=A573)*(참고!$B$31:$B$130=_xludf.MAXIFS(참고!$B$31:$B$130,참고!$A$31:$A$130,C573,참고!$B$31:$B$130,"&lt;="&amp;A573))*참고!$C$31:$C$130)/100,0)</f>
        <v>0</v>
      </c>
      <c r="J573" s="31" t="str">
        <f t="shared" si="25"/>
        <v/>
      </c>
      <c r="K573" s="43">
        <f>IF(B573="매도",IFERROR(SUMPRODUCT((참고!$A$31:$A$130=C573)*(참고!$B$31:$B$130&lt;=A573)*(참고!$B$31:$B$130=_xludf.MAXIFS(참고!$B$31:$B$130,참고!$A$31:$A$130,C573,참고!$B$31:$B$130,"&lt;="&amp;A573))*참고!$D$31:$D$130)/100,0),0)</f>
        <v>0</v>
      </c>
      <c r="L573" s="31" t="str">
        <f t="shared" si="26"/>
        <v/>
      </c>
      <c r="M573" s="39"/>
    </row>
    <row r="574" spans="1:13" ht="18" customHeight="1" x14ac:dyDescent="0.45">
      <c r="A574" s="37"/>
      <c r="B574" s="29"/>
      <c r="C574" s="29"/>
      <c r="D574" s="28"/>
      <c r="E574" s="30" t="str">
        <f>IFERROR(VLOOKUP(D574,KRX종목마스터!$A:$B,2,FALSE),"")</f>
        <v/>
      </c>
      <c r="F574" s="42"/>
      <c r="G574" s="42"/>
      <c r="H574" s="31" t="str">
        <f t="shared" si="24"/>
        <v/>
      </c>
      <c r="I574" s="43">
        <f ca="1">IFERROR(SUMPRODUCT((참고!$A$31:$A$130=C574)*(참고!$B$31:$B$130&lt;=A574)*(참고!$B$31:$B$130=_xludf.MAXIFS(참고!$B$31:$B$130,참고!$A$31:$A$130,C574,참고!$B$31:$B$130,"&lt;="&amp;A574))*참고!$C$31:$C$130)/100,0)</f>
        <v>0</v>
      </c>
      <c r="J574" s="31" t="str">
        <f t="shared" si="25"/>
        <v/>
      </c>
      <c r="K574" s="43">
        <f>IF(B574="매도",IFERROR(SUMPRODUCT((참고!$A$31:$A$130=C574)*(참고!$B$31:$B$130&lt;=A574)*(참고!$B$31:$B$130=_xludf.MAXIFS(참고!$B$31:$B$130,참고!$A$31:$A$130,C574,참고!$B$31:$B$130,"&lt;="&amp;A574))*참고!$D$31:$D$130)/100,0),0)</f>
        <v>0</v>
      </c>
      <c r="L574" s="31" t="str">
        <f t="shared" si="26"/>
        <v/>
      </c>
      <c r="M574" s="39"/>
    </row>
    <row r="575" spans="1:13" ht="18" customHeight="1" x14ac:dyDescent="0.45">
      <c r="A575" s="37"/>
      <c r="B575" s="29"/>
      <c r="C575" s="29"/>
      <c r="D575" s="28"/>
      <c r="E575" s="30" t="str">
        <f>IFERROR(VLOOKUP(D575,KRX종목마스터!$A:$B,2,FALSE),"")</f>
        <v/>
      </c>
      <c r="F575" s="42"/>
      <c r="G575" s="42"/>
      <c r="H575" s="31" t="str">
        <f t="shared" si="24"/>
        <v/>
      </c>
      <c r="I575" s="43">
        <f ca="1">IFERROR(SUMPRODUCT((참고!$A$31:$A$130=C575)*(참고!$B$31:$B$130&lt;=A575)*(참고!$B$31:$B$130=_xludf.MAXIFS(참고!$B$31:$B$130,참고!$A$31:$A$130,C575,참고!$B$31:$B$130,"&lt;="&amp;A575))*참고!$C$31:$C$130)/100,0)</f>
        <v>0</v>
      </c>
      <c r="J575" s="31" t="str">
        <f t="shared" si="25"/>
        <v/>
      </c>
      <c r="K575" s="43">
        <f>IF(B575="매도",IFERROR(SUMPRODUCT((참고!$A$31:$A$130=C575)*(참고!$B$31:$B$130&lt;=A575)*(참고!$B$31:$B$130=_xludf.MAXIFS(참고!$B$31:$B$130,참고!$A$31:$A$130,C575,참고!$B$31:$B$130,"&lt;="&amp;A575))*참고!$D$31:$D$130)/100,0),0)</f>
        <v>0</v>
      </c>
      <c r="L575" s="31" t="str">
        <f t="shared" si="26"/>
        <v/>
      </c>
      <c r="M575" s="39"/>
    </row>
    <row r="576" spans="1:13" ht="18" customHeight="1" x14ac:dyDescent="0.45">
      <c r="A576" s="37"/>
      <c r="B576" s="29"/>
      <c r="C576" s="29"/>
      <c r="D576" s="28"/>
      <c r="E576" s="30" t="str">
        <f>IFERROR(VLOOKUP(D576,KRX종목마스터!$A:$B,2,FALSE),"")</f>
        <v/>
      </c>
      <c r="F576" s="42"/>
      <c r="G576" s="42"/>
      <c r="H576" s="31" t="str">
        <f t="shared" si="24"/>
        <v/>
      </c>
      <c r="I576" s="43">
        <f ca="1">IFERROR(SUMPRODUCT((참고!$A$31:$A$130=C576)*(참고!$B$31:$B$130&lt;=A576)*(참고!$B$31:$B$130=_xludf.MAXIFS(참고!$B$31:$B$130,참고!$A$31:$A$130,C576,참고!$B$31:$B$130,"&lt;="&amp;A576))*참고!$C$31:$C$130)/100,0)</f>
        <v>0</v>
      </c>
      <c r="J576" s="31" t="str">
        <f t="shared" si="25"/>
        <v/>
      </c>
      <c r="K576" s="43">
        <f>IF(B576="매도",IFERROR(SUMPRODUCT((참고!$A$31:$A$130=C576)*(참고!$B$31:$B$130&lt;=A576)*(참고!$B$31:$B$130=_xludf.MAXIFS(참고!$B$31:$B$130,참고!$A$31:$A$130,C576,참고!$B$31:$B$130,"&lt;="&amp;A576))*참고!$D$31:$D$130)/100,0),0)</f>
        <v>0</v>
      </c>
      <c r="L576" s="31" t="str">
        <f t="shared" si="26"/>
        <v/>
      </c>
      <c r="M576" s="39"/>
    </row>
    <row r="577" spans="1:13" ht="18" customHeight="1" x14ac:dyDescent="0.45">
      <c r="A577" s="37"/>
      <c r="B577" s="29"/>
      <c r="C577" s="29"/>
      <c r="D577" s="28"/>
      <c r="E577" s="30" t="str">
        <f>IFERROR(VLOOKUP(D577,KRX종목마스터!$A:$B,2,FALSE),"")</f>
        <v/>
      </c>
      <c r="F577" s="42"/>
      <c r="G577" s="42"/>
      <c r="H577" s="31" t="str">
        <f t="shared" si="24"/>
        <v/>
      </c>
      <c r="I577" s="43">
        <f ca="1">IFERROR(SUMPRODUCT((참고!$A$31:$A$130=C577)*(참고!$B$31:$B$130&lt;=A577)*(참고!$B$31:$B$130=_xludf.MAXIFS(참고!$B$31:$B$130,참고!$A$31:$A$130,C577,참고!$B$31:$B$130,"&lt;="&amp;A577))*참고!$C$31:$C$130)/100,0)</f>
        <v>0</v>
      </c>
      <c r="J577" s="31" t="str">
        <f t="shared" si="25"/>
        <v/>
      </c>
      <c r="K577" s="43">
        <f>IF(B577="매도",IFERROR(SUMPRODUCT((참고!$A$31:$A$130=C577)*(참고!$B$31:$B$130&lt;=A577)*(참고!$B$31:$B$130=_xludf.MAXIFS(참고!$B$31:$B$130,참고!$A$31:$A$130,C577,참고!$B$31:$B$130,"&lt;="&amp;A577))*참고!$D$31:$D$130)/100,0),0)</f>
        <v>0</v>
      </c>
      <c r="L577" s="31" t="str">
        <f t="shared" si="26"/>
        <v/>
      </c>
      <c r="M577" s="39"/>
    </row>
    <row r="578" spans="1:13" ht="18" customHeight="1" x14ac:dyDescent="0.45">
      <c r="A578" s="37"/>
      <c r="B578" s="29"/>
      <c r="C578" s="29"/>
      <c r="D578" s="28"/>
      <c r="E578" s="30" t="str">
        <f>IFERROR(VLOOKUP(D578,KRX종목마스터!$A:$B,2,FALSE),"")</f>
        <v/>
      </c>
      <c r="F578" s="42"/>
      <c r="G578" s="42"/>
      <c r="H578" s="31" t="str">
        <f t="shared" si="24"/>
        <v/>
      </c>
      <c r="I578" s="43">
        <f ca="1">IFERROR(SUMPRODUCT((참고!$A$31:$A$130=C578)*(참고!$B$31:$B$130&lt;=A578)*(참고!$B$31:$B$130=_xludf.MAXIFS(참고!$B$31:$B$130,참고!$A$31:$A$130,C578,참고!$B$31:$B$130,"&lt;="&amp;A578))*참고!$C$31:$C$130)/100,0)</f>
        <v>0</v>
      </c>
      <c r="J578" s="31" t="str">
        <f t="shared" si="25"/>
        <v/>
      </c>
      <c r="K578" s="43">
        <f>IF(B578="매도",IFERROR(SUMPRODUCT((참고!$A$31:$A$130=C578)*(참고!$B$31:$B$130&lt;=A578)*(참고!$B$31:$B$130=_xludf.MAXIFS(참고!$B$31:$B$130,참고!$A$31:$A$130,C578,참고!$B$31:$B$130,"&lt;="&amp;A578))*참고!$D$31:$D$130)/100,0),0)</f>
        <v>0</v>
      </c>
      <c r="L578" s="31" t="str">
        <f t="shared" si="26"/>
        <v/>
      </c>
      <c r="M578" s="39"/>
    </row>
    <row r="579" spans="1:13" ht="18" customHeight="1" x14ac:dyDescent="0.45">
      <c r="A579" s="37"/>
      <c r="B579" s="29"/>
      <c r="C579" s="29"/>
      <c r="D579" s="28"/>
      <c r="E579" s="30" t="str">
        <f>IFERROR(VLOOKUP(D579,KRX종목마스터!$A:$B,2,FALSE),"")</f>
        <v/>
      </c>
      <c r="F579" s="42"/>
      <c r="G579" s="42"/>
      <c r="H579" s="31" t="str">
        <f t="shared" si="24"/>
        <v/>
      </c>
      <c r="I579" s="43">
        <f ca="1">IFERROR(SUMPRODUCT((참고!$A$31:$A$130=C579)*(참고!$B$31:$B$130&lt;=A579)*(참고!$B$31:$B$130=_xludf.MAXIFS(참고!$B$31:$B$130,참고!$A$31:$A$130,C579,참고!$B$31:$B$130,"&lt;="&amp;A579))*참고!$C$31:$C$130)/100,0)</f>
        <v>0</v>
      </c>
      <c r="J579" s="31" t="str">
        <f t="shared" si="25"/>
        <v/>
      </c>
      <c r="K579" s="43">
        <f>IF(B579="매도",IFERROR(SUMPRODUCT((참고!$A$31:$A$130=C579)*(참고!$B$31:$B$130&lt;=A579)*(참고!$B$31:$B$130=_xludf.MAXIFS(참고!$B$31:$B$130,참고!$A$31:$A$130,C579,참고!$B$31:$B$130,"&lt;="&amp;A579))*참고!$D$31:$D$130)/100,0),0)</f>
        <v>0</v>
      </c>
      <c r="L579" s="31" t="str">
        <f t="shared" si="26"/>
        <v/>
      </c>
      <c r="M579" s="39"/>
    </row>
    <row r="580" spans="1:13" ht="18" customHeight="1" x14ac:dyDescent="0.45">
      <c r="A580" s="37"/>
      <c r="B580" s="29"/>
      <c r="C580" s="29"/>
      <c r="D580" s="28"/>
      <c r="E580" s="30" t="str">
        <f>IFERROR(VLOOKUP(D580,KRX종목마스터!$A:$B,2,FALSE),"")</f>
        <v/>
      </c>
      <c r="F580" s="42"/>
      <c r="G580" s="42"/>
      <c r="H580" s="31" t="str">
        <f t="shared" si="24"/>
        <v/>
      </c>
      <c r="I580" s="43">
        <f ca="1">IFERROR(SUMPRODUCT((참고!$A$31:$A$130=C580)*(참고!$B$31:$B$130&lt;=A580)*(참고!$B$31:$B$130=_xludf.MAXIFS(참고!$B$31:$B$130,참고!$A$31:$A$130,C580,참고!$B$31:$B$130,"&lt;="&amp;A580))*참고!$C$31:$C$130)/100,0)</f>
        <v>0</v>
      </c>
      <c r="J580" s="31" t="str">
        <f t="shared" si="25"/>
        <v/>
      </c>
      <c r="K580" s="43">
        <f>IF(B580="매도",IFERROR(SUMPRODUCT((참고!$A$31:$A$130=C580)*(참고!$B$31:$B$130&lt;=A580)*(참고!$B$31:$B$130=_xludf.MAXIFS(참고!$B$31:$B$130,참고!$A$31:$A$130,C580,참고!$B$31:$B$130,"&lt;="&amp;A580))*참고!$D$31:$D$130)/100,0),0)</f>
        <v>0</v>
      </c>
      <c r="L580" s="31" t="str">
        <f t="shared" si="26"/>
        <v/>
      </c>
      <c r="M580" s="39"/>
    </row>
    <row r="581" spans="1:13" ht="18" customHeight="1" x14ac:dyDescent="0.45">
      <c r="A581" s="37"/>
      <c r="B581" s="29"/>
      <c r="C581" s="29"/>
      <c r="D581" s="28"/>
      <c r="E581" s="30" t="str">
        <f>IFERROR(VLOOKUP(D581,KRX종목마스터!$A:$B,2,FALSE),"")</f>
        <v/>
      </c>
      <c r="F581" s="42"/>
      <c r="G581" s="42"/>
      <c r="H581" s="31" t="str">
        <f t="shared" ref="H581:H644" si="27">IF(AND(F581&lt;&gt;"",G581&lt;&gt;""),F581*G581,"")</f>
        <v/>
      </c>
      <c r="I581" s="43">
        <f ca="1">IFERROR(SUMPRODUCT((참고!$A$31:$A$130=C581)*(참고!$B$31:$B$130&lt;=A581)*(참고!$B$31:$B$130=_xludf.MAXIFS(참고!$B$31:$B$130,참고!$A$31:$A$130,C581,참고!$B$31:$B$130,"&lt;="&amp;A581))*참고!$C$31:$C$130)/100,0)</f>
        <v>0</v>
      </c>
      <c r="J581" s="31" t="str">
        <f t="shared" ref="J581:J644" si="28">IF(H581="","",ROUND(H581*I581,0))</f>
        <v/>
      </c>
      <c r="K581" s="43">
        <f>IF(B581="매도",IFERROR(SUMPRODUCT((참고!$A$31:$A$130=C581)*(참고!$B$31:$B$130&lt;=A581)*(참고!$B$31:$B$130=_xludf.MAXIFS(참고!$B$31:$B$130,참고!$A$31:$A$130,C581,참고!$B$31:$B$130,"&lt;="&amp;A581))*참고!$D$31:$D$130)/100,0),0)</f>
        <v>0</v>
      </c>
      <c r="L581" s="31" t="str">
        <f t="shared" ref="L581:L644" si="29">IF(H581="","",ROUND(H581*K581,0))</f>
        <v/>
      </c>
      <c r="M581" s="39"/>
    </row>
    <row r="582" spans="1:13" ht="18" customHeight="1" x14ac:dyDescent="0.45">
      <c r="A582" s="37"/>
      <c r="B582" s="29"/>
      <c r="C582" s="29"/>
      <c r="D582" s="28"/>
      <c r="E582" s="30" t="str">
        <f>IFERROR(VLOOKUP(D582,KRX종목마스터!$A:$B,2,FALSE),"")</f>
        <v/>
      </c>
      <c r="F582" s="42"/>
      <c r="G582" s="42"/>
      <c r="H582" s="31" t="str">
        <f t="shared" si="27"/>
        <v/>
      </c>
      <c r="I582" s="43">
        <f ca="1">IFERROR(SUMPRODUCT((참고!$A$31:$A$130=C582)*(참고!$B$31:$B$130&lt;=A582)*(참고!$B$31:$B$130=_xludf.MAXIFS(참고!$B$31:$B$130,참고!$A$31:$A$130,C582,참고!$B$31:$B$130,"&lt;="&amp;A582))*참고!$C$31:$C$130)/100,0)</f>
        <v>0</v>
      </c>
      <c r="J582" s="31" t="str">
        <f t="shared" si="28"/>
        <v/>
      </c>
      <c r="K582" s="43">
        <f>IF(B582="매도",IFERROR(SUMPRODUCT((참고!$A$31:$A$130=C582)*(참고!$B$31:$B$130&lt;=A582)*(참고!$B$31:$B$130=_xludf.MAXIFS(참고!$B$31:$B$130,참고!$A$31:$A$130,C582,참고!$B$31:$B$130,"&lt;="&amp;A582))*참고!$D$31:$D$130)/100,0),0)</f>
        <v>0</v>
      </c>
      <c r="L582" s="31" t="str">
        <f t="shared" si="29"/>
        <v/>
      </c>
      <c r="M582" s="39"/>
    </row>
    <row r="583" spans="1:13" ht="18" customHeight="1" x14ac:dyDescent="0.45">
      <c r="A583" s="37"/>
      <c r="B583" s="29"/>
      <c r="C583" s="29"/>
      <c r="D583" s="28"/>
      <c r="E583" s="30" t="str">
        <f>IFERROR(VLOOKUP(D583,KRX종목마스터!$A:$B,2,FALSE),"")</f>
        <v/>
      </c>
      <c r="F583" s="42"/>
      <c r="G583" s="42"/>
      <c r="H583" s="31" t="str">
        <f t="shared" si="27"/>
        <v/>
      </c>
      <c r="I583" s="43">
        <f ca="1">IFERROR(SUMPRODUCT((참고!$A$31:$A$130=C583)*(참고!$B$31:$B$130&lt;=A583)*(참고!$B$31:$B$130=_xludf.MAXIFS(참고!$B$31:$B$130,참고!$A$31:$A$130,C583,참고!$B$31:$B$130,"&lt;="&amp;A583))*참고!$C$31:$C$130)/100,0)</f>
        <v>0</v>
      </c>
      <c r="J583" s="31" t="str">
        <f t="shared" si="28"/>
        <v/>
      </c>
      <c r="K583" s="43">
        <f>IF(B583="매도",IFERROR(SUMPRODUCT((참고!$A$31:$A$130=C583)*(참고!$B$31:$B$130&lt;=A583)*(참고!$B$31:$B$130=_xludf.MAXIFS(참고!$B$31:$B$130,참고!$A$31:$A$130,C583,참고!$B$31:$B$130,"&lt;="&amp;A583))*참고!$D$31:$D$130)/100,0),0)</f>
        <v>0</v>
      </c>
      <c r="L583" s="31" t="str">
        <f t="shared" si="29"/>
        <v/>
      </c>
      <c r="M583" s="39"/>
    </row>
    <row r="584" spans="1:13" ht="18" customHeight="1" x14ac:dyDescent="0.45">
      <c r="A584" s="37"/>
      <c r="B584" s="29"/>
      <c r="C584" s="29"/>
      <c r="D584" s="28"/>
      <c r="E584" s="30" t="str">
        <f>IFERROR(VLOOKUP(D584,KRX종목마스터!$A:$B,2,FALSE),"")</f>
        <v/>
      </c>
      <c r="F584" s="42"/>
      <c r="G584" s="42"/>
      <c r="H584" s="31" t="str">
        <f t="shared" si="27"/>
        <v/>
      </c>
      <c r="I584" s="43">
        <f ca="1">IFERROR(SUMPRODUCT((참고!$A$31:$A$130=C584)*(참고!$B$31:$B$130&lt;=A584)*(참고!$B$31:$B$130=_xludf.MAXIFS(참고!$B$31:$B$130,참고!$A$31:$A$130,C584,참고!$B$31:$B$130,"&lt;="&amp;A584))*참고!$C$31:$C$130)/100,0)</f>
        <v>0</v>
      </c>
      <c r="J584" s="31" t="str">
        <f t="shared" si="28"/>
        <v/>
      </c>
      <c r="K584" s="43">
        <f>IF(B584="매도",IFERROR(SUMPRODUCT((참고!$A$31:$A$130=C584)*(참고!$B$31:$B$130&lt;=A584)*(참고!$B$31:$B$130=_xludf.MAXIFS(참고!$B$31:$B$130,참고!$A$31:$A$130,C584,참고!$B$31:$B$130,"&lt;="&amp;A584))*참고!$D$31:$D$130)/100,0),0)</f>
        <v>0</v>
      </c>
      <c r="L584" s="31" t="str">
        <f t="shared" si="29"/>
        <v/>
      </c>
      <c r="M584" s="39"/>
    </row>
    <row r="585" spans="1:13" ht="18" customHeight="1" x14ac:dyDescent="0.45">
      <c r="A585" s="37"/>
      <c r="B585" s="29"/>
      <c r="C585" s="29"/>
      <c r="D585" s="28"/>
      <c r="E585" s="30" t="str">
        <f>IFERROR(VLOOKUP(D585,KRX종목마스터!$A:$B,2,FALSE),"")</f>
        <v/>
      </c>
      <c r="F585" s="42"/>
      <c r="G585" s="42"/>
      <c r="H585" s="31" t="str">
        <f t="shared" si="27"/>
        <v/>
      </c>
      <c r="I585" s="43">
        <f ca="1">IFERROR(SUMPRODUCT((참고!$A$31:$A$130=C585)*(참고!$B$31:$B$130&lt;=A585)*(참고!$B$31:$B$130=_xludf.MAXIFS(참고!$B$31:$B$130,참고!$A$31:$A$130,C585,참고!$B$31:$B$130,"&lt;="&amp;A585))*참고!$C$31:$C$130)/100,0)</f>
        <v>0</v>
      </c>
      <c r="J585" s="31" t="str">
        <f t="shared" si="28"/>
        <v/>
      </c>
      <c r="K585" s="43">
        <f>IF(B585="매도",IFERROR(SUMPRODUCT((참고!$A$31:$A$130=C585)*(참고!$B$31:$B$130&lt;=A585)*(참고!$B$31:$B$130=_xludf.MAXIFS(참고!$B$31:$B$130,참고!$A$31:$A$130,C585,참고!$B$31:$B$130,"&lt;="&amp;A585))*참고!$D$31:$D$130)/100,0),0)</f>
        <v>0</v>
      </c>
      <c r="L585" s="31" t="str">
        <f t="shared" si="29"/>
        <v/>
      </c>
      <c r="M585" s="39"/>
    </row>
    <row r="586" spans="1:13" ht="18" customHeight="1" x14ac:dyDescent="0.45">
      <c r="A586" s="37"/>
      <c r="B586" s="29"/>
      <c r="C586" s="29"/>
      <c r="D586" s="28"/>
      <c r="E586" s="30" t="str">
        <f>IFERROR(VLOOKUP(D586,KRX종목마스터!$A:$B,2,FALSE),"")</f>
        <v/>
      </c>
      <c r="F586" s="42"/>
      <c r="G586" s="42"/>
      <c r="H586" s="31" t="str">
        <f t="shared" si="27"/>
        <v/>
      </c>
      <c r="I586" s="43">
        <f ca="1">IFERROR(SUMPRODUCT((참고!$A$31:$A$130=C586)*(참고!$B$31:$B$130&lt;=A586)*(참고!$B$31:$B$130=_xludf.MAXIFS(참고!$B$31:$B$130,참고!$A$31:$A$130,C586,참고!$B$31:$B$130,"&lt;="&amp;A586))*참고!$C$31:$C$130)/100,0)</f>
        <v>0</v>
      </c>
      <c r="J586" s="31" t="str">
        <f t="shared" si="28"/>
        <v/>
      </c>
      <c r="K586" s="43">
        <f>IF(B586="매도",IFERROR(SUMPRODUCT((참고!$A$31:$A$130=C586)*(참고!$B$31:$B$130&lt;=A586)*(참고!$B$31:$B$130=_xludf.MAXIFS(참고!$B$31:$B$130,참고!$A$31:$A$130,C586,참고!$B$31:$B$130,"&lt;="&amp;A586))*참고!$D$31:$D$130)/100,0),0)</f>
        <v>0</v>
      </c>
      <c r="L586" s="31" t="str">
        <f t="shared" si="29"/>
        <v/>
      </c>
      <c r="M586" s="39"/>
    </row>
    <row r="587" spans="1:13" ht="18" customHeight="1" x14ac:dyDescent="0.45">
      <c r="A587" s="37"/>
      <c r="B587" s="29"/>
      <c r="C587" s="29"/>
      <c r="D587" s="28"/>
      <c r="E587" s="30" t="str">
        <f>IFERROR(VLOOKUP(D587,KRX종목마스터!$A:$B,2,FALSE),"")</f>
        <v/>
      </c>
      <c r="F587" s="42"/>
      <c r="G587" s="42"/>
      <c r="H587" s="31" t="str">
        <f t="shared" si="27"/>
        <v/>
      </c>
      <c r="I587" s="43">
        <f ca="1">IFERROR(SUMPRODUCT((참고!$A$31:$A$130=C587)*(참고!$B$31:$B$130&lt;=A587)*(참고!$B$31:$B$130=_xludf.MAXIFS(참고!$B$31:$B$130,참고!$A$31:$A$130,C587,참고!$B$31:$B$130,"&lt;="&amp;A587))*참고!$C$31:$C$130)/100,0)</f>
        <v>0</v>
      </c>
      <c r="J587" s="31" t="str">
        <f t="shared" si="28"/>
        <v/>
      </c>
      <c r="K587" s="43">
        <f>IF(B587="매도",IFERROR(SUMPRODUCT((참고!$A$31:$A$130=C587)*(참고!$B$31:$B$130&lt;=A587)*(참고!$B$31:$B$130=_xludf.MAXIFS(참고!$B$31:$B$130,참고!$A$31:$A$130,C587,참고!$B$31:$B$130,"&lt;="&amp;A587))*참고!$D$31:$D$130)/100,0),0)</f>
        <v>0</v>
      </c>
      <c r="L587" s="31" t="str">
        <f t="shared" si="29"/>
        <v/>
      </c>
      <c r="M587" s="39"/>
    </row>
    <row r="588" spans="1:13" ht="18" customHeight="1" x14ac:dyDescent="0.45">
      <c r="A588" s="37"/>
      <c r="B588" s="29"/>
      <c r="C588" s="29"/>
      <c r="D588" s="28"/>
      <c r="E588" s="30" t="str">
        <f>IFERROR(VLOOKUP(D588,KRX종목마스터!$A:$B,2,FALSE),"")</f>
        <v/>
      </c>
      <c r="F588" s="42"/>
      <c r="G588" s="42"/>
      <c r="H588" s="31" t="str">
        <f t="shared" si="27"/>
        <v/>
      </c>
      <c r="I588" s="43">
        <f ca="1">IFERROR(SUMPRODUCT((참고!$A$31:$A$130=C588)*(참고!$B$31:$B$130&lt;=A588)*(참고!$B$31:$B$130=_xludf.MAXIFS(참고!$B$31:$B$130,참고!$A$31:$A$130,C588,참고!$B$31:$B$130,"&lt;="&amp;A588))*참고!$C$31:$C$130)/100,0)</f>
        <v>0</v>
      </c>
      <c r="J588" s="31" t="str">
        <f t="shared" si="28"/>
        <v/>
      </c>
      <c r="K588" s="43">
        <f>IF(B588="매도",IFERROR(SUMPRODUCT((참고!$A$31:$A$130=C588)*(참고!$B$31:$B$130&lt;=A588)*(참고!$B$31:$B$130=_xludf.MAXIFS(참고!$B$31:$B$130,참고!$A$31:$A$130,C588,참고!$B$31:$B$130,"&lt;="&amp;A588))*참고!$D$31:$D$130)/100,0),0)</f>
        <v>0</v>
      </c>
      <c r="L588" s="31" t="str">
        <f t="shared" si="29"/>
        <v/>
      </c>
      <c r="M588" s="39"/>
    </row>
    <row r="589" spans="1:13" ht="18" customHeight="1" x14ac:dyDescent="0.45">
      <c r="A589" s="37"/>
      <c r="B589" s="29"/>
      <c r="C589" s="29"/>
      <c r="D589" s="28"/>
      <c r="E589" s="30" t="str">
        <f>IFERROR(VLOOKUP(D589,KRX종목마스터!$A:$B,2,FALSE),"")</f>
        <v/>
      </c>
      <c r="F589" s="42"/>
      <c r="G589" s="42"/>
      <c r="H589" s="31" t="str">
        <f t="shared" si="27"/>
        <v/>
      </c>
      <c r="I589" s="43">
        <f ca="1">IFERROR(SUMPRODUCT((참고!$A$31:$A$130=C589)*(참고!$B$31:$B$130&lt;=A589)*(참고!$B$31:$B$130=_xludf.MAXIFS(참고!$B$31:$B$130,참고!$A$31:$A$130,C589,참고!$B$31:$B$130,"&lt;="&amp;A589))*참고!$C$31:$C$130)/100,0)</f>
        <v>0</v>
      </c>
      <c r="J589" s="31" t="str">
        <f t="shared" si="28"/>
        <v/>
      </c>
      <c r="K589" s="43">
        <f>IF(B589="매도",IFERROR(SUMPRODUCT((참고!$A$31:$A$130=C589)*(참고!$B$31:$B$130&lt;=A589)*(참고!$B$31:$B$130=_xludf.MAXIFS(참고!$B$31:$B$130,참고!$A$31:$A$130,C589,참고!$B$31:$B$130,"&lt;="&amp;A589))*참고!$D$31:$D$130)/100,0),0)</f>
        <v>0</v>
      </c>
      <c r="L589" s="31" t="str">
        <f t="shared" si="29"/>
        <v/>
      </c>
      <c r="M589" s="39"/>
    </row>
    <row r="590" spans="1:13" ht="18" customHeight="1" x14ac:dyDescent="0.45">
      <c r="A590" s="37"/>
      <c r="B590" s="29"/>
      <c r="C590" s="29"/>
      <c r="D590" s="28"/>
      <c r="E590" s="30" t="str">
        <f>IFERROR(VLOOKUP(D590,KRX종목마스터!$A:$B,2,FALSE),"")</f>
        <v/>
      </c>
      <c r="F590" s="42"/>
      <c r="G590" s="42"/>
      <c r="H590" s="31" t="str">
        <f t="shared" si="27"/>
        <v/>
      </c>
      <c r="I590" s="43">
        <f ca="1">IFERROR(SUMPRODUCT((참고!$A$31:$A$130=C590)*(참고!$B$31:$B$130&lt;=A590)*(참고!$B$31:$B$130=_xludf.MAXIFS(참고!$B$31:$B$130,참고!$A$31:$A$130,C590,참고!$B$31:$B$130,"&lt;="&amp;A590))*참고!$C$31:$C$130)/100,0)</f>
        <v>0</v>
      </c>
      <c r="J590" s="31" t="str">
        <f t="shared" si="28"/>
        <v/>
      </c>
      <c r="K590" s="43">
        <f>IF(B590="매도",IFERROR(SUMPRODUCT((참고!$A$31:$A$130=C590)*(참고!$B$31:$B$130&lt;=A590)*(참고!$B$31:$B$130=_xludf.MAXIFS(참고!$B$31:$B$130,참고!$A$31:$A$130,C590,참고!$B$31:$B$130,"&lt;="&amp;A590))*참고!$D$31:$D$130)/100,0),0)</f>
        <v>0</v>
      </c>
      <c r="L590" s="31" t="str">
        <f t="shared" si="29"/>
        <v/>
      </c>
      <c r="M590" s="39"/>
    </row>
    <row r="591" spans="1:13" ht="18" customHeight="1" x14ac:dyDescent="0.45">
      <c r="A591" s="37"/>
      <c r="B591" s="29"/>
      <c r="C591" s="29"/>
      <c r="D591" s="28"/>
      <c r="E591" s="30" t="str">
        <f>IFERROR(VLOOKUP(D591,KRX종목마스터!$A:$B,2,FALSE),"")</f>
        <v/>
      </c>
      <c r="F591" s="42"/>
      <c r="G591" s="42"/>
      <c r="H591" s="31" t="str">
        <f t="shared" si="27"/>
        <v/>
      </c>
      <c r="I591" s="43">
        <f ca="1">IFERROR(SUMPRODUCT((참고!$A$31:$A$130=C591)*(참고!$B$31:$B$130&lt;=A591)*(참고!$B$31:$B$130=_xludf.MAXIFS(참고!$B$31:$B$130,참고!$A$31:$A$130,C591,참고!$B$31:$B$130,"&lt;="&amp;A591))*참고!$C$31:$C$130)/100,0)</f>
        <v>0</v>
      </c>
      <c r="J591" s="31" t="str">
        <f t="shared" si="28"/>
        <v/>
      </c>
      <c r="K591" s="43">
        <f>IF(B591="매도",IFERROR(SUMPRODUCT((참고!$A$31:$A$130=C591)*(참고!$B$31:$B$130&lt;=A591)*(참고!$B$31:$B$130=_xludf.MAXIFS(참고!$B$31:$B$130,참고!$A$31:$A$130,C591,참고!$B$31:$B$130,"&lt;="&amp;A591))*참고!$D$31:$D$130)/100,0),0)</f>
        <v>0</v>
      </c>
      <c r="L591" s="31" t="str">
        <f t="shared" si="29"/>
        <v/>
      </c>
      <c r="M591" s="39"/>
    </row>
    <row r="592" spans="1:13" ht="18" customHeight="1" x14ac:dyDescent="0.45">
      <c r="A592" s="37"/>
      <c r="B592" s="29"/>
      <c r="C592" s="29"/>
      <c r="D592" s="28"/>
      <c r="E592" s="30" t="str">
        <f>IFERROR(VLOOKUP(D592,KRX종목마스터!$A:$B,2,FALSE),"")</f>
        <v/>
      </c>
      <c r="F592" s="42"/>
      <c r="G592" s="42"/>
      <c r="H592" s="31" t="str">
        <f t="shared" si="27"/>
        <v/>
      </c>
      <c r="I592" s="43">
        <f ca="1">IFERROR(SUMPRODUCT((참고!$A$31:$A$130=C592)*(참고!$B$31:$B$130&lt;=A592)*(참고!$B$31:$B$130=_xludf.MAXIFS(참고!$B$31:$B$130,참고!$A$31:$A$130,C592,참고!$B$31:$B$130,"&lt;="&amp;A592))*참고!$C$31:$C$130)/100,0)</f>
        <v>0</v>
      </c>
      <c r="J592" s="31" t="str">
        <f t="shared" si="28"/>
        <v/>
      </c>
      <c r="K592" s="43">
        <f>IF(B592="매도",IFERROR(SUMPRODUCT((참고!$A$31:$A$130=C592)*(참고!$B$31:$B$130&lt;=A592)*(참고!$B$31:$B$130=_xludf.MAXIFS(참고!$B$31:$B$130,참고!$A$31:$A$130,C592,참고!$B$31:$B$130,"&lt;="&amp;A592))*참고!$D$31:$D$130)/100,0),0)</f>
        <v>0</v>
      </c>
      <c r="L592" s="31" t="str">
        <f t="shared" si="29"/>
        <v/>
      </c>
      <c r="M592" s="39"/>
    </row>
    <row r="593" spans="1:13" ht="18" customHeight="1" x14ac:dyDescent="0.45">
      <c r="A593" s="37"/>
      <c r="B593" s="29"/>
      <c r="C593" s="29"/>
      <c r="D593" s="28"/>
      <c r="E593" s="30" t="str">
        <f>IFERROR(VLOOKUP(D593,KRX종목마스터!$A:$B,2,FALSE),"")</f>
        <v/>
      </c>
      <c r="F593" s="42"/>
      <c r="G593" s="42"/>
      <c r="H593" s="31" t="str">
        <f t="shared" si="27"/>
        <v/>
      </c>
      <c r="I593" s="43">
        <f ca="1">IFERROR(SUMPRODUCT((참고!$A$31:$A$130=C593)*(참고!$B$31:$B$130&lt;=A593)*(참고!$B$31:$B$130=_xludf.MAXIFS(참고!$B$31:$B$130,참고!$A$31:$A$130,C593,참고!$B$31:$B$130,"&lt;="&amp;A593))*참고!$C$31:$C$130)/100,0)</f>
        <v>0</v>
      </c>
      <c r="J593" s="31" t="str">
        <f t="shared" si="28"/>
        <v/>
      </c>
      <c r="K593" s="43">
        <f>IF(B593="매도",IFERROR(SUMPRODUCT((참고!$A$31:$A$130=C593)*(참고!$B$31:$B$130&lt;=A593)*(참고!$B$31:$B$130=_xludf.MAXIFS(참고!$B$31:$B$130,참고!$A$31:$A$130,C593,참고!$B$31:$B$130,"&lt;="&amp;A593))*참고!$D$31:$D$130)/100,0),0)</f>
        <v>0</v>
      </c>
      <c r="L593" s="31" t="str">
        <f t="shared" si="29"/>
        <v/>
      </c>
      <c r="M593" s="39"/>
    </row>
    <row r="594" spans="1:13" ht="18" customHeight="1" x14ac:dyDescent="0.45">
      <c r="A594" s="37"/>
      <c r="B594" s="29"/>
      <c r="C594" s="29"/>
      <c r="D594" s="28"/>
      <c r="E594" s="30" t="str">
        <f>IFERROR(VLOOKUP(D594,KRX종목마스터!$A:$B,2,FALSE),"")</f>
        <v/>
      </c>
      <c r="F594" s="42"/>
      <c r="G594" s="42"/>
      <c r="H594" s="31" t="str">
        <f t="shared" si="27"/>
        <v/>
      </c>
      <c r="I594" s="43">
        <f ca="1">IFERROR(SUMPRODUCT((참고!$A$31:$A$130=C594)*(참고!$B$31:$B$130&lt;=A594)*(참고!$B$31:$B$130=_xludf.MAXIFS(참고!$B$31:$B$130,참고!$A$31:$A$130,C594,참고!$B$31:$B$130,"&lt;="&amp;A594))*참고!$C$31:$C$130)/100,0)</f>
        <v>0</v>
      </c>
      <c r="J594" s="31" t="str">
        <f t="shared" si="28"/>
        <v/>
      </c>
      <c r="K594" s="43">
        <f>IF(B594="매도",IFERROR(SUMPRODUCT((참고!$A$31:$A$130=C594)*(참고!$B$31:$B$130&lt;=A594)*(참고!$B$31:$B$130=_xludf.MAXIFS(참고!$B$31:$B$130,참고!$A$31:$A$130,C594,참고!$B$31:$B$130,"&lt;="&amp;A594))*참고!$D$31:$D$130)/100,0),0)</f>
        <v>0</v>
      </c>
      <c r="L594" s="31" t="str">
        <f t="shared" si="29"/>
        <v/>
      </c>
      <c r="M594" s="39"/>
    </row>
    <row r="595" spans="1:13" ht="18" customHeight="1" x14ac:dyDescent="0.45">
      <c r="A595" s="37"/>
      <c r="B595" s="29"/>
      <c r="C595" s="29"/>
      <c r="D595" s="28"/>
      <c r="E595" s="30" t="str">
        <f>IFERROR(VLOOKUP(D595,KRX종목마스터!$A:$B,2,FALSE),"")</f>
        <v/>
      </c>
      <c r="F595" s="42"/>
      <c r="G595" s="42"/>
      <c r="H595" s="31" t="str">
        <f t="shared" si="27"/>
        <v/>
      </c>
      <c r="I595" s="43">
        <f ca="1">IFERROR(SUMPRODUCT((참고!$A$31:$A$130=C595)*(참고!$B$31:$B$130&lt;=A595)*(참고!$B$31:$B$130=_xludf.MAXIFS(참고!$B$31:$B$130,참고!$A$31:$A$130,C595,참고!$B$31:$B$130,"&lt;="&amp;A595))*참고!$C$31:$C$130)/100,0)</f>
        <v>0</v>
      </c>
      <c r="J595" s="31" t="str">
        <f t="shared" si="28"/>
        <v/>
      </c>
      <c r="K595" s="43">
        <f>IF(B595="매도",IFERROR(SUMPRODUCT((참고!$A$31:$A$130=C595)*(참고!$B$31:$B$130&lt;=A595)*(참고!$B$31:$B$130=_xludf.MAXIFS(참고!$B$31:$B$130,참고!$A$31:$A$130,C595,참고!$B$31:$B$130,"&lt;="&amp;A595))*참고!$D$31:$D$130)/100,0),0)</f>
        <v>0</v>
      </c>
      <c r="L595" s="31" t="str">
        <f t="shared" si="29"/>
        <v/>
      </c>
      <c r="M595" s="39"/>
    </row>
    <row r="596" spans="1:13" ht="18" customHeight="1" x14ac:dyDescent="0.45">
      <c r="A596" s="37"/>
      <c r="B596" s="29"/>
      <c r="C596" s="29"/>
      <c r="D596" s="28"/>
      <c r="E596" s="30" t="str">
        <f>IFERROR(VLOOKUP(D596,KRX종목마스터!$A:$B,2,FALSE),"")</f>
        <v/>
      </c>
      <c r="F596" s="42"/>
      <c r="G596" s="42"/>
      <c r="H596" s="31" t="str">
        <f t="shared" si="27"/>
        <v/>
      </c>
      <c r="I596" s="43">
        <f ca="1">IFERROR(SUMPRODUCT((참고!$A$31:$A$130=C596)*(참고!$B$31:$B$130&lt;=A596)*(참고!$B$31:$B$130=_xludf.MAXIFS(참고!$B$31:$B$130,참고!$A$31:$A$130,C596,참고!$B$31:$B$130,"&lt;="&amp;A596))*참고!$C$31:$C$130)/100,0)</f>
        <v>0</v>
      </c>
      <c r="J596" s="31" t="str">
        <f t="shared" si="28"/>
        <v/>
      </c>
      <c r="K596" s="43">
        <f>IF(B596="매도",IFERROR(SUMPRODUCT((참고!$A$31:$A$130=C596)*(참고!$B$31:$B$130&lt;=A596)*(참고!$B$31:$B$130=_xludf.MAXIFS(참고!$B$31:$B$130,참고!$A$31:$A$130,C596,참고!$B$31:$B$130,"&lt;="&amp;A596))*참고!$D$31:$D$130)/100,0),0)</f>
        <v>0</v>
      </c>
      <c r="L596" s="31" t="str">
        <f t="shared" si="29"/>
        <v/>
      </c>
      <c r="M596" s="39"/>
    </row>
    <row r="597" spans="1:13" ht="18" customHeight="1" x14ac:dyDescent="0.45">
      <c r="A597" s="37"/>
      <c r="B597" s="29"/>
      <c r="C597" s="29"/>
      <c r="D597" s="28"/>
      <c r="E597" s="30" t="str">
        <f>IFERROR(VLOOKUP(D597,KRX종목마스터!$A:$B,2,FALSE),"")</f>
        <v/>
      </c>
      <c r="F597" s="42"/>
      <c r="G597" s="42"/>
      <c r="H597" s="31" t="str">
        <f t="shared" si="27"/>
        <v/>
      </c>
      <c r="I597" s="43">
        <f ca="1">IFERROR(SUMPRODUCT((참고!$A$31:$A$130=C597)*(참고!$B$31:$B$130&lt;=A597)*(참고!$B$31:$B$130=_xludf.MAXIFS(참고!$B$31:$B$130,참고!$A$31:$A$130,C597,참고!$B$31:$B$130,"&lt;="&amp;A597))*참고!$C$31:$C$130)/100,0)</f>
        <v>0</v>
      </c>
      <c r="J597" s="31" t="str">
        <f t="shared" si="28"/>
        <v/>
      </c>
      <c r="K597" s="43">
        <f>IF(B597="매도",IFERROR(SUMPRODUCT((참고!$A$31:$A$130=C597)*(참고!$B$31:$B$130&lt;=A597)*(참고!$B$31:$B$130=_xludf.MAXIFS(참고!$B$31:$B$130,참고!$A$31:$A$130,C597,참고!$B$31:$B$130,"&lt;="&amp;A597))*참고!$D$31:$D$130)/100,0),0)</f>
        <v>0</v>
      </c>
      <c r="L597" s="31" t="str">
        <f t="shared" si="29"/>
        <v/>
      </c>
      <c r="M597" s="39"/>
    </row>
    <row r="598" spans="1:13" ht="18" customHeight="1" x14ac:dyDescent="0.45">
      <c r="A598" s="37"/>
      <c r="B598" s="29"/>
      <c r="C598" s="29"/>
      <c r="D598" s="28"/>
      <c r="E598" s="30" t="str">
        <f>IFERROR(VLOOKUP(D598,KRX종목마스터!$A:$B,2,FALSE),"")</f>
        <v/>
      </c>
      <c r="F598" s="42"/>
      <c r="G598" s="42"/>
      <c r="H598" s="31" t="str">
        <f t="shared" si="27"/>
        <v/>
      </c>
      <c r="I598" s="43">
        <f ca="1">IFERROR(SUMPRODUCT((참고!$A$31:$A$130=C598)*(참고!$B$31:$B$130&lt;=A598)*(참고!$B$31:$B$130=_xludf.MAXIFS(참고!$B$31:$B$130,참고!$A$31:$A$130,C598,참고!$B$31:$B$130,"&lt;="&amp;A598))*참고!$C$31:$C$130)/100,0)</f>
        <v>0</v>
      </c>
      <c r="J598" s="31" t="str">
        <f t="shared" si="28"/>
        <v/>
      </c>
      <c r="K598" s="43">
        <f>IF(B598="매도",IFERROR(SUMPRODUCT((참고!$A$31:$A$130=C598)*(참고!$B$31:$B$130&lt;=A598)*(참고!$B$31:$B$130=_xludf.MAXIFS(참고!$B$31:$B$130,참고!$A$31:$A$130,C598,참고!$B$31:$B$130,"&lt;="&amp;A598))*참고!$D$31:$D$130)/100,0),0)</f>
        <v>0</v>
      </c>
      <c r="L598" s="31" t="str">
        <f t="shared" si="29"/>
        <v/>
      </c>
      <c r="M598" s="39"/>
    </row>
    <row r="599" spans="1:13" ht="18" customHeight="1" x14ac:dyDescent="0.45">
      <c r="A599" s="37"/>
      <c r="B599" s="29"/>
      <c r="C599" s="29"/>
      <c r="D599" s="28"/>
      <c r="E599" s="30" t="str">
        <f>IFERROR(VLOOKUP(D599,KRX종목마스터!$A:$B,2,FALSE),"")</f>
        <v/>
      </c>
      <c r="F599" s="42"/>
      <c r="G599" s="42"/>
      <c r="H599" s="31" t="str">
        <f t="shared" si="27"/>
        <v/>
      </c>
      <c r="I599" s="43">
        <f ca="1">IFERROR(SUMPRODUCT((참고!$A$31:$A$130=C599)*(참고!$B$31:$B$130&lt;=A599)*(참고!$B$31:$B$130=_xludf.MAXIFS(참고!$B$31:$B$130,참고!$A$31:$A$130,C599,참고!$B$31:$B$130,"&lt;="&amp;A599))*참고!$C$31:$C$130)/100,0)</f>
        <v>0</v>
      </c>
      <c r="J599" s="31" t="str">
        <f t="shared" si="28"/>
        <v/>
      </c>
      <c r="K599" s="43">
        <f>IF(B599="매도",IFERROR(SUMPRODUCT((참고!$A$31:$A$130=C599)*(참고!$B$31:$B$130&lt;=A599)*(참고!$B$31:$B$130=_xludf.MAXIFS(참고!$B$31:$B$130,참고!$A$31:$A$130,C599,참고!$B$31:$B$130,"&lt;="&amp;A599))*참고!$D$31:$D$130)/100,0),0)</f>
        <v>0</v>
      </c>
      <c r="L599" s="31" t="str">
        <f t="shared" si="29"/>
        <v/>
      </c>
      <c r="M599" s="39"/>
    </row>
    <row r="600" spans="1:13" ht="18" customHeight="1" x14ac:dyDescent="0.45">
      <c r="A600" s="37"/>
      <c r="B600" s="29"/>
      <c r="C600" s="29"/>
      <c r="D600" s="28"/>
      <c r="E600" s="30" t="str">
        <f>IFERROR(VLOOKUP(D600,KRX종목마스터!$A:$B,2,FALSE),"")</f>
        <v/>
      </c>
      <c r="F600" s="42"/>
      <c r="G600" s="42"/>
      <c r="H600" s="31" t="str">
        <f t="shared" si="27"/>
        <v/>
      </c>
      <c r="I600" s="43">
        <f ca="1">IFERROR(SUMPRODUCT((참고!$A$31:$A$130=C600)*(참고!$B$31:$B$130&lt;=A600)*(참고!$B$31:$B$130=_xludf.MAXIFS(참고!$B$31:$B$130,참고!$A$31:$A$130,C600,참고!$B$31:$B$130,"&lt;="&amp;A600))*참고!$C$31:$C$130)/100,0)</f>
        <v>0</v>
      </c>
      <c r="J600" s="31" t="str">
        <f t="shared" si="28"/>
        <v/>
      </c>
      <c r="K600" s="43">
        <f>IF(B600="매도",IFERROR(SUMPRODUCT((참고!$A$31:$A$130=C600)*(참고!$B$31:$B$130&lt;=A600)*(참고!$B$31:$B$130=_xludf.MAXIFS(참고!$B$31:$B$130,참고!$A$31:$A$130,C600,참고!$B$31:$B$130,"&lt;="&amp;A600))*참고!$D$31:$D$130)/100,0),0)</f>
        <v>0</v>
      </c>
      <c r="L600" s="31" t="str">
        <f t="shared" si="29"/>
        <v/>
      </c>
      <c r="M600" s="39"/>
    </row>
    <row r="601" spans="1:13" ht="18" customHeight="1" x14ac:dyDescent="0.45">
      <c r="A601" s="37"/>
      <c r="B601" s="29"/>
      <c r="C601" s="29"/>
      <c r="D601" s="28"/>
      <c r="E601" s="30" t="str">
        <f>IFERROR(VLOOKUP(D601,KRX종목마스터!$A:$B,2,FALSE),"")</f>
        <v/>
      </c>
      <c r="F601" s="42"/>
      <c r="G601" s="42"/>
      <c r="H601" s="31" t="str">
        <f t="shared" si="27"/>
        <v/>
      </c>
      <c r="I601" s="43">
        <f ca="1">IFERROR(SUMPRODUCT((참고!$A$31:$A$130=C601)*(참고!$B$31:$B$130&lt;=A601)*(참고!$B$31:$B$130=_xludf.MAXIFS(참고!$B$31:$B$130,참고!$A$31:$A$130,C601,참고!$B$31:$B$130,"&lt;="&amp;A601))*참고!$C$31:$C$130)/100,0)</f>
        <v>0</v>
      </c>
      <c r="J601" s="31" t="str">
        <f t="shared" si="28"/>
        <v/>
      </c>
      <c r="K601" s="43">
        <f>IF(B601="매도",IFERROR(SUMPRODUCT((참고!$A$31:$A$130=C601)*(참고!$B$31:$B$130&lt;=A601)*(참고!$B$31:$B$130=_xludf.MAXIFS(참고!$B$31:$B$130,참고!$A$31:$A$130,C601,참고!$B$31:$B$130,"&lt;="&amp;A601))*참고!$D$31:$D$130)/100,0),0)</f>
        <v>0</v>
      </c>
      <c r="L601" s="31" t="str">
        <f t="shared" si="29"/>
        <v/>
      </c>
      <c r="M601" s="39"/>
    </row>
    <row r="602" spans="1:13" ht="18" customHeight="1" x14ac:dyDescent="0.45">
      <c r="A602" s="37"/>
      <c r="B602" s="29"/>
      <c r="C602" s="29"/>
      <c r="D602" s="28"/>
      <c r="E602" s="30" t="str">
        <f>IFERROR(VLOOKUP(D602,KRX종목마스터!$A:$B,2,FALSE),"")</f>
        <v/>
      </c>
      <c r="F602" s="42"/>
      <c r="G602" s="42"/>
      <c r="H602" s="31" t="str">
        <f t="shared" si="27"/>
        <v/>
      </c>
      <c r="I602" s="43">
        <f ca="1">IFERROR(SUMPRODUCT((참고!$A$31:$A$130=C602)*(참고!$B$31:$B$130&lt;=A602)*(참고!$B$31:$B$130=_xludf.MAXIFS(참고!$B$31:$B$130,참고!$A$31:$A$130,C602,참고!$B$31:$B$130,"&lt;="&amp;A602))*참고!$C$31:$C$130)/100,0)</f>
        <v>0</v>
      </c>
      <c r="J602" s="31" t="str">
        <f t="shared" si="28"/>
        <v/>
      </c>
      <c r="K602" s="43">
        <f>IF(B602="매도",IFERROR(SUMPRODUCT((참고!$A$31:$A$130=C602)*(참고!$B$31:$B$130&lt;=A602)*(참고!$B$31:$B$130=_xludf.MAXIFS(참고!$B$31:$B$130,참고!$A$31:$A$130,C602,참고!$B$31:$B$130,"&lt;="&amp;A602))*참고!$D$31:$D$130)/100,0),0)</f>
        <v>0</v>
      </c>
      <c r="L602" s="31" t="str">
        <f t="shared" si="29"/>
        <v/>
      </c>
      <c r="M602" s="39"/>
    </row>
    <row r="603" spans="1:13" ht="18" customHeight="1" x14ac:dyDescent="0.45">
      <c r="A603" s="37"/>
      <c r="B603" s="29"/>
      <c r="C603" s="29"/>
      <c r="D603" s="28"/>
      <c r="E603" s="30" t="str">
        <f>IFERROR(VLOOKUP(D603,KRX종목마스터!$A:$B,2,FALSE),"")</f>
        <v/>
      </c>
      <c r="F603" s="42"/>
      <c r="G603" s="42"/>
      <c r="H603" s="31" t="str">
        <f t="shared" si="27"/>
        <v/>
      </c>
      <c r="I603" s="43">
        <f ca="1">IFERROR(SUMPRODUCT((참고!$A$31:$A$130=C603)*(참고!$B$31:$B$130&lt;=A603)*(참고!$B$31:$B$130=_xludf.MAXIFS(참고!$B$31:$B$130,참고!$A$31:$A$130,C603,참고!$B$31:$B$130,"&lt;="&amp;A603))*참고!$C$31:$C$130)/100,0)</f>
        <v>0</v>
      </c>
      <c r="J603" s="31" t="str">
        <f t="shared" si="28"/>
        <v/>
      </c>
      <c r="K603" s="43">
        <f>IF(B603="매도",IFERROR(SUMPRODUCT((참고!$A$31:$A$130=C603)*(참고!$B$31:$B$130&lt;=A603)*(참고!$B$31:$B$130=_xludf.MAXIFS(참고!$B$31:$B$130,참고!$A$31:$A$130,C603,참고!$B$31:$B$130,"&lt;="&amp;A603))*참고!$D$31:$D$130)/100,0),0)</f>
        <v>0</v>
      </c>
      <c r="L603" s="31" t="str">
        <f t="shared" si="29"/>
        <v/>
      </c>
      <c r="M603" s="39"/>
    </row>
    <row r="604" spans="1:13" ht="18" customHeight="1" x14ac:dyDescent="0.45">
      <c r="A604" s="37"/>
      <c r="B604" s="29"/>
      <c r="C604" s="29"/>
      <c r="D604" s="28"/>
      <c r="E604" s="30" t="str">
        <f>IFERROR(VLOOKUP(D604,KRX종목마스터!$A:$B,2,FALSE),"")</f>
        <v/>
      </c>
      <c r="F604" s="42"/>
      <c r="G604" s="42"/>
      <c r="H604" s="31" t="str">
        <f t="shared" si="27"/>
        <v/>
      </c>
      <c r="I604" s="43">
        <f ca="1">IFERROR(SUMPRODUCT((참고!$A$31:$A$130=C604)*(참고!$B$31:$B$130&lt;=A604)*(참고!$B$31:$B$130=_xludf.MAXIFS(참고!$B$31:$B$130,참고!$A$31:$A$130,C604,참고!$B$31:$B$130,"&lt;="&amp;A604))*참고!$C$31:$C$130)/100,0)</f>
        <v>0</v>
      </c>
      <c r="J604" s="31" t="str">
        <f t="shared" si="28"/>
        <v/>
      </c>
      <c r="K604" s="43">
        <f>IF(B604="매도",IFERROR(SUMPRODUCT((참고!$A$31:$A$130=C604)*(참고!$B$31:$B$130&lt;=A604)*(참고!$B$31:$B$130=_xludf.MAXIFS(참고!$B$31:$B$130,참고!$A$31:$A$130,C604,참고!$B$31:$B$130,"&lt;="&amp;A604))*참고!$D$31:$D$130)/100,0),0)</f>
        <v>0</v>
      </c>
      <c r="L604" s="31" t="str">
        <f t="shared" si="29"/>
        <v/>
      </c>
      <c r="M604" s="39"/>
    </row>
    <row r="605" spans="1:13" ht="18" customHeight="1" x14ac:dyDescent="0.45">
      <c r="A605" s="37"/>
      <c r="B605" s="29"/>
      <c r="C605" s="29"/>
      <c r="D605" s="28"/>
      <c r="E605" s="30" t="str">
        <f>IFERROR(VLOOKUP(D605,KRX종목마스터!$A:$B,2,FALSE),"")</f>
        <v/>
      </c>
      <c r="F605" s="42"/>
      <c r="G605" s="42"/>
      <c r="H605" s="31" t="str">
        <f t="shared" si="27"/>
        <v/>
      </c>
      <c r="I605" s="43">
        <f ca="1">IFERROR(SUMPRODUCT((참고!$A$31:$A$130=C605)*(참고!$B$31:$B$130&lt;=A605)*(참고!$B$31:$B$130=_xludf.MAXIFS(참고!$B$31:$B$130,참고!$A$31:$A$130,C605,참고!$B$31:$B$130,"&lt;="&amp;A605))*참고!$C$31:$C$130)/100,0)</f>
        <v>0</v>
      </c>
      <c r="J605" s="31" t="str">
        <f t="shared" si="28"/>
        <v/>
      </c>
      <c r="K605" s="43">
        <f>IF(B605="매도",IFERROR(SUMPRODUCT((참고!$A$31:$A$130=C605)*(참고!$B$31:$B$130&lt;=A605)*(참고!$B$31:$B$130=_xludf.MAXIFS(참고!$B$31:$B$130,참고!$A$31:$A$130,C605,참고!$B$31:$B$130,"&lt;="&amp;A605))*참고!$D$31:$D$130)/100,0),0)</f>
        <v>0</v>
      </c>
      <c r="L605" s="31" t="str">
        <f t="shared" si="29"/>
        <v/>
      </c>
      <c r="M605" s="39"/>
    </row>
    <row r="606" spans="1:13" ht="18" customHeight="1" x14ac:dyDescent="0.45">
      <c r="A606" s="37"/>
      <c r="B606" s="29"/>
      <c r="C606" s="29"/>
      <c r="D606" s="28"/>
      <c r="E606" s="30" t="str">
        <f>IFERROR(VLOOKUP(D606,KRX종목마스터!$A:$B,2,FALSE),"")</f>
        <v/>
      </c>
      <c r="F606" s="42"/>
      <c r="G606" s="42"/>
      <c r="H606" s="31" t="str">
        <f t="shared" si="27"/>
        <v/>
      </c>
      <c r="I606" s="43">
        <f ca="1">IFERROR(SUMPRODUCT((참고!$A$31:$A$130=C606)*(참고!$B$31:$B$130&lt;=A606)*(참고!$B$31:$B$130=_xludf.MAXIFS(참고!$B$31:$B$130,참고!$A$31:$A$130,C606,참고!$B$31:$B$130,"&lt;="&amp;A606))*참고!$C$31:$C$130)/100,0)</f>
        <v>0</v>
      </c>
      <c r="J606" s="31" t="str">
        <f t="shared" si="28"/>
        <v/>
      </c>
      <c r="K606" s="43">
        <f>IF(B606="매도",IFERROR(SUMPRODUCT((참고!$A$31:$A$130=C606)*(참고!$B$31:$B$130&lt;=A606)*(참고!$B$31:$B$130=_xludf.MAXIFS(참고!$B$31:$B$130,참고!$A$31:$A$130,C606,참고!$B$31:$B$130,"&lt;="&amp;A606))*참고!$D$31:$D$130)/100,0),0)</f>
        <v>0</v>
      </c>
      <c r="L606" s="31" t="str">
        <f t="shared" si="29"/>
        <v/>
      </c>
      <c r="M606" s="39"/>
    </row>
    <row r="607" spans="1:13" ht="18" customHeight="1" x14ac:dyDescent="0.45">
      <c r="A607" s="37"/>
      <c r="B607" s="29"/>
      <c r="C607" s="29"/>
      <c r="D607" s="28"/>
      <c r="E607" s="30" t="str">
        <f>IFERROR(VLOOKUP(D607,KRX종목마스터!$A:$B,2,FALSE),"")</f>
        <v/>
      </c>
      <c r="F607" s="42"/>
      <c r="G607" s="42"/>
      <c r="H607" s="31" t="str">
        <f t="shared" si="27"/>
        <v/>
      </c>
      <c r="I607" s="43">
        <f ca="1">IFERROR(SUMPRODUCT((참고!$A$31:$A$130=C607)*(참고!$B$31:$B$130&lt;=A607)*(참고!$B$31:$B$130=_xludf.MAXIFS(참고!$B$31:$B$130,참고!$A$31:$A$130,C607,참고!$B$31:$B$130,"&lt;="&amp;A607))*참고!$C$31:$C$130)/100,0)</f>
        <v>0</v>
      </c>
      <c r="J607" s="31" t="str">
        <f t="shared" si="28"/>
        <v/>
      </c>
      <c r="K607" s="43">
        <f>IF(B607="매도",IFERROR(SUMPRODUCT((참고!$A$31:$A$130=C607)*(참고!$B$31:$B$130&lt;=A607)*(참고!$B$31:$B$130=_xludf.MAXIFS(참고!$B$31:$B$130,참고!$A$31:$A$130,C607,참고!$B$31:$B$130,"&lt;="&amp;A607))*참고!$D$31:$D$130)/100,0),0)</f>
        <v>0</v>
      </c>
      <c r="L607" s="31" t="str">
        <f t="shared" si="29"/>
        <v/>
      </c>
      <c r="M607" s="39"/>
    </row>
    <row r="608" spans="1:13" ht="18" customHeight="1" x14ac:dyDescent="0.45">
      <c r="A608" s="37"/>
      <c r="B608" s="29"/>
      <c r="C608" s="29"/>
      <c r="D608" s="28"/>
      <c r="E608" s="30" t="str">
        <f>IFERROR(VLOOKUP(D608,KRX종목마스터!$A:$B,2,FALSE),"")</f>
        <v/>
      </c>
      <c r="F608" s="42"/>
      <c r="G608" s="42"/>
      <c r="H608" s="31" t="str">
        <f t="shared" si="27"/>
        <v/>
      </c>
      <c r="I608" s="43">
        <f ca="1">IFERROR(SUMPRODUCT((참고!$A$31:$A$130=C608)*(참고!$B$31:$B$130&lt;=A608)*(참고!$B$31:$B$130=_xludf.MAXIFS(참고!$B$31:$B$130,참고!$A$31:$A$130,C608,참고!$B$31:$B$130,"&lt;="&amp;A608))*참고!$C$31:$C$130)/100,0)</f>
        <v>0</v>
      </c>
      <c r="J608" s="31" t="str">
        <f t="shared" si="28"/>
        <v/>
      </c>
      <c r="K608" s="43">
        <f>IF(B608="매도",IFERROR(SUMPRODUCT((참고!$A$31:$A$130=C608)*(참고!$B$31:$B$130&lt;=A608)*(참고!$B$31:$B$130=_xludf.MAXIFS(참고!$B$31:$B$130,참고!$A$31:$A$130,C608,참고!$B$31:$B$130,"&lt;="&amp;A608))*참고!$D$31:$D$130)/100,0),0)</f>
        <v>0</v>
      </c>
      <c r="L608" s="31" t="str">
        <f t="shared" si="29"/>
        <v/>
      </c>
      <c r="M608" s="39"/>
    </row>
    <row r="609" spans="1:13" ht="18" customHeight="1" x14ac:dyDescent="0.45">
      <c r="A609" s="37"/>
      <c r="B609" s="29"/>
      <c r="C609" s="29"/>
      <c r="D609" s="28"/>
      <c r="E609" s="30" t="str">
        <f>IFERROR(VLOOKUP(D609,KRX종목마스터!$A:$B,2,FALSE),"")</f>
        <v/>
      </c>
      <c r="F609" s="42"/>
      <c r="G609" s="42"/>
      <c r="H609" s="31" t="str">
        <f t="shared" si="27"/>
        <v/>
      </c>
      <c r="I609" s="43">
        <f ca="1">IFERROR(SUMPRODUCT((참고!$A$31:$A$130=C609)*(참고!$B$31:$B$130&lt;=A609)*(참고!$B$31:$B$130=_xludf.MAXIFS(참고!$B$31:$B$130,참고!$A$31:$A$130,C609,참고!$B$31:$B$130,"&lt;="&amp;A609))*참고!$C$31:$C$130)/100,0)</f>
        <v>0</v>
      </c>
      <c r="J609" s="31" t="str">
        <f t="shared" si="28"/>
        <v/>
      </c>
      <c r="K609" s="43">
        <f>IF(B609="매도",IFERROR(SUMPRODUCT((참고!$A$31:$A$130=C609)*(참고!$B$31:$B$130&lt;=A609)*(참고!$B$31:$B$130=_xludf.MAXIFS(참고!$B$31:$B$130,참고!$A$31:$A$130,C609,참고!$B$31:$B$130,"&lt;="&amp;A609))*참고!$D$31:$D$130)/100,0),0)</f>
        <v>0</v>
      </c>
      <c r="L609" s="31" t="str">
        <f t="shared" si="29"/>
        <v/>
      </c>
      <c r="M609" s="39"/>
    </row>
    <row r="610" spans="1:13" ht="18" customHeight="1" x14ac:dyDescent="0.45">
      <c r="A610" s="37"/>
      <c r="B610" s="29"/>
      <c r="C610" s="29"/>
      <c r="D610" s="28"/>
      <c r="E610" s="30" t="str">
        <f>IFERROR(VLOOKUP(D610,KRX종목마스터!$A:$B,2,FALSE),"")</f>
        <v/>
      </c>
      <c r="F610" s="42"/>
      <c r="G610" s="42"/>
      <c r="H610" s="31" t="str">
        <f t="shared" si="27"/>
        <v/>
      </c>
      <c r="I610" s="43">
        <f ca="1">IFERROR(SUMPRODUCT((참고!$A$31:$A$130=C610)*(참고!$B$31:$B$130&lt;=A610)*(참고!$B$31:$B$130=_xludf.MAXIFS(참고!$B$31:$B$130,참고!$A$31:$A$130,C610,참고!$B$31:$B$130,"&lt;="&amp;A610))*참고!$C$31:$C$130)/100,0)</f>
        <v>0</v>
      </c>
      <c r="J610" s="31" t="str">
        <f t="shared" si="28"/>
        <v/>
      </c>
      <c r="K610" s="43">
        <f>IF(B610="매도",IFERROR(SUMPRODUCT((참고!$A$31:$A$130=C610)*(참고!$B$31:$B$130&lt;=A610)*(참고!$B$31:$B$130=_xludf.MAXIFS(참고!$B$31:$B$130,참고!$A$31:$A$130,C610,참고!$B$31:$B$130,"&lt;="&amp;A610))*참고!$D$31:$D$130)/100,0),0)</f>
        <v>0</v>
      </c>
      <c r="L610" s="31" t="str">
        <f t="shared" si="29"/>
        <v/>
      </c>
      <c r="M610" s="39"/>
    </row>
    <row r="611" spans="1:13" ht="18" customHeight="1" x14ac:dyDescent="0.45">
      <c r="A611" s="37"/>
      <c r="B611" s="29"/>
      <c r="C611" s="29"/>
      <c r="D611" s="28"/>
      <c r="E611" s="30" t="str">
        <f>IFERROR(VLOOKUP(D611,KRX종목마스터!$A:$B,2,FALSE),"")</f>
        <v/>
      </c>
      <c r="F611" s="42"/>
      <c r="G611" s="42"/>
      <c r="H611" s="31" t="str">
        <f t="shared" si="27"/>
        <v/>
      </c>
      <c r="I611" s="43">
        <f ca="1">IFERROR(SUMPRODUCT((참고!$A$31:$A$130=C611)*(참고!$B$31:$B$130&lt;=A611)*(참고!$B$31:$B$130=_xludf.MAXIFS(참고!$B$31:$B$130,참고!$A$31:$A$130,C611,참고!$B$31:$B$130,"&lt;="&amp;A611))*참고!$C$31:$C$130)/100,0)</f>
        <v>0</v>
      </c>
      <c r="J611" s="31" t="str">
        <f t="shared" si="28"/>
        <v/>
      </c>
      <c r="K611" s="43">
        <f>IF(B611="매도",IFERROR(SUMPRODUCT((참고!$A$31:$A$130=C611)*(참고!$B$31:$B$130&lt;=A611)*(참고!$B$31:$B$130=_xludf.MAXIFS(참고!$B$31:$B$130,참고!$A$31:$A$130,C611,참고!$B$31:$B$130,"&lt;="&amp;A611))*참고!$D$31:$D$130)/100,0),0)</f>
        <v>0</v>
      </c>
      <c r="L611" s="31" t="str">
        <f t="shared" si="29"/>
        <v/>
      </c>
      <c r="M611" s="39"/>
    </row>
    <row r="612" spans="1:13" ht="18" customHeight="1" x14ac:dyDescent="0.45">
      <c r="A612" s="37"/>
      <c r="B612" s="29"/>
      <c r="C612" s="29"/>
      <c r="D612" s="28"/>
      <c r="E612" s="30" t="str">
        <f>IFERROR(VLOOKUP(D612,KRX종목마스터!$A:$B,2,FALSE),"")</f>
        <v/>
      </c>
      <c r="F612" s="42"/>
      <c r="G612" s="42"/>
      <c r="H612" s="31" t="str">
        <f t="shared" si="27"/>
        <v/>
      </c>
      <c r="I612" s="43">
        <f ca="1">IFERROR(SUMPRODUCT((참고!$A$31:$A$130=C612)*(참고!$B$31:$B$130&lt;=A612)*(참고!$B$31:$B$130=_xludf.MAXIFS(참고!$B$31:$B$130,참고!$A$31:$A$130,C612,참고!$B$31:$B$130,"&lt;="&amp;A612))*참고!$C$31:$C$130)/100,0)</f>
        <v>0</v>
      </c>
      <c r="J612" s="31" t="str">
        <f t="shared" si="28"/>
        <v/>
      </c>
      <c r="K612" s="43">
        <f>IF(B612="매도",IFERROR(SUMPRODUCT((참고!$A$31:$A$130=C612)*(참고!$B$31:$B$130&lt;=A612)*(참고!$B$31:$B$130=_xludf.MAXIFS(참고!$B$31:$B$130,참고!$A$31:$A$130,C612,참고!$B$31:$B$130,"&lt;="&amp;A612))*참고!$D$31:$D$130)/100,0),0)</f>
        <v>0</v>
      </c>
      <c r="L612" s="31" t="str">
        <f t="shared" si="29"/>
        <v/>
      </c>
      <c r="M612" s="39"/>
    </row>
    <row r="613" spans="1:13" ht="18" customHeight="1" x14ac:dyDescent="0.45">
      <c r="A613" s="37"/>
      <c r="B613" s="29"/>
      <c r="C613" s="29"/>
      <c r="D613" s="28"/>
      <c r="E613" s="30" t="str">
        <f>IFERROR(VLOOKUP(D613,KRX종목마스터!$A:$B,2,FALSE),"")</f>
        <v/>
      </c>
      <c r="F613" s="42"/>
      <c r="G613" s="42"/>
      <c r="H613" s="31" t="str">
        <f t="shared" si="27"/>
        <v/>
      </c>
      <c r="I613" s="43">
        <f ca="1">IFERROR(SUMPRODUCT((참고!$A$31:$A$130=C613)*(참고!$B$31:$B$130&lt;=A613)*(참고!$B$31:$B$130=_xludf.MAXIFS(참고!$B$31:$B$130,참고!$A$31:$A$130,C613,참고!$B$31:$B$130,"&lt;="&amp;A613))*참고!$C$31:$C$130)/100,0)</f>
        <v>0</v>
      </c>
      <c r="J613" s="31" t="str">
        <f t="shared" si="28"/>
        <v/>
      </c>
      <c r="K613" s="43">
        <f>IF(B613="매도",IFERROR(SUMPRODUCT((참고!$A$31:$A$130=C613)*(참고!$B$31:$B$130&lt;=A613)*(참고!$B$31:$B$130=_xludf.MAXIFS(참고!$B$31:$B$130,참고!$A$31:$A$130,C613,참고!$B$31:$B$130,"&lt;="&amp;A613))*참고!$D$31:$D$130)/100,0),0)</f>
        <v>0</v>
      </c>
      <c r="L613" s="31" t="str">
        <f t="shared" si="29"/>
        <v/>
      </c>
      <c r="M613" s="39"/>
    </row>
    <row r="614" spans="1:13" ht="18" customHeight="1" x14ac:dyDescent="0.45">
      <c r="A614" s="37"/>
      <c r="B614" s="29"/>
      <c r="C614" s="29"/>
      <c r="D614" s="28"/>
      <c r="E614" s="30" t="str">
        <f>IFERROR(VLOOKUP(D614,KRX종목마스터!$A:$B,2,FALSE),"")</f>
        <v/>
      </c>
      <c r="F614" s="42"/>
      <c r="G614" s="42"/>
      <c r="H614" s="31" t="str">
        <f t="shared" si="27"/>
        <v/>
      </c>
      <c r="I614" s="43">
        <f ca="1">IFERROR(SUMPRODUCT((참고!$A$31:$A$130=C614)*(참고!$B$31:$B$130&lt;=A614)*(참고!$B$31:$B$130=_xludf.MAXIFS(참고!$B$31:$B$130,참고!$A$31:$A$130,C614,참고!$B$31:$B$130,"&lt;="&amp;A614))*참고!$C$31:$C$130)/100,0)</f>
        <v>0</v>
      </c>
      <c r="J614" s="31" t="str">
        <f t="shared" si="28"/>
        <v/>
      </c>
      <c r="K614" s="43">
        <f>IF(B614="매도",IFERROR(SUMPRODUCT((참고!$A$31:$A$130=C614)*(참고!$B$31:$B$130&lt;=A614)*(참고!$B$31:$B$130=_xludf.MAXIFS(참고!$B$31:$B$130,참고!$A$31:$A$130,C614,참고!$B$31:$B$130,"&lt;="&amp;A614))*참고!$D$31:$D$130)/100,0),0)</f>
        <v>0</v>
      </c>
      <c r="L614" s="31" t="str">
        <f t="shared" si="29"/>
        <v/>
      </c>
      <c r="M614" s="39"/>
    </row>
    <row r="615" spans="1:13" ht="18" customHeight="1" x14ac:dyDescent="0.45">
      <c r="A615" s="37"/>
      <c r="B615" s="29"/>
      <c r="C615" s="29"/>
      <c r="D615" s="28"/>
      <c r="E615" s="30" t="str">
        <f>IFERROR(VLOOKUP(D615,KRX종목마스터!$A:$B,2,FALSE),"")</f>
        <v/>
      </c>
      <c r="F615" s="42"/>
      <c r="G615" s="42"/>
      <c r="H615" s="31" t="str">
        <f t="shared" si="27"/>
        <v/>
      </c>
      <c r="I615" s="43">
        <f ca="1">IFERROR(SUMPRODUCT((참고!$A$31:$A$130=C615)*(참고!$B$31:$B$130&lt;=A615)*(참고!$B$31:$B$130=_xludf.MAXIFS(참고!$B$31:$B$130,참고!$A$31:$A$130,C615,참고!$B$31:$B$130,"&lt;="&amp;A615))*참고!$C$31:$C$130)/100,0)</f>
        <v>0</v>
      </c>
      <c r="J615" s="31" t="str">
        <f t="shared" si="28"/>
        <v/>
      </c>
      <c r="K615" s="43">
        <f>IF(B615="매도",IFERROR(SUMPRODUCT((참고!$A$31:$A$130=C615)*(참고!$B$31:$B$130&lt;=A615)*(참고!$B$31:$B$130=_xludf.MAXIFS(참고!$B$31:$B$130,참고!$A$31:$A$130,C615,참고!$B$31:$B$130,"&lt;="&amp;A615))*참고!$D$31:$D$130)/100,0),0)</f>
        <v>0</v>
      </c>
      <c r="L615" s="31" t="str">
        <f t="shared" si="29"/>
        <v/>
      </c>
      <c r="M615" s="39"/>
    </row>
    <row r="616" spans="1:13" ht="18" customHeight="1" x14ac:dyDescent="0.45">
      <c r="A616" s="37"/>
      <c r="B616" s="29"/>
      <c r="C616" s="29"/>
      <c r="D616" s="28"/>
      <c r="E616" s="30" t="str">
        <f>IFERROR(VLOOKUP(D616,KRX종목마스터!$A:$B,2,FALSE),"")</f>
        <v/>
      </c>
      <c r="F616" s="42"/>
      <c r="G616" s="42"/>
      <c r="H616" s="31" t="str">
        <f t="shared" si="27"/>
        <v/>
      </c>
      <c r="I616" s="43">
        <f ca="1">IFERROR(SUMPRODUCT((참고!$A$31:$A$130=C616)*(참고!$B$31:$B$130&lt;=A616)*(참고!$B$31:$B$130=_xludf.MAXIFS(참고!$B$31:$B$130,참고!$A$31:$A$130,C616,참고!$B$31:$B$130,"&lt;="&amp;A616))*참고!$C$31:$C$130)/100,0)</f>
        <v>0</v>
      </c>
      <c r="J616" s="31" t="str">
        <f t="shared" si="28"/>
        <v/>
      </c>
      <c r="K616" s="43">
        <f>IF(B616="매도",IFERROR(SUMPRODUCT((참고!$A$31:$A$130=C616)*(참고!$B$31:$B$130&lt;=A616)*(참고!$B$31:$B$130=_xludf.MAXIFS(참고!$B$31:$B$130,참고!$A$31:$A$130,C616,참고!$B$31:$B$130,"&lt;="&amp;A616))*참고!$D$31:$D$130)/100,0),0)</f>
        <v>0</v>
      </c>
      <c r="L616" s="31" t="str">
        <f t="shared" si="29"/>
        <v/>
      </c>
      <c r="M616" s="39"/>
    </row>
    <row r="617" spans="1:13" ht="18" customHeight="1" x14ac:dyDescent="0.45">
      <c r="A617" s="37"/>
      <c r="B617" s="29"/>
      <c r="C617" s="29"/>
      <c r="D617" s="28"/>
      <c r="E617" s="30" t="str">
        <f>IFERROR(VLOOKUP(D617,KRX종목마스터!$A:$B,2,FALSE),"")</f>
        <v/>
      </c>
      <c r="F617" s="42"/>
      <c r="G617" s="42"/>
      <c r="H617" s="31" t="str">
        <f t="shared" si="27"/>
        <v/>
      </c>
      <c r="I617" s="43">
        <f ca="1">IFERROR(SUMPRODUCT((참고!$A$31:$A$130=C617)*(참고!$B$31:$B$130&lt;=A617)*(참고!$B$31:$B$130=_xludf.MAXIFS(참고!$B$31:$B$130,참고!$A$31:$A$130,C617,참고!$B$31:$B$130,"&lt;="&amp;A617))*참고!$C$31:$C$130)/100,0)</f>
        <v>0</v>
      </c>
      <c r="J617" s="31" t="str">
        <f t="shared" si="28"/>
        <v/>
      </c>
      <c r="K617" s="43">
        <f>IF(B617="매도",IFERROR(SUMPRODUCT((참고!$A$31:$A$130=C617)*(참고!$B$31:$B$130&lt;=A617)*(참고!$B$31:$B$130=_xludf.MAXIFS(참고!$B$31:$B$130,참고!$A$31:$A$130,C617,참고!$B$31:$B$130,"&lt;="&amp;A617))*참고!$D$31:$D$130)/100,0),0)</f>
        <v>0</v>
      </c>
      <c r="L617" s="31" t="str">
        <f t="shared" si="29"/>
        <v/>
      </c>
      <c r="M617" s="39"/>
    </row>
    <row r="618" spans="1:13" ht="18" customHeight="1" x14ac:dyDescent="0.45">
      <c r="A618" s="37"/>
      <c r="B618" s="29"/>
      <c r="C618" s="29"/>
      <c r="D618" s="28"/>
      <c r="E618" s="30" t="str">
        <f>IFERROR(VLOOKUP(D618,KRX종목마스터!$A:$B,2,FALSE),"")</f>
        <v/>
      </c>
      <c r="F618" s="42"/>
      <c r="G618" s="42"/>
      <c r="H618" s="31" t="str">
        <f t="shared" si="27"/>
        <v/>
      </c>
      <c r="I618" s="43">
        <f ca="1">IFERROR(SUMPRODUCT((참고!$A$31:$A$130=C618)*(참고!$B$31:$B$130&lt;=A618)*(참고!$B$31:$B$130=_xludf.MAXIFS(참고!$B$31:$B$130,참고!$A$31:$A$130,C618,참고!$B$31:$B$130,"&lt;="&amp;A618))*참고!$C$31:$C$130)/100,0)</f>
        <v>0</v>
      </c>
      <c r="J618" s="31" t="str">
        <f t="shared" si="28"/>
        <v/>
      </c>
      <c r="K618" s="43">
        <f>IF(B618="매도",IFERROR(SUMPRODUCT((참고!$A$31:$A$130=C618)*(참고!$B$31:$B$130&lt;=A618)*(참고!$B$31:$B$130=_xludf.MAXIFS(참고!$B$31:$B$130,참고!$A$31:$A$130,C618,참고!$B$31:$B$130,"&lt;="&amp;A618))*참고!$D$31:$D$130)/100,0),0)</f>
        <v>0</v>
      </c>
      <c r="L618" s="31" t="str">
        <f t="shared" si="29"/>
        <v/>
      </c>
      <c r="M618" s="39"/>
    </row>
    <row r="619" spans="1:13" ht="18" customHeight="1" x14ac:dyDescent="0.45">
      <c r="A619" s="37"/>
      <c r="B619" s="29"/>
      <c r="C619" s="29"/>
      <c r="D619" s="28"/>
      <c r="E619" s="30" t="str">
        <f>IFERROR(VLOOKUP(D619,KRX종목마스터!$A:$B,2,FALSE),"")</f>
        <v/>
      </c>
      <c r="F619" s="42"/>
      <c r="G619" s="42"/>
      <c r="H619" s="31" t="str">
        <f t="shared" si="27"/>
        <v/>
      </c>
      <c r="I619" s="43">
        <f ca="1">IFERROR(SUMPRODUCT((참고!$A$31:$A$130=C619)*(참고!$B$31:$B$130&lt;=A619)*(참고!$B$31:$B$130=_xludf.MAXIFS(참고!$B$31:$B$130,참고!$A$31:$A$130,C619,참고!$B$31:$B$130,"&lt;="&amp;A619))*참고!$C$31:$C$130)/100,0)</f>
        <v>0</v>
      </c>
      <c r="J619" s="31" t="str">
        <f t="shared" si="28"/>
        <v/>
      </c>
      <c r="K619" s="43">
        <f>IF(B619="매도",IFERROR(SUMPRODUCT((참고!$A$31:$A$130=C619)*(참고!$B$31:$B$130&lt;=A619)*(참고!$B$31:$B$130=_xludf.MAXIFS(참고!$B$31:$B$130,참고!$A$31:$A$130,C619,참고!$B$31:$B$130,"&lt;="&amp;A619))*참고!$D$31:$D$130)/100,0),0)</f>
        <v>0</v>
      </c>
      <c r="L619" s="31" t="str">
        <f t="shared" si="29"/>
        <v/>
      </c>
      <c r="M619" s="39"/>
    </row>
    <row r="620" spans="1:13" ht="18" customHeight="1" x14ac:dyDescent="0.45">
      <c r="A620" s="37"/>
      <c r="B620" s="29"/>
      <c r="C620" s="29"/>
      <c r="D620" s="28"/>
      <c r="E620" s="30" t="str">
        <f>IFERROR(VLOOKUP(D620,KRX종목마스터!$A:$B,2,FALSE),"")</f>
        <v/>
      </c>
      <c r="F620" s="42"/>
      <c r="G620" s="42"/>
      <c r="H620" s="31" t="str">
        <f t="shared" si="27"/>
        <v/>
      </c>
      <c r="I620" s="43">
        <f ca="1">IFERROR(SUMPRODUCT((참고!$A$31:$A$130=C620)*(참고!$B$31:$B$130&lt;=A620)*(참고!$B$31:$B$130=_xludf.MAXIFS(참고!$B$31:$B$130,참고!$A$31:$A$130,C620,참고!$B$31:$B$130,"&lt;="&amp;A620))*참고!$C$31:$C$130)/100,0)</f>
        <v>0</v>
      </c>
      <c r="J620" s="31" t="str">
        <f t="shared" si="28"/>
        <v/>
      </c>
      <c r="K620" s="43">
        <f>IF(B620="매도",IFERROR(SUMPRODUCT((참고!$A$31:$A$130=C620)*(참고!$B$31:$B$130&lt;=A620)*(참고!$B$31:$B$130=_xludf.MAXIFS(참고!$B$31:$B$130,참고!$A$31:$A$130,C620,참고!$B$31:$B$130,"&lt;="&amp;A620))*참고!$D$31:$D$130)/100,0),0)</f>
        <v>0</v>
      </c>
      <c r="L620" s="31" t="str">
        <f t="shared" si="29"/>
        <v/>
      </c>
      <c r="M620" s="39"/>
    </row>
    <row r="621" spans="1:13" ht="18" customHeight="1" x14ac:dyDescent="0.45">
      <c r="A621" s="37"/>
      <c r="B621" s="29"/>
      <c r="C621" s="29"/>
      <c r="D621" s="28"/>
      <c r="E621" s="30" t="str">
        <f>IFERROR(VLOOKUP(D621,KRX종목마스터!$A:$B,2,FALSE),"")</f>
        <v/>
      </c>
      <c r="F621" s="42"/>
      <c r="G621" s="42"/>
      <c r="H621" s="31" t="str">
        <f t="shared" si="27"/>
        <v/>
      </c>
      <c r="I621" s="43">
        <f ca="1">IFERROR(SUMPRODUCT((참고!$A$31:$A$130=C621)*(참고!$B$31:$B$130&lt;=A621)*(참고!$B$31:$B$130=_xludf.MAXIFS(참고!$B$31:$B$130,참고!$A$31:$A$130,C621,참고!$B$31:$B$130,"&lt;="&amp;A621))*참고!$C$31:$C$130)/100,0)</f>
        <v>0</v>
      </c>
      <c r="J621" s="31" t="str">
        <f t="shared" si="28"/>
        <v/>
      </c>
      <c r="K621" s="43">
        <f>IF(B621="매도",IFERROR(SUMPRODUCT((참고!$A$31:$A$130=C621)*(참고!$B$31:$B$130&lt;=A621)*(참고!$B$31:$B$130=_xludf.MAXIFS(참고!$B$31:$B$130,참고!$A$31:$A$130,C621,참고!$B$31:$B$130,"&lt;="&amp;A621))*참고!$D$31:$D$130)/100,0),0)</f>
        <v>0</v>
      </c>
      <c r="L621" s="31" t="str">
        <f t="shared" si="29"/>
        <v/>
      </c>
      <c r="M621" s="39"/>
    </row>
    <row r="622" spans="1:13" ht="18" customHeight="1" x14ac:dyDescent="0.45">
      <c r="A622" s="37"/>
      <c r="B622" s="29"/>
      <c r="C622" s="29"/>
      <c r="D622" s="28"/>
      <c r="E622" s="30" t="str">
        <f>IFERROR(VLOOKUP(D622,KRX종목마스터!$A:$B,2,FALSE),"")</f>
        <v/>
      </c>
      <c r="F622" s="42"/>
      <c r="G622" s="42"/>
      <c r="H622" s="31" t="str">
        <f t="shared" si="27"/>
        <v/>
      </c>
      <c r="I622" s="43">
        <f ca="1">IFERROR(SUMPRODUCT((참고!$A$31:$A$130=C622)*(참고!$B$31:$B$130&lt;=A622)*(참고!$B$31:$B$130=_xludf.MAXIFS(참고!$B$31:$B$130,참고!$A$31:$A$130,C622,참고!$B$31:$B$130,"&lt;="&amp;A622))*참고!$C$31:$C$130)/100,0)</f>
        <v>0</v>
      </c>
      <c r="J622" s="31" t="str">
        <f t="shared" si="28"/>
        <v/>
      </c>
      <c r="K622" s="43">
        <f>IF(B622="매도",IFERROR(SUMPRODUCT((참고!$A$31:$A$130=C622)*(참고!$B$31:$B$130&lt;=A622)*(참고!$B$31:$B$130=_xludf.MAXIFS(참고!$B$31:$B$130,참고!$A$31:$A$130,C622,참고!$B$31:$B$130,"&lt;="&amp;A622))*참고!$D$31:$D$130)/100,0),0)</f>
        <v>0</v>
      </c>
      <c r="L622" s="31" t="str">
        <f t="shared" si="29"/>
        <v/>
      </c>
      <c r="M622" s="39"/>
    </row>
    <row r="623" spans="1:13" ht="18" customHeight="1" x14ac:dyDescent="0.45">
      <c r="A623" s="37"/>
      <c r="B623" s="29"/>
      <c r="C623" s="29"/>
      <c r="D623" s="28"/>
      <c r="E623" s="30" t="str">
        <f>IFERROR(VLOOKUP(D623,KRX종목마스터!$A:$B,2,FALSE),"")</f>
        <v/>
      </c>
      <c r="F623" s="42"/>
      <c r="G623" s="42"/>
      <c r="H623" s="31" t="str">
        <f t="shared" si="27"/>
        <v/>
      </c>
      <c r="I623" s="43">
        <f ca="1">IFERROR(SUMPRODUCT((참고!$A$31:$A$130=C623)*(참고!$B$31:$B$130&lt;=A623)*(참고!$B$31:$B$130=_xludf.MAXIFS(참고!$B$31:$B$130,참고!$A$31:$A$130,C623,참고!$B$31:$B$130,"&lt;="&amp;A623))*참고!$C$31:$C$130)/100,0)</f>
        <v>0</v>
      </c>
      <c r="J623" s="31" t="str">
        <f t="shared" si="28"/>
        <v/>
      </c>
      <c r="K623" s="43">
        <f>IF(B623="매도",IFERROR(SUMPRODUCT((참고!$A$31:$A$130=C623)*(참고!$B$31:$B$130&lt;=A623)*(참고!$B$31:$B$130=_xludf.MAXIFS(참고!$B$31:$B$130,참고!$A$31:$A$130,C623,참고!$B$31:$B$130,"&lt;="&amp;A623))*참고!$D$31:$D$130)/100,0),0)</f>
        <v>0</v>
      </c>
      <c r="L623" s="31" t="str">
        <f t="shared" si="29"/>
        <v/>
      </c>
      <c r="M623" s="39"/>
    </row>
    <row r="624" spans="1:13" ht="18" customHeight="1" x14ac:dyDescent="0.45">
      <c r="A624" s="37"/>
      <c r="B624" s="29"/>
      <c r="C624" s="29"/>
      <c r="D624" s="28"/>
      <c r="E624" s="30" t="str">
        <f>IFERROR(VLOOKUP(D624,KRX종목마스터!$A:$B,2,FALSE),"")</f>
        <v/>
      </c>
      <c r="F624" s="42"/>
      <c r="G624" s="42"/>
      <c r="H624" s="31" t="str">
        <f t="shared" si="27"/>
        <v/>
      </c>
      <c r="I624" s="43">
        <f ca="1">IFERROR(SUMPRODUCT((참고!$A$31:$A$130=C624)*(참고!$B$31:$B$130&lt;=A624)*(참고!$B$31:$B$130=_xludf.MAXIFS(참고!$B$31:$B$130,참고!$A$31:$A$130,C624,참고!$B$31:$B$130,"&lt;="&amp;A624))*참고!$C$31:$C$130)/100,0)</f>
        <v>0</v>
      </c>
      <c r="J624" s="31" t="str">
        <f t="shared" si="28"/>
        <v/>
      </c>
      <c r="K624" s="43">
        <f>IF(B624="매도",IFERROR(SUMPRODUCT((참고!$A$31:$A$130=C624)*(참고!$B$31:$B$130&lt;=A624)*(참고!$B$31:$B$130=_xludf.MAXIFS(참고!$B$31:$B$130,참고!$A$31:$A$130,C624,참고!$B$31:$B$130,"&lt;="&amp;A624))*참고!$D$31:$D$130)/100,0),0)</f>
        <v>0</v>
      </c>
      <c r="L624" s="31" t="str">
        <f t="shared" si="29"/>
        <v/>
      </c>
      <c r="M624" s="39"/>
    </row>
    <row r="625" spans="1:13" ht="18" customHeight="1" x14ac:dyDescent="0.45">
      <c r="A625" s="37"/>
      <c r="B625" s="29"/>
      <c r="C625" s="29"/>
      <c r="D625" s="28"/>
      <c r="E625" s="30" t="str">
        <f>IFERROR(VLOOKUP(D625,KRX종목마스터!$A:$B,2,FALSE),"")</f>
        <v/>
      </c>
      <c r="F625" s="42"/>
      <c r="G625" s="42"/>
      <c r="H625" s="31" t="str">
        <f t="shared" si="27"/>
        <v/>
      </c>
      <c r="I625" s="43">
        <f ca="1">IFERROR(SUMPRODUCT((참고!$A$31:$A$130=C625)*(참고!$B$31:$B$130&lt;=A625)*(참고!$B$31:$B$130=_xludf.MAXIFS(참고!$B$31:$B$130,참고!$A$31:$A$130,C625,참고!$B$31:$B$130,"&lt;="&amp;A625))*참고!$C$31:$C$130)/100,0)</f>
        <v>0</v>
      </c>
      <c r="J625" s="31" t="str">
        <f t="shared" si="28"/>
        <v/>
      </c>
      <c r="K625" s="43">
        <f>IF(B625="매도",IFERROR(SUMPRODUCT((참고!$A$31:$A$130=C625)*(참고!$B$31:$B$130&lt;=A625)*(참고!$B$31:$B$130=_xludf.MAXIFS(참고!$B$31:$B$130,참고!$A$31:$A$130,C625,참고!$B$31:$B$130,"&lt;="&amp;A625))*참고!$D$31:$D$130)/100,0),0)</f>
        <v>0</v>
      </c>
      <c r="L625" s="31" t="str">
        <f t="shared" si="29"/>
        <v/>
      </c>
      <c r="M625" s="39"/>
    </row>
    <row r="626" spans="1:13" ht="18" customHeight="1" x14ac:dyDescent="0.45">
      <c r="A626" s="37"/>
      <c r="B626" s="29"/>
      <c r="C626" s="29"/>
      <c r="D626" s="28"/>
      <c r="E626" s="30" t="str">
        <f>IFERROR(VLOOKUP(D626,KRX종목마스터!$A:$B,2,FALSE),"")</f>
        <v/>
      </c>
      <c r="F626" s="42"/>
      <c r="G626" s="42"/>
      <c r="H626" s="31" t="str">
        <f t="shared" si="27"/>
        <v/>
      </c>
      <c r="I626" s="43">
        <f ca="1">IFERROR(SUMPRODUCT((참고!$A$31:$A$130=C626)*(참고!$B$31:$B$130&lt;=A626)*(참고!$B$31:$B$130=_xludf.MAXIFS(참고!$B$31:$B$130,참고!$A$31:$A$130,C626,참고!$B$31:$B$130,"&lt;="&amp;A626))*참고!$C$31:$C$130)/100,0)</f>
        <v>0</v>
      </c>
      <c r="J626" s="31" t="str">
        <f t="shared" si="28"/>
        <v/>
      </c>
      <c r="K626" s="43">
        <f>IF(B626="매도",IFERROR(SUMPRODUCT((참고!$A$31:$A$130=C626)*(참고!$B$31:$B$130&lt;=A626)*(참고!$B$31:$B$130=_xludf.MAXIFS(참고!$B$31:$B$130,참고!$A$31:$A$130,C626,참고!$B$31:$B$130,"&lt;="&amp;A626))*참고!$D$31:$D$130)/100,0),0)</f>
        <v>0</v>
      </c>
      <c r="L626" s="31" t="str">
        <f t="shared" si="29"/>
        <v/>
      </c>
      <c r="M626" s="39"/>
    </row>
    <row r="627" spans="1:13" ht="18" customHeight="1" x14ac:dyDescent="0.45">
      <c r="A627" s="37"/>
      <c r="B627" s="29"/>
      <c r="C627" s="29"/>
      <c r="D627" s="28"/>
      <c r="E627" s="30" t="str">
        <f>IFERROR(VLOOKUP(D627,KRX종목마스터!$A:$B,2,FALSE),"")</f>
        <v/>
      </c>
      <c r="F627" s="42"/>
      <c r="G627" s="42"/>
      <c r="H627" s="31" t="str">
        <f t="shared" si="27"/>
        <v/>
      </c>
      <c r="I627" s="43">
        <f ca="1">IFERROR(SUMPRODUCT((참고!$A$31:$A$130=C627)*(참고!$B$31:$B$130&lt;=A627)*(참고!$B$31:$B$130=_xludf.MAXIFS(참고!$B$31:$B$130,참고!$A$31:$A$130,C627,참고!$B$31:$B$130,"&lt;="&amp;A627))*참고!$C$31:$C$130)/100,0)</f>
        <v>0</v>
      </c>
      <c r="J627" s="31" t="str">
        <f t="shared" si="28"/>
        <v/>
      </c>
      <c r="K627" s="43">
        <f>IF(B627="매도",IFERROR(SUMPRODUCT((참고!$A$31:$A$130=C627)*(참고!$B$31:$B$130&lt;=A627)*(참고!$B$31:$B$130=_xludf.MAXIFS(참고!$B$31:$B$130,참고!$A$31:$A$130,C627,참고!$B$31:$B$130,"&lt;="&amp;A627))*참고!$D$31:$D$130)/100,0),0)</f>
        <v>0</v>
      </c>
      <c r="L627" s="31" t="str">
        <f t="shared" si="29"/>
        <v/>
      </c>
      <c r="M627" s="39"/>
    </row>
    <row r="628" spans="1:13" ht="18" customHeight="1" x14ac:dyDescent="0.45">
      <c r="A628" s="37"/>
      <c r="B628" s="29"/>
      <c r="C628" s="29"/>
      <c r="D628" s="28"/>
      <c r="E628" s="30" t="str">
        <f>IFERROR(VLOOKUP(D628,KRX종목마스터!$A:$B,2,FALSE),"")</f>
        <v/>
      </c>
      <c r="F628" s="42"/>
      <c r="G628" s="42"/>
      <c r="H628" s="31" t="str">
        <f t="shared" si="27"/>
        <v/>
      </c>
      <c r="I628" s="43">
        <f ca="1">IFERROR(SUMPRODUCT((참고!$A$31:$A$130=C628)*(참고!$B$31:$B$130&lt;=A628)*(참고!$B$31:$B$130=_xludf.MAXIFS(참고!$B$31:$B$130,참고!$A$31:$A$130,C628,참고!$B$31:$B$130,"&lt;="&amp;A628))*참고!$C$31:$C$130)/100,0)</f>
        <v>0</v>
      </c>
      <c r="J628" s="31" t="str">
        <f t="shared" si="28"/>
        <v/>
      </c>
      <c r="K628" s="43">
        <f>IF(B628="매도",IFERROR(SUMPRODUCT((참고!$A$31:$A$130=C628)*(참고!$B$31:$B$130&lt;=A628)*(참고!$B$31:$B$130=_xludf.MAXIFS(참고!$B$31:$B$130,참고!$A$31:$A$130,C628,참고!$B$31:$B$130,"&lt;="&amp;A628))*참고!$D$31:$D$130)/100,0),0)</f>
        <v>0</v>
      </c>
      <c r="L628" s="31" t="str">
        <f t="shared" si="29"/>
        <v/>
      </c>
      <c r="M628" s="39"/>
    </row>
    <row r="629" spans="1:13" ht="18" customHeight="1" x14ac:dyDescent="0.45">
      <c r="A629" s="37"/>
      <c r="B629" s="29"/>
      <c r="C629" s="29"/>
      <c r="D629" s="28"/>
      <c r="E629" s="30" t="str">
        <f>IFERROR(VLOOKUP(D629,KRX종목마스터!$A:$B,2,FALSE),"")</f>
        <v/>
      </c>
      <c r="F629" s="42"/>
      <c r="G629" s="42"/>
      <c r="H629" s="31" t="str">
        <f t="shared" si="27"/>
        <v/>
      </c>
      <c r="I629" s="43">
        <f ca="1">IFERROR(SUMPRODUCT((참고!$A$31:$A$130=C629)*(참고!$B$31:$B$130&lt;=A629)*(참고!$B$31:$B$130=_xludf.MAXIFS(참고!$B$31:$B$130,참고!$A$31:$A$130,C629,참고!$B$31:$B$130,"&lt;="&amp;A629))*참고!$C$31:$C$130)/100,0)</f>
        <v>0</v>
      </c>
      <c r="J629" s="31" t="str">
        <f t="shared" si="28"/>
        <v/>
      </c>
      <c r="K629" s="43">
        <f>IF(B629="매도",IFERROR(SUMPRODUCT((참고!$A$31:$A$130=C629)*(참고!$B$31:$B$130&lt;=A629)*(참고!$B$31:$B$130=_xludf.MAXIFS(참고!$B$31:$B$130,참고!$A$31:$A$130,C629,참고!$B$31:$B$130,"&lt;="&amp;A629))*참고!$D$31:$D$130)/100,0),0)</f>
        <v>0</v>
      </c>
      <c r="L629" s="31" t="str">
        <f t="shared" si="29"/>
        <v/>
      </c>
      <c r="M629" s="39"/>
    </row>
    <row r="630" spans="1:13" ht="18" customHeight="1" x14ac:dyDescent="0.45">
      <c r="A630" s="37"/>
      <c r="B630" s="29"/>
      <c r="C630" s="29"/>
      <c r="D630" s="28"/>
      <c r="E630" s="30" t="str">
        <f>IFERROR(VLOOKUP(D630,KRX종목마스터!$A:$B,2,FALSE),"")</f>
        <v/>
      </c>
      <c r="F630" s="42"/>
      <c r="G630" s="42"/>
      <c r="H630" s="31" t="str">
        <f t="shared" si="27"/>
        <v/>
      </c>
      <c r="I630" s="43">
        <f ca="1">IFERROR(SUMPRODUCT((참고!$A$31:$A$130=C630)*(참고!$B$31:$B$130&lt;=A630)*(참고!$B$31:$B$130=_xludf.MAXIFS(참고!$B$31:$B$130,참고!$A$31:$A$130,C630,참고!$B$31:$B$130,"&lt;="&amp;A630))*참고!$C$31:$C$130)/100,0)</f>
        <v>0</v>
      </c>
      <c r="J630" s="31" t="str">
        <f t="shared" si="28"/>
        <v/>
      </c>
      <c r="K630" s="43">
        <f>IF(B630="매도",IFERROR(SUMPRODUCT((참고!$A$31:$A$130=C630)*(참고!$B$31:$B$130&lt;=A630)*(참고!$B$31:$B$130=_xludf.MAXIFS(참고!$B$31:$B$130,참고!$A$31:$A$130,C630,참고!$B$31:$B$130,"&lt;="&amp;A630))*참고!$D$31:$D$130)/100,0),0)</f>
        <v>0</v>
      </c>
      <c r="L630" s="31" t="str">
        <f t="shared" si="29"/>
        <v/>
      </c>
      <c r="M630" s="39"/>
    </row>
    <row r="631" spans="1:13" ht="18" customHeight="1" x14ac:dyDescent="0.45">
      <c r="A631" s="37"/>
      <c r="B631" s="29"/>
      <c r="C631" s="29"/>
      <c r="D631" s="28"/>
      <c r="E631" s="30" t="str">
        <f>IFERROR(VLOOKUP(D631,KRX종목마스터!$A:$B,2,FALSE),"")</f>
        <v/>
      </c>
      <c r="F631" s="42"/>
      <c r="G631" s="42"/>
      <c r="H631" s="31" t="str">
        <f t="shared" si="27"/>
        <v/>
      </c>
      <c r="I631" s="43">
        <f ca="1">IFERROR(SUMPRODUCT((참고!$A$31:$A$130=C631)*(참고!$B$31:$B$130&lt;=A631)*(참고!$B$31:$B$130=_xludf.MAXIFS(참고!$B$31:$B$130,참고!$A$31:$A$130,C631,참고!$B$31:$B$130,"&lt;="&amp;A631))*참고!$C$31:$C$130)/100,0)</f>
        <v>0</v>
      </c>
      <c r="J631" s="31" t="str">
        <f t="shared" si="28"/>
        <v/>
      </c>
      <c r="K631" s="43">
        <f>IF(B631="매도",IFERROR(SUMPRODUCT((참고!$A$31:$A$130=C631)*(참고!$B$31:$B$130&lt;=A631)*(참고!$B$31:$B$130=_xludf.MAXIFS(참고!$B$31:$B$130,참고!$A$31:$A$130,C631,참고!$B$31:$B$130,"&lt;="&amp;A631))*참고!$D$31:$D$130)/100,0),0)</f>
        <v>0</v>
      </c>
      <c r="L631" s="31" t="str">
        <f t="shared" si="29"/>
        <v/>
      </c>
      <c r="M631" s="39"/>
    </row>
    <row r="632" spans="1:13" ht="18" customHeight="1" x14ac:dyDescent="0.45">
      <c r="A632" s="37"/>
      <c r="B632" s="29"/>
      <c r="C632" s="29"/>
      <c r="D632" s="28"/>
      <c r="E632" s="30" t="str">
        <f>IFERROR(VLOOKUP(D632,KRX종목마스터!$A:$B,2,FALSE),"")</f>
        <v/>
      </c>
      <c r="F632" s="42"/>
      <c r="G632" s="42"/>
      <c r="H632" s="31" t="str">
        <f t="shared" si="27"/>
        <v/>
      </c>
      <c r="I632" s="43">
        <f ca="1">IFERROR(SUMPRODUCT((참고!$A$31:$A$130=C632)*(참고!$B$31:$B$130&lt;=A632)*(참고!$B$31:$B$130=_xludf.MAXIFS(참고!$B$31:$B$130,참고!$A$31:$A$130,C632,참고!$B$31:$B$130,"&lt;="&amp;A632))*참고!$C$31:$C$130)/100,0)</f>
        <v>0</v>
      </c>
      <c r="J632" s="31" t="str">
        <f t="shared" si="28"/>
        <v/>
      </c>
      <c r="K632" s="43">
        <f>IF(B632="매도",IFERROR(SUMPRODUCT((참고!$A$31:$A$130=C632)*(참고!$B$31:$B$130&lt;=A632)*(참고!$B$31:$B$130=_xludf.MAXIFS(참고!$B$31:$B$130,참고!$A$31:$A$130,C632,참고!$B$31:$B$130,"&lt;="&amp;A632))*참고!$D$31:$D$130)/100,0),0)</f>
        <v>0</v>
      </c>
      <c r="L632" s="31" t="str">
        <f t="shared" si="29"/>
        <v/>
      </c>
      <c r="M632" s="39"/>
    </row>
    <row r="633" spans="1:13" ht="18" customHeight="1" x14ac:dyDescent="0.45">
      <c r="A633" s="37"/>
      <c r="B633" s="29"/>
      <c r="C633" s="29"/>
      <c r="D633" s="28"/>
      <c r="E633" s="30" t="str">
        <f>IFERROR(VLOOKUP(D633,KRX종목마스터!$A:$B,2,FALSE),"")</f>
        <v/>
      </c>
      <c r="F633" s="42"/>
      <c r="G633" s="42"/>
      <c r="H633" s="31" t="str">
        <f t="shared" si="27"/>
        <v/>
      </c>
      <c r="I633" s="43">
        <f ca="1">IFERROR(SUMPRODUCT((참고!$A$31:$A$130=C633)*(참고!$B$31:$B$130&lt;=A633)*(참고!$B$31:$B$130=_xludf.MAXIFS(참고!$B$31:$B$130,참고!$A$31:$A$130,C633,참고!$B$31:$B$130,"&lt;="&amp;A633))*참고!$C$31:$C$130)/100,0)</f>
        <v>0</v>
      </c>
      <c r="J633" s="31" t="str">
        <f t="shared" si="28"/>
        <v/>
      </c>
      <c r="K633" s="43">
        <f>IF(B633="매도",IFERROR(SUMPRODUCT((참고!$A$31:$A$130=C633)*(참고!$B$31:$B$130&lt;=A633)*(참고!$B$31:$B$130=_xludf.MAXIFS(참고!$B$31:$B$130,참고!$A$31:$A$130,C633,참고!$B$31:$B$130,"&lt;="&amp;A633))*참고!$D$31:$D$130)/100,0),0)</f>
        <v>0</v>
      </c>
      <c r="L633" s="31" t="str">
        <f t="shared" si="29"/>
        <v/>
      </c>
      <c r="M633" s="39"/>
    </row>
    <row r="634" spans="1:13" ht="18" customHeight="1" x14ac:dyDescent="0.45">
      <c r="A634" s="37"/>
      <c r="B634" s="29"/>
      <c r="C634" s="29"/>
      <c r="D634" s="28"/>
      <c r="E634" s="30" t="str">
        <f>IFERROR(VLOOKUP(D634,KRX종목마스터!$A:$B,2,FALSE),"")</f>
        <v/>
      </c>
      <c r="F634" s="42"/>
      <c r="G634" s="42"/>
      <c r="H634" s="31" t="str">
        <f t="shared" si="27"/>
        <v/>
      </c>
      <c r="I634" s="43">
        <f ca="1">IFERROR(SUMPRODUCT((참고!$A$31:$A$130=C634)*(참고!$B$31:$B$130&lt;=A634)*(참고!$B$31:$B$130=_xludf.MAXIFS(참고!$B$31:$B$130,참고!$A$31:$A$130,C634,참고!$B$31:$B$130,"&lt;="&amp;A634))*참고!$C$31:$C$130)/100,0)</f>
        <v>0</v>
      </c>
      <c r="J634" s="31" t="str">
        <f t="shared" si="28"/>
        <v/>
      </c>
      <c r="K634" s="43">
        <f>IF(B634="매도",IFERROR(SUMPRODUCT((참고!$A$31:$A$130=C634)*(참고!$B$31:$B$130&lt;=A634)*(참고!$B$31:$B$130=_xludf.MAXIFS(참고!$B$31:$B$130,참고!$A$31:$A$130,C634,참고!$B$31:$B$130,"&lt;="&amp;A634))*참고!$D$31:$D$130)/100,0),0)</f>
        <v>0</v>
      </c>
      <c r="L634" s="31" t="str">
        <f t="shared" si="29"/>
        <v/>
      </c>
      <c r="M634" s="39"/>
    </row>
    <row r="635" spans="1:13" ht="18" customHeight="1" x14ac:dyDescent="0.45">
      <c r="A635" s="37"/>
      <c r="B635" s="29"/>
      <c r="C635" s="29"/>
      <c r="D635" s="28"/>
      <c r="E635" s="30" t="str">
        <f>IFERROR(VLOOKUP(D635,KRX종목마스터!$A:$B,2,FALSE),"")</f>
        <v/>
      </c>
      <c r="F635" s="42"/>
      <c r="G635" s="42"/>
      <c r="H635" s="31" t="str">
        <f t="shared" si="27"/>
        <v/>
      </c>
      <c r="I635" s="43">
        <f ca="1">IFERROR(SUMPRODUCT((참고!$A$31:$A$130=C635)*(참고!$B$31:$B$130&lt;=A635)*(참고!$B$31:$B$130=_xludf.MAXIFS(참고!$B$31:$B$130,참고!$A$31:$A$130,C635,참고!$B$31:$B$130,"&lt;="&amp;A635))*참고!$C$31:$C$130)/100,0)</f>
        <v>0</v>
      </c>
      <c r="J635" s="31" t="str">
        <f t="shared" si="28"/>
        <v/>
      </c>
      <c r="K635" s="43">
        <f>IF(B635="매도",IFERROR(SUMPRODUCT((참고!$A$31:$A$130=C635)*(참고!$B$31:$B$130&lt;=A635)*(참고!$B$31:$B$130=_xludf.MAXIFS(참고!$B$31:$B$130,참고!$A$31:$A$130,C635,참고!$B$31:$B$130,"&lt;="&amp;A635))*참고!$D$31:$D$130)/100,0),0)</f>
        <v>0</v>
      </c>
      <c r="L635" s="31" t="str">
        <f t="shared" si="29"/>
        <v/>
      </c>
      <c r="M635" s="39"/>
    </row>
    <row r="636" spans="1:13" ht="18" customHeight="1" x14ac:dyDescent="0.45">
      <c r="A636" s="37"/>
      <c r="B636" s="29"/>
      <c r="C636" s="29"/>
      <c r="D636" s="28"/>
      <c r="E636" s="30" t="str">
        <f>IFERROR(VLOOKUP(D636,KRX종목마스터!$A:$B,2,FALSE),"")</f>
        <v/>
      </c>
      <c r="F636" s="42"/>
      <c r="G636" s="42"/>
      <c r="H636" s="31" t="str">
        <f t="shared" si="27"/>
        <v/>
      </c>
      <c r="I636" s="43">
        <f ca="1">IFERROR(SUMPRODUCT((참고!$A$31:$A$130=C636)*(참고!$B$31:$B$130&lt;=A636)*(참고!$B$31:$B$130=_xludf.MAXIFS(참고!$B$31:$B$130,참고!$A$31:$A$130,C636,참고!$B$31:$B$130,"&lt;="&amp;A636))*참고!$C$31:$C$130)/100,0)</f>
        <v>0</v>
      </c>
      <c r="J636" s="31" t="str">
        <f t="shared" si="28"/>
        <v/>
      </c>
      <c r="K636" s="43">
        <f>IF(B636="매도",IFERROR(SUMPRODUCT((참고!$A$31:$A$130=C636)*(참고!$B$31:$B$130&lt;=A636)*(참고!$B$31:$B$130=_xludf.MAXIFS(참고!$B$31:$B$130,참고!$A$31:$A$130,C636,참고!$B$31:$B$130,"&lt;="&amp;A636))*참고!$D$31:$D$130)/100,0),0)</f>
        <v>0</v>
      </c>
      <c r="L636" s="31" t="str">
        <f t="shared" si="29"/>
        <v/>
      </c>
      <c r="M636" s="39"/>
    </row>
    <row r="637" spans="1:13" ht="18" customHeight="1" x14ac:dyDescent="0.45">
      <c r="A637" s="37"/>
      <c r="B637" s="29"/>
      <c r="C637" s="29"/>
      <c r="D637" s="28"/>
      <c r="E637" s="30" t="str">
        <f>IFERROR(VLOOKUP(D637,KRX종목마스터!$A:$B,2,FALSE),"")</f>
        <v/>
      </c>
      <c r="F637" s="42"/>
      <c r="G637" s="42"/>
      <c r="H637" s="31" t="str">
        <f t="shared" si="27"/>
        <v/>
      </c>
      <c r="I637" s="43">
        <f ca="1">IFERROR(SUMPRODUCT((참고!$A$31:$A$130=C637)*(참고!$B$31:$B$130&lt;=A637)*(참고!$B$31:$B$130=_xludf.MAXIFS(참고!$B$31:$B$130,참고!$A$31:$A$130,C637,참고!$B$31:$B$130,"&lt;="&amp;A637))*참고!$C$31:$C$130)/100,0)</f>
        <v>0</v>
      </c>
      <c r="J637" s="31" t="str">
        <f t="shared" si="28"/>
        <v/>
      </c>
      <c r="K637" s="43">
        <f>IF(B637="매도",IFERROR(SUMPRODUCT((참고!$A$31:$A$130=C637)*(참고!$B$31:$B$130&lt;=A637)*(참고!$B$31:$B$130=_xludf.MAXIFS(참고!$B$31:$B$130,참고!$A$31:$A$130,C637,참고!$B$31:$B$130,"&lt;="&amp;A637))*참고!$D$31:$D$130)/100,0),0)</f>
        <v>0</v>
      </c>
      <c r="L637" s="31" t="str">
        <f t="shared" si="29"/>
        <v/>
      </c>
      <c r="M637" s="39"/>
    </row>
    <row r="638" spans="1:13" ht="18" customHeight="1" x14ac:dyDescent="0.45">
      <c r="A638" s="37"/>
      <c r="B638" s="29"/>
      <c r="C638" s="29"/>
      <c r="D638" s="28"/>
      <c r="E638" s="30" t="str">
        <f>IFERROR(VLOOKUP(D638,KRX종목마스터!$A:$B,2,FALSE),"")</f>
        <v/>
      </c>
      <c r="F638" s="42"/>
      <c r="G638" s="42"/>
      <c r="H638" s="31" t="str">
        <f t="shared" si="27"/>
        <v/>
      </c>
      <c r="I638" s="43">
        <f ca="1">IFERROR(SUMPRODUCT((참고!$A$31:$A$130=C638)*(참고!$B$31:$B$130&lt;=A638)*(참고!$B$31:$B$130=_xludf.MAXIFS(참고!$B$31:$B$130,참고!$A$31:$A$130,C638,참고!$B$31:$B$130,"&lt;="&amp;A638))*참고!$C$31:$C$130)/100,0)</f>
        <v>0</v>
      </c>
      <c r="J638" s="31" t="str">
        <f t="shared" si="28"/>
        <v/>
      </c>
      <c r="K638" s="43">
        <f>IF(B638="매도",IFERROR(SUMPRODUCT((참고!$A$31:$A$130=C638)*(참고!$B$31:$B$130&lt;=A638)*(참고!$B$31:$B$130=_xludf.MAXIFS(참고!$B$31:$B$130,참고!$A$31:$A$130,C638,참고!$B$31:$B$130,"&lt;="&amp;A638))*참고!$D$31:$D$130)/100,0),0)</f>
        <v>0</v>
      </c>
      <c r="L638" s="31" t="str">
        <f t="shared" si="29"/>
        <v/>
      </c>
      <c r="M638" s="39"/>
    </row>
    <row r="639" spans="1:13" ht="18" customHeight="1" x14ac:dyDescent="0.45">
      <c r="A639" s="37"/>
      <c r="B639" s="29"/>
      <c r="C639" s="29"/>
      <c r="D639" s="28"/>
      <c r="E639" s="30" t="str">
        <f>IFERROR(VLOOKUP(D639,KRX종목마스터!$A:$B,2,FALSE),"")</f>
        <v/>
      </c>
      <c r="F639" s="42"/>
      <c r="G639" s="42"/>
      <c r="H639" s="31" t="str">
        <f t="shared" si="27"/>
        <v/>
      </c>
      <c r="I639" s="43">
        <f ca="1">IFERROR(SUMPRODUCT((참고!$A$31:$A$130=C639)*(참고!$B$31:$B$130&lt;=A639)*(참고!$B$31:$B$130=_xludf.MAXIFS(참고!$B$31:$B$130,참고!$A$31:$A$130,C639,참고!$B$31:$B$130,"&lt;="&amp;A639))*참고!$C$31:$C$130)/100,0)</f>
        <v>0</v>
      </c>
      <c r="J639" s="31" t="str">
        <f t="shared" si="28"/>
        <v/>
      </c>
      <c r="K639" s="43">
        <f>IF(B639="매도",IFERROR(SUMPRODUCT((참고!$A$31:$A$130=C639)*(참고!$B$31:$B$130&lt;=A639)*(참고!$B$31:$B$130=_xludf.MAXIFS(참고!$B$31:$B$130,참고!$A$31:$A$130,C639,참고!$B$31:$B$130,"&lt;="&amp;A639))*참고!$D$31:$D$130)/100,0),0)</f>
        <v>0</v>
      </c>
      <c r="L639" s="31" t="str">
        <f t="shared" si="29"/>
        <v/>
      </c>
      <c r="M639" s="39"/>
    </row>
    <row r="640" spans="1:13" ht="18" customHeight="1" x14ac:dyDescent="0.45">
      <c r="A640" s="37"/>
      <c r="B640" s="29"/>
      <c r="C640" s="29"/>
      <c r="D640" s="28"/>
      <c r="E640" s="30" t="str">
        <f>IFERROR(VLOOKUP(D640,KRX종목마스터!$A:$B,2,FALSE),"")</f>
        <v/>
      </c>
      <c r="F640" s="42"/>
      <c r="G640" s="42"/>
      <c r="H640" s="31" t="str">
        <f t="shared" si="27"/>
        <v/>
      </c>
      <c r="I640" s="43">
        <f ca="1">IFERROR(SUMPRODUCT((참고!$A$31:$A$130=C640)*(참고!$B$31:$B$130&lt;=A640)*(참고!$B$31:$B$130=_xludf.MAXIFS(참고!$B$31:$B$130,참고!$A$31:$A$130,C640,참고!$B$31:$B$130,"&lt;="&amp;A640))*참고!$C$31:$C$130)/100,0)</f>
        <v>0</v>
      </c>
      <c r="J640" s="31" t="str">
        <f t="shared" si="28"/>
        <v/>
      </c>
      <c r="K640" s="43">
        <f>IF(B640="매도",IFERROR(SUMPRODUCT((참고!$A$31:$A$130=C640)*(참고!$B$31:$B$130&lt;=A640)*(참고!$B$31:$B$130=_xludf.MAXIFS(참고!$B$31:$B$130,참고!$A$31:$A$130,C640,참고!$B$31:$B$130,"&lt;="&amp;A640))*참고!$D$31:$D$130)/100,0),0)</f>
        <v>0</v>
      </c>
      <c r="L640" s="31" t="str">
        <f t="shared" si="29"/>
        <v/>
      </c>
      <c r="M640" s="39"/>
    </row>
    <row r="641" spans="1:13" ht="18" customHeight="1" x14ac:dyDescent="0.45">
      <c r="A641" s="37"/>
      <c r="B641" s="29"/>
      <c r="C641" s="29"/>
      <c r="D641" s="28"/>
      <c r="E641" s="30" t="str">
        <f>IFERROR(VLOOKUP(D641,KRX종목마스터!$A:$B,2,FALSE),"")</f>
        <v/>
      </c>
      <c r="F641" s="42"/>
      <c r="G641" s="42"/>
      <c r="H641" s="31" t="str">
        <f t="shared" si="27"/>
        <v/>
      </c>
      <c r="I641" s="43">
        <f ca="1">IFERROR(SUMPRODUCT((참고!$A$31:$A$130=C641)*(참고!$B$31:$B$130&lt;=A641)*(참고!$B$31:$B$130=_xludf.MAXIFS(참고!$B$31:$B$130,참고!$A$31:$A$130,C641,참고!$B$31:$B$130,"&lt;="&amp;A641))*참고!$C$31:$C$130)/100,0)</f>
        <v>0</v>
      </c>
      <c r="J641" s="31" t="str">
        <f t="shared" si="28"/>
        <v/>
      </c>
      <c r="K641" s="43">
        <f>IF(B641="매도",IFERROR(SUMPRODUCT((참고!$A$31:$A$130=C641)*(참고!$B$31:$B$130&lt;=A641)*(참고!$B$31:$B$130=_xludf.MAXIFS(참고!$B$31:$B$130,참고!$A$31:$A$130,C641,참고!$B$31:$B$130,"&lt;="&amp;A641))*참고!$D$31:$D$130)/100,0),0)</f>
        <v>0</v>
      </c>
      <c r="L641" s="31" t="str">
        <f t="shared" si="29"/>
        <v/>
      </c>
      <c r="M641" s="39"/>
    </row>
    <row r="642" spans="1:13" ht="18" customHeight="1" x14ac:dyDescent="0.45">
      <c r="A642" s="37"/>
      <c r="B642" s="29"/>
      <c r="C642" s="29"/>
      <c r="D642" s="28"/>
      <c r="E642" s="30" t="str">
        <f>IFERROR(VLOOKUP(D642,KRX종목마스터!$A:$B,2,FALSE),"")</f>
        <v/>
      </c>
      <c r="F642" s="42"/>
      <c r="G642" s="42"/>
      <c r="H642" s="31" t="str">
        <f t="shared" si="27"/>
        <v/>
      </c>
      <c r="I642" s="43">
        <f ca="1">IFERROR(SUMPRODUCT((참고!$A$31:$A$130=C642)*(참고!$B$31:$B$130&lt;=A642)*(참고!$B$31:$B$130=_xludf.MAXIFS(참고!$B$31:$B$130,참고!$A$31:$A$130,C642,참고!$B$31:$B$130,"&lt;="&amp;A642))*참고!$C$31:$C$130)/100,0)</f>
        <v>0</v>
      </c>
      <c r="J642" s="31" t="str">
        <f t="shared" si="28"/>
        <v/>
      </c>
      <c r="K642" s="43">
        <f>IF(B642="매도",IFERROR(SUMPRODUCT((참고!$A$31:$A$130=C642)*(참고!$B$31:$B$130&lt;=A642)*(참고!$B$31:$B$130=_xludf.MAXIFS(참고!$B$31:$B$130,참고!$A$31:$A$130,C642,참고!$B$31:$B$130,"&lt;="&amp;A642))*참고!$D$31:$D$130)/100,0),0)</f>
        <v>0</v>
      </c>
      <c r="L642" s="31" t="str">
        <f t="shared" si="29"/>
        <v/>
      </c>
      <c r="M642" s="39"/>
    </row>
    <row r="643" spans="1:13" ht="18" customHeight="1" x14ac:dyDescent="0.45">
      <c r="A643" s="37"/>
      <c r="B643" s="29"/>
      <c r="C643" s="29"/>
      <c r="D643" s="28"/>
      <c r="E643" s="30" t="str">
        <f>IFERROR(VLOOKUP(D643,KRX종목마스터!$A:$B,2,FALSE),"")</f>
        <v/>
      </c>
      <c r="F643" s="42"/>
      <c r="G643" s="42"/>
      <c r="H643" s="31" t="str">
        <f t="shared" si="27"/>
        <v/>
      </c>
      <c r="I643" s="43">
        <f ca="1">IFERROR(SUMPRODUCT((참고!$A$31:$A$130=C643)*(참고!$B$31:$B$130&lt;=A643)*(참고!$B$31:$B$130=_xludf.MAXIFS(참고!$B$31:$B$130,참고!$A$31:$A$130,C643,참고!$B$31:$B$130,"&lt;="&amp;A643))*참고!$C$31:$C$130)/100,0)</f>
        <v>0</v>
      </c>
      <c r="J643" s="31" t="str">
        <f t="shared" si="28"/>
        <v/>
      </c>
      <c r="K643" s="43">
        <f>IF(B643="매도",IFERROR(SUMPRODUCT((참고!$A$31:$A$130=C643)*(참고!$B$31:$B$130&lt;=A643)*(참고!$B$31:$B$130=_xludf.MAXIFS(참고!$B$31:$B$130,참고!$A$31:$A$130,C643,참고!$B$31:$B$130,"&lt;="&amp;A643))*참고!$D$31:$D$130)/100,0),0)</f>
        <v>0</v>
      </c>
      <c r="L643" s="31" t="str">
        <f t="shared" si="29"/>
        <v/>
      </c>
      <c r="M643" s="39"/>
    </row>
    <row r="644" spans="1:13" ht="18" customHeight="1" x14ac:dyDescent="0.45">
      <c r="A644" s="37"/>
      <c r="B644" s="29"/>
      <c r="C644" s="29"/>
      <c r="D644" s="28"/>
      <c r="E644" s="30" t="str">
        <f>IFERROR(VLOOKUP(D644,KRX종목마스터!$A:$B,2,FALSE),"")</f>
        <v/>
      </c>
      <c r="F644" s="42"/>
      <c r="G644" s="42"/>
      <c r="H644" s="31" t="str">
        <f t="shared" si="27"/>
        <v/>
      </c>
      <c r="I644" s="43">
        <f ca="1">IFERROR(SUMPRODUCT((참고!$A$31:$A$130=C644)*(참고!$B$31:$B$130&lt;=A644)*(참고!$B$31:$B$130=_xludf.MAXIFS(참고!$B$31:$B$130,참고!$A$31:$A$130,C644,참고!$B$31:$B$130,"&lt;="&amp;A644))*참고!$C$31:$C$130)/100,0)</f>
        <v>0</v>
      </c>
      <c r="J644" s="31" t="str">
        <f t="shared" si="28"/>
        <v/>
      </c>
      <c r="K644" s="43">
        <f>IF(B644="매도",IFERROR(SUMPRODUCT((참고!$A$31:$A$130=C644)*(참고!$B$31:$B$130&lt;=A644)*(참고!$B$31:$B$130=_xludf.MAXIFS(참고!$B$31:$B$130,참고!$A$31:$A$130,C644,참고!$B$31:$B$130,"&lt;="&amp;A644))*참고!$D$31:$D$130)/100,0),0)</f>
        <v>0</v>
      </c>
      <c r="L644" s="31" t="str">
        <f t="shared" si="29"/>
        <v/>
      </c>
      <c r="M644" s="39"/>
    </row>
    <row r="645" spans="1:13" ht="18" customHeight="1" x14ac:dyDescent="0.45">
      <c r="A645" s="37"/>
      <c r="B645" s="29"/>
      <c r="C645" s="29"/>
      <c r="D645" s="28"/>
      <c r="E645" s="30" t="str">
        <f>IFERROR(VLOOKUP(D645,KRX종목마스터!$A:$B,2,FALSE),"")</f>
        <v/>
      </c>
      <c r="F645" s="42"/>
      <c r="G645" s="42"/>
      <c r="H645" s="31" t="str">
        <f t="shared" ref="H645:H708" si="30">IF(AND(F645&lt;&gt;"",G645&lt;&gt;""),F645*G645,"")</f>
        <v/>
      </c>
      <c r="I645" s="43">
        <f ca="1">IFERROR(SUMPRODUCT((참고!$A$31:$A$130=C645)*(참고!$B$31:$B$130&lt;=A645)*(참고!$B$31:$B$130=_xludf.MAXIFS(참고!$B$31:$B$130,참고!$A$31:$A$130,C645,참고!$B$31:$B$130,"&lt;="&amp;A645))*참고!$C$31:$C$130)/100,0)</f>
        <v>0</v>
      </c>
      <c r="J645" s="31" t="str">
        <f t="shared" ref="J645:J708" si="31">IF(H645="","",ROUND(H645*I645,0))</f>
        <v/>
      </c>
      <c r="K645" s="43">
        <f>IF(B645="매도",IFERROR(SUMPRODUCT((참고!$A$31:$A$130=C645)*(참고!$B$31:$B$130&lt;=A645)*(참고!$B$31:$B$130=_xludf.MAXIFS(참고!$B$31:$B$130,참고!$A$31:$A$130,C645,참고!$B$31:$B$130,"&lt;="&amp;A645))*참고!$D$31:$D$130)/100,0),0)</f>
        <v>0</v>
      </c>
      <c r="L645" s="31" t="str">
        <f t="shared" ref="L645:L708" si="32">IF(H645="","",ROUND(H645*K645,0))</f>
        <v/>
      </c>
      <c r="M645" s="39"/>
    </row>
    <row r="646" spans="1:13" ht="18" customHeight="1" x14ac:dyDescent="0.45">
      <c r="A646" s="37"/>
      <c r="B646" s="29"/>
      <c r="C646" s="29"/>
      <c r="D646" s="28"/>
      <c r="E646" s="30" t="str">
        <f>IFERROR(VLOOKUP(D646,KRX종목마스터!$A:$B,2,FALSE),"")</f>
        <v/>
      </c>
      <c r="F646" s="42"/>
      <c r="G646" s="42"/>
      <c r="H646" s="31" t="str">
        <f t="shared" si="30"/>
        <v/>
      </c>
      <c r="I646" s="43">
        <f ca="1">IFERROR(SUMPRODUCT((참고!$A$31:$A$130=C646)*(참고!$B$31:$B$130&lt;=A646)*(참고!$B$31:$B$130=_xludf.MAXIFS(참고!$B$31:$B$130,참고!$A$31:$A$130,C646,참고!$B$31:$B$130,"&lt;="&amp;A646))*참고!$C$31:$C$130)/100,0)</f>
        <v>0</v>
      </c>
      <c r="J646" s="31" t="str">
        <f t="shared" si="31"/>
        <v/>
      </c>
      <c r="K646" s="43">
        <f>IF(B646="매도",IFERROR(SUMPRODUCT((참고!$A$31:$A$130=C646)*(참고!$B$31:$B$130&lt;=A646)*(참고!$B$31:$B$130=_xludf.MAXIFS(참고!$B$31:$B$130,참고!$A$31:$A$130,C646,참고!$B$31:$B$130,"&lt;="&amp;A646))*참고!$D$31:$D$130)/100,0),0)</f>
        <v>0</v>
      </c>
      <c r="L646" s="31" t="str">
        <f t="shared" si="32"/>
        <v/>
      </c>
      <c r="M646" s="39"/>
    </row>
    <row r="647" spans="1:13" ht="18" customHeight="1" x14ac:dyDescent="0.45">
      <c r="A647" s="37"/>
      <c r="B647" s="29"/>
      <c r="C647" s="29"/>
      <c r="D647" s="28"/>
      <c r="E647" s="30" t="str">
        <f>IFERROR(VLOOKUP(D647,KRX종목마스터!$A:$B,2,FALSE),"")</f>
        <v/>
      </c>
      <c r="F647" s="42"/>
      <c r="G647" s="42"/>
      <c r="H647" s="31" t="str">
        <f t="shared" si="30"/>
        <v/>
      </c>
      <c r="I647" s="43">
        <f ca="1">IFERROR(SUMPRODUCT((참고!$A$31:$A$130=C647)*(참고!$B$31:$B$130&lt;=A647)*(참고!$B$31:$B$130=_xludf.MAXIFS(참고!$B$31:$B$130,참고!$A$31:$A$130,C647,참고!$B$31:$B$130,"&lt;="&amp;A647))*참고!$C$31:$C$130)/100,0)</f>
        <v>0</v>
      </c>
      <c r="J647" s="31" t="str">
        <f t="shared" si="31"/>
        <v/>
      </c>
      <c r="K647" s="43">
        <f>IF(B647="매도",IFERROR(SUMPRODUCT((참고!$A$31:$A$130=C647)*(참고!$B$31:$B$130&lt;=A647)*(참고!$B$31:$B$130=_xludf.MAXIFS(참고!$B$31:$B$130,참고!$A$31:$A$130,C647,참고!$B$31:$B$130,"&lt;="&amp;A647))*참고!$D$31:$D$130)/100,0),0)</f>
        <v>0</v>
      </c>
      <c r="L647" s="31" t="str">
        <f t="shared" si="32"/>
        <v/>
      </c>
      <c r="M647" s="39"/>
    </row>
    <row r="648" spans="1:13" ht="18" customHeight="1" x14ac:dyDescent="0.45">
      <c r="A648" s="37"/>
      <c r="B648" s="29"/>
      <c r="C648" s="29"/>
      <c r="D648" s="28"/>
      <c r="E648" s="30" t="str">
        <f>IFERROR(VLOOKUP(D648,KRX종목마스터!$A:$B,2,FALSE),"")</f>
        <v/>
      </c>
      <c r="F648" s="42"/>
      <c r="G648" s="42"/>
      <c r="H648" s="31" t="str">
        <f t="shared" si="30"/>
        <v/>
      </c>
      <c r="I648" s="43">
        <f ca="1">IFERROR(SUMPRODUCT((참고!$A$31:$A$130=C648)*(참고!$B$31:$B$130&lt;=A648)*(참고!$B$31:$B$130=_xludf.MAXIFS(참고!$B$31:$B$130,참고!$A$31:$A$130,C648,참고!$B$31:$B$130,"&lt;="&amp;A648))*참고!$C$31:$C$130)/100,0)</f>
        <v>0</v>
      </c>
      <c r="J648" s="31" t="str">
        <f t="shared" si="31"/>
        <v/>
      </c>
      <c r="K648" s="43">
        <f>IF(B648="매도",IFERROR(SUMPRODUCT((참고!$A$31:$A$130=C648)*(참고!$B$31:$B$130&lt;=A648)*(참고!$B$31:$B$130=_xludf.MAXIFS(참고!$B$31:$B$130,참고!$A$31:$A$130,C648,참고!$B$31:$B$130,"&lt;="&amp;A648))*참고!$D$31:$D$130)/100,0),0)</f>
        <v>0</v>
      </c>
      <c r="L648" s="31" t="str">
        <f t="shared" si="32"/>
        <v/>
      </c>
      <c r="M648" s="39"/>
    </row>
    <row r="649" spans="1:13" ht="18" customHeight="1" x14ac:dyDescent="0.45">
      <c r="A649" s="37"/>
      <c r="B649" s="29"/>
      <c r="C649" s="29"/>
      <c r="D649" s="28"/>
      <c r="E649" s="30" t="str">
        <f>IFERROR(VLOOKUP(D649,KRX종목마스터!$A:$B,2,FALSE),"")</f>
        <v/>
      </c>
      <c r="F649" s="42"/>
      <c r="G649" s="42"/>
      <c r="H649" s="31" t="str">
        <f t="shared" si="30"/>
        <v/>
      </c>
      <c r="I649" s="43">
        <f ca="1">IFERROR(SUMPRODUCT((참고!$A$31:$A$130=C649)*(참고!$B$31:$B$130&lt;=A649)*(참고!$B$31:$B$130=_xludf.MAXIFS(참고!$B$31:$B$130,참고!$A$31:$A$130,C649,참고!$B$31:$B$130,"&lt;="&amp;A649))*참고!$C$31:$C$130)/100,0)</f>
        <v>0</v>
      </c>
      <c r="J649" s="31" t="str">
        <f t="shared" si="31"/>
        <v/>
      </c>
      <c r="K649" s="43">
        <f>IF(B649="매도",IFERROR(SUMPRODUCT((참고!$A$31:$A$130=C649)*(참고!$B$31:$B$130&lt;=A649)*(참고!$B$31:$B$130=_xludf.MAXIFS(참고!$B$31:$B$130,참고!$A$31:$A$130,C649,참고!$B$31:$B$130,"&lt;="&amp;A649))*참고!$D$31:$D$130)/100,0),0)</f>
        <v>0</v>
      </c>
      <c r="L649" s="31" t="str">
        <f t="shared" si="32"/>
        <v/>
      </c>
      <c r="M649" s="39"/>
    </row>
    <row r="650" spans="1:13" ht="18" customHeight="1" x14ac:dyDescent="0.45">
      <c r="A650" s="37"/>
      <c r="B650" s="29"/>
      <c r="C650" s="29"/>
      <c r="D650" s="28"/>
      <c r="E650" s="30" t="str">
        <f>IFERROR(VLOOKUP(D650,KRX종목마스터!$A:$B,2,FALSE),"")</f>
        <v/>
      </c>
      <c r="F650" s="42"/>
      <c r="G650" s="42"/>
      <c r="H650" s="31" t="str">
        <f t="shared" si="30"/>
        <v/>
      </c>
      <c r="I650" s="43">
        <f ca="1">IFERROR(SUMPRODUCT((참고!$A$31:$A$130=C650)*(참고!$B$31:$B$130&lt;=A650)*(참고!$B$31:$B$130=_xludf.MAXIFS(참고!$B$31:$B$130,참고!$A$31:$A$130,C650,참고!$B$31:$B$130,"&lt;="&amp;A650))*참고!$C$31:$C$130)/100,0)</f>
        <v>0</v>
      </c>
      <c r="J650" s="31" t="str">
        <f t="shared" si="31"/>
        <v/>
      </c>
      <c r="K650" s="43">
        <f>IF(B650="매도",IFERROR(SUMPRODUCT((참고!$A$31:$A$130=C650)*(참고!$B$31:$B$130&lt;=A650)*(참고!$B$31:$B$130=_xludf.MAXIFS(참고!$B$31:$B$130,참고!$A$31:$A$130,C650,참고!$B$31:$B$130,"&lt;="&amp;A650))*참고!$D$31:$D$130)/100,0),0)</f>
        <v>0</v>
      </c>
      <c r="L650" s="31" t="str">
        <f t="shared" si="32"/>
        <v/>
      </c>
      <c r="M650" s="39"/>
    </row>
    <row r="651" spans="1:13" ht="18" customHeight="1" x14ac:dyDescent="0.45">
      <c r="A651" s="37"/>
      <c r="B651" s="29"/>
      <c r="C651" s="29"/>
      <c r="D651" s="28"/>
      <c r="E651" s="30" t="str">
        <f>IFERROR(VLOOKUP(D651,KRX종목마스터!$A:$B,2,FALSE),"")</f>
        <v/>
      </c>
      <c r="F651" s="42"/>
      <c r="G651" s="42"/>
      <c r="H651" s="31" t="str">
        <f t="shared" si="30"/>
        <v/>
      </c>
      <c r="I651" s="43">
        <f ca="1">IFERROR(SUMPRODUCT((참고!$A$31:$A$130=C651)*(참고!$B$31:$B$130&lt;=A651)*(참고!$B$31:$B$130=_xludf.MAXIFS(참고!$B$31:$B$130,참고!$A$31:$A$130,C651,참고!$B$31:$B$130,"&lt;="&amp;A651))*참고!$C$31:$C$130)/100,0)</f>
        <v>0</v>
      </c>
      <c r="J651" s="31" t="str">
        <f t="shared" si="31"/>
        <v/>
      </c>
      <c r="K651" s="43">
        <f>IF(B651="매도",IFERROR(SUMPRODUCT((참고!$A$31:$A$130=C651)*(참고!$B$31:$B$130&lt;=A651)*(참고!$B$31:$B$130=_xludf.MAXIFS(참고!$B$31:$B$130,참고!$A$31:$A$130,C651,참고!$B$31:$B$130,"&lt;="&amp;A651))*참고!$D$31:$D$130)/100,0),0)</f>
        <v>0</v>
      </c>
      <c r="L651" s="31" t="str">
        <f t="shared" si="32"/>
        <v/>
      </c>
      <c r="M651" s="39"/>
    </row>
    <row r="652" spans="1:13" ht="18" customHeight="1" x14ac:dyDescent="0.45">
      <c r="A652" s="37"/>
      <c r="B652" s="29"/>
      <c r="C652" s="29"/>
      <c r="D652" s="28"/>
      <c r="E652" s="30" t="str">
        <f>IFERROR(VLOOKUP(D652,KRX종목마스터!$A:$B,2,FALSE),"")</f>
        <v/>
      </c>
      <c r="F652" s="42"/>
      <c r="G652" s="42"/>
      <c r="H652" s="31" t="str">
        <f t="shared" si="30"/>
        <v/>
      </c>
      <c r="I652" s="43">
        <f ca="1">IFERROR(SUMPRODUCT((참고!$A$31:$A$130=C652)*(참고!$B$31:$B$130&lt;=A652)*(참고!$B$31:$B$130=_xludf.MAXIFS(참고!$B$31:$B$130,참고!$A$31:$A$130,C652,참고!$B$31:$B$130,"&lt;="&amp;A652))*참고!$C$31:$C$130)/100,0)</f>
        <v>0</v>
      </c>
      <c r="J652" s="31" t="str">
        <f t="shared" si="31"/>
        <v/>
      </c>
      <c r="K652" s="43">
        <f>IF(B652="매도",IFERROR(SUMPRODUCT((참고!$A$31:$A$130=C652)*(참고!$B$31:$B$130&lt;=A652)*(참고!$B$31:$B$130=_xludf.MAXIFS(참고!$B$31:$B$130,참고!$A$31:$A$130,C652,참고!$B$31:$B$130,"&lt;="&amp;A652))*참고!$D$31:$D$130)/100,0),0)</f>
        <v>0</v>
      </c>
      <c r="L652" s="31" t="str">
        <f t="shared" si="32"/>
        <v/>
      </c>
      <c r="M652" s="39"/>
    </row>
    <row r="653" spans="1:13" ht="18" customHeight="1" x14ac:dyDescent="0.45">
      <c r="A653" s="37"/>
      <c r="B653" s="29"/>
      <c r="C653" s="29"/>
      <c r="D653" s="28"/>
      <c r="E653" s="30" t="str">
        <f>IFERROR(VLOOKUP(D653,KRX종목마스터!$A:$B,2,FALSE),"")</f>
        <v/>
      </c>
      <c r="F653" s="42"/>
      <c r="G653" s="42"/>
      <c r="H653" s="31" t="str">
        <f t="shared" si="30"/>
        <v/>
      </c>
      <c r="I653" s="43">
        <f ca="1">IFERROR(SUMPRODUCT((참고!$A$31:$A$130=C653)*(참고!$B$31:$B$130&lt;=A653)*(참고!$B$31:$B$130=_xludf.MAXIFS(참고!$B$31:$B$130,참고!$A$31:$A$130,C653,참고!$B$31:$B$130,"&lt;="&amp;A653))*참고!$C$31:$C$130)/100,0)</f>
        <v>0</v>
      </c>
      <c r="J653" s="31" t="str">
        <f t="shared" si="31"/>
        <v/>
      </c>
      <c r="K653" s="43">
        <f>IF(B653="매도",IFERROR(SUMPRODUCT((참고!$A$31:$A$130=C653)*(참고!$B$31:$B$130&lt;=A653)*(참고!$B$31:$B$130=_xludf.MAXIFS(참고!$B$31:$B$130,참고!$A$31:$A$130,C653,참고!$B$31:$B$130,"&lt;="&amp;A653))*참고!$D$31:$D$130)/100,0),0)</f>
        <v>0</v>
      </c>
      <c r="L653" s="31" t="str">
        <f t="shared" si="32"/>
        <v/>
      </c>
      <c r="M653" s="39"/>
    </row>
    <row r="654" spans="1:13" ht="18" customHeight="1" x14ac:dyDescent="0.45">
      <c r="A654" s="37"/>
      <c r="B654" s="29"/>
      <c r="C654" s="29"/>
      <c r="D654" s="28"/>
      <c r="E654" s="30" t="str">
        <f>IFERROR(VLOOKUP(D654,KRX종목마스터!$A:$B,2,FALSE),"")</f>
        <v/>
      </c>
      <c r="F654" s="42"/>
      <c r="G654" s="42"/>
      <c r="H654" s="31" t="str">
        <f t="shared" si="30"/>
        <v/>
      </c>
      <c r="I654" s="43">
        <f ca="1">IFERROR(SUMPRODUCT((참고!$A$31:$A$130=C654)*(참고!$B$31:$B$130&lt;=A654)*(참고!$B$31:$B$130=_xludf.MAXIFS(참고!$B$31:$B$130,참고!$A$31:$A$130,C654,참고!$B$31:$B$130,"&lt;="&amp;A654))*참고!$C$31:$C$130)/100,0)</f>
        <v>0</v>
      </c>
      <c r="J654" s="31" t="str">
        <f t="shared" si="31"/>
        <v/>
      </c>
      <c r="K654" s="43">
        <f>IF(B654="매도",IFERROR(SUMPRODUCT((참고!$A$31:$A$130=C654)*(참고!$B$31:$B$130&lt;=A654)*(참고!$B$31:$B$130=_xludf.MAXIFS(참고!$B$31:$B$130,참고!$A$31:$A$130,C654,참고!$B$31:$B$130,"&lt;="&amp;A654))*참고!$D$31:$D$130)/100,0),0)</f>
        <v>0</v>
      </c>
      <c r="L654" s="31" t="str">
        <f t="shared" si="32"/>
        <v/>
      </c>
      <c r="M654" s="39"/>
    </row>
    <row r="655" spans="1:13" ht="18" customHeight="1" x14ac:dyDescent="0.45">
      <c r="A655" s="37"/>
      <c r="B655" s="29"/>
      <c r="C655" s="29"/>
      <c r="D655" s="28"/>
      <c r="E655" s="30" t="str">
        <f>IFERROR(VLOOKUP(D655,KRX종목마스터!$A:$B,2,FALSE),"")</f>
        <v/>
      </c>
      <c r="F655" s="42"/>
      <c r="G655" s="42"/>
      <c r="H655" s="31" t="str">
        <f t="shared" si="30"/>
        <v/>
      </c>
      <c r="I655" s="43">
        <f ca="1">IFERROR(SUMPRODUCT((참고!$A$31:$A$130=C655)*(참고!$B$31:$B$130&lt;=A655)*(참고!$B$31:$B$130=_xludf.MAXIFS(참고!$B$31:$B$130,참고!$A$31:$A$130,C655,참고!$B$31:$B$130,"&lt;="&amp;A655))*참고!$C$31:$C$130)/100,0)</f>
        <v>0</v>
      </c>
      <c r="J655" s="31" t="str">
        <f t="shared" si="31"/>
        <v/>
      </c>
      <c r="K655" s="43">
        <f>IF(B655="매도",IFERROR(SUMPRODUCT((참고!$A$31:$A$130=C655)*(참고!$B$31:$B$130&lt;=A655)*(참고!$B$31:$B$130=_xludf.MAXIFS(참고!$B$31:$B$130,참고!$A$31:$A$130,C655,참고!$B$31:$B$130,"&lt;="&amp;A655))*참고!$D$31:$D$130)/100,0),0)</f>
        <v>0</v>
      </c>
      <c r="L655" s="31" t="str">
        <f t="shared" si="32"/>
        <v/>
      </c>
      <c r="M655" s="39"/>
    </row>
    <row r="656" spans="1:13" ht="18" customHeight="1" x14ac:dyDescent="0.45">
      <c r="A656" s="37"/>
      <c r="B656" s="29"/>
      <c r="C656" s="29"/>
      <c r="D656" s="28"/>
      <c r="E656" s="30" t="str">
        <f>IFERROR(VLOOKUP(D656,KRX종목마스터!$A:$B,2,FALSE),"")</f>
        <v/>
      </c>
      <c r="F656" s="42"/>
      <c r="G656" s="42"/>
      <c r="H656" s="31" t="str">
        <f t="shared" si="30"/>
        <v/>
      </c>
      <c r="I656" s="43">
        <f ca="1">IFERROR(SUMPRODUCT((참고!$A$31:$A$130=C656)*(참고!$B$31:$B$130&lt;=A656)*(참고!$B$31:$B$130=_xludf.MAXIFS(참고!$B$31:$B$130,참고!$A$31:$A$130,C656,참고!$B$31:$B$130,"&lt;="&amp;A656))*참고!$C$31:$C$130)/100,0)</f>
        <v>0</v>
      </c>
      <c r="J656" s="31" t="str">
        <f t="shared" si="31"/>
        <v/>
      </c>
      <c r="K656" s="43">
        <f>IF(B656="매도",IFERROR(SUMPRODUCT((참고!$A$31:$A$130=C656)*(참고!$B$31:$B$130&lt;=A656)*(참고!$B$31:$B$130=_xludf.MAXIFS(참고!$B$31:$B$130,참고!$A$31:$A$130,C656,참고!$B$31:$B$130,"&lt;="&amp;A656))*참고!$D$31:$D$130)/100,0),0)</f>
        <v>0</v>
      </c>
      <c r="L656" s="31" t="str">
        <f t="shared" si="32"/>
        <v/>
      </c>
      <c r="M656" s="39"/>
    </row>
    <row r="657" spans="1:13" ht="18" customHeight="1" x14ac:dyDescent="0.45">
      <c r="A657" s="37"/>
      <c r="B657" s="29"/>
      <c r="C657" s="29"/>
      <c r="D657" s="28"/>
      <c r="E657" s="30" t="str">
        <f>IFERROR(VLOOKUP(D657,KRX종목마스터!$A:$B,2,FALSE),"")</f>
        <v/>
      </c>
      <c r="F657" s="42"/>
      <c r="G657" s="42"/>
      <c r="H657" s="31" t="str">
        <f t="shared" si="30"/>
        <v/>
      </c>
      <c r="I657" s="43">
        <f ca="1">IFERROR(SUMPRODUCT((참고!$A$31:$A$130=C657)*(참고!$B$31:$B$130&lt;=A657)*(참고!$B$31:$B$130=_xludf.MAXIFS(참고!$B$31:$B$130,참고!$A$31:$A$130,C657,참고!$B$31:$B$130,"&lt;="&amp;A657))*참고!$C$31:$C$130)/100,0)</f>
        <v>0</v>
      </c>
      <c r="J657" s="31" t="str">
        <f t="shared" si="31"/>
        <v/>
      </c>
      <c r="K657" s="43">
        <f>IF(B657="매도",IFERROR(SUMPRODUCT((참고!$A$31:$A$130=C657)*(참고!$B$31:$B$130&lt;=A657)*(참고!$B$31:$B$130=_xludf.MAXIFS(참고!$B$31:$B$130,참고!$A$31:$A$130,C657,참고!$B$31:$B$130,"&lt;="&amp;A657))*참고!$D$31:$D$130)/100,0),0)</f>
        <v>0</v>
      </c>
      <c r="L657" s="31" t="str">
        <f t="shared" si="32"/>
        <v/>
      </c>
      <c r="M657" s="39"/>
    </row>
    <row r="658" spans="1:13" ht="18" customHeight="1" x14ac:dyDescent="0.45">
      <c r="A658" s="37"/>
      <c r="B658" s="29"/>
      <c r="C658" s="29"/>
      <c r="D658" s="28"/>
      <c r="E658" s="30" t="str">
        <f>IFERROR(VLOOKUP(D658,KRX종목마스터!$A:$B,2,FALSE),"")</f>
        <v/>
      </c>
      <c r="F658" s="42"/>
      <c r="G658" s="42"/>
      <c r="H658" s="31" t="str">
        <f t="shared" si="30"/>
        <v/>
      </c>
      <c r="I658" s="43">
        <f ca="1">IFERROR(SUMPRODUCT((참고!$A$31:$A$130=C658)*(참고!$B$31:$B$130&lt;=A658)*(참고!$B$31:$B$130=_xludf.MAXIFS(참고!$B$31:$B$130,참고!$A$31:$A$130,C658,참고!$B$31:$B$130,"&lt;="&amp;A658))*참고!$C$31:$C$130)/100,0)</f>
        <v>0</v>
      </c>
      <c r="J658" s="31" t="str">
        <f t="shared" si="31"/>
        <v/>
      </c>
      <c r="K658" s="43">
        <f>IF(B658="매도",IFERROR(SUMPRODUCT((참고!$A$31:$A$130=C658)*(참고!$B$31:$B$130&lt;=A658)*(참고!$B$31:$B$130=_xludf.MAXIFS(참고!$B$31:$B$130,참고!$A$31:$A$130,C658,참고!$B$31:$B$130,"&lt;="&amp;A658))*참고!$D$31:$D$130)/100,0),0)</f>
        <v>0</v>
      </c>
      <c r="L658" s="31" t="str">
        <f t="shared" si="32"/>
        <v/>
      </c>
      <c r="M658" s="39"/>
    </row>
    <row r="659" spans="1:13" ht="18" customHeight="1" x14ac:dyDescent="0.45">
      <c r="A659" s="37"/>
      <c r="B659" s="29"/>
      <c r="C659" s="29"/>
      <c r="D659" s="28"/>
      <c r="E659" s="30" t="str">
        <f>IFERROR(VLOOKUP(D659,KRX종목마스터!$A:$B,2,FALSE),"")</f>
        <v/>
      </c>
      <c r="F659" s="42"/>
      <c r="G659" s="42"/>
      <c r="H659" s="31" t="str">
        <f t="shared" si="30"/>
        <v/>
      </c>
      <c r="I659" s="43">
        <f ca="1">IFERROR(SUMPRODUCT((참고!$A$31:$A$130=C659)*(참고!$B$31:$B$130&lt;=A659)*(참고!$B$31:$B$130=_xludf.MAXIFS(참고!$B$31:$B$130,참고!$A$31:$A$130,C659,참고!$B$31:$B$130,"&lt;="&amp;A659))*참고!$C$31:$C$130)/100,0)</f>
        <v>0</v>
      </c>
      <c r="J659" s="31" t="str">
        <f t="shared" si="31"/>
        <v/>
      </c>
      <c r="K659" s="43">
        <f>IF(B659="매도",IFERROR(SUMPRODUCT((참고!$A$31:$A$130=C659)*(참고!$B$31:$B$130&lt;=A659)*(참고!$B$31:$B$130=_xludf.MAXIFS(참고!$B$31:$B$130,참고!$A$31:$A$130,C659,참고!$B$31:$B$130,"&lt;="&amp;A659))*참고!$D$31:$D$130)/100,0),0)</f>
        <v>0</v>
      </c>
      <c r="L659" s="31" t="str">
        <f t="shared" si="32"/>
        <v/>
      </c>
      <c r="M659" s="39"/>
    </row>
    <row r="660" spans="1:13" ht="18" customHeight="1" x14ac:dyDescent="0.45">
      <c r="A660" s="37"/>
      <c r="B660" s="29"/>
      <c r="C660" s="29"/>
      <c r="D660" s="28"/>
      <c r="E660" s="30" t="str">
        <f>IFERROR(VLOOKUP(D660,KRX종목마스터!$A:$B,2,FALSE),"")</f>
        <v/>
      </c>
      <c r="F660" s="42"/>
      <c r="G660" s="42"/>
      <c r="H660" s="31" t="str">
        <f t="shared" si="30"/>
        <v/>
      </c>
      <c r="I660" s="43">
        <f ca="1">IFERROR(SUMPRODUCT((참고!$A$31:$A$130=C660)*(참고!$B$31:$B$130&lt;=A660)*(참고!$B$31:$B$130=_xludf.MAXIFS(참고!$B$31:$B$130,참고!$A$31:$A$130,C660,참고!$B$31:$B$130,"&lt;="&amp;A660))*참고!$C$31:$C$130)/100,0)</f>
        <v>0</v>
      </c>
      <c r="J660" s="31" t="str">
        <f t="shared" si="31"/>
        <v/>
      </c>
      <c r="K660" s="43">
        <f>IF(B660="매도",IFERROR(SUMPRODUCT((참고!$A$31:$A$130=C660)*(참고!$B$31:$B$130&lt;=A660)*(참고!$B$31:$B$130=_xludf.MAXIFS(참고!$B$31:$B$130,참고!$A$31:$A$130,C660,참고!$B$31:$B$130,"&lt;="&amp;A660))*참고!$D$31:$D$130)/100,0),0)</f>
        <v>0</v>
      </c>
      <c r="L660" s="31" t="str">
        <f t="shared" si="32"/>
        <v/>
      </c>
      <c r="M660" s="39"/>
    </row>
    <row r="661" spans="1:13" ht="18" customHeight="1" x14ac:dyDescent="0.45">
      <c r="A661" s="37"/>
      <c r="B661" s="29"/>
      <c r="C661" s="29"/>
      <c r="D661" s="28"/>
      <c r="E661" s="30" t="str">
        <f>IFERROR(VLOOKUP(D661,KRX종목마스터!$A:$B,2,FALSE),"")</f>
        <v/>
      </c>
      <c r="F661" s="42"/>
      <c r="G661" s="42"/>
      <c r="H661" s="31" t="str">
        <f t="shared" si="30"/>
        <v/>
      </c>
      <c r="I661" s="43">
        <f ca="1">IFERROR(SUMPRODUCT((참고!$A$31:$A$130=C661)*(참고!$B$31:$B$130&lt;=A661)*(참고!$B$31:$B$130=_xludf.MAXIFS(참고!$B$31:$B$130,참고!$A$31:$A$130,C661,참고!$B$31:$B$130,"&lt;="&amp;A661))*참고!$C$31:$C$130)/100,0)</f>
        <v>0</v>
      </c>
      <c r="J661" s="31" t="str">
        <f t="shared" si="31"/>
        <v/>
      </c>
      <c r="K661" s="43">
        <f>IF(B661="매도",IFERROR(SUMPRODUCT((참고!$A$31:$A$130=C661)*(참고!$B$31:$B$130&lt;=A661)*(참고!$B$31:$B$130=_xludf.MAXIFS(참고!$B$31:$B$130,참고!$A$31:$A$130,C661,참고!$B$31:$B$130,"&lt;="&amp;A661))*참고!$D$31:$D$130)/100,0),0)</f>
        <v>0</v>
      </c>
      <c r="L661" s="31" t="str">
        <f t="shared" si="32"/>
        <v/>
      </c>
      <c r="M661" s="39"/>
    </row>
    <row r="662" spans="1:13" ht="18" customHeight="1" x14ac:dyDescent="0.45">
      <c r="A662" s="37"/>
      <c r="B662" s="29"/>
      <c r="C662" s="29"/>
      <c r="D662" s="28"/>
      <c r="E662" s="30" t="str">
        <f>IFERROR(VLOOKUP(D662,KRX종목마스터!$A:$B,2,FALSE),"")</f>
        <v/>
      </c>
      <c r="F662" s="42"/>
      <c r="G662" s="42"/>
      <c r="H662" s="31" t="str">
        <f t="shared" si="30"/>
        <v/>
      </c>
      <c r="I662" s="43">
        <f ca="1">IFERROR(SUMPRODUCT((참고!$A$31:$A$130=C662)*(참고!$B$31:$B$130&lt;=A662)*(참고!$B$31:$B$130=_xludf.MAXIFS(참고!$B$31:$B$130,참고!$A$31:$A$130,C662,참고!$B$31:$B$130,"&lt;="&amp;A662))*참고!$C$31:$C$130)/100,0)</f>
        <v>0</v>
      </c>
      <c r="J662" s="31" t="str">
        <f t="shared" si="31"/>
        <v/>
      </c>
      <c r="K662" s="43">
        <f>IF(B662="매도",IFERROR(SUMPRODUCT((참고!$A$31:$A$130=C662)*(참고!$B$31:$B$130&lt;=A662)*(참고!$B$31:$B$130=_xludf.MAXIFS(참고!$B$31:$B$130,참고!$A$31:$A$130,C662,참고!$B$31:$B$130,"&lt;="&amp;A662))*참고!$D$31:$D$130)/100,0),0)</f>
        <v>0</v>
      </c>
      <c r="L662" s="31" t="str">
        <f t="shared" si="32"/>
        <v/>
      </c>
      <c r="M662" s="39"/>
    </row>
    <row r="663" spans="1:13" ht="18" customHeight="1" x14ac:dyDescent="0.45">
      <c r="A663" s="37"/>
      <c r="B663" s="29"/>
      <c r="C663" s="29"/>
      <c r="D663" s="28"/>
      <c r="E663" s="30" t="str">
        <f>IFERROR(VLOOKUP(D663,KRX종목마스터!$A:$B,2,FALSE),"")</f>
        <v/>
      </c>
      <c r="F663" s="42"/>
      <c r="G663" s="42"/>
      <c r="H663" s="31" t="str">
        <f t="shared" si="30"/>
        <v/>
      </c>
      <c r="I663" s="43">
        <f ca="1">IFERROR(SUMPRODUCT((참고!$A$31:$A$130=C663)*(참고!$B$31:$B$130&lt;=A663)*(참고!$B$31:$B$130=_xludf.MAXIFS(참고!$B$31:$B$130,참고!$A$31:$A$130,C663,참고!$B$31:$B$130,"&lt;="&amp;A663))*참고!$C$31:$C$130)/100,0)</f>
        <v>0</v>
      </c>
      <c r="J663" s="31" t="str">
        <f t="shared" si="31"/>
        <v/>
      </c>
      <c r="K663" s="43">
        <f>IF(B663="매도",IFERROR(SUMPRODUCT((참고!$A$31:$A$130=C663)*(참고!$B$31:$B$130&lt;=A663)*(참고!$B$31:$B$130=_xludf.MAXIFS(참고!$B$31:$B$130,참고!$A$31:$A$130,C663,참고!$B$31:$B$130,"&lt;="&amp;A663))*참고!$D$31:$D$130)/100,0),0)</f>
        <v>0</v>
      </c>
      <c r="L663" s="31" t="str">
        <f t="shared" si="32"/>
        <v/>
      </c>
      <c r="M663" s="39"/>
    </row>
    <row r="664" spans="1:13" ht="18" customHeight="1" x14ac:dyDescent="0.45">
      <c r="A664" s="37"/>
      <c r="B664" s="29"/>
      <c r="C664" s="29"/>
      <c r="D664" s="28"/>
      <c r="E664" s="30" t="str">
        <f>IFERROR(VLOOKUP(D664,KRX종목마스터!$A:$B,2,FALSE),"")</f>
        <v/>
      </c>
      <c r="F664" s="42"/>
      <c r="G664" s="42"/>
      <c r="H664" s="31" t="str">
        <f t="shared" si="30"/>
        <v/>
      </c>
      <c r="I664" s="43">
        <f ca="1">IFERROR(SUMPRODUCT((참고!$A$31:$A$130=C664)*(참고!$B$31:$B$130&lt;=A664)*(참고!$B$31:$B$130=_xludf.MAXIFS(참고!$B$31:$B$130,참고!$A$31:$A$130,C664,참고!$B$31:$B$130,"&lt;="&amp;A664))*참고!$C$31:$C$130)/100,0)</f>
        <v>0</v>
      </c>
      <c r="J664" s="31" t="str">
        <f t="shared" si="31"/>
        <v/>
      </c>
      <c r="K664" s="43">
        <f>IF(B664="매도",IFERROR(SUMPRODUCT((참고!$A$31:$A$130=C664)*(참고!$B$31:$B$130&lt;=A664)*(참고!$B$31:$B$130=_xludf.MAXIFS(참고!$B$31:$B$130,참고!$A$31:$A$130,C664,참고!$B$31:$B$130,"&lt;="&amp;A664))*참고!$D$31:$D$130)/100,0),0)</f>
        <v>0</v>
      </c>
      <c r="L664" s="31" t="str">
        <f t="shared" si="32"/>
        <v/>
      </c>
      <c r="M664" s="39"/>
    </row>
    <row r="665" spans="1:13" ht="18" customHeight="1" x14ac:dyDescent="0.45">
      <c r="A665" s="37"/>
      <c r="B665" s="29"/>
      <c r="C665" s="29"/>
      <c r="D665" s="28"/>
      <c r="E665" s="30" t="str">
        <f>IFERROR(VLOOKUP(D665,KRX종목마스터!$A:$B,2,FALSE),"")</f>
        <v/>
      </c>
      <c r="F665" s="42"/>
      <c r="G665" s="42"/>
      <c r="H665" s="31" t="str">
        <f t="shared" si="30"/>
        <v/>
      </c>
      <c r="I665" s="43">
        <f ca="1">IFERROR(SUMPRODUCT((참고!$A$31:$A$130=C665)*(참고!$B$31:$B$130&lt;=A665)*(참고!$B$31:$B$130=_xludf.MAXIFS(참고!$B$31:$B$130,참고!$A$31:$A$130,C665,참고!$B$31:$B$130,"&lt;="&amp;A665))*참고!$C$31:$C$130)/100,0)</f>
        <v>0</v>
      </c>
      <c r="J665" s="31" t="str">
        <f t="shared" si="31"/>
        <v/>
      </c>
      <c r="K665" s="43">
        <f>IF(B665="매도",IFERROR(SUMPRODUCT((참고!$A$31:$A$130=C665)*(참고!$B$31:$B$130&lt;=A665)*(참고!$B$31:$B$130=_xludf.MAXIFS(참고!$B$31:$B$130,참고!$A$31:$A$130,C665,참고!$B$31:$B$130,"&lt;="&amp;A665))*참고!$D$31:$D$130)/100,0),0)</f>
        <v>0</v>
      </c>
      <c r="L665" s="31" t="str">
        <f t="shared" si="32"/>
        <v/>
      </c>
      <c r="M665" s="39"/>
    </row>
    <row r="666" spans="1:13" ht="18" customHeight="1" x14ac:dyDescent="0.45">
      <c r="A666" s="37"/>
      <c r="B666" s="29"/>
      <c r="C666" s="29"/>
      <c r="D666" s="28"/>
      <c r="E666" s="30" t="str">
        <f>IFERROR(VLOOKUP(D666,KRX종목마스터!$A:$B,2,FALSE),"")</f>
        <v/>
      </c>
      <c r="F666" s="42"/>
      <c r="G666" s="42"/>
      <c r="H666" s="31" t="str">
        <f t="shared" si="30"/>
        <v/>
      </c>
      <c r="I666" s="43">
        <f ca="1">IFERROR(SUMPRODUCT((참고!$A$31:$A$130=C666)*(참고!$B$31:$B$130&lt;=A666)*(참고!$B$31:$B$130=_xludf.MAXIFS(참고!$B$31:$B$130,참고!$A$31:$A$130,C666,참고!$B$31:$B$130,"&lt;="&amp;A666))*참고!$C$31:$C$130)/100,0)</f>
        <v>0</v>
      </c>
      <c r="J666" s="31" t="str">
        <f t="shared" si="31"/>
        <v/>
      </c>
      <c r="K666" s="43">
        <f>IF(B666="매도",IFERROR(SUMPRODUCT((참고!$A$31:$A$130=C666)*(참고!$B$31:$B$130&lt;=A666)*(참고!$B$31:$B$130=_xludf.MAXIFS(참고!$B$31:$B$130,참고!$A$31:$A$130,C666,참고!$B$31:$B$130,"&lt;="&amp;A666))*참고!$D$31:$D$130)/100,0),0)</f>
        <v>0</v>
      </c>
      <c r="L666" s="31" t="str">
        <f t="shared" si="32"/>
        <v/>
      </c>
      <c r="M666" s="39"/>
    </row>
    <row r="667" spans="1:13" ht="18" customHeight="1" x14ac:dyDescent="0.45">
      <c r="A667" s="37"/>
      <c r="B667" s="29"/>
      <c r="C667" s="29"/>
      <c r="D667" s="28"/>
      <c r="E667" s="30" t="str">
        <f>IFERROR(VLOOKUP(D667,KRX종목마스터!$A:$B,2,FALSE),"")</f>
        <v/>
      </c>
      <c r="F667" s="42"/>
      <c r="G667" s="42"/>
      <c r="H667" s="31" t="str">
        <f t="shared" si="30"/>
        <v/>
      </c>
      <c r="I667" s="43">
        <f ca="1">IFERROR(SUMPRODUCT((참고!$A$31:$A$130=C667)*(참고!$B$31:$B$130&lt;=A667)*(참고!$B$31:$B$130=_xludf.MAXIFS(참고!$B$31:$B$130,참고!$A$31:$A$130,C667,참고!$B$31:$B$130,"&lt;="&amp;A667))*참고!$C$31:$C$130)/100,0)</f>
        <v>0</v>
      </c>
      <c r="J667" s="31" t="str">
        <f t="shared" si="31"/>
        <v/>
      </c>
      <c r="K667" s="43">
        <f>IF(B667="매도",IFERROR(SUMPRODUCT((참고!$A$31:$A$130=C667)*(참고!$B$31:$B$130&lt;=A667)*(참고!$B$31:$B$130=_xludf.MAXIFS(참고!$B$31:$B$130,참고!$A$31:$A$130,C667,참고!$B$31:$B$130,"&lt;="&amp;A667))*참고!$D$31:$D$130)/100,0),0)</f>
        <v>0</v>
      </c>
      <c r="L667" s="31" t="str">
        <f t="shared" si="32"/>
        <v/>
      </c>
      <c r="M667" s="39"/>
    </row>
    <row r="668" spans="1:13" ht="18" customHeight="1" x14ac:dyDescent="0.45">
      <c r="A668" s="37"/>
      <c r="B668" s="29"/>
      <c r="C668" s="29"/>
      <c r="D668" s="28"/>
      <c r="E668" s="30" t="str">
        <f>IFERROR(VLOOKUP(D668,KRX종목마스터!$A:$B,2,FALSE),"")</f>
        <v/>
      </c>
      <c r="F668" s="42"/>
      <c r="G668" s="42"/>
      <c r="H668" s="31" t="str">
        <f t="shared" si="30"/>
        <v/>
      </c>
      <c r="I668" s="43">
        <f ca="1">IFERROR(SUMPRODUCT((참고!$A$31:$A$130=C668)*(참고!$B$31:$B$130&lt;=A668)*(참고!$B$31:$B$130=_xludf.MAXIFS(참고!$B$31:$B$130,참고!$A$31:$A$130,C668,참고!$B$31:$B$130,"&lt;="&amp;A668))*참고!$C$31:$C$130)/100,0)</f>
        <v>0</v>
      </c>
      <c r="J668" s="31" t="str">
        <f t="shared" si="31"/>
        <v/>
      </c>
      <c r="K668" s="43">
        <f>IF(B668="매도",IFERROR(SUMPRODUCT((참고!$A$31:$A$130=C668)*(참고!$B$31:$B$130&lt;=A668)*(참고!$B$31:$B$130=_xludf.MAXIFS(참고!$B$31:$B$130,참고!$A$31:$A$130,C668,참고!$B$31:$B$130,"&lt;="&amp;A668))*참고!$D$31:$D$130)/100,0),0)</f>
        <v>0</v>
      </c>
      <c r="L668" s="31" t="str">
        <f t="shared" si="32"/>
        <v/>
      </c>
      <c r="M668" s="39"/>
    </row>
    <row r="669" spans="1:13" ht="18" customHeight="1" x14ac:dyDescent="0.45">
      <c r="A669" s="37"/>
      <c r="B669" s="29"/>
      <c r="C669" s="29"/>
      <c r="D669" s="28"/>
      <c r="E669" s="30" t="str">
        <f>IFERROR(VLOOKUP(D669,KRX종목마스터!$A:$B,2,FALSE),"")</f>
        <v/>
      </c>
      <c r="F669" s="42"/>
      <c r="G669" s="42"/>
      <c r="H669" s="31" t="str">
        <f t="shared" si="30"/>
        <v/>
      </c>
      <c r="I669" s="43">
        <f ca="1">IFERROR(SUMPRODUCT((참고!$A$31:$A$130=C669)*(참고!$B$31:$B$130&lt;=A669)*(참고!$B$31:$B$130=_xludf.MAXIFS(참고!$B$31:$B$130,참고!$A$31:$A$130,C669,참고!$B$31:$B$130,"&lt;="&amp;A669))*참고!$C$31:$C$130)/100,0)</f>
        <v>0</v>
      </c>
      <c r="J669" s="31" t="str">
        <f t="shared" si="31"/>
        <v/>
      </c>
      <c r="K669" s="43">
        <f>IF(B669="매도",IFERROR(SUMPRODUCT((참고!$A$31:$A$130=C669)*(참고!$B$31:$B$130&lt;=A669)*(참고!$B$31:$B$130=_xludf.MAXIFS(참고!$B$31:$B$130,참고!$A$31:$A$130,C669,참고!$B$31:$B$130,"&lt;="&amp;A669))*참고!$D$31:$D$130)/100,0),0)</f>
        <v>0</v>
      </c>
      <c r="L669" s="31" t="str">
        <f t="shared" si="32"/>
        <v/>
      </c>
      <c r="M669" s="39"/>
    </row>
    <row r="670" spans="1:13" ht="18" customHeight="1" x14ac:dyDescent="0.45">
      <c r="A670" s="37"/>
      <c r="B670" s="29"/>
      <c r="C670" s="29"/>
      <c r="D670" s="28"/>
      <c r="E670" s="30" t="str">
        <f>IFERROR(VLOOKUP(D670,KRX종목마스터!$A:$B,2,FALSE),"")</f>
        <v/>
      </c>
      <c r="F670" s="42"/>
      <c r="G670" s="42"/>
      <c r="H670" s="31" t="str">
        <f t="shared" si="30"/>
        <v/>
      </c>
      <c r="I670" s="43">
        <f ca="1">IFERROR(SUMPRODUCT((참고!$A$31:$A$130=C670)*(참고!$B$31:$B$130&lt;=A670)*(참고!$B$31:$B$130=_xludf.MAXIFS(참고!$B$31:$B$130,참고!$A$31:$A$130,C670,참고!$B$31:$B$130,"&lt;="&amp;A670))*참고!$C$31:$C$130)/100,0)</f>
        <v>0</v>
      </c>
      <c r="J670" s="31" t="str">
        <f t="shared" si="31"/>
        <v/>
      </c>
      <c r="K670" s="43">
        <f>IF(B670="매도",IFERROR(SUMPRODUCT((참고!$A$31:$A$130=C670)*(참고!$B$31:$B$130&lt;=A670)*(참고!$B$31:$B$130=_xludf.MAXIFS(참고!$B$31:$B$130,참고!$A$31:$A$130,C670,참고!$B$31:$B$130,"&lt;="&amp;A670))*참고!$D$31:$D$130)/100,0),0)</f>
        <v>0</v>
      </c>
      <c r="L670" s="31" t="str">
        <f t="shared" si="32"/>
        <v/>
      </c>
      <c r="M670" s="39"/>
    </row>
    <row r="671" spans="1:13" ht="18" customHeight="1" x14ac:dyDescent="0.45">
      <c r="A671" s="37"/>
      <c r="B671" s="29"/>
      <c r="C671" s="29"/>
      <c r="D671" s="28"/>
      <c r="E671" s="30" t="str">
        <f>IFERROR(VLOOKUP(D671,KRX종목마스터!$A:$B,2,FALSE),"")</f>
        <v/>
      </c>
      <c r="F671" s="42"/>
      <c r="G671" s="42"/>
      <c r="H671" s="31" t="str">
        <f t="shared" si="30"/>
        <v/>
      </c>
      <c r="I671" s="43">
        <f ca="1">IFERROR(SUMPRODUCT((참고!$A$31:$A$130=C671)*(참고!$B$31:$B$130&lt;=A671)*(참고!$B$31:$B$130=_xludf.MAXIFS(참고!$B$31:$B$130,참고!$A$31:$A$130,C671,참고!$B$31:$B$130,"&lt;="&amp;A671))*참고!$C$31:$C$130)/100,0)</f>
        <v>0</v>
      </c>
      <c r="J671" s="31" t="str">
        <f t="shared" si="31"/>
        <v/>
      </c>
      <c r="K671" s="43">
        <f>IF(B671="매도",IFERROR(SUMPRODUCT((참고!$A$31:$A$130=C671)*(참고!$B$31:$B$130&lt;=A671)*(참고!$B$31:$B$130=_xludf.MAXIFS(참고!$B$31:$B$130,참고!$A$31:$A$130,C671,참고!$B$31:$B$130,"&lt;="&amp;A671))*참고!$D$31:$D$130)/100,0),0)</f>
        <v>0</v>
      </c>
      <c r="L671" s="31" t="str">
        <f t="shared" si="32"/>
        <v/>
      </c>
      <c r="M671" s="39"/>
    </row>
    <row r="672" spans="1:13" ht="18" customHeight="1" x14ac:dyDescent="0.45">
      <c r="A672" s="37"/>
      <c r="B672" s="29"/>
      <c r="C672" s="29"/>
      <c r="D672" s="28"/>
      <c r="E672" s="30" t="str">
        <f>IFERROR(VLOOKUP(D672,KRX종목마스터!$A:$B,2,FALSE),"")</f>
        <v/>
      </c>
      <c r="F672" s="42"/>
      <c r="G672" s="42"/>
      <c r="H672" s="31" t="str">
        <f t="shared" si="30"/>
        <v/>
      </c>
      <c r="I672" s="43">
        <f ca="1">IFERROR(SUMPRODUCT((참고!$A$31:$A$130=C672)*(참고!$B$31:$B$130&lt;=A672)*(참고!$B$31:$B$130=_xludf.MAXIFS(참고!$B$31:$B$130,참고!$A$31:$A$130,C672,참고!$B$31:$B$130,"&lt;="&amp;A672))*참고!$C$31:$C$130)/100,0)</f>
        <v>0</v>
      </c>
      <c r="J672" s="31" t="str">
        <f t="shared" si="31"/>
        <v/>
      </c>
      <c r="K672" s="43">
        <f>IF(B672="매도",IFERROR(SUMPRODUCT((참고!$A$31:$A$130=C672)*(참고!$B$31:$B$130&lt;=A672)*(참고!$B$31:$B$130=_xludf.MAXIFS(참고!$B$31:$B$130,참고!$A$31:$A$130,C672,참고!$B$31:$B$130,"&lt;="&amp;A672))*참고!$D$31:$D$130)/100,0),0)</f>
        <v>0</v>
      </c>
      <c r="L672" s="31" t="str">
        <f t="shared" si="32"/>
        <v/>
      </c>
      <c r="M672" s="39"/>
    </row>
    <row r="673" spans="1:13" ht="18" customHeight="1" x14ac:dyDescent="0.45">
      <c r="A673" s="37"/>
      <c r="B673" s="29"/>
      <c r="C673" s="29"/>
      <c r="D673" s="28"/>
      <c r="E673" s="30" t="str">
        <f>IFERROR(VLOOKUP(D673,KRX종목마스터!$A:$B,2,FALSE),"")</f>
        <v/>
      </c>
      <c r="F673" s="42"/>
      <c r="G673" s="42"/>
      <c r="H673" s="31" t="str">
        <f t="shared" si="30"/>
        <v/>
      </c>
      <c r="I673" s="43">
        <f ca="1">IFERROR(SUMPRODUCT((참고!$A$31:$A$130=C673)*(참고!$B$31:$B$130&lt;=A673)*(참고!$B$31:$B$130=_xludf.MAXIFS(참고!$B$31:$B$130,참고!$A$31:$A$130,C673,참고!$B$31:$B$130,"&lt;="&amp;A673))*참고!$C$31:$C$130)/100,0)</f>
        <v>0</v>
      </c>
      <c r="J673" s="31" t="str">
        <f t="shared" si="31"/>
        <v/>
      </c>
      <c r="K673" s="43">
        <f>IF(B673="매도",IFERROR(SUMPRODUCT((참고!$A$31:$A$130=C673)*(참고!$B$31:$B$130&lt;=A673)*(참고!$B$31:$B$130=_xludf.MAXIFS(참고!$B$31:$B$130,참고!$A$31:$A$130,C673,참고!$B$31:$B$130,"&lt;="&amp;A673))*참고!$D$31:$D$130)/100,0),0)</f>
        <v>0</v>
      </c>
      <c r="L673" s="31" t="str">
        <f t="shared" si="32"/>
        <v/>
      </c>
      <c r="M673" s="39"/>
    </row>
    <row r="674" spans="1:13" ht="18" customHeight="1" x14ac:dyDescent="0.45">
      <c r="A674" s="37"/>
      <c r="B674" s="29"/>
      <c r="C674" s="29"/>
      <c r="D674" s="28"/>
      <c r="E674" s="30" t="str">
        <f>IFERROR(VLOOKUP(D674,KRX종목마스터!$A:$B,2,FALSE),"")</f>
        <v/>
      </c>
      <c r="F674" s="42"/>
      <c r="G674" s="42"/>
      <c r="H674" s="31" t="str">
        <f t="shared" si="30"/>
        <v/>
      </c>
      <c r="I674" s="43">
        <f ca="1">IFERROR(SUMPRODUCT((참고!$A$31:$A$130=C674)*(참고!$B$31:$B$130&lt;=A674)*(참고!$B$31:$B$130=_xludf.MAXIFS(참고!$B$31:$B$130,참고!$A$31:$A$130,C674,참고!$B$31:$B$130,"&lt;="&amp;A674))*참고!$C$31:$C$130)/100,0)</f>
        <v>0</v>
      </c>
      <c r="J674" s="31" t="str">
        <f t="shared" si="31"/>
        <v/>
      </c>
      <c r="K674" s="43">
        <f>IF(B674="매도",IFERROR(SUMPRODUCT((참고!$A$31:$A$130=C674)*(참고!$B$31:$B$130&lt;=A674)*(참고!$B$31:$B$130=_xludf.MAXIFS(참고!$B$31:$B$130,참고!$A$31:$A$130,C674,참고!$B$31:$B$130,"&lt;="&amp;A674))*참고!$D$31:$D$130)/100,0),0)</f>
        <v>0</v>
      </c>
      <c r="L674" s="31" t="str">
        <f t="shared" si="32"/>
        <v/>
      </c>
      <c r="M674" s="39"/>
    </row>
    <row r="675" spans="1:13" ht="18" customHeight="1" x14ac:dyDescent="0.45">
      <c r="A675" s="37"/>
      <c r="B675" s="29"/>
      <c r="C675" s="29"/>
      <c r="D675" s="28"/>
      <c r="E675" s="30" t="str">
        <f>IFERROR(VLOOKUP(D675,KRX종목마스터!$A:$B,2,FALSE),"")</f>
        <v/>
      </c>
      <c r="F675" s="42"/>
      <c r="G675" s="42"/>
      <c r="H675" s="31" t="str">
        <f t="shared" si="30"/>
        <v/>
      </c>
      <c r="I675" s="43">
        <f ca="1">IFERROR(SUMPRODUCT((참고!$A$31:$A$130=C675)*(참고!$B$31:$B$130&lt;=A675)*(참고!$B$31:$B$130=_xludf.MAXIFS(참고!$B$31:$B$130,참고!$A$31:$A$130,C675,참고!$B$31:$B$130,"&lt;="&amp;A675))*참고!$C$31:$C$130)/100,0)</f>
        <v>0</v>
      </c>
      <c r="J675" s="31" t="str">
        <f t="shared" si="31"/>
        <v/>
      </c>
      <c r="K675" s="43">
        <f>IF(B675="매도",IFERROR(SUMPRODUCT((참고!$A$31:$A$130=C675)*(참고!$B$31:$B$130&lt;=A675)*(참고!$B$31:$B$130=_xludf.MAXIFS(참고!$B$31:$B$130,참고!$A$31:$A$130,C675,참고!$B$31:$B$130,"&lt;="&amp;A675))*참고!$D$31:$D$130)/100,0),0)</f>
        <v>0</v>
      </c>
      <c r="L675" s="31" t="str">
        <f t="shared" si="32"/>
        <v/>
      </c>
      <c r="M675" s="39"/>
    </row>
    <row r="676" spans="1:13" ht="18" customHeight="1" x14ac:dyDescent="0.45">
      <c r="A676" s="37"/>
      <c r="B676" s="29"/>
      <c r="C676" s="29"/>
      <c r="D676" s="28"/>
      <c r="E676" s="30" t="str">
        <f>IFERROR(VLOOKUP(D676,KRX종목마스터!$A:$B,2,FALSE),"")</f>
        <v/>
      </c>
      <c r="F676" s="42"/>
      <c r="G676" s="42"/>
      <c r="H676" s="31" t="str">
        <f t="shared" si="30"/>
        <v/>
      </c>
      <c r="I676" s="43">
        <f ca="1">IFERROR(SUMPRODUCT((참고!$A$31:$A$130=C676)*(참고!$B$31:$B$130&lt;=A676)*(참고!$B$31:$B$130=_xludf.MAXIFS(참고!$B$31:$B$130,참고!$A$31:$A$130,C676,참고!$B$31:$B$130,"&lt;="&amp;A676))*참고!$C$31:$C$130)/100,0)</f>
        <v>0</v>
      </c>
      <c r="J676" s="31" t="str">
        <f t="shared" si="31"/>
        <v/>
      </c>
      <c r="K676" s="43">
        <f>IF(B676="매도",IFERROR(SUMPRODUCT((참고!$A$31:$A$130=C676)*(참고!$B$31:$B$130&lt;=A676)*(참고!$B$31:$B$130=_xludf.MAXIFS(참고!$B$31:$B$130,참고!$A$31:$A$130,C676,참고!$B$31:$B$130,"&lt;="&amp;A676))*참고!$D$31:$D$130)/100,0),0)</f>
        <v>0</v>
      </c>
      <c r="L676" s="31" t="str">
        <f t="shared" si="32"/>
        <v/>
      </c>
      <c r="M676" s="39"/>
    </row>
    <row r="677" spans="1:13" ht="18" customHeight="1" x14ac:dyDescent="0.45">
      <c r="A677" s="37"/>
      <c r="B677" s="29"/>
      <c r="C677" s="29"/>
      <c r="D677" s="28"/>
      <c r="E677" s="30" t="str">
        <f>IFERROR(VLOOKUP(D677,KRX종목마스터!$A:$B,2,FALSE),"")</f>
        <v/>
      </c>
      <c r="F677" s="42"/>
      <c r="G677" s="42"/>
      <c r="H677" s="31" t="str">
        <f t="shared" si="30"/>
        <v/>
      </c>
      <c r="I677" s="43">
        <f ca="1">IFERROR(SUMPRODUCT((참고!$A$31:$A$130=C677)*(참고!$B$31:$B$130&lt;=A677)*(참고!$B$31:$B$130=_xludf.MAXIFS(참고!$B$31:$B$130,참고!$A$31:$A$130,C677,참고!$B$31:$B$130,"&lt;="&amp;A677))*참고!$C$31:$C$130)/100,0)</f>
        <v>0</v>
      </c>
      <c r="J677" s="31" t="str">
        <f t="shared" si="31"/>
        <v/>
      </c>
      <c r="K677" s="43">
        <f>IF(B677="매도",IFERROR(SUMPRODUCT((참고!$A$31:$A$130=C677)*(참고!$B$31:$B$130&lt;=A677)*(참고!$B$31:$B$130=_xludf.MAXIFS(참고!$B$31:$B$130,참고!$A$31:$A$130,C677,참고!$B$31:$B$130,"&lt;="&amp;A677))*참고!$D$31:$D$130)/100,0),0)</f>
        <v>0</v>
      </c>
      <c r="L677" s="31" t="str">
        <f t="shared" si="32"/>
        <v/>
      </c>
      <c r="M677" s="39"/>
    </row>
    <row r="678" spans="1:13" ht="18" customHeight="1" x14ac:dyDescent="0.45">
      <c r="A678" s="37"/>
      <c r="B678" s="29"/>
      <c r="C678" s="29"/>
      <c r="D678" s="28"/>
      <c r="E678" s="30" t="str">
        <f>IFERROR(VLOOKUP(D678,KRX종목마스터!$A:$B,2,FALSE),"")</f>
        <v/>
      </c>
      <c r="F678" s="42"/>
      <c r="G678" s="42"/>
      <c r="H678" s="31" t="str">
        <f t="shared" si="30"/>
        <v/>
      </c>
      <c r="I678" s="43">
        <f ca="1">IFERROR(SUMPRODUCT((참고!$A$31:$A$130=C678)*(참고!$B$31:$B$130&lt;=A678)*(참고!$B$31:$B$130=_xludf.MAXIFS(참고!$B$31:$B$130,참고!$A$31:$A$130,C678,참고!$B$31:$B$130,"&lt;="&amp;A678))*참고!$C$31:$C$130)/100,0)</f>
        <v>0</v>
      </c>
      <c r="J678" s="31" t="str">
        <f t="shared" si="31"/>
        <v/>
      </c>
      <c r="K678" s="43">
        <f>IF(B678="매도",IFERROR(SUMPRODUCT((참고!$A$31:$A$130=C678)*(참고!$B$31:$B$130&lt;=A678)*(참고!$B$31:$B$130=_xludf.MAXIFS(참고!$B$31:$B$130,참고!$A$31:$A$130,C678,참고!$B$31:$B$130,"&lt;="&amp;A678))*참고!$D$31:$D$130)/100,0),0)</f>
        <v>0</v>
      </c>
      <c r="L678" s="31" t="str">
        <f t="shared" si="32"/>
        <v/>
      </c>
      <c r="M678" s="39"/>
    </row>
    <row r="679" spans="1:13" ht="18" customHeight="1" x14ac:dyDescent="0.45">
      <c r="A679" s="37"/>
      <c r="B679" s="29"/>
      <c r="C679" s="29"/>
      <c r="D679" s="28"/>
      <c r="E679" s="30" t="str">
        <f>IFERROR(VLOOKUP(D679,KRX종목마스터!$A:$B,2,FALSE),"")</f>
        <v/>
      </c>
      <c r="F679" s="42"/>
      <c r="G679" s="42"/>
      <c r="H679" s="31" t="str">
        <f t="shared" si="30"/>
        <v/>
      </c>
      <c r="I679" s="43">
        <f ca="1">IFERROR(SUMPRODUCT((참고!$A$31:$A$130=C679)*(참고!$B$31:$B$130&lt;=A679)*(참고!$B$31:$B$130=_xludf.MAXIFS(참고!$B$31:$B$130,참고!$A$31:$A$130,C679,참고!$B$31:$B$130,"&lt;="&amp;A679))*참고!$C$31:$C$130)/100,0)</f>
        <v>0</v>
      </c>
      <c r="J679" s="31" t="str">
        <f t="shared" si="31"/>
        <v/>
      </c>
      <c r="K679" s="43">
        <f>IF(B679="매도",IFERROR(SUMPRODUCT((참고!$A$31:$A$130=C679)*(참고!$B$31:$B$130&lt;=A679)*(참고!$B$31:$B$130=_xludf.MAXIFS(참고!$B$31:$B$130,참고!$A$31:$A$130,C679,참고!$B$31:$B$130,"&lt;="&amp;A679))*참고!$D$31:$D$130)/100,0),0)</f>
        <v>0</v>
      </c>
      <c r="L679" s="31" t="str">
        <f t="shared" si="32"/>
        <v/>
      </c>
      <c r="M679" s="39"/>
    </row>
    <row r="680" spans="1:13" ht="18" customHeight="1" x14ac:dyDescent="0.45">
      <c r="A680" s="37"/>
      <c r="B680" s="29"/>
      <c r="C680" s="29"/>
      <c r="D680" s="28"/>
      <c r="E680" s="30" t="str">
        <f>IFERROR(VLOOKUP(D680,KRX종목마스터!$A:$B,2,FALSE),"")</f>
        <v/>
      </c>
      <c r="F680" s="42"/>
      <c r="G680" s="42"/>
      <c r="H680" s="31" t="str">
        <f t="shared" si="30"/>
        <v/>
      </c>
      <c r="I680" s="43">
        <f ca="1">IFERROR(SUMPRODUCT((참고!$A$31:$A$130=C680)*(참고!$B$31:$B$130&lt;=A680)*(참고!$B$31:$B$130=_xludf.MAXIFS(참고!$B$31:$B$130,참고!$A$31:$A$130,C680,참고!$B$31:$B$130,"&lt;="&amp;A680))*참고!$C$31:$C$130)/100,0)</f>
        <v>0</v>
      </c>
      <c r="J680" s="31" t="str">
        <f t="shared" si="31"/>
        <v/>
      </c>
      <c r="K680" s="43">
        <f>IF(B680="매도",IFERROR(SUMPRODUCT((참고!$A$31:$A$130=C680)*(참고!$B$31:$B$130&lt;=A680)*(참고!$B$31:$B$130=_xludf.MAXIFS(참고!$B$31:$B$130,참고!$A$31:$A$130,C680,참고!$B$31:$B$130,"&lt;="&amp;A680))*참고!$D$31:$D$130)/100,0),0)</f>
        <v>0</v>
      </c>
      <c r="L680" s="31" t="str">
        <f t="shared" si="32"/>
        <v/>
      </c>
      <c r="M680" s="39"/>
    </row>
    <row r="681" spans="1:13" ht="18" customHeight="1" x14ac:dyDescent="0.45">
      <c r="A681" s="37"/>
      <c r="B681" s="29"/>
      <c r="C681" s="29"/>
      <c r="D681" s="28"/>
      <c r="E681" s="30" t="str">
        <f>IFERROR(VLOOKUP(D681,KRX종목마스터!$A:$B,2,FALSE),"")</f>
        <v/>
      </c>
      <c r="F681" s="42"/>
      <c r="G681" s="42"/>
      <c r="H681" s="31" t="str">
        <f t="shared" si="30"/>
        <v/>
      </c>
      <c r="I681" s="43">
        <f ca="1">IFERROR(SUMPRODUCT((참고!$A$31:$A$130=C681)*(참고!$B$31:$B$130&lt;=A681)*(참고!$B$31:$B$130=_xludf.MAXIFS(참고!$B$31:$B$130,참고!$A$31:$A$130,C681,참고!$B$31:$B$130,"&lt;="&amp;A681))*참고!$C$31:$C$130)/100,0)</f>
        <v>0</v>
      </c>
      <c r="J681" s="31" t="str">
        <f t="shared" si="31"/>
        <v/>
      </c>
      <c r="K681" s="43">
        <f>IF(B681="매도",IFERROR(SUMPRODUCT((참고!$A$31:$A$130=C681)*(참고!$B$31:$B$130&lt;=A681)*(참고!$B$31:$B$130=_xludf.MAXIFS(참고!$B$31:$B$130,참고!$A$31:$A$130,C681,참고!$B$31:$B$130,"&lt;="&amp;A681))*참고!$D$31:$D$130)/100,0),0)</f>
        <v>0</v>
      </c>
      <c r="L681" s="31" t="str">
        <f t="shared" si="32"/>
        <v/>
      </c>
      <c r="M681" s="39"/>
    </row>
    <row r="682" spans="1:13" ht="18" customHeight="1" x14ac:dyDescent="0.45">
      <c r="A682" s="37"/>
      <c r="B682" s="29"/>
      <c r="C682" s="29"/>
      <c r="D682" s="28"/>
      <c r="E682" s="30" t="str">
        <f>IFERROR(VLOOKUP(D682,KRX종목마스터!$A:$B,2,FALSE),"")</f>
        <v/>
      </c>
      <c r="F682" s="42"/>
      <c r="G682" s="42"/>
      <c r="H682" s="31" t="str">
        <f t="shared" si="30"/>
        <v/>
      </c>
      <c r="I682" s="43">
        <f ca="1">IFERROR(SUMPRODUCT((참고!$A$31:$A$130=C682)*(참고!$B$31:$B$130&lt;=A682)*(참고!$B$31:$B$130=_xludf.MAXIFS(참고!$B$31:$B$130,참고!$A$31:$A$130,C682,참고!$B$31:$B$130,"&lt;="&amp;A682))*참고!$C$31:$C$130)/100,0)</f>
        <v>0</v>
      </c>
      <c r="J682" s="31" t="str">
        <f t="shared" si="31"/>
        <v/>
      </c>
      <c r="K682" s="43">
        <f>IF(B682="매도",IFERROR(SUMPRODUCT((참고!$A$31:$A$130=C682)*(참고!$B$31:$B$130&lt;=A682)*(참고!$B$31:$B$130=_xludf.MAXIFS(참고!$B$31:$B$130,참고!$A$31:$A$130,C682,참고!$B$31:$B$130,"&lt;="&amp;A682))*참고!$D$31:$D$130)/100,0),0)</f>
        <v>0</v>
      </c>
      <c r="L682" s="31" t="str">
        <f t="shared" si="32"/>
        <v/>
      </c>
      <c r="M682" s="39"/>
    </row>
    <row r="683" spans="1:13" ht="18" customHeight="1" x14ac:dyDescent="0.45">
      <c r="A683" s="37"/>
      <c r="B683" s="29"/>
      <c r="C683" s="29"/>
      <c r="D683" s="28"/>
      <c r="E683" s="30" t="str">
        <f>IFERROR(VLOOKUP(D683,KRX종목마스터!$A:$B,2,FALSE),"")</f>
        <v/>
      </c>
      <c r="F683" s="42"/>
      <c r="G683" s="42"/>
      <c r="H683" s="31" t="str">
        <f t="shared" si="30"/>
        <v/>
      </c>
      <c r="I683" s="43">
        <f ca="1">IFERROR(SUMPRODUCT((참고!$A$31:$A$130=C683)*(참고!$B$31:$B$130&lt;=A683)*(참고!$B$31:$B$130=_xludf.MAXIFS(참고!$B$31:$B$130,참고!$A$31:$A$130,C683,참고!$B$31:$B$130,"&lt;="&amp;A683))*참고!$C$31:$C$130)/100,0)</f>
        <v>0</v>
      </c>
      <c r="J683" s="31" t="str">
        <f t="shared" si="31"/>
        <v/>
      </c>
      <c r="K683" s="43">
        <f>IF(B683="매도",IFERROR(SUMPRODUCT((참고!$A$31:$A$130=C683)*(참고!$B$31:$B$130&lt;=A683)*(참고!$B$31:$B$130=_xludf.MAXIFS(참고!$B$31:$B$130,참고!$A$31:$A$130,C683,참고!$B$31:$B$130,"&lt;="&amp;A683))*참고!$D$31:$D$130)/100,0),0)</f>
        <v>0</v>
      </c>
      <c r="L683" s="31" t="str">
        <f t="shared" si="32"/>
        <v/>
      </c>
      <c r="M683" s="39"/>
    </row>
    <row r="684" spans="1:13" ht="18" customHeight="1" x14ac:dyDescent="0.45">
      <c r="A684" s="37"/>
      <c r="B684" s="29"/>
      <c r="C684" s="29"/>
      <c r="D684" s="28"/>
      <c r="E684" s="30" t="str">
        <f>IFERROR(VLOOKUP(D684,KRX종목마스터!$A:$B,2,FALSE),"")</f>
        <v/>
      </c>
      <c r="F684" s="42"/>
      <c r="G684" s="42"/>
      <c r="H684" s="31" t="str">
        <f t="shared" si="30"/>
        <v/>
      </c>
      <c r="I684" s="43">
        <f ca="1">IFERROR(SUMPRODUCT((참고!$A$31:$A$130=C684)*(참고!$B$31:$B$130&lt;=A684)*(참고!$B$31:$B$130=_xludf.MAXIFS(참고!$B$31:$B$130,참고!$A$31:$A$130,C684,참고!$B$31:$B$130,"&lt;="&amp;A684))*참고!$C$31:$C$130)/100,0)</f>
        <v>0</v>
      </c>
      <c r="J684" s="31" t="str">
        <f t="shared" si="31"/>
        <v/>
      </c>
      <c r="K684" s="43">
        <f>IF(B684="매도",IFERROR(SUMPRODUCT((참고!$A$31:$A$130=C684)*(참고!$B$31:$B$130&lt;=A684)*(참고!$B$31:$B$130=_xludf.MAXIFS(참고!$B$31:$B$130,참고!$A$31:$A$130,C684,참고!$B$31:$B$130,"&lt;="&amp;A684))*참고!$D$31:$D$130)/100,0),0)</f>
        <v>0</v>
      </c>
      <c r="L684" s="31" t="str">
        <f t="shared" si="32"/>
        <v/>
      </c>
      <c r="M684" s="39"/>
    </row>
    <row r="685" spans="1:13" ht="18" customHeight="1" x14ac:dyDescent="0.45">
      <c r="A685" s="37"/>
      <c r="B685" s="29"/>
      <c r="C685" s="29"/>
      <c r="D685" s="28"/>
      <c r="E685" s="30" t="str">
        <f>IFERROR(VLOOKUP(D685,KRX종목마스터!$A:$B,2,FALSE),"")</f>
        <v/>
      </c>
      <c r="F685" s="42"/>
      <c r="G685" s="42"/>
      <c r="H685" s="31" t="str">
        <f t="shared" si="30"/>
        <v/>
      </c>
      <c r="I685" s="43">
        <f ca="1">IFERROR(SUMPRODUCT((참고!$A$31:$A$130=C685)*(참고!$B$31:$B$130&lt;=A685)*(참고!$B$31:$B$130=_xludf.MAXIFS(참고!$B$31:$B$130,참고!$A$31:$A$130,C685,참고!$B$31:$B$130,"&lt;="&amp;A685))*참고!$C$31:$C$130)/100,0)</f>
        <v>0</v>
      </c>
      <c r="J685" s="31" t="str">
        <f t="shared" si="31"/>
        <v/>
      </c>
      <c r="K685" s="43">
        <f>IF(B685="매도",IFERROR(SUMPRODUCT((참고!$A$31:$A$130=C685)*(참고!$B$31:$B$130&lt;=A685)*(참고!$B$31:$B$130=_xludf.MAXIFS(참고!$B$31:$B$130,참고!$A$31:$A$130,C685,참고!$B$31:$B$130,"&lt;="&amp;A685))*참고!$D$31:$D$130)/100,0),0)</f>
        <v>0</v>
      </c>
      <c r="L685" s="31" t="str">
        <f t="shared" si="32"/>
        <v/>
      </c>
      <c r="M685" s="39"/>
    </row>
    <row r="686" spans="1:13" ht="18" customHeight="1" x14ac:dyDescent="0.45">
      <c r="A686" s="37"/>
      <c r="B686" s="29"/>
      <c r="C686" s="29"/>
      <c r="D686" s="28"/>
      <c r="E686" s="30" t="str">
        <f>IFERROR(VLOOKUP(D686,KRX종목마스터!$A:$B,2,FALSE),"")</f>
        <v/>
      </c>
      <c r="F686" s="42"/>
      <c r="G686" s="42"/>
      <c r="H686" s="31" t="str">
        <f t="shared" si="30"/>
        <v/>
      </c>
      <c r="I686" s="43">
        <f ca="1">IFERROR(SUMPRODUCT((참고!$A$31:$A$130=C686)*(참고!$B$31:$B$130&lt;=A686)*(참고!$B$31:$B$130=_xludf.MAXIFS(참고!$B$31:$B$130,참고!$A$31:$A$130,C686,참고!$B$31:$B$130,"&lt;="&amp;A686))*참고!$C$31:$C$130)/100,0)</f>
        <v>0</v>
      </c>
      <c r="J686" s="31" t="str">
        <f t="shared" si="31"/>
        <v/>
      </c>
      <c r="K686" s="43">
        <f>IF(B686="매도",IFERROR(SUMPRODUCT((참고!$A$31:$A$130=C686)*(참고!$B$31:$B$130&lt;=A686)*(참고!$B$31:$B$130=_xludf.MAXIFS(참고!$B$31:$B$130,참고!$A$31:$A$130,C686,참고!$B$31:$B$130,"&lt;="&amp;A686))*참고!$D$31:$D$130)/100,0),0)</f>
        <v>0</v>
      </c>
      <c r="L686" s="31" t="str">
        <f t="shared" si="32"/>
        <v/>
      </c>
      <c r="M686" s="39"/>
    </row>
    <row r="687" spans="1:13" ht="18" customHeight="1" x14ac:dyDescent="0.45">
      <c r="A687" s="37"/>
      <c r="B687" s="29"/>
      <c r="C687" s="29"/>
      <c r="D687" s="28"/>
      <c r="E687" s="30" t="str">
        <f>IFERROR(VLOOKUP(D687,KRX종목마스터!$A:$B,2,FALSE),"")</f>
        <v/>
      </c>
      <c r="F687" s="42"/>
      <c r="G687" s="42"/>
      <c r="H687" s="31" t="str">
        <f t="shared" si="30"/>
        <v/>
      </c>
      <c r="I687" s="43">
        <f ca="1">IFERROR(SUMPRODUCT((참고!$A$31:$A$130=C687)*(참고!$B$31:$B$130&lt;=A687)*(참고!$B$31:$B$130=_xludf.MAXIFS(참고!$B$31:$B$130,참고!$A$31:$A$130,C687,참고!$B$31:$B$130,"&lt;="&amp;A687))*참고!$C$31:$C$130)/100,0)</f>
        <v>0</v>
      </c>
      <c r="J687" s="31" t="str">
        <f t="shared" si="31"/>
        <v/>
      </c>
      <c r="K687" s="43">
        <f>IF(B687="매도",IFERROR(SUMPRODUCT((참고!$A$31:$A$130=C687)*(참고!$B$31:$B$130&lt;=A687)*(참고!$B$31:$B$130=_xludf.MAXIFS(참고!$B$31:$B$130,참고!$A$31:$A$130,C687,참고!$B$31:$B$130,"&lt;="&amp;A687))*참고!$D$31:$D$130)/100,0),0)</f>
        <v>0</v>
      </c>
      <c r="L687" s="31" t="str">
        <f t="shared" si="32"/>
        <v/>
      </c>
      <c r="M687" s="39"/>
    </row>
    <row r="688" spans="1:13" ht="18" customHeight="1" x14ac:dyDescent="0.45">
      <c r="A688" s="37"/>
      <c r="B688" s="29"/>
      <c r="C688" s="29"/>
      <c r="D688" s="28"/>
      <c r="E688" s="30" t="str">
        <f>IFERROR(VLOOKUP(D688,KRX종목마스터!$A:$B,2,FALSE),"")</f>
        <v/>
      </c>
      <c r="F688" s="42"/>
      <c r="G688" s="42"/>
      <c r="H688" s="31" t="str">
        <f t="shared" si="30"/>
        <v/>
      </c>
      <c r="I688" s="43">
        <f ca="1">IFERROR(SUMPRODUCT((참고!$A$31:$A$130=C688)*(참고!$B$31:$B$130&lt;=A688)*(참고!$B$31:$B$130=_xludf.MAXIFS(참고!$B$31:$B$130,참고!$A$31:$A$130,C688,참고!$B$31:$B$130,"&lt;="&amp;A688))*참고!$C$31:$C$130)/100,0)</f>
        <v>0</v>
      </c>
      <c r="J688" s="31" t="str">
        <f t="shared" si="31"/>
        <v/>
      </c>
      <c r="K688" s="43">
        <f>IF(B688="매도",IFERROR(SUMPRODUCT((참고!$A$31:$A$130=C688)*(참고!$B$31:$B$130&lt;=A688)*(참고!$B$31:$B$130=_xludf.MAXIFS(참고!$B$31:$B$130,참고!$A$31:$A$130,C688,참고!$B$31:$B$130,"&lt;="&amp;A688))*참고!$D$31:$D$130)/100,0),0)</f>
        <v>0</v>
      </c>
      <c r="L688" s="31" t="str">
        <f t="shared" si="32"/>
        <v/>
      </c>
      <c r="M688" s="39"/>
    </row>
    <row r="689" spans="1:13" ht="18" customHeight="1" x14ac:dyDescent="0.45">
      <c r="A689" s="37"/>
      <c r="B689" s="29"/>
      <c r="C689" s="29"/>
      <c r="D689" s="28"/>
      <c r="E689" s="30" t="str">
        <f>IFERROR(VLOOKUP(D689,KRX종목마스터!$A:$B,2,FALSE),"")</f>
        <v/>
      </c>
      <c r="F689" s="42"/>
      <c r="G689" s="42"/>
      <c r="H689" s="31" t="str">
        <f t="shared" si="30"/>
        <v/>
      </c>
      <c r="I689" s="43">
        <f ca="1">IFERROR(SUMPRODUCT((참고!$A$31:$A$130=C689)*(참고!$B$31:$B$130&lt;=A689)*(참고!$B$31:$B$130=_xludf.MAXIFS(참고!$B$31:$B$130,참고!$A$31:$A$130,C689,참고!$B$31:$B$130,"&lt;="&amp;A689))*참고!$C$31:$C$130)/100,0)</f>
        <v>0</v>
      </c>
      <c r="J689" s="31" t="str">
        <f t="shared" si="31"/>
        <v/>
      </c>
      <c r="K689" s="43">
        <f>IF(B689="매도",IFERROR(SUMPRODUCT((참고!$A$31:$A$130=C689)*(참고!$B$31:$B$130&lt;=A689)*(참고!$B$31:$B$130=_xludf.MAXIFS(참고!$B$31:$B$130,참고!$A$31:$A$130,C689,참고!$B$31:$B$130,"&lt;="&amp;A689))*참고!$D$31:$D$130)/100,0),0)</f>
        <v>0</v>
      </c>
      <c r="L689" s="31" t="str">
        <f t="shared" si="32"/>
        <v/>
      </c>
      <c r="M689" s="39"/>
    </row>
    <row r="690" spans="1:13" ht="18" customHeight="1" x14ac:dyDescent="0.45">
      <c r="A690" s="37"/>
      <c r="B690" s="29"/>
      <c r="C690" s="29"/>
      <c r="D690" s="28"/>
      <c r="E690" s="30" t="str">
        <f>IFERROR(VLOOKUP(D690,KRX종목마스터!$A:$B,2,FALSE),"")</f>
        <v/>
      </c>
      <c r="F690" s="42"/>
      <c r="G690" s="42"/>
      <c r="H690" s="31" t="str">
        <f t="shared" si="30"/>
        <v/>
      </c>
      <c r="I690" s="43">
        <f ca="1">IFERROR(SUMPRODUCT((참고!$A$31:$A$130=C690)*(참고!$B$31:$B$130&lt;=A690)*(참고!$B$31:$B$130=_xludf.MAXIFS(참고!$B$31:$B$130,참고!$A$31:$A$130,C690,참고!$B$31:$B$130,"&lt;="&amp;A690))*참고!$C$31:$C$130)/100,0)</f>
        <v>0</v>
      </c>
      <c r="J690" s="31" t="str">
        <f t="shared" si="31"/>
        <v/>
      </c>
      <c r="K690" s="43">
        <f>IF(B690="매도",IFERROR(SUMPRODUCT((참고!$A$31:$A$130=C690)*(참고!$B$31:$B$130&lt;=A690)*(참고!$B$31:$B$130=_xludf.MAXIFS(참고!$B$31:$B$130,참고!$A$31:$A$130,C690,참고!$B$31:$B$130,"&lt;="&amp;A690))*참고!$D$31:$D$130)/100,0),0)</f>
        <v>0</v>
      </c>
      <c r="L690" s="31" t="str">
        <f t="shared" si="32"/>
        <v/>
      </c>
      <c r="M690" s="39"/>
    </row>
    <row r="691" spans="1:13" ht="18" customHeight="1" x14ac:dyDescent="0.45">
      <c r="A691" s="37"/>
      <c r="B691" s="29"/>
      <c r="C691" s="29"/>
      <c r="D691" s="28"/>
      <c r="E691" s="30" t="str">
        <f>IFERROR(VLOOKUP(D691,KRX종목마스터!$A:$B,2,FALSE),"")</f>
        <v/>
      </c>
      <c r="F691" s="42"/>
      <c r="G691" s="42"/>
      <c r="H691" s="31" t="str">
        <f t="shared" si="30"/>
        <v/>
      </c>
      <c r="I691" s="43">
        <f ca="1">IFERROR(SUMPRODUCT((참고!$A$31:$A$130=C691)*(참고!$B$31:$B$130&lt;=A691)*(참고!$B$31:$B$130=_xludf.MAXIFS(참고!$B$31:$B$130,참고!$A$31:$A$130,C691,참고!$B$31:$B$130,"&lt;="&amp;A691))*참고!$C$31:$C$130)/100,0)</f>
        <v>0</v>
      </c>
      <c r="J691" s="31" t="str">
        <f t="shared" si="31"/>
        <v/>
      </c>
      <c r="K691" s="43">
        <f>IF(B691="매도",IFERROR(SUMPRODUCT((참고!$A$31:$A$130=C691)*(참고!$B$31:$B$130&lt;=A691)*(참고!$B$31:$B$130=_xludf.MAXIFS(참고!$B$31:$B$130,참고!$A$31:$A$130,C691,참고!$B$31:$B$130,"&lt;="&amp;A691))*참고!$D$31:$D$130)/100,0),0)</f>
        <v>0</v>
      </c>
      <c r="L691" s="31" t="str">
        <f t="shared" si="32"/>
        <v/>
      </c>
      <c r="M691" s="39"/>
    </row>
    <row r="692" spans="1:13" ht="18" customHeight="1" x14ac:dyDescent="0.45">
      <c r="A692" s="37"/>
      <c r="B692" s="29"/>
      <c r="C692" s="29"/>
      <c r="D692" s="28"/>
      <c r="E692" s="30" t="str">
        <f>IFERROR(VLOOKUP(D692,KRX종목마스터!$A:$B,2,FALSE),"")</f>
        <v/>
      </c>
      <c r="F692" s="42"/>
      <c r="G692" s="42"/>
      <c r="H692" s="31" t="str">
        <f t="shared" si="30"/>
        <v/>
      </c>
      <c r="I692" s="43">
        <f ca="1">IFERROR(SUMPRODUCT((참고!$A$31:$A$130=C692)*(참고!$B$31:$B$130&lt;=A692)*(참고!$B$31:$B$130=_xludf.MAXIFS(참고!$B$31:$B$130,참고!$A$31:$A$130,C692,참고!$B$31:$B$130,"&lt;="&amp;A692))*참고!$C$31:$C$130)/100,0)</f>
        <v>0</v>
      </c>
      <c r="J692" s="31" t="str">
        <f t="shared" si="31"/>
        <v/>
      </c>
      <c r="K692" s="43">
        <f>IF(B692="매도",IFERROR(SUMPRODUCT((참고!$A$31:$A$130=C692)*(참고!$B$31:$B$130&lt;=A692)*(참고!$B$31:$B$130=_xludf.MAXIFS(참고!$B$31:$B$130,참고!$A$31:$A$130,C692,참고!$B$31:$B$130,"&lt;="&amp;A692))*참고!$D$31:$D$130)/100,0),0)</f>
        <v>0</v>
      </c>
      <c r="L692" s="31" t="str">
        <f t="shared" si="32"/>
        <v/>
      </c>
      <c r="M692" s="39"/>
    </row>
    <row r="693" spans="1:13" ht="18" customHeight="1" x14ac:dyDescent="0.45">
      <c r="A693" s="37"/>
      <c r="B693" s="29"/>
      <c r="C693" s="29"/>
      <c r="D693" s="28"/>
      <c r="E693" s="30" t="str">
        <f>IFERROR(VLOOKUP(D693,KRX종목마스터!$A:$B,2,FALSE),"")</f>
        <v/>
      </c>
      <c r="F693" s="42"/>
      <c r="G693" s="42"/>
      <c r="H693" s="31" t="str">
        <f t="shared" si="30"/>
        <v/>
      </c>
      <c r="I693" s="43">
        <f ca="1">IFERROR(SUMPRODUCT((참고!$A$31:$A$130=C693)*(참고!$B$31:$B$130&lt;=A693)*(참고!$B$31:$B$130=_xludf.MAXIFS(참고!$B$31:$B$130,참고!$A$31:$A$130,C693,참고!$B$31:$B$130,"&lt;="&amp;A693))*참고!$C$31:$C$130)/100,0)</f>
        <v>0</v>
      </c>
      <c r="J693" s="31" t="str">
        <f t="shared" si="31"/>
        <v/>
      </c>
      <c r="K693" s="43">
        <f>IF(B693="매도",IFERROR(SUMPRODUCT((참고!$A$31:$A$130=C693)*(참고!$B$31:$B$130&lt;=A693)*(참고!$B$31:$B$130=_xludf.MAXIFS(참고!$B$31:$B$130,참고!$A$31:$A$130,C693,참고!$B$31:$B$130,"&lt;="&amp;A693))*참고!$D$31:$D$130)/100,0),0)</f>
        <v>0</v>
      </c>
      <c r="L693" s="31" t="str">
        <f t="shared" si="32"/>
        <v/>
      </c>
      <c r="M693" s="39"/>
    </row>
    <row r="694" spans="1:13" ht="18" customHeight="1" x14ac:dyDescent="0.45">
      <c r="A694" s="37"/>
      <c r="B694" s="29"/>
      <c r="C694" s="29"/>
      <c r="D694" s="28"/>
      <c r="E694" s="30" t="str">
        <f>IFERROR(VLOOKUP(D694,KRX종목마스터!$A:$B,2,FALSE),"")</f>
        <v/>
      </c>
      <c r="F694" s="42"/>
      <c r="G694" s="42"/>
      <c r="H694" s="31" t="str">
        <f t="shared" si="30"/>
        <v/>
      </c>
      <c r="I694" s="43">
        <f ca="1">IFERROR(SUMPRODUCT((참고!$A$31:$A$130=C694)*(참고!$B$31:$B$130&lt;=A694)*(참고!$B$31:$B$130=_xludf.MAXIFS(참고!$B$31:$B$130,참고!$A$31:$A$130,C694,참고!$B$31:$B$130,"&lt;="&amp;A694))*참고!$C$31:$C$130)/100,0)</f>
        <v>0</v>
      </c>
      <c r="J694" s="31" t="str">
        <f t="shared" si="31"/>
        <v/>
      </c>
      <c r="K694" s="43">
        <f>IF(B694="매도",IFERROR(SUMPRODUCT((참고!$A$31:$A$130=C694)*(참고!$B$31:$B$130&lt;=A694)*(참고!$B$31:$B$130=_xludf.MAXIFS(참고!$B$31:$B$130,참고!$A$31:$A$130,C694,참고!$B$31:$B$130,"&lt;="&amp;A694))*참고!$D$31:$D$130)/100,0),0)</f>
        <v>0</v>
      </c>
      <c r="L694" s="31" t="str">
        <f t="shared" si="32"/>
        <v/>
      </c>
      <c r="M694" s="39"/>
    </row>
    <row r="695" spans="1:13" ht="18" customHeight="1" x14ac:dyDescent="0.45">
      <c r="A695" s="37"/>
      <c r="B695" s="29"/>
      <c r="C695" s="29"/>
      <c r="D695" s="28"/>
      <c r="E695" s="30" t="str">
        <f>IFERROR(VLOOKUP(D695,KRX종목마스터!$A:$B,2,FALSE),"")</f>
        <v/>
      </c>
      <c r="F695" s="42"/>
      <c r="G695" s="42"/>
      <c r="H695" s="31" t="str">
        <f t="shared" si="30"/>
        <v/>
      </c>
      <c r="I695" s="43">
        <f ca="1">IFERROR(SUMPRODUCT((참고!$A$31:$A$130=C695)*(참고!$B$31:$B$130&lt;=A695)*(참고!$B$31:$B$130=_xludf.MAXIFS(참고!$B$31:$B$130,참고!$A$31:$A$130,C695,참고!$B$31:$B$130,"&lt;="&amp;A695))*참고!$C$31:$C$130)/100,0)</f>
        <v>0</v>
      </c>
      <c r="J695" s="31" t="str">
        <f t="shared" si="31"/>
        <v/>
      </c>
      <c r="K695" s="43">
        <f>IF(B695="매도",IFERROR(SUMPRODUCT((참고!$A$31:$A$130=C695)*(참고!$B$31:$B$130&lt;=A695)*(참고!$B$31:$B$130=_xludf.MAXIFS(참고!$B$31:$B$130,참고!$A$31:$A$130,C695,참고!$B$31:$B$130,"&lt;="&amp;A695))*참고!$D$31:$D$130)/100,0),0)</f>
        <v>0</v>
      </c>
      <c r="L695" s="31" t="str">
        <f t="shared" si="32"/>
        <v/>
      </c>
      <c r="M695" s="39"/>
    </row>
    <row r="696" spans="1:13" ht="18" customHeight="1" x14ac:dyDescent="0.45">
      <c r="A696" s="37"/>
      <c r="B696" s="29"/>
      <c r="C696" s="29"/>
      <c r="D696" s="28"/>
      <c r="E696" s="30" t="str">
        <f>IFERROR(VLOOKUP(D696,KRX종목마스터!$A:$B,2,FALSE),"")</f>
        <v/>
      </c>
      <c r="F696" s="42"/>
      <c r="G696" s="42"/>
      <c r="H696" s="31" t="str">
        <f t="shared" si="30"/>
        <v/>
      </c>
      <c r="I696" s="43">
        <f ca="1">IFERROR(SUMPRODUCT((참고!$A$31:$A$130=C696)*(참고!$B$31:$B$130&lt;=A696)*(참고!$B$31:$B$130=_xludf.MAXIFS(참고!$B$31:$B$130,참고!$A$31:$A$130,C696,참고!$B$31:$B$130,"&lt;="&amp;A696))*참고!$C$31:$C$130)/100,0)</f>
        <v>0</v>
      </c>
      <c r="J696" s="31" t="str">
        <f t="shared" si="31"/>
        <v/>
      </c>
      <c r="K696" s="43">
        <f>IF(B696="매도",IFERROR(SUMPRODUCT((참고!$A$31:$A$130=C696)*(참고!$B$31:$B$130&lt;=A696)*(참고!$B$31:$B$130=_xludf.MAXIFS(참고!$B$31:$B$130,참고!$A$31:$A$130,C696,참고!$B$31:$B$130,"&lt;="&amp;A696))*참고!$D$31:$D$130)/100,0),0)</f>
        <v>0</v>
      </c>
      <c r="L696" s="31" t="str">
        <f t="shared" si="32"/>
        <v/>
      </c>
      <c r="M696" s="39"/>
    </row>
    <row r="697" spans="1:13" ht="18" customHeight="1" x14ac:dyDescent="0.45">
      <c r="A697" s="37"/>
      <c r="B697" s="29"/>
      <c r="C697" s="29"/>
      <c r="D697" s="28"/>
      <c r="E697" s="30" t="str">
        <f>IFERROR(VLOOKUP(D697,KRX종목마스터!$A:$B,2,FALSE),"")</f>
        <v/>
      </c>
      <c r="F697" s="42"/>
      <c r="G697" s="42"/>
      <c r="H697" s="31" t="str">
        <f t="shared" si="30"/>
        <v/>
      </c>
      <c r="I697" s="43">
        <f ca="1">IFERROR(SUMPRODUCT((참고!$A$31:$A$130=C697)*(참고!$B$31:$B$130&lt;=A697)*(참고!$B$31:$B$130=_xludf.MAXIFS(참고!$B$31:$B$130,참고!$A$31:$A$130,C697,참고!$B$31:$B$130,"&lt;="&amp;A697))*참고!$C$31:$C$130)/100,0)</f>
        <v>0</v>
      </c>
      <c r="J697" s="31" t="str">
        <f t="shared" si="31"/>
        <v/>
      </c>
      <c r="K697" s="43">
        <f>IF(B697="매도",IFERROR(SUMPRODUCT((참고!$A$31:$A$130=C697)*(참고!$B$31:$B$130&lt;=A697)*(참고!$B$31:$B$130=_xludf.MAXIFS(참고!$B$31:$B$130,참고!$A$31:$A$130,C697,참고!$B$31:$B$130,"&lt;="&amp;A697))*참고!$D$31:$D$130)/100,0),0)</f>
        <v>0</v>
      </c>
      <c r="L697" s="31" t="str">
        <f t="shared" si="32"/>
        <v/>
      </c>
      <c r="M697" s="39"/>
    </row>
    <row r="698" spans="1:13" ht="18" customHeight="1" x14ac:dyDescent="0.45">
      <c r="A698" s="37"/>
      <c r="B698" s="29"/>
      <c r="C698" s="29"/>
      <c r="D698" s="28"/>
      <c r="E698" s="30" t="str">
        <f>IFERROR(VLOOKUP(D698,KRX종목마스터!$A:$B,2,FALSE),"")</f>
        <v/>
      </c>
      <c r="F698" s="42"/>
      <c r="G698" s="42"/>
      <c r="H698" s="31" t="str">
        <f t="shared" si="30"/>
        <v/>
      </c>
      <c r="I698" s="43">
        <f ca="1">IFERROR(SUMPRODUCT((참고!$A$31:$A$130=C698)*(참고!$B$31:$B$130&lt;=A698)*(참고!$B$31:$B$130=_xludf.MAXIFS(참고!$B$31:$B$130,참고!$A$31:$A$130,C698,참고!$B$31:$B$130,"&lt;="&amp;A698))*참고!$C$31:$C$130)/100,0)</f>
        <v>0</v>
      </c>
      <c r="J698" s="31" t="str">
        <f t="shared" si="31"/>
        <v/>
      </c>
      <c r="K698" s="43">
        <f>IF(B698="매도",IFERROR(SUMPRODUCT((참고!$A$31:$A$130=C698)*(참고!$B$31:$B$130&lt;=A698)*(참고!$B$31:$B$130=_xludf.MAXIFS(참고!$B$31:$B$130,참고!$A$31:$A$130,C698,참고!$B$31:$B$130,"&lt;="&amp;A698))*참고!$D$31:$D$130)/100,0),0)</f>
        <v>0</v>
      </c>
      <c r="L698" s="31" t="str">
        <f t="shared" si="32"/>
        <v/>
      </c>
      <c r="M698" s="39"/>
    </row>
    <row r="699" spans="1:13" ht="18" customHeight="1" x14ac:dyDescent="0.45">
      <c r="A699" s="37"/>
      <c r="B699" s="29"/>
      <c r="C699" s="29"/>
      <c r="D699" s="28"/>
      <c r="E699" s="30" t="str">
        <f>IFERROR(VLOOKUP(D699,KRX종목마스터!$A:$B,2,FALSE),"")</f>
        <v/>
      </c>
      <c r="F699" s="42"/>
      <c r="G699" s="42"/>
      <c r="H699" s="31" t="str">
        <f t="shared" si="30"/>
        <v/>
      </c>
      <c r="I699" s="43">
        <f ca="1">IFERROR(SUMPRODUCT((참고!$A$31:$A$130=C699)*(참고!$B$31:$B$130&lt;=A699)*(참고!$B$31:$B$130=_xludf.MAXIFS(참고!$B$31:$B$130,참고!$A$31:$A$130,C699,참고!$B$31:$B$130,"&lt;="&amp;A699))*참고!$C$31:$C$130)/100,0)</f>
        <v>0</v>
      </c>
      <c r="J699" s="31" t="str">
        <f t="shared" si="31"/>
        <v/>
      </c>
      <c r="K699" s="43">
        <f>IF(B699="매도",IFERROR(SUMPRODUCT((참고!$A$31:$A$130=C699)*(참고!$B$31:$B$130&lt;=A699)*(참고!$B$31:$B$130=_xludf.MAXIFS(참고!$B$31:$B$130,참고!$A$31:$A$130,C699,참고!$B$31:$B$130,"&lt;="&amp;A699))*참고!$D$31:$D$130)/100,0),0)</f>
        <v>0</v>
      </c>
      <c r="L699" s="31" t="str">
        <f t="shared" si="32"/>
        <v/>
      </c>
      <c r="M699" s="39"/>
    </row>
    <row r="700" spans="1:13" ht="18" customHeight="1" x14ac:dyDescent="0.45">
      <c r="A700" s="37"/>
      <c r="B700" s="29"/>
      <c r="C700" s="29"/>
      <c r="D700" s="28"/>
      <c r="E700" s="30" t="str">
        <f>IFERROR(VLOOKUP(D700,KRX종목마스터!$A:$B,2,FALSE),"")</f>
        <v/>
      </c>
      <c r="F700" s="42"/>
      <c r="G700" s="42"/>
      <c r="H700" s="31" t="str">
        <f t="shared" si="30"/>
        <v/>
      </c>
      <c r="I700" s="43">
        <f ca="1">IFERROR(SUMPRODUCT((참고!$A$31:$A$130=C700)*(참고!$B$31:$B$130&lt;=A700)*(참고!$B$31:$B$130=_xludf.MAXIFS(참고!$B$31:$B$130,참고!$A$31:$A$130,C700,참고!$B$31:$B$130,"&lt;="&amp;A700))*참고!$C$31:$C$130)/100,0)</f>
        <v>0</v>
      </c>
      <c r="J700" s="31" t="str">
        <f t="shared" si="31"/>
        <v/>
      </c>
      <c r="K700" s="43">
        <f>IF(B700="매도",IFERROR(SUMPRODUCT((참고!$A$31:$A$130=C700)*(참고!$B$31:$B$130&lt;=A700)*(참고!$B$31:$B$130=_xludf.MAXIFS(참고!$B$31:$B$130,참고!$A$31:$A$130,C700,참고!$B$31:$B$130,"&lt;="&amp;A700))*참고!$D$31:$D$130)/100,0),0)</f>
        <v>0</v>
      </c>
      <c r="L700" s="31" t="str">
        <f t="shared" si="32"/>
        <v/>
      </c>
      <c r="M700" s="39"/>
    </row>
    <row r="701" spans="1:13" ht="18" customHeight="1" x14ac:dyDescent="0.45">
      <c r="A701" s="37"/>
      <c r="B701" s="29"/>
      <c r="C701" s="29"/>
      <c r="D701" s="28"/>
      <c r="E701" s="30" t="str">
        <f>IFERROR(VLOOKUP(D701,KRX종목마스터!$A:$B,2,FALSE),"")</f>
        <v/>
      </c>
      <c r="F701" s="42"/>
      <c r="G701" s="42"/>
      <c r="H701" s="31" t="str">
        <f t="shared" si="30"/>
        <v/>
      </c>
      <c r="I701" s="43">
        <f ca="1">IFERROR(SUMPRODUCT((참고!$A$31:$A$130=C701)*(참고!$B$31:$B$130&lt;=A701)*(참고!$B$31:$B$130=_xludf.MAXIFS(참고!$B$31:$B$130,참고!$A$31:$A$130,C701,참고!$B$31:$B$130,"&lt;="&amp;A701))*참고!$C$31:$C$130)/100,0)</f>
        <v>0</v>
      </c>
      <c r="J701" s="31" t="str">
        <f t="shared" si="31"/>
        <v/>
      </c>
      <c r="K701" s="43">
        <f>IF(B701="매도",IFERROR(SUMPRODUCT((참고!$A$31:$A$130=C701)*(참고!$B$31:$B$130&lt;=A701)*(참고!$B$31:$B$130=_xludf.MAXIFS(참고!$B$31:$B$130,참고!$A$31:$A$130,C701,참고!$B$31:$B$130,"&lt;="&amp;A701))*참고!$D$31:$D$130)/100,0),0)</f>
        <v>0</v>
      </c>
      <c r="L701" s="31" t="str">
        <f t="shared" si="32"/>
        <v/>
      </c>
      <c r="M701" s="39"/>
    </row>
    <row r="702" spans="1:13" ht="18" customHeight="1" x14ac:dyDescent="0.45">
      <c r="A702" s="37"/>
      <c r="B702" s="29"/>
      <c r="C702" s="29"/>
      <c r="D702" s="28"/>
      <c r="E702" s="30" t="str">
        <f>IFERROR(VLOOKUP(D702,KRX종목마스터!$A:$B,2,FALSE),"")</f>
        <v/>
      </c>
      <c r="F702" s="42"/>
      <c r="G702" s="42"/>
      <c r="H702" s="31" t="str">
        <f t="shared" si="30"/>
        <v/>
      </c>
      <c r="I702" s="43">
        <f ca="1">IFERROR(SUMPRODUCT((참고!$A$31:$A$130=C702)*(참고!$B$31:$B$130&lt;=A702)*(참고!$B$31:$B$130=_xludf.MAXIFS(참고!$B$31:$B$130,참고!$A$31:$A$130,C702,참고!$B$31:$B$130,"&lt;="&amp;A702))*참고!$C$31:$C$130)/100,0)</f>
        <v>0</v>
      </c>
      <c r="J702" s="31" t="str">
        <f t="shared" si="31"/>
        <v/>
      </c>
      <c r="K702" s="43">
        <f>IF(B702="매도",IFERROR(SUMPRODUCT((참고!$A$31:$A$130=C702)*(참고!$B$31:$B$130&lt;=A702)*(참고!$B$31:$B$130=_xludf.MAXIFS(참고!$B$31:$B$130,참고!$A$31:$A$130,C702,참고!$B$31:$B$130,"&lt;="&amp;A702))*참고!$D$31:$D$130)/100,0),0)</f>
        <v>0</v>
      </c>
      <c r="L702" s="31" t="str">
        <f t="shared" si="32"/>
        <v/>
      </c>
      <c r="M702" s="39"/>
    </row>
    <row r="703" spans="1:13" ht="18" customHeight="1" x14ac:dyDescent="0.45">
      <c r="A703" s="37"/>
      <c r="B703" s="29"/>
      <c r="C703" s="29"/>
      <c r="D703" s="28"/>
      <c r="E703" s="30" t="str">
        <f>IFERROR(VLOOKUP(D703,KRX종목마스터!$A:$B,2,FALSE),"")</f>
        <v/>
      </c>
      <c r="F703" s="42"/>
      <c r="G703" s="42"/>
      <c r="H703" s="31" t="str">
        <f t="shared" si="30"/>
        <v/>
      </c>
      <c r="I703" s="43">
        <f ca="1">IFERROR(SUMPRODUCT((참고!$A$31:$A$130=C703)*(참고!$B$31:$B$130&lt;=A703)*(참고!$B$31:$B$130=_xludf.MAXIFS(참고!$B$31:$B$130,참고!$A$31:$A$130,C703,참고!$B$31:$B$130,"&lt;="&amp;A703))*참고!$C$31:$C$130)/100,0)</f>
        <v>0</v>
      </c>
      <c r="J703" s="31" t="str">
        <f t="shared" si="31"/>
        <v/>
      </c>
      <c r="K703" s="43">
        <f>IF(B703="매도",IFERROR(SUMPRODUCT((참고!$A$31:$A$130=C703)*(참고!$B$31:$B$130&lt;=A703)*(참고!$B$31:$B$130=_xludf.MAXIFS(참고!$B$31:$B$130,참고!$A$31:$A$130,C703,참고!$B$31:$B$130,"&lt;="&amp;A703))*참고!$D$31:$D$130)/100,0),0)</f>
        <v>0</v>
      </c>
      <c r="L703" s="31" t="str">
        <f t="shared" si="32"/>
        <v/>
      </c>
      <c r="M703" s="39"/>
    </row>
    <row r="704" spans="1:13" ht="18" customHeight="1" x14ac:dyDescent="0.45">
      <c r="A704" s="37"/>
      <c r="B704" s="29"/>
      <c r="C704" s="29"/>
      <c r="D704" s="28"/>
      <c r="E704" s="30" t="str">
        <f>IFERROR(VLOOKUP(D704,KRX종목마스터!$A:$B,2,FALSE),"")</f>
        <v/>
      </c>
      <c r="F704" s="42"/>
      <c r="G704" s="42"/>
      <c r="H704" s="31" t="str">
        <f t="shared" si="30"/>
        <v/>
      </c>
      <c r="I704" s="43">
        <f ca="1">IFERROR(SUMPRODUCT((참고!$A$31:$A$130=C704)*(참고!$B$31:$B$130&lt;=A704)*(참고!$B$31:$B$130=_xludf.MAXIFS(참고!$B$31:$B$130,참고!$A$31:$A$130,C704,참고!$B$31:$B$130,"&lt;="&amp;A704))*참고!$C$31:$C$130)/100,0)</f>
        <v>0</v>
      </c>
      <c r="J704" s="31" t="str">
        <f t="shared" si="31"/>
        <v/>
      </c>
      <c r="K704" s="43">
        <f>IF(B704="매도",IFERROR(SUMPRODUCT((참고!$A$31:$A$130=C704)*(참고!$B$31:$B$130&lt;=A704)*(참고!$B$31:$B$130=_xludf.MAXIFS(참고!$B$31:$B$130,참고!$A$31:$A$130,C704,참고!$B$31:$B$130,"&lt;="&amp;A704))*참고!$D$31:$D$130)/100,0),0)</f>
        <v>0</v>
      </c>
      <c r="L704" s="31" t="str">
        <f t="shared" si="32"/>
        <v/>
      </c>
      <c r="M704" s="39"/>
    </row>
    <row r="705" spans="1:13" ht="18" customHeight="1" x14ac:dyDescent="0.45">
      <c r="A705" s="37"/>
      <c r="B705" s="29"/>
      <c r="C705" s="29"/>
      <c r="D705" s="28"/>
      <c r="E705" s="30" t="str">
        <f>IFERROR(VLOOKUP(D705,KRX종목마스터!$A:$B,2,FALSE),"")</f>
        <v/>
      </c>
      <c r="F705" s="42"/>
      <c r="G705" s="42"/>
      <c r="H705" s="31" t="str">
        <f t="shared" si="30"/>
        <v/>
      </c>
      <c r="I705" s="43">
        <f ca="1">IFERROR(SUMPRODUCT((참고!$A$31:$A$130=C705)*(참고!$B$31:$B$130&lt;=A705)*(참고!$B$31:$B$130=_xludf.MAXIFS(참고!$B$31:$B$130,참고!$A$31:$A$130,C705,참고!$B$31:$B$130,"&lt;="&amp;A705))*참고!$C$31:$C$130)/100,0)</f>
        <v>0</v>
      </c>
      <c r="J705" s="31" t="str">
        <f t="shared" si="31"/>
        <v/>
      </c>
      <c r="K705" s="43">
        <f>IF(B705="매도",IFERROR(SUMPRODUCT((참고!$A$31:$A$130=C705)*(참고!$B$31:$B$130&lt;=A705)*(참고!$B$31:$B$130=_xludf.MAXIFS(참고!$B$31:$B$130,참고!$A$31:$A$130,C705,참고!$B$31:$B$130,"&lt;="&amp;A705))*참고!$D$31:$D$130)/100,0),0)</f>
        <v>0</v>
      </c>
      <c r="L705" s="31" t="str">
        <f t="shared" si="32"/>
        <v/>
      </c>
      <c r="M705" s="39"/>
    </row>
    <row r="706" spans="1:13" ht="18" customHeight="1" x14ac:dyDescent="0.45">
      <c r="A706" s="37"/>
      <c r="B706" s="29"/>
      <c r="C706" s="29"/>
      <c r="D706" s="28"/>
      <c r="E706" s="30" t="str">
        <f>IFERROR(VLOOKUP(D706,KRX종목마스터!$A:$B,2,FALSE),"")</f>
        <v/>
      </c>
      <c r="F706" s="42"/>
      <c r="G706" s="42"/>
      <c r="H706" s="31" t="str">
        <f t="shared" si="30"/>
        <v/>
      </c>
      <c r="I706" s="43">
        <f ca="1">IFERROR(SUMPRODUCT((참고!$A$31:$A$130=C706)*(참고!$B$31:$B$130&lt;=A706)*(참고!$B$31:$B$130=_xludf.MAXIFS(참고!$B$31:$B$130,참고!$A$31:$A$130,C706,참고!$B$31:$B$130,"&lt;="&amp;A706))*참고!$C$31:$C$130)/100,0)</f>
        <v>0</v>
      </c>
      <c r="J706" s="31" t="str">
        <f t="shared" si="31"/>
        <v/>
      </c>
      <c r="K706" s="43">
        <f>IF(B706="매도",IFERROR(SUMPRODUCT((참고!$A$31:$A$130=C706)*(참고!$B$31:$B$130&lt;=A706)*(참고!$B$31:$B$130=_xludf.MAXIFS(참고!$B$31:$B$130,참고!$A$31:$A$130,C706,참고!$B$31:$B$130,"&lt;="&amp;A706))*참고!$D$31:$D$130)/100,0),0)</f>
        <v>0</v>
      </c>
      <c r="L706" s="31" t="str">
        <f t="shared" si="32"/>
        <v/>
      </c>
      <c r="M706" s="39"/>
    </row>
    <row r="707" spans="1:13" ht="18" customHeight="1" x14ac:dyDescent="0.45">
      <c r="A707" s="37"/>
      <c r="B707" s="29"/>
      <c r="C707" s="29"/>
      <c r="D707" s="28"/>
      <c r="E707" s="30" t="str">
        <f>IFERROR(VLOOKUP(D707,KRX종목마스터!$A:$B,2,FALSE),"")</f>
        <v/>
      </c>
      <c r="F707" s="42"/>
      <c r="G707" s="42"/>
      <c r="H707" s="31" t="str">
        <f t="shared" si="30"/>
        <v/>
      </c>
      <c r="I707" s="43">
        <f ca="1">IFERROR(SUMPRODUCT((참고!$A$31:$A$130=C707)*(참고!$B$31:$B$130&lt;=A707)*(참고!$B$31:$B$130=_xludf.MAXIFS(참고!$B$31:$B$130,참고!$A$31:$A$130,C707,참고!$B$31:$B$130,"&lt;="&amp;A707))*참고!$C$31:$C$130)/100,0)</f>
        <v>0</v>
      </c>
      <c r="J707" s="31" t="str">
        <f t="shared" si="31"/>
        <v/>
      </c>
      <c r="K707" s="43">
        <f>IF(B707="매도",IFERROR(SUMPRODUCT((참고!$A$31:$A$130=C707)*(참고!$B$31:$B$130&lt;=A707)*(참고!$B$31:$B$130=_xludf.MAXIFS(참고!$B$31:$B$130,참고!$A$31:$A$130,C707,참고!$B$31:$B$130,"&lt;="&amp;A707))*참고!$D$31:$D$130)/100,0),0)</f>
        <v>0</v>
      </c>
      <c r="L707" s="31" t="str">
        <f t="shared" si="32"/>
        <v/>
      </c>
      <c r="M707" s="39"/>
    </row>
    <row r="708" spans="1:13" ht="18" customHeight="1" x14ac:dyDescent="0.45">
      <c r="A708" s="37"/>
      <c r="B708" s="29"/>
      <c r="C708" s="29"/>
      <c r="D708" s="28"/>
      <c r="E708" s="30" t="str">
        <f>IFERROR(VLOOKUP(D708,KRX종목마스터!$A:$B,2,FALSE),"")</f>
        <v/>
      </c>
      <c r="F708" s="42"/>
      <c r="G708" s="42"/>
      <c r="H708" s="31" t="str">
        <f t="shared" si="30"/>
        <v/>
      </c>
      <c r="I708" s="43">
        <f ca="1">IFERROR(SUMPRODUCT((참고!$A$31:$A$130=C708)*(참고!$B$31:$B$130&lt;=A708)*(참고!$B$31:$B$130=_xludf.MAXIFS(참고!$B$31:$B$130,참고!$A$31:$A$130,C708,참고!$B$31:$B$130,"&lt;="&amp;A708))*참고!$C$31:$C$130)/100,0)</f>
        <v>0</v>
      </c>
      <c r="J708" s="31" t="str">
        <f t="shared" si="31"/>
        <v/>
      </c>
      <c r="K708" s="43">
        <f>IF(B708="매도",IFERROR(SUMPRODUCT((참고!$A$31:$A$130=C708)*(참고!$B$31:$B$130&lt;=A708)*(참고!$B$31:$B$130=_xludf.MAXIFS(참고!$B$31:$B$130,참고!$A$31:$A$130,C708,참고!$B$31:$B$130,"&lt;="&amp;A708))*참고!$D$31:$D$130)/100,0),0)</f>
        <v>0</v>
      </c>
      <c r="L708" s="31" t="str">
        <f t="shared" si="32"/>
        <v/>
      </c>
      <c r="M708" s="39"/>
    </row>
    <row r="709" spans="1:13" ht="18" customHeight="1" x14ac:dyDescent="0.45">
      <c r="A709" s="37"/>
      <c r="B709" s="29"/>
      <c r="C709" s="29"/>
      <c r="D709" s="28"/>
      <c r="E709" s="30" t="str">
        <f>IFERROR(VLOOKUP(D709,KRX종목마스터!$A:$B,2,FALSE),"")</f>
        <v/>
      </c>
      <c r="F709" s="42"/>
      <c r="G709" s="42"/>
      <c r="H709" s="31" t="str">
        <f t="shared" ref="H709:H772" si="33">IF(AND(F709&lt;&gt;"",G709&lt;&gt;""),F709*G709,"")</f>
        <v/>
      </c>
      <c r="I709" s="43">
        <f ca="1">IFERROR(SUMPRODUCT((참고!$A$31:$A$130=C709)*(참고!$B$31:$B$130&lt;=A709)*(참고!$B$31:$B$130=_xludf.MAXIFS(참고!$B$31:$B$130,참고!$A$31:$A$130,C709,참고!$B$31:$B$130,"&lt;="&amp;A709))*참고!$C$31:$C$130)/100,0)</f>
        <v>0</v>
      </c>
      <c r="J709" s="31" t="str">
        <f t="shared" ref="J709:J772" si="34">IF(H709="","",ROUND(H709*I709,0))</f>
        <v/>
      </c>
      <c r="K709" s="43">
        <f>IF(B709="매도",IFERROR(SUMPRODUCT((참고!$A$31:$A$130=C709)*(참고!$B$31:$B$130&lt;=A709)*(참고!$B$31:$B$130=_xludf.MAXIFS(참고!$B$31:$B$130,참고!$A$31:$A$130,C709,참고!$B$31:$B$130,"&lt;="&amp;A709))*참고!$D$31:$D$130)/100,0),0)</f>
        <v>0</v>
      </c>
      <c r="L709" s="31" t="str">
        <f t="shared" ref="L709:L772" si="35">IF(H709="","",ROUND(H709*K709,0))</f>
        <v/>
      </c>
      <c r="M709" s="39"/>
    </row>
    <row r="710" spans="1:13" ht="18" customHeight="1" x14ac:dyDescent="0.45">
      <c r="A710" s="37"/>
      <c r="B710" s="29"/>
      <c r="C710" s="29"/>
      <c r="D710" s="28"/>
      <c r="E710" s="30" t="str">
        <f>IFERROR(VLOOKUP(D710,KRX종목마스터!$A:$B,2,FALSE),"")</f>
        <v/>
      </c>
      <c r="F710" s="42"/>
      <c r="G710" s="42"/>
      <c r="H710" s="31" t="str">
        <f t="shared" si="33"/>
        <v/>
      </c>
      <c r="I710" s="43">
        <f ca="1">IFERROR(SUMPRODUCT((참고!$A$31:$A$130=C710)*(참고!$B$31:$B$130&lt;=A710)*(참고!$B$31:$B$130=_xludf.MAXIFS(참고!$B$31:$B$130,참고!$A$31:$A$130,C710,참고!$B$31:$B$130,"&lt;="&amp;A710))*참고!$C$31:$C$130)/100,0)</f>
        <v>0</v>
      </c>
      <c r="J710" s="31" t="str">
        <f t="shared" si="34"/>
        <v/>
      </c>
      <c r="K710" s="43">
        <f>IF(B710="매도",IFERROR(SUMPRODUCT((참고!$A$31:$A$130=C710)*(참고!$B$31:$B$130&lt;=A710)*(참고!$B$31:$B$130=_xludf.MAXIFS(참고!$B$31:$B$130,참고!$A$31:$A$130,C710,참고!$B$31:$B$130,"&lt;="&amp;A710))*참고!$D$31:$D$130)/100,0),0)</f>
        <v>0</v>
      </c>
      <c r="L710" s="31" t="str">
        <f t="shared" si="35"/>
        <v/>
      </c>
      <c r="M710" s="39"/>
    </row>
    <row r="711" spans="1:13" ht="18" customHeight="1" x14ac:dyDescent="0.45">
      <c r="A711" s="37"/>
      <c r="B711" s="29"/>
      <c r="C711" s="29"/>
      <c r="D711" s="28"/>
      <c r="E711" s="30" t="str">
        <f>IFERROR(VLOOKUP(D711,KRX종목마스터!$A:$B,2,FALSE),"")</f>
        <v/>
      </c>
      <c r="F711" s="42"/>
      <c r="G711" s="42"/>
      <c r="H711" s="31" t="str">
        <f t="shared" si="33"/>
        <v/>
      </c>
      <c r="I711" s="43">
        <f ca="1">IFERROR(SUMPRODUCT((참고!$A$31:$A$130=C711)*(참고!$B$31:$B$130&lt;=A711)*(참고!$B$31:$B$130=_xludf.MAXIFS(참고!$B$31:$B$130,참고!$A$31:$A$130,C711,참고!$B$31:$B$130,"&lt;="&amp;A711))*참고!$C$31:$C$130)/100,0)</f>
        <v>0</v>
      </c>
      <c r="J711" s="31" t="str">
        <f t="shared" si="34"/>
        <v/>
      </c>
      <c r="K711" s="43">
        <f>IF(B711="매도",IFERROR(SUMPRODUCT((참고!$A$31:$A$130=C711)*(참고!$B$31:$B$130&lt;=A711)*(참고!$B$31:$B$130=_xludf.MAXIFS(참고!$B$31:$B$130,참고!$A$31:$A$130,C711,참고!$B$31:$B$130,"&lt;="&amp;A711))*참고!$D$31:$D$130)/100,0),0)</f>
        <v>0</v>
      </c>
      <c r="L711" s="31" t="str">
        <f t="shared" si="35"/>
        <v/>
      </c>
      <c r="M711" s="39"/>
    </row>
    <row r="712" spans="1:13" ht="18" customHeight="1" x14ac:dyDescent="0.45">
      <c r="A712" s="37"/>
      <c r="B712" s="29"/>
      <c r="C712" s="29"/>
      <c r="D712" s="28"/>
      <c r="E712" s="30" t="str">
        <f>IFERROR(VLOOKUP(D712,KRX종목마스터!$A:$B,2,FALSE),"")</f>
        <v/>
      </c>
      <c r="F712" s="42"/>
      <c r="G712" s="42"/>
      <c r="H712" s="31" t="str">
        <f t="shared" si="33"/>
        <v/>
      </c>
      <c r="I712" s="43">
        <f ca="1">IFERROR(SUMPRODUCT((참고!$A$31:$A$130=C712)*(참고!$B$31:$B$130&lt;=A712)*(참고!$B$31:$B$130=_xludf.MAXIFS(참고!$B$31:$B$130,참고!$A$31:$A$130,C712,참고!$B$31:$B$130,"&lt;="&amp;A712))*참고!$C$31:$C$130)/100,0)</f>
        <v>0</v>
      </c>
      <c r="J712" s="31" t="str">
        <f t="shared" si="34"/>
        <v/>
      </c>
      <c r="K712" s="43">
        <f>IF(B712="매도",IFERROR(SUMPRODUCT((참고!$A$31:$A$130=C712)*(참고!$B$31:$B$130&lt;=A712)*(참고!$B$31:$B$130=_xludf.MAXIFS(참고!$B$31:$B$130,참고!$A$31:$A$130,C712,참고!$B$31:$B$130,"&lt;="&amp;A712))*참고!$D$31:$D$130)/100,0),0)</f>
        <v>0</v>
      </c>
      <c r="L712" s="31" t="str">
        <f t="shared" si="35"/>
        <v/>
      </c>
      <c r="M712" s="39"/>
    </row>
    <row r="713" spans="1:13" ht="18" customHeight="1" x14ac:dyDescent="0.45">
      <c r="A713" s="37"/>
      <c r="B713" s="29"/>
      <c r="C713" s="29"/>
      <c r="D713" s="28"/>
      <c r="E713" s="30" t="str">
        <f>IFERROR(VLOOKUP(D713,KRX종목마스터!$A:$B,2,FALSE),"")</f>
        <v/>
      </c>
      <c r="F713" s="42"/>
      <c r="G713" s="42"/>
      <c r="H713" s="31" t="str">
        <f t="shared" si="33"/>
        <v/>
      </c>
      <c r="I713" s="43">
        <f ca="1">IFERROR(SUMPRODUCT((참고!$A$31:$A$130=C713)*(참고!$B$31:$B$130&lt;=A713)*(참고!$B$31:$B$130=_xludf.MAXIFS(참고!$B$31:$B$130,참고!$A$31:$A$130,C713,참고!$B$31:$B$130,"&lt;="&amp;A713))*참고!$C$31:$C$130)/100,0)</f>
        <v>0</v>
      </c>
      <c r="J713" s="31" t="str">
        <f t="shared" si="34"/>
        <v/>
      </c>
      <c r="K713" s="43">
        <f>IF(B713="매도",IFERROR(SUMPRODUCT((참고!$A$31:$A$130=C713)*(참고!$B$31:$B$130&lt;=A713)*(참고!$B$31:$B$130=_xludf.MAXIFS(참고!$B$31:$B$130,참고!$A$31:$A$130,C713,참고!$B$31:$B$130,"&lt;="&amp;A713))*참고!$D$31:$D$130)/100,0),0)</f>
        <v>0</v>
      </c>
      <c r="L713" s="31" t="str">
        <f t="shared" si="35"/>
        <v/>
      </c>
      <c r="M713" s="39"/>
    </row>
    <row r="714" spans="1:13" ht="18" customHeight="1" x14ac:dyDescent="0.45">
      <c r="A714" s="37"/>
      <c r="B714" s="29"/>
      <c r="C714" s="29"/>
      <c r="D714" s="28"/>
      <c r="E714" s="30" t="str">
        <f>IFERROR(VLOOKUP(D714,KRX종목마스터!$A:$B,2,FALSE),"")</f>
        <v/>
      </c>
      <c r="F714" s="42"/>
      <c r="G714" s="42"/>
      <c r="H714" s="31" t="str">
        <f t="shared" si="33"/>
        <v/>
      </c>
      <c r="I714" s="43">
        <f ca="1">IFERROR(SUMPRODUCT((참고!$A$31:$A$130=C714)*(참고!$B$31:$B$130&lt;=A714)*(참고!$B$31:$B$130=_xludf.MAXIFS(참고!$B$31:$B$130,참고!$A$31:$A$130,C714,참고!$B$31:$B$130,"&lt;="&amp;A714))*참고!$C$31:$C$130)/100,0)</f>
        <v>0</v>
      </c>
      <c r="J714" s="31" t="str">
        <f t="shared" si="34"/>
        <v/>
      </c>
      <c r="K714" s="43">
        <f>IF(B714="매도",IFERROR(SUMPRODUCT((참고!$A$31:$A$130=C714)*(참고!$B$31:$B$130&lt;=A714)*(참고!$B$31:$B$130=_xludf.MAXIFS(참고!$B$31:$B$130,참고!$A$31:$A$130,C714,참고!$B$31:$B$130,"&lt;="&amp;A714))*참고!$D$31:$D$130)/100,0),0)</f>
        <v>0</v>
      </c>
      <c r="L714" s="31" t="str">
        <f t="shared" si="35"/>
        <v/>
      </c>
      <c r="M714" s="39"/>
    </row>
    <row r="715" spans="1:13" ht="18" customHeight="1" x14ac:dyDescent="0.45">
      <c r="A715" s="37"/>
      <c r="B715" s="29"/>
      <c r="C715" s="29"/>
      <c r="D715" s="28"/>
      <c r="E715" s="30" t="str">
        <f>IFERROR(VLOOKUP(D715,KRX종목마스터!$A:$B,2,FALSE),"")</f>
        <v/>
      </c>
      <c r="F715" s="42"/>
      <c r="G715" s="42"/>
      <c r="H715" s="31" t="str">
        <f t="shared" si="33"/>
        <v/>
      </c>
      <c r="I715" s="43">
        <f ca="1">IFERROR(SUMPRODUCT((참고!$A$31:$A$130=C715)*(참고!$B$31:$B$130&lt;=A715)*(참고!$B$31:$B$130=_xludf.MAXIFS(참고!$B$31:$B$130,참고!$A$31:$A$130,C715,참고!$B$31:$B$130,"&lt;="&amp;A715))*참고!$C$31:$C$130)/100,0)</f>
        <v>0</v>
      </c>
      <c r="J715" s="31" t="str">
        <f t="shared" si="34"/>
        <v/>
      </c>
      <c r="K715" s="43">
        <f>IF(B715="매도",IFERROR(SUMPRODUCT((참고!$A$31:$A$130=C715)*(참고!$B$31:$B$130&lt;=A715)*(참고!$B$31:$B$130=_xludf.MAXIFS(참고!$B$31:$B$130,참고!$A$31:$A$130,C715,참고!$B$31:$B$130,"&lt;="&amp;A715))*참고!$D$31:$D$130)/100,0),0)</f>
        <v>0</v>
      </c>
      <c r="L715" s="31" t="str">
        <f t="shared" si="35"/>
        <v/>
      </c>
      <c r="M715" s="39"/>
    </row>
    <row r="716" spans="1:13" ht="18" customHeight="1" x14ac:dyDescent="0.45">
      <c r="A716" s="37"/>
      <c r="B716" s="29"/>
      <c r="C716" s="29"/>
      <c r="D716" s="28"/>
      <c r="E716" s="30" t="str">
        <f>IFERROR(VLOOKUP(D716,KRX종목마스터!$A:$B,2,FALSE),"")</f>
        <v/>
      </c>
      <c r="F716" s="42"/>
      <c r="G716" s="42"/>
      <c r="H716" s="31" t="str">
        <f t="shared" si="33"/>
        <v/>
      </c>
      <c r="I716" s="43">
        <f ca="1">IFERROR(SUMPRODUCT((참고!$A$31:$A$130=C716)*(참고!$B$31:$B$130&lt;=A716)*(참고!$B$31:$B$130=_xludf.MAXIFS(참고!$B$31:$B$130,참고!$A$31:$A$130,C716,참고!$B$31:$B$130,"&lt;="&amp;A716))*참고!$C$31:$C$130)/100,0)</f>
        <v>0</v>
      </c>
      <c r="J716" s="31" t="str">
        <f t="shared" si="34"/>
        <v/>
      </c>
      <c r="K716" s="43">
        <f>IF(B716="매도",IFERROR(SUMPRODUCT((참고!$A$31:$A$130=C716)*(참고!$B$31:$B$130&lt;=A716)*(참고!$B$31:$B$130=_xludf.MAXIFS(참고!$B$31:$B$130,참고!$A$31:$A$130,C716,참고!$B$31:$B$130,"&lt;="&amp;A716))*참고!$D$31:$D$130)/100,0),0)</f>
        <v>0</v>
      </c>
      <c r="L716" s="31" t="str">
        <f t="shared" si="35"/>
        <v/>
      </c>
      <c r="M716" s="39"/>
    </row>
    <row r="717" spans="1:13" ht="18" customHeight="1" x14ac:dyDescent="0.45">
      <c r="A717" s="37"/>
      <c r="B717" s="29"/>
      <c r="C717" s="29"/>
      <c r="D717" s="28"/>
      <c r="E717" s="30" t="str">
        <f>IFERROR(VLOOKUP(D717,KRX종목마스터!$A:$B,2,FALSE),"")</f>
        <v/>
      </c>
      <c r="F717" s="42"/>
      <c r="G717" s="42"/>
      <c r="H717" s="31" t="str">
        <f t="shared" si="33"/>
        <v/>
      </c>
      <c r="I717" s="43">
        <f ca="1">IFERROR(SUMPRODUCT((참고!$A$31:$A$130=C717)*(참고!$B$31:$B$130&lt;=A717)*(참고!$B$31:$B$130=_xludf.MAXIFS(참고!$B$31:$B$130,참고!$A$31:$A$130,C717,참고!$B$31:$B$130,"&lt;="&amp;A717))*참고!$C$31:$C$130)/100,0)</f>
        <v>0</v>
      </c>
      <c r="J717" s="31" t="str">
        <f t="shared" si="34"/>
        <v/>
      </c>
      <c r="K717" s="43">
        <f>IF(B717="매도",IFERROR(SUMPRODUCT((참고!$A$31:$A$130=C717)*(참고!$B$31:$B$130&lt;=A717)*(참고!$B$31:$B$130=_xludf.MAXIFS(참고!$B$31:$B$130,참고!$A$31:$A$130,C717,참고!$B$31:$B$130,"&lt;="&amp;A717))*참고!$D$31:$D$130)/100,0),0)</f>
        <v>0</v>
      </c>
      <c r="L717" s="31" t="str">
        <f t="shared" si="35"/>
        <v/>
      </c>
      <c r="M717" s="39"/>
    </row>
    <row r="718" spans="1:13" ht="18" customHeight="1" x14ac:dyDescent="0.45">
      <c r="A718" s="37"/>
      <c r="B718" s="29"/>
      <c r="C718" s="29"/>
      <c r="D718" s="28"/>
      <c r="E718" s="30" t="str">
        <f>IFERROR(VLOOKUP(D718,KRX종목마스터!$A:$B,2,FALSE),"")</f>
        <v/>
      </c>
      <c r="F718" s="42"/>
      <c r="G718" s="42"/>
      <c r="H718" s="31" t="str">
        <f t="shared" si="33"/>
        <v/>
      </c>
      <c r="I718" s="43">
        <f ca="1">IFERROR(SUMPRODUCT((참고!$A$31:$A$130=C718)*(참고!$B$31:$B$130&lt;=A718)*(참고!$B$31:$B$130=_xludf.MAXIFS(참고!$B$31:$B$130,참고!$A$31:$A$130,C718,참고!$B$31:$B$130,"&lt;="&amp;A718))*참고!$C$31:$C$130)/100,0)</f>
        <v>0</v>
      </c>
      <c r="J718" s="31" t="str">
        <f t="shared" si="34"/>
        <v/>
      </c>
      <c r="K718" s="43">
        <f>IF(B718="매도",IFERROR(SUMPRODUCT((참고!$A$31:$A$130=C718)*(참고!$B$31:$B$130&lt;=A718)*(참고!$B$31:$B$130=_xludf.MAXIFS(참고!$B$31:$B$130,참고!$A$31:$A$130,C718,참고!$B$31:$B$130,"&lt;="&amp;A718))*참고!$D$31:$D$130)/100,0),0)</f>
        <v>0</v>
      </c>
      <c r="L718" s="31" t="str">
        <f t="shared" si="35"/>
        <v/>
      </c>
      <c r="M718" s="39"/>
    </row>
    <row r="719" spans="1:13" ht="18" customHeight="1" x14ac:dyDescent="0.45">
      <c r="A719" s="37"/>
      <c r="B719" s="29"/>
      <c r="C719" s="29"/>
      <c r="D719" s="28"/>
      <c r="E719" s="30" t="str">
        <f>IFERROR(VLOOKUP(D719,KRX종목마스터!$A:$B,2,FALSE),"")</f>
        <v/>
      </c>
      <c r="F719" s="42"/>
      <c r="G719" s="42"/>
      <c r="H719" s="31" t="str">
        <f t="shared" si="33"/>
        <v/>
      </c>
      <c r="I719" s="43">
        <f ca="1">IFERROR(SUMPRODUCT((참고!$A$31:$A$130=C719)*(참고!$B$31:$B$130&lt;=A719)*(참고!$B$31:$B$130=_xludf.MAXIFS(참고!$B$31:$B$130,참고!$A$31:$A$130,C719,참고!$B$31:$B$130,"&lt;="&amp;A719))*참고!$C$31:$C$130)/100,0)</f>
        <v>0</v>
      </c>
      <c r="J719" s="31" t="str">
        <f t="shared" si="34"/>
        <v/>
      </c>
      <c r="K719" s="43">
        <f>IF(B719="매도",IFERROR(SUMPRODUCT((참고!$A$31:$A$130=C719)*(참고!$B$31:$B$130&lt;=A719)*(참고!$B$31:$B$130=_xludf.MAXIFS(참고!$B$31:$B$130,참고!$A$31:$A$130,C719,참고!$B$31:$B$130,"&lt;="&amp;A719))*참고!$D$31:$D$130)/100,0),0)</f>
        <v>0</v>
      </c>
      <c r="L719" s="31" t="str">
        <f t="shared" si="35"/>
        <v/>
      </c>
      <c r="M719" s="39"/>
    </row>
    <row r="720" spans="1:13" ht="18" customHeight="1" x14ac:dyDescent="0.45">
      <c r="A720" s="37"/>
      <c r="B720" s="29"/>
      <c r="C720" s="29"/>
      <c r="D720" s="28"/>
      <c r="E720" s="30" t="str">
        <f>IFERROR(VLOOKUP(D720,KRX종목마스터!$A:$B,2,FALSE),"")</f>
        <v/>
      </c>
      <c r="F720" s="42"/>
      <c r="G720" s="42"/>
      <c r="H720" s="31" t="str">
        <f t="shared" si="33"/>
        <v/>
      </c>
      <c r="I720" s="43">
        <f ca="1">IFERROR(SUMPRODUCT((참고!$A$31:$A$130=C720)*(참고!$B$31:$B$130&lt;=A720)*(참고!$B$31:$B$130=_xludf.MAXIFS(참고!$B$31:$B$130,참고!$A$31:$A$130,C720,참고!$B$31:$B$130,"&lt;="&amp;A720))*참고!$C$31:$C$130)/100,0)</f>
        <v>0</v>
      </c>
      <c r="J720" s="31" t="str">
        <f t="shared" si="34"/>
        <v/>
      </c>
      <c r="K720" s="43">
        <f>IF(B720="매도",IFERROR(SUMPRODUCT((참고!$A$31:$A$130=C720)*(참고!$B$31:$B$130&lt;=A720)*(참고!$B$31:$B$130=_xludf.MAXIFS(참고!$B$31:$B$130,참고!$A$31:$A$130,C720,참고!$B$31:$B$130,"&lt;="&amp;A720))*참고!$D$31:$D$130)/100,0),0)</f>
        <v>0</v>
      </c>
      <c r="L720" s="31" t="str">
        <f t="shared" si="35"/>
        <v/>
      </c>
      <c r="M720" s="39"/>
    </row>
    <row r="721" spans="1:13" ht="18" customHeight="1" x14ac:dyDescent="0.45">
      <c r="A721" s="37"/>
      <c r="B721" s="29"/>
      <c r="C721" s="29"/>
      <c r="D721" s="28"/>
      <c r="E721" s="30" t="str">
        <f>IFERROR(VLOOKUP(D721,KRX종목마스터!$A:$B,2,FALSE),"")</f>
        <v/>
      </c>
      <c r="F721" s="42"/>
      <c r="G721" s="42"/>
      <c r="H721" s="31" t="str">
        <f t="shared" si="33"/>
        <v/>
      </c>
      <c r="I721" s="43">
        <f ca="1">IFERROR(SUMPRODUCT((참고!$A$31:$A$130=C721)*(참고!$B$31:$B$130&lt;=A721)*(참고!$B$31:$B$130=_xludf.MAXIFS(참고!$B$31:$B$130,참고!$A$31:$A$130,C721,참고!$B$31:$B$130,"&lt;="&amp;A721))*참고!$C$31:$C$130)/100,0)</f>
        <v>0</v>
      </c>
      <c r="J721" s="31" t="str">
        <f t="shared" si="34"/>
        <v/>
      </c>
      <c r="K721" s="43">
        <f>IF(B721="매도",IFERROR(SUMPRODUCT((참고!$A$31:$A$130=C721)*(참고!$B$31:$B$130&lt;=A721)*(참고!$B$31:$B$130=_xludf.MAXIFS(참고!$B$31:$B$130,참고!$A$31:$A$130,C721,참고!$B$31:$B$130,"&lt;="&amp;A721))*참고!$D$31:$D$130)/100,0),0)</f>
        <v>0</v>
      </c>
      <c r="L721" s="31" t="str">
        <f t="shared" si="35"/>
        <v/>
      </c>
      <c r="M721" s="39"/>
    </row>
    <row r="722" spans="1:13" ht="18" customHeight="1" x14ac:dyDescent="0.45">
      <c r="A722" s="37"/>
      <c r="B722" s="29"/>
      <c r="C722" s="29"/>
      <c r="D722" s="28"/>
      <c r="E722" s="30" t="str">
        <f>IFERROR(VLOOKUP(D722,KRX종목마스터!$A:$B,2,FALSE),"")</f>
        <v/>
      </c>
      <c r="F722" s="42"/>
      <c r="G722" s="42"/>
      <c r="H722" s="31" t="str">
        <f t="shared" si="33"/>
        <v/>
      </c>
      <c r="I722" s="43">
        <f ca="1">IFERROR(SUMPRODUCT((참고!$A$31:$A$130=C722)*(참고!$B$31:$B$130&lt;=A722)*(참고!$B$31:$B$130=_xludf.MAXIFS(참고!$B$31:$B$130,참고!$A$31:$A$130,C722,참고!$B$31:$B$130,"&lt;="&amp;A722))*참고!$C$31:$C$130)/100,0)</f>
        <v>0</v>
      </c>
      <c r="J722" s="31" t="str">
        <f t="shared" si="34"/>
        <v/>
      </c>
      <c r="K722" s="43">
        <f>IF(B722="매도",IFERROR(SUMPRODUCT((참고!$A$31:$A$130=C722)*(참고!$B$31:$B$130&lt;=A722)*(참고!$B$31:$B$130=_xludf.MAXIFS(참고!$B$31:$B$130,참고!$A$31:$A$130,C722,참고!$B$31:$B$130,"&lt;="&amp;A722))*참고!$D$31:$D$130)/100,0),0)</f>
        <v>0</v>
      </c>
      <c r="L722" s="31" t="str">
        <f t="shared" si="35"/>
        <v/>
      </c>
      <c r="M722" s="39"/>
    </row>
    <row r="723" spans="1:13" ht="18" customHeight="1" x14ac:dyDescent="0.45">
      <c r="A723" s="37"/>
      <c r="B723" s="29"/>
      <c r="C723" s="29"/>
      <c r="D723" s="28"/>
      <c r="E723" s="30" t="str">
        <f>IFERROR(VLOOKUP(D723,KRX종목마스터!$A:$B,2,FALSE),"")</f>
        <v/>
      </c>
      <c r="F723" s="42"/>
      <c r="G723" s="42"/>
      <c r="H723" s="31" t="str">
        <f t="shared" si="33"/>
        <v/>
      </c>
      <c r="I723" s="43">
        <f ca="1">IFERROR(SUMPRODUCT((참고!$A$31:$A$130=C723)*(참고!$B$31:$B$130&lt;=A723)*(참고!$B$31:$B$130=_xludf.MAXIFS(참고!$B$31:$B$130,참고!$A$31:$A$130,C723,참고!$B$31:$B$130,"&lt;="&amp;A723))*참고!$C$31:$C$130)/100,0)</f>
        <v>0</v>
      </c>
      <c r="J723" s="31" t="str">
        <f t="shared" si="34"/>
        <v/>
      </c>
      <c r="K723" s="43">
        <f>IF(B723="매도",IFERROR(SUMPRODUCT((참고!$A$31:$A$130=C723)*(참고!$B$31:$B$130&lt;=A723)*(참고!$B$31:$B$130=_xludf.MAXIFS(참고!$B$31:$B$130,참고!$A$31:$A$130,C723,참고!$B$31:$B$130,"&lt;="&amp;A723))*참고!$D$31:$D$130)/100,0),0)</f>
        <v>0</v>
      </c>
      <c r="L723" s="31" t="str">
        <f t="shared" si="35"/>
        <v/>
      </c>
      <c r="M723" s="39"/>
    </row>
    <row r="724" spans="1:13" ht="18" customHeight="1" x14ac:dyDescent="0.45">
      <c r="A724" s="37"/>
      <c r="B724" s="29"/>
      <c r="C724" s="29"/>
      <c r="D724" s="28"/>
      <c r="E724" s="30" t="str">
        <f>IFERROR(VLOOKUP(D724,KRX종목마스터!$A:$B,2,FALSE),"")</f>
        <v/>
      </c>
      <c r="F724" s="42"/>
      <c r="G724" s="42"/>
      <c r="H724" s="31" t="str">
        <f t="shared" si="33"/>
        <v/>
      </c>
      <c r="I724" s="43">
        <f ca="1">IFERROR(SUMPRODUCT((참고!$A$31:$A$130=C724)*(참고!$B$31:$B$130&lt;=A724)*(참고!$B$31:$B$130=_xludf.MAXIFS(참고!$B$31:$B$130,참고!$A$31:$A$130,C724,참고!$B$31:$B$130,"&lt;="&amp;A724))*참고!$C$31:$C$130)/100,0)</f>
        <v>0</v>
      </c>
      <c r="J724" s="31" t="str">
        <f t="shared" si="34"/>
        <v/>
      </c>
      <c r="K724" s="43">
        <f>IF(B724="매도",IFERROR(SUMPRODUCT((참고!$A$31:$A$130=C724)*(참고!$B$31:$B$130&lt;=A724)*(참고!$B$31:$B$130=_xludf.MAXIFS(참고!$B$31:$B$130,참고!$A$31:$A$130,C724,참고!$B$31:$B$130,"&lt;="&amp;A724))*참고!$D$31:$D$130)/100,0),0)</f>
        <v>0</v>
      </c>
      <c r="L724" s="31" t="str">
        <f t="shared" si="35"/>
        <v/>
      </c>
      <c r="M724" s="39"/>
    </row>
    <row r="725" spans="1:13" ht="18" customHeight="1" x14ac:dyDescent="0.45">
      <c r="A725" s="37"/>
      <c r="B725" s="29"/>
      <c r="C725" s="29"/>
      <c r="D725" s="28"/>
      <c r="E725" s="30" t="str">
        <f>IFERROR(VLOOKUP(D725,KRX종목마스터!$A:$B,2,FALSE),"")</f>
        <v/>
      </c>
      <c r="F725" s="42"/>
      <c r="G725" s="42"/>
      <c r="H725" s="31" t="str">
        <f t="shared" si="33"/>
        <v/>
      </c>
      <c r="I725" s="43">
        <f ca="1">IFERROR(SUMPRODUCT((참고!$A$31:$A$130=C725)*(참고!$B$31:$B$130&lt;=A725)*(참고!$B$31:$B$130=_xludf.MAXIFS(참고!$B$31:$B$130,참고!$A$31:$A$130,C725,참고!$B$31:$B$130,"&lt;="&amp;A725))*참고!$C$31:$C$130)/100,0)</f>
        <v>0</v>
      </c>
      <c r="J725" s="31" t="str">
        <f t="shared" si="34"/>
        <v/>
      </c>
      <c r="K725" s="43">
        <f>IF(B725="매도",IFERROR(SUMPRODUCT((참고!$A$31:$A$130=C725)*(참고!$B$31:$B$130&lt;=A725)*(참고!$B$31:$B$130=_xludf.MAXIFS(참고!$B$31:$B$130,참고!$A$31:$A$130,C725,참고!$B$31:$B$130,"&lt;="&amp;A725))*참고!$D$31:$D$130)/100,0),0)</f>
        <v>0</v>
      </c>
      <c r="L725" s="31" t="str">
        <f t="shared" si="35"/>
        <v/>
      </c>
      <c r="M725" s="39"/>
    </row>
    <row r="726" spans="1:13" ht="18" customHeight="1" x14ac:dyDescent="0.45">
      <c r="A726" s="37"/>
      <c r="B726" s="29"/>
      <c r="C726" s="29"/>
      <c r="D726" s="28"/>
      <c r="E726" s="30" t="str">
        <f>IFERROR(VLOOKUP(D726,KRX종목마스터!$A:$B,2,FALSE),"")</f>
        <v/>
      </c>
      <c r="F726" s="42"/>
      <c r="G726" s="42"/>
      <c r="H726" s="31" t="str">
        <f t="shared" si="33"/>
        <v/>
      </c>
      <c r="I726" s="43">
        <f ca="1">IFERROR(SUMPRODUCT((참고!$A$31:$A$130=C726)*(참고!$B$31:$B$130&lt;=A726)*(참고!$B$31:$B$130=_xludf.MAXIFS(참고!$B$31:$B$130,참고!$A$31:$A$130,C726,참고!$B$31:$B$130,"&lt;="&amp;A726))*참고!$C$31:$C$130)/100,0)</f>
        <v>0</v>
      </c>
      <c r="J726" s="31" t="str">
        <f t="shared" si="34"/>
        <v/>
      </c>
      <c r="K726" s="43">
        <f>IF(B726="매도",IFERROR(SUMPRODUCT((참고!$A$31:$A$130=C726)*(참고!$B$31:$B$130&lt;=A726)*(참고!$B$31:$B$130=_xludf.MAXIFS(참고!$B$31:$B$130,참고!$A$31:$A$130,C726,참고!$B$31:$B$130,"&lt;="&amp;A726))*참고!$D$31:$D$130)/100,0),0)</f>
        <v>0</v>
      </c>
      <c r="L726" s="31" t="str">
        <f t="shared" si="35"/>
        <v/>
      </c>
      <c r="M726" s="39"/>
    </row>
    <row r="727" spans="1:13" ht="18" customHeight="1" x14ac:dyDescent="0.45">
      <c r="A727" s="37"/>
      <c r="B727" s="29"/>
      <c r="C727" s="29"/>
      <c r="D727" s="28"/>
      <c r="E727" s="30" t="str">
        <f>IFERROR(VLOOKUP(D727,KRX종목마스터!$A:$B,2,FALSE),"")</f>
        <v/>
      </c>
      <c r="F727" s="42"/>
      <c r="G727" s="42"/>
      <c r="H727" s="31" t="str">
        <f t="shared" si="33"/>
        <v/>
      </c>
      <c r="I727" s="43">
        <f ca="1">IFERROR(SUMPRODUCT((참고!$A$31:$A$130=C727)*(참고!$B$31:$B$130&lt;=A727)*(참고!$B$31:$B$130=_xludf.MAXIFS(참고!$B$31:$B$130,참고!$A$31:$A$130,C727,참고!$B$31:$B$130,"&lt;="&amp;A727))*참고!$C$31:$C$130)/100,0)</f>
        <v>0</v>
      </c>
      <c r="J727" s="31" t="str">
        <f t="shared" si="34"/>
        <v/>
      </c>
      <c r="K727" s="43">
        <f>IF(B727="매도",IFERROR(SUMPRODUCT((참고!$A$31:$A$130=C727)*(참고!$B$31:$B$130&lt;=A727)*(참고!$B$31:$B$130=_xludf.MAXIFS(참고!$B$31:$B$130,참고!$A$31:$A$130,C727,참고!$B$31:$B$130,"&lt;="&amp;A727))*참고!$D$31:$D$130)/100,0),0)</f>
        <v>0</v>
      </c>
      <c r="L727" s="31" t="str">
        <f t="shared" si="35"/>
        <v/>
      </c>
      <c r="M727" s="39"/>
    </row>
    <row r="728" spans="1:13" ht="18" customHeight="1" x14ac:dyDescent="0.45">
      <c r="A728" s="37"/>
      <c r="B728" s="29"/>
      <c r="C728" s="29"/>
      <c r="D728" s="28"/>
      <c r="E728" s="30" t="str">
        <f>IFERROR(VLOOKUP(D728,KRX종목마스터!$A:$B,2,FALSE),"")</f>
        <v/>
      </c>
      <c r="F728" s="42"/>
      <c r="G728" s="42"/>
      <c r="H728" s="31" t="str">
        <f t="shared" si="33"/>
        <v/>
      </c>
      <c r="I728" s="43">
        <f ca="1">IFERROR(SUMPRODUCT((참고!$A$31:$A$130=C728)*(참고!$B$31:$B$130&lt;=A728)*(참고!$B$31:$B$130=_xludf.MAXIFS(참고!$B$31:$B$130,참고!$A$31:$A$130,C728,참고!$B$31:$B$130,"&lt;="&amp;A728))*참고!$C$31:$C$130)/100,0)</f>
        <v>0</v>
      </c>
      <c r="J728" s="31" t="str">
        <f t="shared" si="34"/>
        <v/>
      </c>
      <c r="K728" s="43">
        <f>IF(B728="매도",IFERROR(SUMPRODUCT((참고!$A$31:$A$130=C728)*(참고!$B$31:$B$130&lt;=A728)*(참고!$B$31:$B$130=_xludf.MAXIFS(참고!$B$31:$B$130,참고!$A$31:$A$130,C728,참고!$B$31:$B$130,"&lt;="&amp;A728))*참고!$D$31:$D$130)/100,0),0)</f>
        <v>0</v>
      </c>
      <c r="L728" s="31" t="str">
        <f t="shared" si="35"/>
        <v/>
      </c>
      <c r="M728" s="39"/>
    </row>
    <row r="729" spans="1:13" ht="18" customHeight="1" x14ac:dyDescent="0.45">
      <c r="A729" s="37"/>
      <c r="B729" s="29"/>
      <c r="C729" s="29"/>
      <c r="D729" s="28"/>
      <c r="E729" s="30" t="str">
        <f>IFERROR(VLOOKUP(D729,KRX종목마스터!$A:$B,2,FALSE),"")</f>
        <v/>
      </c>
      <c r="F729" s="42"/>
      <c r="G729" s="42"/>
      <c r="H729" s="31" t="str">
        <f t="shared" si="33"/>
        <v/>
      </c>
      <c r="I729" s="43">
        <f ca="1">IFERROR(SUMPRODUCT((참고!$A$31:$A$130=C729)*(참고!$B$31:$B$130&lt;=A729)*(참고!$B$31:$B$130=_xludf.MAXIFS(참고!$B$31:$B$130,참고!$A$31:$A$130,C729,참고!$B$31:$B$130,"&lt;="&amp;A729))*참고!$C$31:$C$130)/100,0)</f>
        <v>0</v>
      </c>
      <c r="J729" s="31" t="str">
        <f t="shared" si="34"/>
        <v/>
      </c>
      <c r="K729" s="43">
        <f>IF(B729="매도",IFERROR(SUMPRODUCT((참고!$A$31:$A$130=C729)*(참고!$B$31:$B$130&lt;=A729)*(참고!$B$31:$B$130=_xludf.MAXIFS(참고!$B$31:$B$130,참고!$A$31:$A$130,C729,참고!$B$31:$B$130,"&lt;="&amp;A729))*참고!$D$31:$D$130)/100,0),0)</f>
        <v>0</v>
      </c>
      <c r="L729" s="31" t="str">
        <f t="shared" si="35"/>
        <v/>
      </c>
      <c r="M729" s="39"/>
    </row>
    <row r="730" spans="1:13" ht="18" customHeight="1" x14ac:dyDescent="0.45">
      <c r="A730" s="37"/>
      <c r="B730" s="29"/>
      <c r="C730" s="29"/>
      <c r="D730" s="28"/>
      <c r="E730" s="30" t="str">
        <f>IFERROR(VLOOKUP(D730,KRX종목마스터!$A:$B,2,FALSE),"")</f>
        <v/>
      </c>
      <c r="F730" s="42"/>
      <c r="G730" s="42"/>
      <c r="H730" s="31" t="str">
        <f t="shared" si="33"/>
        <v/>
      </c>
      <c r="I730" s="43">
        <f ca="1">IFERROR(SUMPRODUCT((참고!$A$31:$A$130=C730)*(참고!$B$31:$B$130&lt;=A730)*(참고!$B$31:$B$130=_xludf.MAXIFS(참고!$B$31:$B$130,참고!$A$31:$A$130,C730,참고!$B$31:$B$130,"&lt;="&amp;A730))*참고!$C$31:$C$130)/100,0)</f>
        <v>0</v>
      </c>
      <c r="J730" s="31" t="str">
        <f t="shared" si="34"/>
        <v/>
      </c>
      <c r="K730" s="43">
        <f>IF(B730="매도",IFERROR(SUMPRODUCT((참고!$A$31:$A$130=C730)*(참고!$B$31:$B$130&lt;=A730)*(참고!$B$31:$B$130=_xludf.MAXIFS(참고!$B$31:$B$130,참고!$A$31:$A$130,C730,참고!$B$31:$B$130,"&lt;="&amp;A730))*참고!$D$31:$D$130)/100,0),0)</f>
        <v>0</v>
      </c>
      <c r="L730" s="31" t="str">
        <f t="shared" si="35"/>
        <v/>
      </c>
      <c r="M730" s="39"/>
    </row>
    <row r="731" spans="1:13" ht="18" customHeight="1" x14ac:dyDescent="0.45">
      <c r="A731" s="37"/>
      <c r="B731" s="29"/>
      <c r="C731" s="29"/>
      <c r="D731" s="28"/>
      <c r="E731" s="30" t="str">
        <f>IFERROR(VLOOKUP(D731,KRX종목마스터!$A:$B,2,FALSE),"")</f>
        <v/>
      </c>
      <c r="F731" s="42"/>
      <c r="G731" s="42"/>
      <c r="H731" s="31" t="str">
        <f t="shared" si="33"/>
        <v/>
      </c>
      <c r="I731" s="43">
        <f ca="1">IFERROR(SUMPRODUCT((참고!$A$31:$A$130=C731)*(참고!$B$31:$B$130&lt;=A731)*(참고!$B$31:$B$130=_xludf.MAXIFS(참고!$B$31:$B$130,참고!$A$31:$A$130,C731,참고!$B$31:$B$130,"&lt;="&amp;A731))*참고!$C$31:$C$130)/100,0)</f>
        <v>0</v>
      </c>
      <c r="J731" s="31" t="str">
        <f t="shared" si="34"/>
        <v/>
      </c>
      <c r="K731" s="43">
        <f>IF(B731="매도",IFERROR(SUMPRODUCT((참고!$A$31:$A$130=C731)*(참고!$B$31:$B$130&lt;=A731)*(참고!$B$31:$B$130=_xludf.MAXIFS(참고!$B$31:$B$130,참고!$A$31:$A$130,C731,참고!$B$31:$B$130,"&lt;="&amp;A731))*참고!$D$31:$D$130)/100,0),0)</f>
        <v>0</v>
      </c>
      <c r="L731" s="31" t="str">
        <f t="shared" si="35"/>
        <v/>
      </c>
      <c r="M731" s="39"/>
    </row>
    <row r="732" spans="1:13" ht="18" customHeight="1" x14ac:dyDescent="0.45">
      <c r="A732" s="37"/>
      <c r="B732" s="29"/>
      <c r="C732" s="29"/>
      <c r="D732" s="28"/>
      <c r="E732" s="30" t="str">
        <f>IFERROR(VLOOKUP(D732,KRX종목마스터!$A:$B,2,FALSE),"")</f>
        <v/>
      </c>
      <c r="F732" s="42"/>
      <c r="G732" s="42"/>
      <c r="H732" s="31" t="str">
        <f t="shared" si="33"/>
        <v/>
      </c>
      <c r="I732" s="43">
        <f ca="1">IFERROR(SUMPRODUCT((참고!$A$31:$A$130=C732)*(참고!$B$31:$B$130&lt;=A732)*(참고!$B$31:$B$130=_xludf.MAXIFS(참고!$B$31:$B$130,참고!$A$31:$A$130,C732,참고!$B$31:$B$130,"&lt;="&amp;A732))*참고!$C$31:$C$130)/100,0)</f>
        <v>0</v>
      </c>
      <c r="J732" s="31" t="str">
        <f t="shared" si="34"/>
        <v/>
      </c>
      <c r="K732" s="43">
        <f>IF(B732="매도",IFERROR(SUMPRODUCT((참고!$A$31:$A$130=C732)*(참고!$B$31:$B$130&lt;=A732)*(참고!$B$31:$B$130=_xludf.MAXIFS(참고!$B$31:$B$130,참고!$A$31:$A$130,C732,참고!$B$31:$B$130,"&lt;="&amp;A732))*참고!$D$31:$D$130)/100,0),0)</f>
        <v>0</v>
      </c>
      <c r="L732" s="31" t="str">
        <f t="shared" si="35"/>
        <v/>
      </c>
      <c r="M732" s="39"/>
    </row>
    <row r="733" spans="1:13" ht="18" customHeight="1" x14ac:dyDescent="0.45">
      <c r="A733" s="37"/>
      <c r="B733" s="29"/>
      <c r="C733" s="29"/>
      <c r="D733" s="28"/>
      <c r="E733" s="30" t="str">
        <f>IFERROR(VLOOKUP(D733,KRX종목마스터!$A:$B,2,FALSE),"")</f>
        <v/>
      </c>
      <c r="F733" s="42"/>
      <c r="G733" s="42"/>
      <c r="H733" s="31" t="str">
        <f t="shared" si="33"/>
        <v/>
      </c>
      <c r="I733" s="43">
        <f ca="1">IFERROR(SUMPRODUCT((참고!$A$31:$A$130=C733)*(참고!$B$31:$B$130&lt;=A733)*(참고!$B$31:$B$130=_xludf.MAXIFS(참고!$B$31:$B$130,참고!$A$31:$A$130,C733,참고!$B$31:$B$130,"&lt;="&amp;A733))*참고!$C$31:$C$130)/100,0)</f>
        <v>0</v>
      </c>
      <c r="J733" s="31" t="str">
        <f t="shared" si="34"/>
        <v/>
      </c>
      <c r="K733" s="43">
        <f>IF(B733="매도",IFERROR(SUMPRODUCT((참고!$A$31:$A$130=C733)*(참고!$B$31:$B$130&lt;=A733)*(참고!$B$31:$B$130=_xludf.MAXIFS(참고!$B$31:$B$130,참고!$A$31:$A$130,C733,참고!$B$31:$B$130,"&lt;="&amp;A733))*참고!$D$31:$D$130)/100,0),0)</f>
        <v>0</v>
      </c>
      <c r="L733" s="31" t="str">
        <f t="shared" si="35"/>
        <v/>
      </c>
      <c r="M733" s="39"/>
    </row>
    <row r="734" spans="1:13" ht="18" customHeight="1" x14ac:dyDescent="0.45">
      <c r="A734" s="37"/>
      <c r="B734" s="29"/>
      <c r="C734" s="29"/>
      <c r="D734" s="28"/>
      <c r="E734" s="30" t="str">
        <f>IFERROR(VLOOKUP(D734,KRX종목마스터!$A:$B,2,FALSE),"")</f>
        <v/>
      </c>
      <c r="F734" s="42"/>
      <c r="G734" s="42"/>
      <c r="H734" s="31" t="str">
        <f t="shared" si="33"/>
        <v/>
      </c>
      <c r="I734" s="43">
        <f ca="1">IFERROR(SUMPRODUCT((참고!$A$31:$A$130=C734)*(참고!$B$31:$B$130&lt;=A734)*(참고!$B$31:$B$130=_xludf.MAXIFS(참고!$B$31:$B$130,참고!$A$31:$A$130,C734,참고!$B$31:$B$130,"&lt;="&amp;A734))*참고!$C$31:$C$130)/100,0)</f>
        <v>0</v>
      </c>
      <c r="J734" s="31" t="str">
        <f t="shared" si="34"/>
        <v/>
      </c>
      <c r="K734" s="43">
        <f>IF(B734="매도",IFERROR(SUMPRODUCT((참고!$A$31:$A$130=C734)*(참고!$B$31:$B$130&lt;=A734)*(참고!$B$31:$B$130=_xludf.MAXIFS(참고!$B$31:$B$130,참고!$A$31:$A$130,C734,참고!$B$31:$B$130,"&lt;="&amp;A734))*참고!$D$31:$D$130)/100,0),0)</f>
        <v>0</v>
      </c>
      <c r="L734" s="31" t="str">
        <f t="shared" si="35"/>
        <v/>
      </c>
      <c r="M734" s="39"/>
    </row>
    <row r="735" spans="1:13" ht="18" customHeight="1" x14ac:dyDescent="0.45">
      <c r="A735" s="37"/>
      <c r="B735" s="29"/>
      <c r="C735" s="29"/>
      <c r="D735" s="28"/>
      <c r="E735" s="30" t="str">
        <f>IFERROR(VLOOKUP(D735,KRX종목마스터!$A:$B,2,FALSE),"")</f>
        <v/>
      </c>
      <c r="F735" s="42"/>
      <c r="G735" s="42"/>
      <c r="H735" s="31" t="str">
        <f t="shared" si="33"/>
        <v/>
      </c>
      <c r="I735" s="43">
        <f ca="1">IFERROR(SUMPRODUCT((참고!$A$31:$A$130=C735)*(참고!$B$31:$B$130&lt;=A735)*(참고!$B$31:$B$130=_xludf.MAXIFS(참고!$B$31:$B$130,참고!$A$31:$A$130,C735,참고!$B$31:$B$130,"&lt;="&amp;A735))*참고!$C$31:$C$130)/100,0)</f>
        <v>0</v>
      </c>
      <c r="J735" s="31" t="str">
        <f t="shared" si="34"/>
        <v/>
      </c>
      <c r="K735" s="43">
        <f>IF(B735="매도",IFERROR(SUMPRODUCT((참고!$A$31:$A$130=C735)*(참고!$B$31:$B$130&lt;=A735)*(참고!$B$31:$B$130=_xludf.MAXIFS(참고!$B$31:$B$130,참고!$A$31:$A$130,C735,참고!$B$31:$B$130,"&lt;="&amp;A735))*참고!$D$31:$D$130)/100,0),0)</f>
        <v>0</v>
      </c>
      <c r="L735" s="31" t="str">
        <f t="shared" si="35"/>
        <v/>
      </c>
      <c r="M735" s="39"/>
    </row>
    <row r="736" spans="1:13" ht="18" customHeight="1" x14ac:dyDescent="0.45">
      <c r="A736" s="37"/>
      <c r="B736" s="29"/>
      <c r="C736" s="29"/>
      <c r="D736" s="28"/>
      <c r="E736" s="30" t="str">
        <f>IFERROR(VLOOKUP(D736,KRX종목마스터!$A:$B,2,FALSE),"")</f>
        <v/>
      </c>
      <c r="F736" s="42"/>
      <c r="G736" s="42"/>
      <c r="H736" s="31" t="str">
        <f t="shared" si="33"/>
        <v/>
      </c>
      <c r="I736" s="43">
        <f ca="1">IFERROR(SUMPRODUCT((참고!$A$31:$A$130=C736)*(참고!$B$31:$B$130&lt;=A736)*(참고!$B$31:$B$130=_xludf.MAXIFS(참고!$B$31:$B$130,참고!$A$31:$A$130,C736,참고!$B$31:$B$130,"&lt;="&amp;A736))*참고!$C$31:$C$130)/100,0)</f>
        <v>0</v>
      </c>
      <c r="J736" s="31" t="str">
        <f t="shared" si="34"/>
        <v/>
      </c>
      <c r="K736" s="43">
        <f>IF(B736="매도",IFERROR(SUMPRODUCT((참고!$A$31:$A$130=C736)*(참고!$B$31:$B$130&lt;=A736)*(참고!$B$31:$B$130=_xludf.MAXIFS(참고!$B$31:$B$130,참고!$A$31:$A$130,C736,참고!$B$31:$B$130,"&lt;="&amp;A736))*참고!$D$31:$D$130)/100,0),0)</f>
        <v>0</v>
      </c>
      <c r="L736" s="31" t="str">
        <f t="shared" si="35"/>
        <v/>
      </c>
      <c r="M736" s="39"/>
    </row>
    <row r="737" spans="1:13" ht="18" customHeight="1" x14ac:dyDescent="0.45">
      <c r="A737" s="37"/>
      <c r="B737" s="29"/>
      <c r="C737" s="29"/>
      <c r="D737" s="28"/>
      <c r="E737" s="30" t="str">
        <f>IFERROR(VLOOKUP(D737,KRX종목마스터!$A:$B,2,FALSE),"")</f>
        <v/>
      </c>
      <c r="F737" s="42"/>
      <c r="G737" s="42"/>
      <c r="H737" s="31" t="str">
        <f t="shared" si="33"/>
        <v/>
      </c>
      <c r="I737" s="43">
        <f ca="1">IFERROR(SUMPRODUCT((참고!$A$31:$A$130=C737)*(참고!$B$31:$B$130&lt;=A737)*(참고!$B$31:$B$130=_xludf.MAXIFS(참고!$B$31:$B$130,참고!$A$31:$A$130,C737,참고!$B$31:$B$130,"&lt;="&amp;A737))*참고!$C$31:$C$130)/100,0)</f>
        <v>0</v>
      </c>
      <c r="J737" s="31" t="str">
        <f t="shared" si="34"/>
        <v/>
      </c>
      <c r="K737" s="43">
        <f>IF(B737="매도",IFERROR(SUMPRODUCT((참고!$A$31:$A$130=C737)*(참고!$B$31:$B$130&lt;=A737)*(참고!$B$31:$B$130=_xludf.MAXIFS(참고!$B$31:$B$130,참고!$A$31:$A$130,C737,참고!$B$31:$B$130,"&lt;="&amp;A737))*참고!$D$31:$D$130)/100,0),0)</f>
        <v>0</v>
      </c>
      <c r="L737" s="31" t="str">
        <f t="shared" si="35"/>
        <v/>
      </c>
      <c r="M737" s="39"/>
    </row>
    <row r="738" spans="1:13" ht="18" customHeight="1" x14ac:dyDescent="0.45">
      <c r="A738" s="37"/>
      <c r="B738" s="29"/>
      <c r="C738" s="29"/>
      <c r="D738" s="28"/>
      <c r="E738" s="30" t="str">
        <f>IFERROR(VLOOKUP(D738,KRX종목마스터!$A:$B,2,FALSE),"")</f>
        <v/>
      </c>
      <c r="F738" s="42"/>
      <c r="G738" s="42"/>
      <c r="H738" s="31" t="str">
        <f t="shared" si="33"/>
        <v/>
      </c>
      <c r="I738" s="43">
        <f ca="1">IFERROR(SUMPRODUCT((참고!$A$31:$A$130=C738)*(참고!$B$31:$B$130&lt;=A738)*(참고!$B$31:$B$130=_xludf.MAXIFS(참고!$B$31:$B$130,참고!$A$31:$A$130,C738,참고!$B$31:$B$130,"&lt;="&amp;A738))*참고!$C$31:$C$130)/100,0)</f>
        <v>0</v>
      </c>
      <c r="J738" s="31" t="str">
        <f t="shared" si="34"/>
        <v/>
      </c>
      <c r="K738" s="43">
        <f>IF(B738="매도",IFERROR(SUMPRODUCT((참고!$A$31:$A$130=C738)*(참고!$B$31:$B$130&lt;=A738)*(참고!$B$31:$B$130=_xludf.MAXIFS(참고!$B$31:$B$130,참고!$A$31:$A$130,C738,참고!$B$31:$B$130,"&lt;="&amp;A738))*참고!$D$31:$D$130)/100,0),0)</f>
        <v>0</v>
      </c>
      <c r="L738" s="31" t="str">
        <f t="shared" si="35"/>
        <v/>
      </c>
      <c r="M738" s="39"/>
    </row>
    <row r="739" spans="1:13" ht="18" customHeight="1" x14ac:dyDescent="0.45">
      <c r="A739" s="37"/>
      <c r="B739" s="29"/>
      <c r="C739" s="29"/>
      <c r="D739" s="28"/>
      <c r="E739" s="30" t="str">
        <f>IFERROR(VLOOKUP(D739,KRX종목마스터!$A:$B,2,FALSE),"")</f>
        <v/>
      </c>
      <c r="F739" s="42"/>
      <c r="G739" s="42"/>
      <c r="H739" s="31" t="str">
        <f t="shared" si="33"/>
        <v/>
      </c>
      <c r="I739" s="43">
        <f ca="1">IFERROR(SUMPRODUCT((참고!$A$31:$A$130=C739)*(참고!$B$31:$B$130&lt;=A739)*(참고!$B$31:$B$130=_xludf.MAXIFS(참고!$B$31:$B$130,참고!$A$31:$A$130,C739,참고!$B$31:$B$130,"&lt;="&amp;A739))*참고!$C$31:$C$130)/100,0)</f>
        <v>0</v>
      </c>
      <c r="J739" s="31" t="str">
        <f t="shared" si="34"/>
        <v/>
      </c>
      <c r="K739" s="43">
        <f>IF(B739="매도",IFERROR(SUMPRODUCT((참고!$A$31:$A$130=C739)*(참고!$B$31:$B$130&lt;=A739)*(참고!$B$31:$B$130=_xludf.MAXIFS(참고!$B$31:$B$130,참고!$A$31:$A$130,C739,참고!$B$31:$B$130,"&lt;="&amp;A739))*참고!$D$31:$D$130)/100,0),0)</f>
        <v>0</v>
      </c>
      <c r="L739" s="31" t="str">
        <f t="shared" si="35"/>
        <v/>
      </c>
      <c r="M739" s="39"/>
    </row>
    <row r="740" spans="1:13" ht="18" customHeight="1" x14ac:dyDescent="0.45">
      <c r="A740" s="37"/>
      <c r="B740" s="29"/>
      <c r="C740" s="29"/>
      <c r="D740" s="28"/>
      <c r="E740" s="30" t="str">
        <f>IFERROR(VLOOKUP(D740,KRX종목마스터!$A:$B,2,FALSE),"")</f>
        <v/>
      </c>
      <c r="F740" s="42"/>
      <c r="G740" s="42"/>
      <c r="H740" s="31" t="str">
        <f t="shared" si="33"/>
        <v/>
      </c>
      <c r="I740" s="43">
        <f ca="1">IFERROR(SUMPRODUCT((참고!$A$31:$A$130=C740)*(참고!$B$31:$B$130&lt;=A740)*(참고!$B$31:$B$130=_xludf.MAXIFS(참고!$B$31:$B$130,참고!$A$31:$A$130,C740,참고!$B$31:$B$130,"&lt;="&amp;A740))*참고!$C$31:$C$130)/100,0)</f>
        <v>0</v>
      </c>
      <c r="J740" s="31" t="str">
        <f t="shared" si="34"/>
        <v/>
      </c>
      <c r="K740" s="43">
        <f>IF(B740="매도",IFERROR(SUMPRODUCT((참고!$A$31:$A$130=C740)*(참고!$B$31:$B$130&lt;=A740)*(참고!$B$31:$B$130=_xludf.MAXIFS(참고!$B$31:$B$130,참고!$A$31:$A$130,C740,참고!$B$31:$B$130,"&lt;="&amp;A740))*참고!$D$31:$D$130)/100,0),0)</f>
        <v>0</v>
      </c>
      <c r="L740" s="31" t="str">
        <f t="shared" si="35"/>
        <v/>
      </c>
      <c r="M740" s="39"/>
    </row>
    <row r="741" spans="1:13" ht="18" customHeight="1" x14ac:dyDescent="0.45">
      <c r="A741" s="37"/>
      <c r="B741" s="29"/>
      <c r="C741" s="29"/>
      <c r="D741" s="28"/>
      <c r="E741" s="30" t="str">
        <f>IFERROR(VLOOKUP(D741,KRX종목마스터!$A:$B,2,FALSE),"")</f>
        <v/>
      </c>
      <c r="F741" s="42"/>
      <c r="G741" s="42"/>
      <c r="H741" s="31" t="str">
        <f t="shared" si="33"/>
        <v/>
      </c>
      <c r="I741" s="43">
        <f ca="1">IFERROR(SUMPRODUCT((참고!$A$31:$A$130=C741)*(참고!$B$31:$B$130&lt;=A741)*(참고!$B$31:$B$130=_xludf.MAXIFS(참고!$B$31:$B$130,참고!$A$31:$A$130,C741,참고!$B$31:$B$130,"&lt;="&amp;A741))*참고!$C$31:$C$130)/100,0)</f>
        <v>0</v>
      </c>
      <c r="J741" s="31" t="str">
        <f t="shared" si="34"/>
        <v/>
      </c>
      <c r="K741" s="43">
        <f>IF(B741="매도",IFERROR(SUMPRODUCT((참고!$A$31:$A$130=C741)*(참고!$B$31:$B$130&lt;=A741)*(참고!$B$31:$B$130=_xludf.MAXIFS(참고!$B$31:$B$130,참고!$A$31:$A$130,C741,참고!$B$31:$B$130,"&lt;="&amp;A741))*참고!$D$31:$D$130)/100,0),0)</f>
        <v>0</v>
      </c>
      <c r="L741" s="31" t="str">
        <f t="shared" si="35"/>
        <v/>
      </c>
      <c r="M741" s="39"/>
    </row>
    <row r="742" spans="1:13" ht="18" customHeight="1" x14ac:dyDescent="0.45">
      <c r="A742" s="37"/>
      <c r="B742" s="29"/>
      <c r="C742" s="29"/>
      <c r="D742" s="28"/>
      <c r="E742" s="30" t="str">
        <f>IFERROR(VLOOKUP(D742,KRX종목마스터!$A:$B,2,FALSE),"")</f>
        <v/>
      </c>
      <c r="F742" s="42"/>
      <c r="G742" s="42"/>
      <c r="H742" s="31" t="str">
        <f t="shared" si="33"/>
        <v/>
      </c>
      <c r="I742" s="43">
        <f ca="1">IFERROR(SUMPRODUCT((참고!$A$31:$A$130=C742)*(참고!$B$31:$B$130&lt;=A742)*(참고!$B$31:$B$130=_xludf.MAXIFS(참고!$B$31:$B$130,참고!$A$31:$A$130,C742,참고!$B$31:$B$130,"&lt;="&amp;A742))*참고!$C$31:$C$130)/100,0)</f>
        <v>0</v>
      </c>
      <c r="J742" s="31" t="str">
        <f t="shared" si="34"/>
        <v/>
      </c>
      <c r="K742" s="43">
        <f>IF(B742="매도",IFERROR(SUMPRODUCT((참고!$A$31:$A$130=C742)*(참고!$B$31:$B$130&lt;=A742)*(참고!$B$31:$B$130=_xludf.MAXIFS(참고!$B$31:$B$130,참고!$A$31:$A$130,C742,참고!$B$31:$B$130,"&lt;="&amp;A742))*참고!$D$31:$D$130)/100,0),0)</f>
        <v>0</v>
      </c>
      <c r="L742" s="31" t="str">
        <f t="shared" si="35"/>
        <v/>
      </c>
      <c r="M742" s="39"/>
    </row>
    <row r="743" spans="1:13" ht="18" customHeight="1" x14ac:dyDescent="0.45">
      <c r="A743" s="37"/>
      <c r="B743" s="29"/>
      <c r="C743" s="29"/>
      <c r="D743" s="28"/>
      <c r="E743" s="30" t="str">
        <f>IFERROR(VLOOKUP(D743,KRX종목마스터!$A:$B,2,FALSE),"")</f>
        <v/>
      </c>
      <c r="F743" s="42"/>
      <c r="G743" s="42"/>
      <c r="H743" s="31" t="str">
        <f t="shared" si="33"/>
        <v/>
      </c>
      <c r="I743" s="43">
        <f ca="1">IFERROR(SUMPRODUCT((참고!$A$31:$A$130=C743)*(참고!$B$31:$B$130&lt;=A743)*(참고!$B$31:$B$130=_xludf.MAXIFS(참고!$B$31:$B$130,참고!$A$31:$A$130,C743,참고!$B$31:$B$130,"&lt;="&amp;A743))*참고!$C$31:$C$130)/100,0)</f>
        <v>0</v>
      </c>
      <c r="J743" s="31" t="str">
        <f t="shared" si="34"/>
        <v/>
      </c>
      <c r="K743" s="43">
        <f>IF(B743="매도",IFERROR(SUMPRODUCT((참고!$A$31:$A$130=C743)*(참고!$B$31:$B$130&lt;=A743)*(참고!$B$31:$B$130=_xludf.MAXIFS(참고!$B$31:$B$130,참고!$A$31:$A$130,C743,참고!$B$31:$B$130,"&lt;="&amp;A743))*참고!$D$31:$D$130)/100,0),0)</f>
        <v>0</v>
      </c>
      <c r="L743" s="31" t="str">
        <f t="shared" si="35"/>
        <v/>
      </c>
      <c r="M743" s="39"/>
    </row>
    <row r="744" spans="1:13" ht="18" customHeight="1" x14ac:dyDescent="0.45">
      <c r="A744" s="37"/>
      <c r="B744" s="29"/>
      <c r="C744" s="29"/>
      <c r="D744" s="28"/>
      <c r="E744" s="30" t="str">
        <f>IFERROR(VLOOKUP(D744,KRX종목마스터!$A:$B,2,FALSE),"")</f>
        <v/>
      </c>
      <c r="F744" s="42"/>
      <c r="G744" s="42"/>
      <c r="H744" s="31" t="str">
        <f t="shared" si="33"/>
        <v/>
      </c>
      <c r="I744" s="43">
        <f ca="1">IFERROR(SUMPRODUCT((참고!$A$31:$A$130=C744)*(참고!$B$31:$B$130&lt;=A744)*(참고!$B$31:$B$130=_xludf.MAXIFS(참고!$B$31:$B$130,참고!$A$31:$A$130,C744,참고!$B$31:$B$130,"&lt;="&amp;A744))*참고!$C$31:$C$130)/100,0)</f>
        <v>0</v>
      </c>
      <c r="J744" s="31" t="str">
        <f t="shared" si="34"/>
        <v/>
      </c>
      <c r="K744" s="43">
        <f>IF(B744="매도",IFERROR(SUMPRODUCT((참고!$A$31:$A$130=C744)*(참고!$B$31:$B$130&lt;=A744)*(참고!$B$31:$B$130=_xludf.MAXIFS(참고!$B$31:$B$130,참고!$A$31:$A$130,C744,참고!$B$31:$B$130,"&lt;="&amp;A744))*참고!$D$31:$D$130)/100,0),0)</f>
        <v>0</v>
      </c>
      <c r="L744" s="31" t="str">
        <f t="shared" si="35"/>
        <v/>
      </c>
      <c r="M744" s="39"/>
    </row>
    <row r="745" spans="1:13" ht="18" customHeight="1" x14ac:dyDescent="0.45">
      <c r="A745" s="37"/>
      <c r="B745" s="29"/>
      <c r="C745" s="29"/>
      <c r="D745" s="28"/>
      <c r="E745" s="30" t="str">
        <f>IFERROR(VLOOKUP(D745,KRX종목마스터!$A:$B,2,FALSE),"")</f>
        <v/>
      </c>
      <c r="F745" s="42"/>
      <c r="G745" s="42"/>
      <c r="H745" s="31" t="str">
        <f t="shared" si="33"/>
        <v/>
      </c>
      <c r="I745" s="43">
        <f ca="1">IFERROR(SUMPRODUCT((참고!$A$31:$A$130=C745)*(참고!$B$31:$B$130&lt;=A745)*(참고!$B$31:$B$130=_xludf.MAXIFS(참고!$B$31:$B$130,참고!$A$31:$A$130,C745,참고!$B$31:$B$130,"&lt;="&amp;A745))*참고!$C$31:$C$130)/100,0)</f>
        <v>0</v>
      </c>
      <c r="J745" s="31" t="str">
        <f t="shared" si="34"/>
        <v/>
      </c>
      <c r="K745" s="43">
        <f>IF(B745="매도",IFERROR(SUMPRODUCT((참고!$A$31:$A$130=C745)*(참고!$B$31:$B$130&lt;=A745)*(참고!$B$31:$B$130=_xludf.MAXIFS(참고!$B$31:$B$130,참고!$A$31:$A$130,C745,참고!$B$31:$B$130,"&lt;="&amp;A745))*참고!$D$31:$D$130)/100,0),0)</f>
        <v>0</v>
      </c>
      <c r="L745" s="31" t="str">
        <f t="shared" si="35"/>
        <v/>
      </c>
      <c r="M745" s="39"/>
    </row>
    <row r="746" spans="1:13" ht="18" customHeight="1" x14ac:dyDescent="0.45">
      <c r="A746" s="37"/>
      <c r="B746" s="29"/>
      <c r="C746" s="29"/>
      <c r="D746" s="28"/>
      <c r="E746" s="30" t="str">
        <f>IFERROR(VLOOKUP(D746,KRX종목마스터!$A:$B,2,FALSE),"")</f>
        <v/>
      </c>
      <c r="F746" s="42"/>
      <c r="G746" s="42"/>
      <c r="H746" s="31" t="str">
        <f t="shared" si="33"/>
        <v/>
      </c>
      <c r="I746" s="43">
        <f ca="1">IFERROR(SUMPRODUCT((참고!$A$31:$A$130=C746)*(참고!$B$31:$B$130&lt;=A746)*(참고!$B$31:$B$130=_xludf.MAXIFS(참고!$B$31:$B$130,참고!$A$31:$A$130,C746,참고!$B$31:$B$130,"&lt;="&amp;A746))*참고!$C$31:$C$130)/100,0)</f>
        <v>0</v>
      </c>
      <c r="J746" s="31" t="str">
        <f t="shared" si="34"/>
        <v/>
      </c>
      <c r="K746" s="43">
        <f>IF(B746="매도",IFERROR(SUMPRODUCT((참고!$A$31:$A$130=C746)*(참고!$B$31:$B$130&lt;=A746)*(참고!$B$31:$B$130=_xludf.MAXIFS(참고!$B$31:$B$130,참고!$A$31:$A$130,C746,참고!$B$31:$B$130,"&lt;="&amp;A746))*참고!$D$31:$D$130)/100,0),0)</f>
        <v>0</v>
      </c>
      <c r="L746" s="31" t="str">
        <f t="shared" si="35"/>
        <v/>
      </c>
      <c r="M746" s="39"/>
    </row>
    <row r="747" spans="1:13" ht="18" customHeight="1" x14ac:dyDescent="0.45">
      <c r="A747" s="37"/>
      <c r="B747" s="29"/>
      <c r="C747" s="29"/>
      <c r="D747" s="28"/>
      <c r="E747" s="30" t="str">
        <f>IFERROR(VLOOKUP(D747,KRX종목마스터!$A:$B,2,FALSE),"")</f>
        <v/>
      </c>
      <c r="F747" s="42"/>
      <c r="G747" s="42"/>
      <c r="H747" s="31" t="str">
        <f t="shared" si="33"/>
        <v/>
      </c>
      <c r="I747" s="43">
        <f ca="1">IFERROR(SUMPRODUCT((참고!$A$31:$A$130=C747)*(참고!$B$31:$B$130&lt;=A747)*(참고!$B$31:$B$130=_xludf.MAXIFS(참고!$B$31:$B$130,참고!$A$31:$A$130,C747,참고!$B$31:$B$130,"&lt;="&amp;A747))*참고!$C$31:$C$130)/100,0)</f>
        <v>0</v>
      </c>
      <c r="J747" s="31" t="str">
        <f t="shared" si="34"/>
        <v/>
      </c>
      <c r="K747" s="43">
        <f>IF(B747="매도",IFERROR(SUMPRODUCT((참고!$A$31:$A$130=C747)*(참고!$B$31:$B$130&lt;=A747)*(참고!$B$31:$B$130=_xludf.MAXIFS(참고!$B$31:$B$130,참고!$A$31:$A$130,C747,참고!$B$31:$B$130,"&lt;="&amp;A747))*참고!$D$31:$D$130)/100,0),0)</f>
        <v>0</v>
      </c>
      <c r="L747" s="31" t="str">
        <f t="shared" si="35"/>
        <v/>
      </c>
      <c r="M747" s="39"/>
    </row>
    <row r="748" spans="1:13" ht="18" customHeight="1" x14ac:dyDescent="0.45">
      <c r="A748" s="37"/>
      <c r="B748" s="29"/>
      <c r="C748" s="29"/>
      <c r="D748" s="28"/>
      <c r="E748" s="30" t="str">
        <f>IFERROR(VLOOKUP(D748,KRX종목마스터!$A:$B,2,FALSE),"")</f>
        <v/>
      </c>
      <c r="F748" s="42"/>
      <c r="G748" s="42"/>
      <c r="H748" s="31" t="str">
        <f t="shared" si="33"/>
        <v/>
      </c>
      <c r="I748" s="43">
        <f ca="1">IFERROR(SUMPRODUCT((참고!$A$31:$A$130=C748)*(참고!$B$31:$B$130&lt;=A748)*(참고!$B$31:$B$130=_xludf.MAXIFS(참고!$B$31:$B$130,참고!$A$31:$A$130,C748,참고!$B$31:$B$130,"&lt;="&amp;A748))*참고!$C$31:$C$130)/100,0)</f>
        <v>0</v>
      </c>
      <c r="J748" s="31" t="str">
        <f t="shared" si="34"/>
        <v/>
      </c>
      <c r="K748" s="43">
        <f>IF(B748="매도",IFERROR(SUMPRODUCT((참고!$A$31:$A$130=C748)*(참고!$B$31:$B$130&lt;=A748)*(참고!$B$31:$B$130=_xludf.MAXIFS(참고!$B$31:$B$130,참고!$A$31:$A$130,C748,참고!$B$31:$B$130,"&lt;="&amp;A748))*참고!$D$31:$D$130)/100,0),0)</f>
        <v>0</v>
      </c>
      <c r="L748" s="31" t="str">
        <f t="shared" si="35"/>
        <v/>
      </c>
      <c r="M748" s="39"/>
    </row>
    <row r="749" spans="1:13" ht="18" customHeight="1" x14ac:dyDescent="0.45">
      <c r="A749" s="37"/>
      <c r="B749" s="29"/>
      <c r="C749" s="29"/>
      <c r="D749" s="28"/>
      <c r="E749" s="30" t="str">
        <f>IFERROR(VLOOKUP(D749,KRX종목마스터!$A:$B,2,FALSE),"")</f>
        <v/>
      </c>
      <c r="F749" s="42"/>
      <c r="G749" s="42"/>
      <c r="H749" s="31" t="str">
        <f t="shared" si="33"/>
        <v/>
      </c>
      <c r="I749" s="43">
        <f ca="1">IFERROR(SUMPRODUCT((참고!$A$31:$A$130=C749)*(참고!$B$31:$B$130&lt;=A749)*(참고!$B$31:$B$130=_xludf.MAXIFS(참고!$B$31:$B$130,참고!$A$31:$A$130,C749,참고!$B$31:$B$130,"&lt;="&amp;A749))*참고!$C$31:$C$130)/100,0)</f>
        <v>0</v>
      </c>
      <c r="J749" s="31" t="str">
        <f t="shared" si="34"/>
        <v/>
      </c>
      <c r="K749" s="43">
        <f>IF(B749="매도",IFERROR(SUMPRODUCT((참고!$A$31:$A$130=C749)*(참고!$B$31:$B$130&lt;=A749)*(참고!$B$31:$B$130=_xludf.MAXIFS(참고!$B$31:$B$130,참고!$A$31:$A$130,C749,참고!$B$31:$B$130,"&lt;="&amp;A749))*참고!$D$31:$D$130)/100,0),0)</f>
        <v>0</v>
      </c>
      <c r="L749" s="31" t="str">
        <f t="shared" si="35"/>
        <v/>
      </c>
      <c r="M749" s="39"/>
    </row>
    <row r="750" spans="1:13" ht="18" customHeight="1" x14ac:dyDescent="0.45">
      <c r="A750" s="37"/>
      <c r="B750" s="29"/>
      <c r="C750" s="29"/>
      <c r="D750" s="28"/>
      <c r="E750" s="30" t="str">
        <f>IFERROR(VLOOKUP(D750,KRX종목마스터!$A:$B,2,FALSE),"")</f>
        <v/>
      </c>
      <c r="F750" s="42"/>
      <c r="G750" s="42"/>
      <c r="H750" s="31" t="str">
        <f t="shared" si="33"/>
        <v/>
      </c>
      <c r="I750" s="43">
        <f ca="1">IFERROR(SUMPRODUCT((참고!$A$31:$A$130=C750)*(참고!$B$31:$B$130&lt;=A750)*(참고!$B$31:$B$130=_xludf.MAXIFS(참고!$B$31:$B$130,참고!$A$31:$A$130,C750,참고!$B$31:$B$130,"&lt;="&amp;A750))*참고!$C$31:$C$130)/100,0)</f>
        <v>0</v>
      </c>
      <c r="J750" s="31" t="str">
        <f t="shared" si="34"/>
        <v/>
      </c>
      <c r="K750" s="43">
        <f>IF(B750="매도",IFERROR(SUMPRODUCT((참고!$A$31:$A$130=C750)*(참고!$B$31:$B$130&lt;=A750)*(참고!$B$31:$B$130=_xludf.MAXIFS(참고!$B$31:$B$130,참고!$A$31:$A$130,C750,참고!$B$31:$B$130,"&lt;="&amp;A750))*참고!$D$31:$D$130)/100,0),0)</f>
        <v>0</v>
      </c>
      <c r="L750" s="31" t="str">
        <f t="shared" si="35"/>
        <v/>
      </c>
      <c r="M750" s="39"/>
    </row>
    <row r="751" spans="1:13" ht="18" customHeight="1" x14ac:dyDescent="0.45">
      <c r="A751" s="37"/>
      <c r="B751" s="29"/>
      <c r="C751" s="29"/>
      <c r="D751" s="28"/>
      <c r="E751" s="30" t="str">
        <f>IFERROR(VLOOKUP(D751,KRX종목마스터!$A:$B,2,FALSE),"")</f>
        <v/>
      </c>
      <c r="F751" s="42"/>
      <c r="G751" s="42"/>
      <c r="H751" s="31" t="str">
        <f t="shared" si="33"/>
        <v/>
      </c>
      <c r="I751" s="43">
        <f ca="1">IFERROR(SUMPRODUCT((참고!$A$31:$A$130=C751)*(참고!$B$31:$B$130&lt;=A751)*(참고!$B$31:$B$130=_xludf.MAXIFS(참고!$B$31:$B$130,참고!$A$31:$A$130,C751,참고!$B$31:$B$130,"&lt;="&amp;A751))*참고!$C$31:$C$130)/100,0)</f>
        <v>0</v>
      </c>
      <c r="J751" s="31" t="str">
        <f t="shared" si="34"/>
        <v/>
      </c>
      <c r="K751" s="43">
        <f>IF(B751="매도",IFERROR(SUMPRODUCT((참고!$A$31:$A$130=C751)*(참고!$B$31:$B$130&lt;=A751)*(참고!$B$31:$B$130=_xludf.MAXIFS(참고!$B$31:$B$130,참고!$A$31:$A$130,C751,참고!$B$31:$B$130,"&lt;="&amp;A751))*참고!$D$31:$D$130)/100,0),0)</f>
        <v>0</v>
      </c>
      <c r="L751" s="31" t="str">
        <f t="shared" si="35"/>
        <v/>
      </c>
      <c r="M751" s="39"/>
    </row>
    <row r="752" spans="1:13" ht="18" customHeight="1" x14ac:dyDescent="0.45">
      <c r="A752" s="37"/>
      <c r="B752" s="29"/>
      <c r="C752" s="29"/>
      <c r="D752" s="28"/>
      <c r="E752" s="30" t="str">
        <f>IFERROR(VLOOKUP(D752,KRX종목마스터!$A:$B,2,FALSE),"")</f>
        <v/>
      </c>
      <c r="F752" s="42"/>
      <c r="G752" s="42"/>
      <c r="H752" s="31" t="str">
        <f t="shared" si="33"/>
        <v/>
      </c>
      <c r="I752" s="43">
        <f ca="1">IFERROR(SUMPRODUCT((참고!$A$31:$A$130=C752)*(참고!$B$31:$B$130&lt;=A752)*(참고!$B$31:$B$130=_xludf.MAXIFS(참고!$B$31:$B$130,참고!$A$31:$A$130,C752,참고!$B$31:$B$130,"&lt;="&amp;A752))*참고!$C$31:$C$130)/100,0)</f>
        <v>0</v>
      </c>
      <c r="J752" s="31" t="str">
        <f t="shared" si="34"/>
        <v/>
      </c>
      <c r="K752" s="43">
        <f>IF(B752="매도",IFERROR(SUMPRODUCT((참고!$A$31:$A$130=C752)*(참고!$B$31:$B$130&lt;=A752)*(참고!$B$31:$B$130=_xludf.MAXIFS(참고!$B$31:$B$130,참고!$A$31:$A$130,C752,참고!$B$31:$B$130,"&lt;="&amp;A752))*참고!$D$31:$D$130)/100,0),0)</f>
        <v>0</v>
      </c>
      <c r="L752" s="31" t="str">
        <f t="shared" si="35"/>
        <v/>
      </c>
      <c r="M752" s="39"/>
    </row>
    <row r="753" spans="1:13" ht="18" customHeight="1" x14ac:dyDescent="0.45">
      <c r="A753" s="37"/>
      <c r="B753" s="29"/>
      <c r="C753" s="29"/>
      <c r="D753" s="28"/>
      <c r="E753" s="30" t="str">
        <f>IFERROR(VLOOKUP(D753,KRX종목마스터!$A:$B,2,FALSE),"")</f>
        <v/>
      </c>
      <c r="F753" s="42"/>
      <c r="G753" s="42"/>
      <c r="H753" s="31" t="str">
        <f t="shared" si="33"/>
        <v/>
      </c>
      <c r="I753" s="43">
        <f ca="1">IFERROR(SUMPRODUCT((참고!$A$31:$A$130=C753)*(참고!$B$31:$B$130&lt;=A753)*(참고!$B$31:$B$130=_xludf.MAXIFS(참고!$B$31:$B$130,참고!$A$31:$A$130,C753,참고!$B$31:$B$130,"&lt;="&amp;A753))*참고!$C$31:$C$130)/100,0)</f>
        <v>0</v>
      </c>
      <c r="J753" s="31" t="str">
        <f t="shared" si="34"/>
        <v/>
      </c>
      <c r="K753" s="43">
        <f>IF(B753="매도",IFERROR(SUMPRODUCT((참고!$A$31:$A$130=C753)*(참고!$B$31:$B$130&lt;=A753)*(참고!$B$31:$B$130=_xludf.MAXIFS(참고!$B$31:$B$130,참고!$A$31:$A$130,C753,참고!$B$31:$B$130,"&lt;="&amp;A753))*참고!$D$31:$D$130)/100,0),0)</f>
        <v>0</v>
      </c>
      <c r="L753" s="31" t="str">
        <f t="shared" si="35"/>
        <v/>
      </c>
      <c r="M753" s="39"/>
    </row>
    <row r="754" spans="1:13" ht="18" customHeight="1" x14ac:dyDescent="0.45">
      <c r="A754" s="37"/>
      <c r="B754" s="29"/>
      <c r="C754" s="29"/>
      <c r="D754" s="28"/>
      <c r="E754" s="30" t="str">
        <f>IFERROR(VLOOKUP(D754,KRX종목마스터!$A:$B,2,FALSE),"")</f>
        <v/>
      </c>
      <c r="F754" s="42"/>
      <c r="G754" s="42"/>
      <c r="H754" s="31" t="str">
        <f t="shared" si="33"/>
        <v/>
      </c>
      <c r="I754" s="43">
        <f ca="1">IFERROR(SUMPRODUCT((참고!$A$31:$A$130=C754)*(참고!$B$31:$B$130&lt;=A754)*(참고!$B$31:$B$130=_xludf.MAXIFS(참고!$B$31:$B$130,참고!$A$31:$A$130,C754,참고!$B$31:$B$130,"&lt;="&amp;A754))*참고!$C$31:$C$130)/100,0)</f>
        <v>0</v>
      </c>
      <c r="J754" s="31" t="str">
        <f t="shared" si="34"/>
        <v/>
      </c>
      <c r="K754" s="43">
        <f>IF(B754="매도",IFERROR(SUMPRODUCT((참고!$A$31:$A$130=C754)*(참고!$B$31:$B$130&lt;=A754)*(참고!$B$31:$B$130=_xludf.MAXIFS(참고!$B$31:$B$130,참고!$A$31:$A$130,C754,참고!$B$31:$B$130,"&lt;="&amp;A754))*참고!$D$31:$D$130)/100,0),0)</f>
        <v>0</v>
      </c>
      <c r="L754" s="31" t="str">
        <f t="shared" si="35"/>
        <v/>
      </c>
      <c r="M754" s="39"/>
    </row>
    <row r="755" spans="1:13" ht="18" customHeight="1" x14ac:dyDescent="0.45">
      <c r="A755" s="37"/>
      <c r="B755" s="29"/>
      <c r="C755" s="29"/>
      <c r="D755" s="28"/>
      <c r="E755" s="30" t="str">
        <f>IFERROR(VLOOKUP(D755,KRX종목마스터!$A:$B,2,FALSE),"")</f>
        <v/>
      </c>
      <c r="F755" s="42"/>
      <c r="G755" s="42"/>
      <c r="H755" s="31" t="str">
        <f t="shared" si="33"/>
        <v/>
      </c>
      <c r="I755" s="43">
        <f ca="1">IFERROR(SUMPRODUCT((참고!$A$31:$A$130=C755)*(참고!$B$31:$B$130&lt;=A755)*(참고!$B$31:$B$130=_xludf.MAXIFS(참고!$B$31:$B$130,참고!$A$31:$A$130,C755,참고!$B$31:$B$130,"&lt;="&amp;A755))*참고!$C$31:$C$130)/100,0)</f>
        <v>0</v>
      </c>
      <c r="J755" s="31" t="str">
        <f t="shared" si="34"/>
        <v/>
      </c>
      <c r="K755" s="43">
        <f>IF(B755="매도",IFERROR(SUMPRODUCT((참고!$A$31:$A$130=C755)*(참고!$B$31:$B$130&lt;=A755)*(참고!$B$31:$B$130=_xludf.MAXIFS(참고!$B$31:$B$130,참고!$A$31:$A$130,C755,참고!$B$31:$B$130,"&lt;="&amp;A755))*참고!$D$31:$D$130)/100,0),0)</f>
        <v>0</v>
      </c>
      <c r="L755" s="31" t="str">
        <f t="shared" si="35"/>
        <v/>
      </c>
      <c r="M755" s="39"/>
    </row>
    <row r="756" spans="1:13" ht="18" customHeight="1" x14ac:dyDescent="0.45">
      <c r="A756" s="37"/>
      <c r="B756" s="29"/>
      <c r="C756" s="29"/>
      <c r="D756" s="28"/>
      <c r="E756" s="30" t="str">
        <f>IFERROR(VLOOKUP(D756,KRX종목마스터!$A:$B,2,FALSE),"")</f>
        <v/>
      </c>
      <c r="F756" s="42"/>
      <c r="G756" s="42"/>
      <c r="H756" s="31" t="str">
        <f t="shared" si="33"/>
        <v/>
      </c>
      <c r="I756" s="43">
        <f ca="1">IFERROR(SUMPRODUCT((참고!$A$31:$A$130=C756)*(참고!$B$31:$B$130&lt;=A756)*(참고!$B$31:$B$130=_xludf.MAXIFS(참고!$B$31:$B$130,참고!$A$31:$A$130,C756,참고!$B$31:$B$130,"&lt;="&amp;A756))*참고!$C$31:$C$130)/100,0)</f>
        <v>0</v>
      </c>
      <c r="J756" s="31" t="str">
        <f t="shared" si="34"/>
        <v/>
      </c>
      <c r="K756" s="43">
        <f>IF(B756="매도",IFERROR(SUMPRODUCT((참고!$A$31:$A$130=C756)*(참고!$B$31:$B$130&lt;=A756)*(참고!$B$31:$B$130=_xludf.MAXIFS(참고!$B$31:$B$130,참고!$A$31:$A$130,C756,참고!$B$31:$B$130,"&lt;="&amp;A756))*참고!$D$31:$D$130)/100,0),0)</f>
        <v>0</v>
      </c>
      <c r="L756" s="31" t="str">
        <f t="shared" si="35"/>
        <v/>
      </c>
      <c r="M756" s="39"/>
    </row>
    <row r="757" spans="1:13" ht="18" customHeight="1" x14ac:dyDescent="0.45">
      <c r="A757" s="37"/>
      <c r="B757" s="29"/>
      <c r="C757" s="29"/>
      <c r="D757" s="28"/>
      <c r="E757" s="30" t="str">
        <f>IFERROR(VLOOKUP(D757,KRX종목마스터!$A:$B,2,FALSE),"")</f>
        <v/>
      </c>
      <c r="F757" s="42"/>
      <c r="G757" s="42"/>
      <c r="H757" s="31" t="str">
        <f t="shared" si="33"/>
        <v/>
      </c>
      <c r="I757" s="43">
        <f ca="1">IFERROR(SUMPRODUCT((참고!$A$31:$A$130=C757)*(참고!$B$31:$B$130&lt;=A757)*(참고!$B$31:$B$130=_xludf.MAXIFS(참고!$B$31:$B$130,참고!$A$31:$A$130,C757,참고!$B$31:$B$130,"&lt;="&amp;A757))*참고!$C$31:$C$130)/100,0)</f>
        <v>0</v>
      </c>
      <c r="J757" s="31" t="str">
        <f t="shared" si="34"/>
        <v/>
      </c>
      <c r="K757" s="43">
        <f>IF(B757="매도",IFERROR(SUMPRODUCT((참고!$A$31:$A$130=C757)*(참고!$B$31:$B$130&lt;=A757)*(참고!$B$31:$B$130=_xludf.MAXIFS(참고!$B$31:$B$130,참고!$A$31:$A$130,C757,참고!$B$31:$B$130,"&lt;="&amp;A757))*참고!$D$31:$D$130)/100,0),0)</f>
        <v>0</v>
      </c>
      <c r="L757" s="31" t="str">
        <f t="shared" si="35"/>
        <v/>
      </c>
      <c r="M757" s="39"/>
    </row>
    <row r="758" spans="1:13" ht="18" customHeight="1" x14ac:dyDescent="0.45">
      <c r="A758" s="37"/>
      <c r="B758" s="29"/>
      <c r="C758" s="29"/>
      <c r="D758" s="28"/>
      <c r="E758" s="30" t="str">
        <f>IFERROR(VLOOKUP(D758,KRX종목마스터!$A:$B,2,FALSE),"")</f>
        <v/>
      </c>
      <c r="F758" s="42"/>
      <c r="G758" s="42"/>
      <c r="H758" s="31" t="str">
        <f t="shared" si="33"/>
        <v/>
      </c>
      <c r="I758" s="43">
        <f ca="1">IFERROR(SUMPRODUCT((참고!$A$31:$A$130=C758)*(참고!$B$31:$B$130&lt;=A758)*(참고!$B$31:$B$130=_xludf.MAXIFS(참고!$B$31:$B$130,참고!$A$31:$A$130,C758,참고!$B$31:$B$130,"&lt;="&amp;A758))*참고!$C$31:$C$130)/100,0)</f>
        <v>0</v>
      </c>
      <c r="J758" s="31" t="str">
        <f t="shared" si="34"/>
        <v/>
      </c>
      <c r="K758" s="43">
        <f>IF(B758="매도",IFERROR(SUMPRODUCT((참고!$A$31:$A$130=C758)*(참고!$B$31:$B$130&lt;=A758)*(참고!$B$31:$B$130=_xludf.MAXIFS(참고!$B$31:$B$130,참고!$A$31:$A$130,C758,참고!$B$31:$B$130,"&lt;="&amp;A758))*참고!$D$31:$D$130)/100,0),0)</f>
        <v>0</v>
      </c>
      <c r="L758" s="31" t="str">
        <f t="shared" si="35"/>
        <v/>
      </c>
      <c r="M758" s="39"/>
    </row>
    <row r="759" spans="1:13" ht="18" customHeight="1" x14ac:dyDescent="0.45">
      <c r="A759" s="37"/>
      <c r="B759" s="29"/>
      <c r="C759" s="29"/>
      <c r="D759" s="28"/>
      <c r="E759" s="30" t="str">
        <f>IFERROR(VLOOKUP(D759,KRX종목마스터!$A:$B,2,FALSE),"")</f>
        <v/>
      </c>
      <c r="F759" s="42"/>
      <c r="G759" s="42"/>
      <c r="H759" s="31" t="str">
        <f t="shared" si="33"/>
        <v/>
      </c>
      <c r="I759" s="43">
        <f ca="1">IFERROR(SUMPRODUCT((참고!$A$31:$A$130=C759)*(참고!$B$31:$B$130&lt;=A759)*(참고!$B$31:$B$130=_xludf.MAXIFS(참고!$B$31:$B$130,참고!$A$31:$A$130,C759,참고!$B$31:$B$130,"&lt;="&amp;A759))*참고!$C$31:$C$130)/100,0)</f>
        <v>0</v>
      </c>
      <c r="J759" s="31" t="str">
        <f t="shared" si="34"/>
        <v/>
      </c>
      <c r="K759" s="43">
        <f>IF(B759="매도",IFERROR(SUMPRODUCT((참고!$A$31:$A$130=C759)*(참고!$B$31:$B$130&lt;=A759)*(참고!$B$31:$B$130=_xludf.MAXIFS(참고!$B$31:$B$130,참고!$A$31:$A$130,C759,참고!$B$31:$B$130,"&lt;="&amp;A759))*참고!$D$31:$D$130)/100,0),0)</f>
        <v>0</v>
      </c>
      <c r="L759" s="31" t="str">
        <f t="shared" si="35"/>
        <v/>
      </c>
      <c r="M759" s="39"/>
    </row>
    <row r="760" spans="1:13" ht="18" customHeight="1" x14ac:dyDescent="0.45">
      <c r="A760" s="37"/>
      <c r="B760" s="29"/>
      <c r="C760" s="29"/>
      <c r="D760" s="28"/>
      <c r="E760" s="30" t="str">
        <f>IFERROR(VLOOKUP(D760,KRX종목마스터!$A:$B,2,FALSE),"")</f>
        <v/>
      </c>
      <c r="F760" s="42"/>
      <c r="G760" s="42"/>
      <c r="H760" s="31" t="str">
        <f t="shared" si="33"/>
        <v/>
      </c>
      <c r="I760" s="43">
        <f ca="1">IFERROR(SUMPRODUCT((참고!$A$31:$A$130=C760)*(참고!$B$31:$B$130&lt;=A760)*(참고!$B$31:$B$130=_xludf.MAXIFS(참고!$B$31:$B$130,참고!$A$31:$A$130,C760,참고!$B$31:$B$130,"&lt;="&amp;A760))*참고!$C$31:$C$130)/100,0)</f>
        <v>0</v>
      </c>
      <c r="J760" s="31" t="str">
        <f t="shared" si="34"/>
        <v/>
      </c>
      <c r="K760" s="43">
        <f>IF(B760="매도",IFERROR(SUMPRODUCT((참고!$A$31:$A$130=C760)*(참고!$B$31:$B$130&lt;=A760)*(참고!$B$31:$B$130=_xludf.MAXIFS(참고!$B$31:$B$130,참고!$A$31:$A$130,C760,참고!$B$31:$B$130,"&lt;="&amp;A760))*참고!$D$31:$D$130)/100,0),0)</f>
        <v>0</v>
      </c>
      <c r="L760" s="31" t="str">
        <f t="shared" si="35"/>
        <v/>
      </c>
      <c r="M760" s="39"/>
    </row>
    <row r="761" spans="1:13" ht="18" customHeight="1" x14ac:dyDescent="0.45">
      <c r="A761" s="37"/>
      <c r="B761" s="29"/>
      <c r="C761" s="29"/>
      <c r="D761" s="28"/>
      <c r="E761" s="30" t="str">
        <f>IFERROR(VLOOKUP(D761,KRX종목마스터!$A:$B,2,FALSE),"")</f>
        <v/>
      </c>
      <c r="F761" s="42"/>
      <c r="G761" s="42"/>
      <c r="H761" s="31" t="str">
        <f t="shared" si="33"/>
        <v/>
      </c>
      <c r="I761" s="43">
        <f ca="1">IFERROR(SUMPRODUCT((참고!$A$31:$A$130=C761)*(참고!$B$31:$B$130&lt;=A761)*(참고!$B$31:$B$130=_xludf.MAXIFS(참고!$B$31:$B$130,참고!$A$31:$A$130,C761,참고!$B$31:$B$130,"&lt;="&amp;A761))*참고!$C$31:$C$130)/100,0)</f>
        <v>0</v>
      </c>
      <c r="J761" s="31" t="str">
        <f t="shared" si="34"/>
        <v/>
      </c>
      <c r="K761" s="43">
        <f>IF(B761="매도",IFERROR(SUMPRODUCT((참고!$A$31:$A$130=C761)*(참고!$B$31:$B$130&lt;=A761)*(참고!$B$31:$B$130=_xludf.MAXIFS(참고!$B$31:$B$130,참고!$A$31:$A$130,C761,참고!$B$31:$B$130,"&lt;="&amp;A761))*참고!$D$31:$D$130)/100,0),0)</f>
        <v>0</v>
      </c>
      <c r="L761" s="31" t="str">
        <f t="shared" si="35"/>
        <v/>
      </c>
      <c r="M761" s="39"/>
    </row>
    <row r="762" spans="1:13" ht="18" customHeight="1" x14ac:dyDescent="0.45">
      <c r="A762" s="37"/>
      <c r="B762" s="29"/>
      <c r="C762" s="29"/>
      <c r="D762" s="28"/>
      <c r="E762" s="30" t="str">
        <f>IFERROR(VLOOKUP(D762,KRX종목마스터!$A:$B,2,FALSE),"")</f>
        <v/>
      </c>
      <c r="F762" s="42"/>
      <c r="G762" s="42"/>
      <c r="H762" s="31" t="str">
        <f t="shared" si="33"/>
        <v/>
      </c>
      <c r="I762" s="43">
        <f ca="1">IFERROR(SUMPRODUCT((참고!$A$31:$A$130=C762)*(참고!$B$31:$B$130&lt;=A762)*(참고!$B$31:$B$130=_xludf.MAXIFS(참고!$B$31:$B$130,참고!$A$31:$A$130,C762,참고!$B$31:$B$130,"&lt;="&amp;A762))*참고!$C$31:$C$130)/100,0)</f>
        <v>0</v>
      </c>
      <c r="J762" s="31" t="str">
        <f t="shared" si="34"/>
        <v/>
      </c>
      <c r="K762" s="43">
        <f>IF(B762="매도",IFERROR(SUMPRODUCT((참고!$A$31:$A$130=C762)*(참고!$B$31:$B$130&lt;=A762)*(참고!$B$31:$B$130=_xludf.MAXIFS(참고!$B$31:$B$130,참고!$A$31:$A$130,C762,참고!$B$31:$B$130,"&lt;="&amp;A762))*참고!$D$31:$D$130)/100,0),0)</f>
        <v>0</v>
      </c>
      <c r="L762" s="31" t="str">
        <f t="shared" si="35"/>
        <v/>
      </c>
      <c r="M762" s="39"/>
    </row>
    <row r="763" spans="1:13" ht="18" customHeight="1" x14ac:dyDescent="0.45">
      <c r="A763" s="37"/>
      <c r="B763" s="29"/>
      <c r="C763" s="29"/>
      <c r="D763" s="28"/>
      <c r="E763" s="30" t="str">
        <f>IFERROR(VLOOKUP(D763,KRX종목마스터!$A:$B,2,FALSE),"")</f>
        <v/>
      </c>
      <c r="F763" s="42"/>
      <c r="G763" s="42"/>
      <c r="H763" s="31" t="str">
        <f t="shared" si="33"/>
        <v/>
      </c>
      <c r="I763" s="43">
        <f ca="1">IFERROR(SUMPRODUCT((참고!$A$31:$A$130=C763)*(참고!$B$31:$B$130&lt;=A763)*(참고!$B$31:$B$130=_xludf.MAXIFS(참고!$B$31:$B$130,참고!$A$31:$A$130,C763,참고!$B$31:$B$130,"&lt;="&amp;A763))*참고!$C$31:$C$130)/100,0)</f>
        <v>0</v>
      </c>
      <c r="J763" s="31" t="str">
        <f t="shared" si="34"/>
        <v/>
      </c>
      <c r="K763" s="43">
        <f>IF(B763="매도",IFERROR(SUMPRODUCT((참고!$A$31:$A$130=C763)*(참고!$B$31:$B$130&lt;=A763)*(참고!$B$31:$B$130=_xludf.MAXIFS(참고!$B$31:$B$130,참고!$A$31:$A$130,C763,참고!$B$31:$B$130,"&lt;="&amp;A763))*참고!$D$31:$D$130)/100,0),0)</f>
        <v>0</v>
      </c>
      <c r="L763" s="31" t="str">
        <f t="shared" si="35"/>
        <v/>
      </c>
      <c r="M763" s="39"/>
    </row>
    <row r="764" spans="1:13" ht="18" customHeight="1" x14ac:dyDescent="0.45">
      <c r="A764" s="37"/>
      <c r="B764" s="29"/>
      <c r="C764" s="29"/>
      <c r="D764" s="28"/>
      <c r="E764" s="30" t="str">
        <f>IFERROR(VLOOKUP(D764,KRX종목마스터!$A:$B,2,FALSE),"")</f>
        <v/>
      </c>
      <c r="F764" s="42"/>
      <c r="G764" s="42"/>
      <c r="H764" s="31" t="str">
        <f t="shared" si="33"/>
        <v/>
      </c>
      <c r="I764" s="43">
        <f ca="1">IFERROR(SUMPRODUCT((참고!$A$31:$A$130=C764)*(참고!$B$31:$B$130&lt;=A764)*(참고!$B$31:$B$130=_xludf.MAXIFS(참고!$B$31:$B$130,참고!$A$31:$A$130,C764,참고!$B$31:$B$130,"&lt;="&amp;A764))*참고!$C$31:$C$130)/100,0)</f>
        <v>0</v>
      </c>
      <c r="J764" s="31" t="str">
        <f t="shared" si="34"/>
        <v/>
      </c>
      <c r="K764" s="43">
        <f>IF(B764="매도",IFERROR(SUMPRODUCT((참고!$A$31:$A$130=C764)*(참고!$B$31:$B$130&lt;=A764)*(참고!$B$31:$B$130=_xludf.MAXIFS(참고!$B$31:$B$130,참고!$A$31:$A$130,C764,참고!$B$31:$B$130,"&lt;="&amp;A764))*참고!$D$31:$D$130)/100,0),0)</f>
        <v>0</v>
      </c>
      <c r="L764" s="31" t="str">
        <f t="shared" si="35"/>
        <v/>
      </c>
      <c r="M764" s="39"/>
    </row>
    <row r="765" spans="1:13" ht="18" customHeight="1" x14ac:dyDescent="0.45">
      <c r="A765" s="37"/>
      <c r="B765" s="29"/>
      <c r="C765" s="29"/>
      <c r="D765" s="28"/>
      <c r="E765" s="30" t="str">
        <f>IFERROR(VLOOKUP(D765,KRX종목마스터!$A:$B,2,FALSE),"")</f>
        <v/>
      </c>
      <c r="F765" s="42"/>
      <c r="G765" s="42"/>
      <c r="H765" s="31" t="str">
        <f t="shared" si="33"/>
        <v/>
      </c>
      <c r="I765" s="43">
        <f ca="1">IFERROR(SUMPRODUCT((참고!$A$31:$A$130=C765)*(참고!$B$31:$B$130&lt;=A765)*(참고!$B$31:$B$130=_xludf.MAXIFS(참고!$B$31:$B$130,참고!$A$31:$A$130,C765,참고!$B$31:$B$130,"&lt;="&amp;A765))*참고!$C$31:$C$130)/100,0)</f>
        <v>0</v>
      </c>
      <c r="J765" s="31" t="str">
        <f t="shared" si="34"/>
        <v/>
      </c>
      <c r="K765" s="43">
        <f>IF(B765="매도",IFERROR(SUMPRODUCT((참고!$A$31:$A$130=C765)*(참고!$B$31:$B$130&lt;=A765)*(참고!$B$31:$B$130=_xludf.MAXIFS(참고!$B$31:$B$130,참고!$A$31:$A$130,C765,참고!$B$31:$B$130,"&lt;="&amp;A765))*참고!$D$31:$D$130)/100,0),0)</f>
        <v>0</v>
      </c>
      <c r="L765" s="31" t="str">
        <f t="shared" si="35"/>
        <v/>
      </c>
      <c r="M765" s="39"/>
    </row>
    <row r="766" spans="1:13" ht="18" customHeight="1" x14ac:dyDescent="0.45">
      <c r="A766" s="37"/>
      <c r="B766" s="29"/>
      <c r="C766" s="29"/>
      <c r="D766" s="28"/>
      <c r="E766" s="30" t="str">
        <f>IFERROR(VLOOKUP(D766,KRX종목마스터!$A:$B,2,FALSE),"")</f>
        <v/>
      </c>
      <c r="F766" s="42"/>
      <c r="G766" s="42"/>
      <c r="H766" s="31" t="str">
        <f t="shared" si="33"/>
        <v/>
      </c>
      <c r="I766" s="43">
        <f ca="1">IFERROR(SUMPRODUCT((참고!$A$31:$A$130=C766)*(참고!$B$31:$B$130&lt;=A766)*(참고!$B$31:$B$130=_xludf.MAXIFS(참고!$B$31:$B$130,참고!$A$31:$A$130,C766,참고!$B$31:$B$130,"&lt;="&amp;A766))*참고!$C$31:$C$130)/100,0)</f>
        <v>0</v>
      </c>
      <c r="J766" s="31" t="str">
        <f t="shared" si="34"/>
        <v/>
      </c>
      <c r="K766" s="43">
        <f>IF(B766="매도",IFERROR(SUMPRODUCT((참고!$A$31:$A$130=C766)*(참고!$B$31:$B$130&lt;=A766)*(참고!$B$31:$B$130=_xludf.MAXIFS(참고!$B$31:$B$130,참고!$A$31:$A$130,C766,참고!$B$31:$B$130,"&lt;="&amp;A766))*참고!$D$31:$D$130)/100,0),0)</f>
        <v>0</v>
      </c>
      <c r="L766" s="31" t="str">
        <f t="shared" si="35"/>
        <v/>
      </c>
      <c r="M766" s="39"/>
    </row>
    <row r="767" spans="1:13" ht="18" customHeight="1" x14ac:dyDescent="0.45">
      <c r="A767" s="37"/>
      <c r="B767" s="29"/>
      <c r="C767" s="29"/>
      <c r="D767" s="28"/>
      <c r="E767" s="30" t="str">
        <f>IFERROR(VLOOKUP(D767,KRX종목마스터!$A:$B,2,FALSE),"")</f>
        <v/>
      </c>
      <c r="F767" s="42"/>
      <c r="G767" s="42"/>
      <c r="H767" s="31" t="str">
        <f t="shared" si="33"/>
        <v/>
      </c>
      <c r="I767" s="43">
        <f ca="1">IFERROR(SUMPRODUCT((참고!$A$31:$A$130=C767)*(참고!$B$31:$B$130&lt;=A767)*(참고!$B$31:$B$130=_xludf.MAXIFS(참고!$B$31:$B$130,참고!$A$31:$A$130,C767,참고!$B$31:$B$130,"&lt;="&amp;A767))*참고!$C$31:$C$130)/100,0)</f>
        <v>0</v>
      </c>
      <c r="J767" s="31" t="str">
        <f t="shared" si="34"/>
        <v/>
      </c>
      <c r="K767" s="43">
        <f>IF(B767="매도",IFERROR(SUMPRODUCT((참고!$A$31:$A$130=C767)*(참고!$B$31:$B$130&lt;=A767)*(참고!$B$31:$B$130=_xludf.MAXIFS(참고!$B$31:$B$130,참고!$A$31:$A$130,C767,참고!$B$31:$B$130,"&lt;="&amp;A767))*참고!$D$31:$D$130)/100,0),0)</f>
        <v>0</v>
      </c>
      <c r="L767" s="31" t="str">
        <f t="shared" si="35"/>
        <v/>
      </c>
      <c r="M767" s="39"/>
    </row>
    <row r="768" spans="1:13" ht="18" customHeight="1" x14ac:dyDescent="0.45">
      <c r="A768" s="37"/>
      <c r="B768" s="29"/>
      <c r="C768" s="29"/>
      <c r="D768" s="28"/>
      <c r="E768" s="30" t="str">
        <f>IFERROR(VLOOKUP(D768,KRX종목마스터!$A:$B,2,FALSE),"")</f>
        <v/>
      </c>
      <c r="F768" s="42"/>
      <c r="G768" s="42"/>
      <c r="H768" s="31" t="str">
        <f t="shared" si="33"/>
        <v/>
      </c>
      <c r="I768" s="43">
        <f ca="1">IFERROR(SUMPRODUCT((참고!$A$31:$A$130=C768)*(참고!$B$31:$B$130&lt;=A768)*(참고!$B$31:$B$130=_xludf.MAXIFS(참고!$B$31:$B$130,참고!$A$31:$A$130,C768,참고!$B$31:$B$130,"&lt;="&amp;A768))*참고!$C$31:$C$130)/100,0)</f>
        <v>0</v>
      </c>
      <c r="J768" s="31" t="str">
        <f t="shared" si="34"/>
        <v/>
      </c>
      <c r="K768" s="43">
        <f>IF(B768="매도",IFERROR(SUMPRODUCT((참고!$A$31:$A$130=C768)*(참고!$B$31:$B$130&lt;=A768)*(참고!$B$31:$B$130=_xludf.MAXIFS(참고!$B$31:$B$130,참고!$A$31:$A$130,C768,참고!$B$31:$B$130,"&lt;="&amp;A768))*참고!$D$31:$D$130)/100,0),0)</f>
        <v>0</v>
      </c>
      <c r="L768" s="31" t="str">
        <f t="shared" si="35"/>
        <v/>
      </c>
      <c r="M768" s="39"/>
    </row>
    <row r="769" spans="1:13" ht="18" customHeight="1" x14ac:dyDescent="0.45">
      <c r="A769" s="37"/>
      <c r="B769" s="29"/>
      <c r="C769" s="29"/>
      <c r="D769" s="28"/>
      <c r="E769" s="30" t="str">
        <f>IFERROR(VLOOKUP(D769,KRX종목마스터!$A:$B,2,FALSE),"")</f>
        <v/>
      </c>
      <c r="F769" s="42"/>
      <c r="G769" s="42"/>
      <c r="H769" s="31" t="str">
        <f t="shared" si="33"/>
        <v/>
      </c>
      <c r="I769" s="43">
        <f ca="1">IFERROR(SUMPRODUCT((참고!$A$31:$A$130=C769)*(참고!$B$31:$B$130&lt;=A769)*(참고!$B$31:$B$130=_xludf.MAXIFS(참고!$B$31:$B$130,참고!$A$31:$A$130,C769,참고!$B$31:$B$130,"&lt;="&amp;A769))*참고!$C$31:$C$130)/100,0)</f>
        <v>0</v>
      </c>
      <c r="J769" s="31" t="str">
        <f t="shared" si="34"/>
        <v/>
      </c>
      <c r="K769" s="43">
        <f>IF(B769="매도",IFERROR(SUMPRODUCT((참고!$A$31:$A$130=C769)*(참고!$B$31:$B$130&lt;=A769)*(참고!$B$31:$B$130=_xludf.MAXIFS(참고!$B$31:$B$130,참고!$A$31:$A$130,C769,참고!$B$31:$B$130,"&lt;="&amp;A769))*참고!$D$31:$D$130)/100,0),0)</f>
        <v>0</v>
      </c>
      <c r="L769" s="31" t="str">
        <f t="shared" si="35"/>
        <v/>
      </c>
      <c r="M769" s="39"/>
    </row>
    <row r="770" spans="1:13" ht="18" customHeight="1" x14ac:dyDescent="0.45">
      <c r="A770" s="37"/>
      <c r="B770" s="29"/>
      <c r="C770" s="29"/>
      <c r="D770" s="28"/>
      <c r="E770" s="30" t="str">
        <f>IFERROR(VLOOKUP(D770,KRX종목마스터!$A:$B,2,FALSE),"")</f>
        <v/>
      </c>
      <c r="F770" s="42"/>
      <c r="G770" s="42"/>
      <c r="H770" s="31" t="str">
        <f t="shared" si="33"/>
        <v/>
      </c>
      <c r="I770" s="43">
        <f ca="1">IFERROR(SUMPRODUCT((참고!$A$31:$A$130=C770)*(참고!$B$31:$B$130&lt;=A770)*(참고!$B$31:$B$130=_xludf.MAXIFS(참고!$B$31:$B$130,참고!$A$31:$A$130,C770,참고!$B$31:$B$130,"&lt;="&amp;A770))*참고!$C$31:$C$130)/100,0)</f>
        <v>0</v>
      </c>
      <c r="J770" s="31" t="str">
        <f t="shared" si="34"/>
        <v/>
      </c>
      <c r="K770" s="43">
        <f>IF(B770="매도",IFERROR(SUMPRODUCT((참고!$A$31:$A$130=C770)*(참고!$B$31:$B$130&lt;=A770)*(참고!$B$31:$B$130=_xludf.MAXIFS(참고!$B$31:$B$130,참고!$A$31:$A$130,C770,참고!$B$31:$B$130,"&lt;="&amp;A770))*참고!$D$31:$D$130)/100,0),0)</f>
        <v>0</v>
      </c>
      <c r="L770" s="31" t="str">
        <f t="shared" si="35"/>
        <v/>
      </c>
      <c r="M770" s="39"/>
    </row>
    <row r="771" spans="1:13" ht="18" customHeight="1" x14ac:dyDescent="0.45">
      <c r="A771" s="37"/>
      <c r="B771" s="29"/>
      <c r="C771" s="29"/>
      <c r="D771" s="28"/>
      <c r="E771" s="30" t="str">
        <f>IFERROR(VLOOKUP(D771,KRX종목마스터!$A:$B,2,FALSE),"")</f>
        <v/>
      </c>
      <c r="F771" s="42"/>
      <c r="G771" s="42"/>
      <c r="H771" s="31" t="str">
        <f t="shared" si="33"/>
        <v/>
      </c>
      <c r="I771" s="43">
        <f ca="1">IFERROR(SUMPRODUCT((참고!$A$31:$A$130=C771)*(참고!$B$31:$B$130&lt;=A771)*(참고!$B$31:$B$130=_xludf.MAXIFS(참고!$B$31:$B$130,참고!$A$31:$A$130,C771,참고!$B$31:$B$130,"&lt;="&amp;A771))*참고!$C$31:$C$130)/100,0)</f>
        <v>0</v>
      </c>
      <c r="J771" s="31" t="str">
        <f t="shared" si="34"/>
        <v/>
      </c>
      <c r="K771" s="43">
        <f>IF(B771="매도",IFERROR(SUMPRODUCT((참고!$A$31:$A$130=C771)*(참고!$B$31:$B$130&lt;=A771)*(참고!$B$31:$B$130=_xludf.MAXIFS(참고!$B$31:$B$130,참고!$A$31:$A$130,C771,참고!$B$31:$B$130,"&lt;="&amp;A771))*참고!$D$31:$D$130)/100,0),0)</f>
        <v>0</v>
      </c>
      <c r="L771" s="31" t="str">
        <f t="shared" si="35"/>
        <v/>
      </c>
      <c r="M771" s="39"/>
    </row>
    <row r="772" spans="1:13" ht="18" customHeight="1" x14ac:dyDescent="0.45">
      <c r="A772" s="37"/>
      <c r="B772" s="29"/>
      <c r="C772" s="29"/>
      <c r="D772" s="28"/>
      <c r="E772" s="30" t="str">
        <f>IFERROR(VLOOKUP(D772,KRX종목마스터!$A:$B,2,FALSE),"")</f>
        <v/>
      </c>
      <c r="F772" s="42"/>
      <c r="G772" s="42"/>
      <c r="H772" s="31" t="str">
        <f t="shared" si="33"/>
        <v/>
      </c>
      <c r="I772" s="43">
        <f ca="1">IFERROR(SUMPRODUCT((참고!$A$31:$A$130=C772)*(참고!$B$31:$B$130&lt;=A772)*(참고!$B$31:$B$130=_xludf.MAXIFS(참고!$B$31:$B$130,참고!$A$31:$A$130,C772,참고!$B$31:$B$130,"&lt;="&amp;A772))*참고!$C$31:$C$130)/100,0)</f>
        <v>0</v>
      </c>
      <c r="J772" s="31" t="str">
        <f t="shared" si="34"/>
        <v/>
      </c>
      <c r="K772" s="43">
        <f>IF(B772="매도",IFERROR(SUMPRODUCT((참고!$A$31:$A$130=C772)*(참고!$B$31:$B$130&lt;=A772)*(참고!$B$31:$B$130=_xludf.MAXIFS(참고!$B$31:$B$130,참고!$A$31:$A$130,C772,참고!$B$31:$B$130,"&lt;="&amp;A772))*참고!$D$31:$D$130)/100,0),0)</f>
        <v>0</v>
      </c>
      <c r="L772" s="31" t="str">
        <f t="shared" si="35"/>
        <v/>
      </c>
      <c r="M772" s="39"/>
    </row>
    <row r="773" spans="1:13" ht="18" customHeight="1" x14ac:dyDescent="0.45">
      <c r="A773" s="37"/>
      <c r="B773" s="29"/>
      <c r="C773" s="29"/>
      <c r="D773" s="28"/>
      <c r="E773" s="30" t="str">
        <f>IFERROR(VLOOKUP(D773,KRX종목마스터!$A:$B,2,FALSE),"")</f>
        <v/>
      </c>
      <c r="F773" s="42"/>
      <c r="G773" s="42"/>
      <c r="H773" s="31" t="str">
        <f t="shared" ref="H773:H836" si="36">IF(AND(F773&lt;&gt;"",G773&lt;&gt;""),F773*G773,"")</f>
        <v/>
      </c>
      <c r="I773" s="43">
        <f ca="1">IFERROR(SUMPRODUCT((참고!$A$31:$A$130=C773)*(참고!$B$31:$B$130&lt;=A773)*(참고!$B$31:$B$130=_xludf.MAXIFS(참고!$B$31:$B$130,참고!$A$31:$A$130,C773,참고!$B$31:$B$130,"&lt;="&amp;A773))*참고!$C$31:$C$130)/100,0)</f>
        <v>0</v>
      </c>
      <c r="J773" s="31" t="str">
        <f t="shared" ref="J773:J836" si="37">IF(H773="","",ROUND(H773*I773,0))</f>
        <v/>
      </c>
      <c r="K773" s="43">
        <f>IF(B773="매도",IFERROR(SUMPRODUCT((참고!$A$31:$A$130=C773)*(참고!$B$31:$B$130&lt;=A773)*(참고!$B$31:$B$130=_xludf.MAXIFS(참고!$B$31:$B$130,참고!$A$31:$A$130,C773,참고!$B$31:$B$130,"&lt;="&amp;A773))*참고!$D$31:$D$130)/100,0),0)</f>
        <v>0</v>
      </c>
      <c r="L773" s="31" t="str">
        <f t="shared" ref="L773:L836" si="38">IF(H773="","",ROUND(H773*K773,0))</f>
        <v/>
      </c>
      <c r="M773" s="39"/>
    </row>
    <row r="774" spans="1:13" ht="18" customHeight="1" x14ac:dyDescent="0.45">
      <c r="A774" s="37"/>
      <c r="B774" s="29"/>
      <c r="C774" s="29"/>
      <c r="D774" s="28"/>
      <c r="E774" s="30" t="str">
        <f>IFERROR(VLOOKUP(D774,KRX종목마스터!$A:$B,2,FALSE),"")</f>
        <v/>
      </c>
      <c r="F774" s="42"/>
      <c r="G774" s="42"/>
      <c r="H774" s="31" t="str">
        <f t="shared" si="36"/>
        <v/>
      </c>
      <c r="I774" s="43">
        <f ca="1">IFERROR(SUMPRODUCT((참고!$A$31:$A$130=C774)*(참고!$B$31:$B$130&lt;=A774)*(참고!$B$31:$B$130=_xludf.MAXIFS(참고!$B$31:$B$130,참고!$A$31:$A$130,C774,참고!$B$31:$B$130,"&lt;="&amp;A774))*참고!$C$31:$C$130)/100,0)</f>
        <v>0</v>
      </c>
      <c r="J774" s="31" t="str">
        <f t="shared" si="37"/>
        <v/>
      </c>
      <c r="K774" s="43">
        <f>IF(B774="매도",IFERROR(SUMPRODUCT((참고!$A$31:$A$130=C774)*(참고!$B$31:$B$130&lt;=A774)*(참고!$B$31:$B$130=_xludf.MAXIFS(참고!$B$31:$B$130,참고!$A$31:$A$130,C774,참고!$B$31:$B$130,"&lt;="&amp;A774))*참고!$D$31:$D$130)/100,0),0)</f>
        <v>0</v>
      </c>
      <c r="L774" s="31" t="str">
        <f t="shared" si="38"/>
        <v/>
      </c>
      <c r="M774" s="39"/>
    </row>
    <row r="775" spans="1:13" ht="18" customHeight="1" x14ac:dyDescent="0.45">
      <c r="A775" s="37"/>
      <c r="B775" s="29"/>
      <c r="C775" s="29"/>
      <c r="D775" s="28"/>
      <c r="E775" s="30" t="str">
        <f>IFERROR(VLOOKUP(D775,KRX종목마스터!$A:$B,2,FALSE),"")</f>
        <v/>
      </c>
      <c r="F775" s="42"/>
      <c r="G775" s="42"/>
      <c r="H775" s="31" t="str">
        <f t="shared" si="36"/>
        <v/>
      </c>
      <c r="I775" s="43">
        <f ca="1">IFERROR(SUMPRODUCT((참고!$A$31:$A$130=C775)*(참고!$B$31:$B$130&lt;=A775)*(참고!$B$31:$B$130=_xludf.MAXIFS(참고!$B$31:$B$130,참고!$A$31:$A$130,C775,참고!$B$31:$B$130,"&lt;="&amp;A775))*참고!$C$31:$C$130)/100,0)</f>
        <v>0</v>
      </c>
      <c r="J775" s="31" t="str">
        <f t="shared" si="37"/>
        <v/>
      </c>
      <c r="K775" s="43">
        <f>IF(B775="매도",IFERROR(SUMPRODUCT((참고!$A$31:$A$130=C775)*(참고!$B$31:$B$130&lt;=A775)*(참고!$B$31:$B$130=_xludf.MAXIFS(참고!$B$31:$B$130,참고!$A$31:$A$130,C775,참고!$B$31:$B$130,"&lt;="&amp;A775))*참고!$D$31:$D$130)/100,0),0)</f>
        <v>0</v>
      </c>
      <c r="L775" s="31" t="str">
        <f t="shared" si="38"/>
        <v/>
      </c>
      <c r="M775" s="39"/>
    </row>
    <row r="776" spans="1:13" ht="18" customHeight="1" x14ac:dyDescent="0.45">
      <c r="A776" s="37"/>
      <c r="B776" s="29"/>
      <c r="C776" s="29"/>
      <c r="D776" s="28"/>
      <c r="E776" s="30" t="str">
        <f>IFERROR(VLOOKUP(D776,KRX종목마스터!$A:$B,2,FALSE),"")</f>
        <v/>
      </c>
      <c r="F776" s="42"/>
      <c r="G776" s="42"/>
      <c r="H776" s="31" t="str">
        <f t="shared" si="36"/>
        <v/>
      </c>
      <c r="I776" s="43">
        <f ca="1">IFERROR(SUMPRODUCT((참고!$A$31:$A$130=C776)*(참고!$B$31:$B$130&lt;=A776)*(참고!$B$31:$B$130=_xludf.MAXIFS(참고!$B$31:$B$130,참고!$A$31:$A$130,C776,참고!$B$31:$B$130,"&lt;="&amp;A776))*참고!$C$31:$C$130)/100,0)</f>
        <v>0</v>
      </c>
      <c r="J776" s="31" t="str">
        <f t="shared" si="37"/>
        <v/>
      </c>
      <c r="K776" s="43">
        <f>IF(B776="매도",IFERROR(SUMPRODUCT((참고!$A$31:$A$130=C776)*(참고!$B$31:$B$130&lt;=A776)*(참고!$B$31:$B$130=_xludf.MAXIFS(참고!$B$31:$B$130,참고!$A$31:$A$130,C776,참고!$B$31:$B$130,"&lt;="&amp;A776))*참고!$D$31:$D$130)/100,0),0)</f>
        <v>0</v>
      </c>
      <c r="L776" s="31" t="str">
        <f t="shared" si="38"/>
        <v/>
      </c>
      <c r="M776" s="39"/>
    </row>
    <row r="777" spans="1:13" ht="18" customHeight="1" x14ac:dyDescent="0.45">
      <c r="A777" s="37"/>
      <c r="B777" s="29"/>
      <c r="C777" s="29"/>
      <c r="D777" s="28"/>
      <c r="E777" s="30" t="str">
        <f>IFERROR(VLOOKUP(D777,KRX종목마스터!$A:$B,2,FALSE),"")</f>
        <v/>
      </c>
      <c r="F777" s="42"/>
      <c r="G777" s="42"/>
      <c r="H777" s="31" t="str">
        <f t="shared" si="36"/>
        <v/>
      </c>
      <c r="I777" s="43">
        <f ca="1">IFERROR(SUMPRODUCT((참고!$A$31:$A$130=C777)*(참고!$B$31:$B$130&lt;=A777)*(참고!$B$31:$B$130=_xludf.MAXIFS(참고!$B$31:$B$130,참고!$A$31:$A$130,C777,참고!$B$31:$B$130,"&lt;="&amp;A777))*참고!$C$31:$C$130)/100,0)</f>
        <v>0</v>
      </c>
      <c r="J777" s="31" t="str">
        <f t="shared" si="37"/>
        <v/>
      </c>
      <c r="K777" s="43">
        <f>IF(B777="매도",IFERROR(SUMPRODUCT((참고!$A$31:$A$130=C777)*(참고!$B$31:$B$130&lt;=A777)*(참고!$B$31:$B$130=_xludf.MAXIFS(참고!$B$31:$B$130,참고!$A$31:$A$130,C777,참고!$B$31:$B$130,"&lt;="&amp;A777))*참고!$D$31:$D$130)/100,0),0)</f>
        <v>0</v>
      </c>
      <c r="L777" s="31" t="str">
        <f t="shared" si="38"/>
        <v/>
      </c>
      <c r="M777" s="39"/>
    </row>
    <row r="778" spans="1:13" ht="18" customHeight="1" x14ac:dyDescent="0.45">
      <c r="A778" s="37"/>
      <c r="B778" s="29"/>
      <c r="C778" s="29"/>
      <c r="D778" s="28"/>
      <c r="E778" s="30" t="str">
        <f>IFERROR(VLOOKUP(D778,KRX종목마스터!$A:$B,2,FALSE),"")</f>
        <v/>
      </c>
      <c r="F778" s="42"/>
      <c r="G778" s="42"/>
      <c r="H778" s="31" t="str">
        <f t="shared" si="36"/>
        <v/>
      </c>
      <c r="I778" s="43">
        <f ca="1">IFERROR(SUMPRODUCT((참고!$A$31:$A$130=C778)*(참고!$B$31:$B$130&lt;=A778)*(참고!$B$31:$B$130=_xludf.MAXIFS(참고!$B$31:$B$130,참고!$A$31:$A$130,C778,참고!$B$31:$B$130,"&lt;="&amp;A778))*참고!$C$31:$C$130)/100,0)</f>
        <v>0</v>
      </c>
      <c r="J778" s="31" t="str">
        <f t="shared" si="37"/>
        <v/>
      </c>
      <c r="K778" s="43">
        <f>IF(B778="매도",IFERROR(SUMPRODUCT((참고!$A$31:$A$130=C778)*(참고!$B$31:$B$130&lt;=A778)*(참고!$B$31:$B$130=_xludf.MAXIFS(참고!$B$31:$B$130,참고!$A$31:$A$130,C778,참고!$B$31:$B$130,"&lt;="&amp;A778))*참고!$D$31:$D$130)/100,0),0)</f>
        <v>0</v>
      </c>
      <c r="L778" s="31" t="str">
        <f t="shared" si="38"/>
        <v/>
      </c>
      <c r="M778" s="39"/>
    </row>
    <row r="779" spans="1:13" ht="18" customHeight="1" x14ac:dyDescent="0.45">
      <c r="A779" s="37"/>
      <c r="B779" s="29"/>
      <c r="C779" s="29"/>
      <c r="D779" s="28"/>
      <c r="E779" s="30" t="str">
        <f>IFERROR(VLOOKUP(D779,KRX종목마스터!$A:$B,2,FALSE),"")</f>
        <v/>
      </c>
      <c r="F779" s="42"/>
      <c r="G779" s="42"/>
      <c r="H779" s="31" t="str">
        <f t="shared" si="36"/>
        <v/>
      </c>
      <c r="I779" s="43">
        <f ca="1">IFERROR(SUMPRODUCT((참고!$A$31:$A$130=C779)*(참고!$B$31:$B$130&lt;=A779)*(참고!$B$31:$B$130=_xludf.MAXIFS(참고!$B$31:$B$130,참고!$A$31:$A$130,C779,참고!$B$31:$B$130,"&lt;="&amp;A779))*참고!$C$31:$C$130)/100,0)</f>
        <v>0</v>
      </c>
      <c r="J779" s="31" t="str">
        <f t="shared" si="37"/>
        <v/>
      </c>
      <c r="K779" s="43">
        <f>IF(B779="매도",IFERROR(SUMPRODUCT((참고!$A$31:$A$130=C779)*(참고!$B$31:$B$130&lt;=A779)*(참고!$B$31:$B$130=_xludf.MAXIFS(참고!$B$31:$B$130,참고!$A$31:$A$130,C779,참고!$B$31:$B$130,"&lt;="&amp;A779))*참고!$D$31:$D$130)/100,0),0)</f>
        <v>0</v>
      </c>
      <c r="L779" s="31" t="str">
        <f t="shared" si="38"/>
        <v/>
      </c>
      <c r="M779" s="39"/>
    </row>
    <row r="780" spans="1:13" ht="18" customHeight="1" x14ac:dyDescent="0.45">
      <c r="A780" s="37"/>
      <c r="B780" s="29"/>
      <c r="C780" s="29"/>
      <c r="D780" s="28"/>
      <c r="E780" s="30" t="str">
        <f>IFERROR(VLOOKUP(D780,KRX종목마스터!$A:$B,2,FALSE),"")</f>
        <v/>
      </c>
      <c r="F780" s="42"/>
      <c r="G780" s="42"/>
      <c r="H780" s="31" t="str">
        <f t="shared" si="36"/>
        <v/>
      </c>
      <c r="I780" s="43">
        <f ca="1">IFERROR(SUMPRODUCT((참고!$A$31:$A$130=C780)*(참고!$B$31:$B$130&lt;=A780)*(참고!$B$31:$B$130=_xludf.MAXIFS(참고!$B$31:$B$130,참고!$A$31:$A$130,C780,참고!$B$31:$B$130,"&lt;="&amp;A780))*참고!$C$31:$C$130)/100,0)</f>
        <v>0</v>
      </c>
      <c r="J780" s="31" t="str">
        <f t="shared" si="37"/>
        <v/>
      </c>
      <c r="K780" s="43">
        <f>IF(B780="매도",IFERROR(SUMPRODUCT((참고!$A$31:$A$130=C780)*(참고!$B$31:$B$130&lt;=A780)*(참고!$B$31:$B$130=_xludf.MAXIFS(참고!$B$31:$B$130,참고!$A$31:$A$130,C780,참고!$B$31:$B$130,"&lt;="&amp;A780))*참고!$D$31:$D$130)/100,0),0)</f>
        <v>0</v>
      </c>
      <c r="L780" s="31" t="str">
        <f t="shared" si="38"/>
        <v/>
      </c>
      <c r="M780" s="39"/>
    </row>
    <row r="781" spans="1:13" ht="18" customHeight="1" x14ac:dyDescent="0.45">
      <c r="A781" s="37"/>
      <c r="B781" s="29"/>
      <c r="C781" s="29"/>
      <c r="D781" s="28"/>
      <c r="E781" s="30" t="str">
        <f>IFERROR(VLOOKUP(D781,KRX종목마스터!$A:$B,2,FALSE),"")</f>
        <v/>
      </c>
      <c r="F781" s="42"/>
      <c r="G781" s="42"/>
      <c r="H781" s="31" t="str">
        <f t="shared" si="36"/>
        <v/>
      </c>
      <c r="I781" s="43">
        <f ca="1">IFERROR(SUMPRODUCT((참고!$A$31:$A$130=C781)*(참고!$B$31:$B$130&lt;=A781)*(참고!$B$31:$B$130=_xludf.MAXIFS(참고!$B$31:$B$130,참고!$A$31:$A$130,C781,참고!$B$31:$B$130,"&lt;="&amp;A781))*참고!$C$31:$C$130)/100,0)</f>
        <v>0</v>
      </c>
      <c r="J781" s="31" t="str">
        <f t="shared" si="37"/>
        <v/>
      </c>
      <c r="K781" s="43">
        <f>IF(B781="매도",IFERROR(SUMPRODUCT((참고!$A$31:$A$130=C781)*(참고!$B$31:$B$130&lt;=A781)*(참고!$B$31:$B$130=_xludf.MAXIFS(참고!$B$31:$B$130,참고!$A$31:$A$130,C781,참고!$B$31:$B$130,"&lt;="&amp;A781))*참고!$D$31:$D$130)/100,0),0)</f>
        <v>0</v>
      </c>
      <c r="L781" s="31" t="str">
        <f t="shared" si="38"/>
        <v/>
      </c>
      <c r="M781" s="39"/>
    </row>
    <row r="782" spans="1:13" ht="18" customHeight="1" x14ac:dyDescent="0.45">
      <c r="A782" s="37"/>
      <c r="B782" s="29"/>
      <c r="C782" s="29"/>
      <c r="D782" s="28"/>
      <c r="E782" s="30" t="str">
        <f>IFERROR(VLOOKUP(D782,KRX종목마스터!$A:$B,2,FALSE),"")</f>
        <v/>
      </c>
      <c r="F782" s="42"/>
      <c r="G782" s="42"/>
      <c r="H782" s="31" t="str">
        <f t="shared" si="36"/>
        <v/>
      </c>
      <c r="I782" s="43">
        <f ca="1">IFERROR(SUMPRODUCT((참고!$A$31:$A$130=C782)*(참고!$B$31:$B$130&lt;=A782)*(참고!$B$31:$B$130=_xludf.MAXIFS(참고!$B$31:$B$130,참고!$A$31:$A$130,C782,참고!$B$31:$B$130,"&lt;="&amp;A782))*참고!$C$31:$C$130)/100,0)</f>
        <v>0</v>
      </c>
      <c r="J782" s="31" t="str">
        <f t="shared" si="37"/>
        <v/>
      </c>
      <c r="K782" s="43">
        <f>IF(B782="매도",IFERROR(SUMPRODUCT((참고!$A$31:$A$130=C782)*(참고!$B$31:$B$130&lt;=A782)*(참고!$B$31:$B$130=_xludf.MAXIFS(참고!$B$31:$B$130,참고!$A$31:$A$130,C782,참고!$B$31:$B$130,"&lt;="&amp;A782))*참고!$D$31:$D$130)/100,0),0)</f>
        <v>0</v>
      </c>
      <c r="L782" s="31" t="str">
        <f t="shared" si="38"/>
        <v/>
      </c>
      <c r="M782" s="39"/>
    </row>
    <row r="783" spans="1:13" ht="18" customHeight="1" x14ac:dyDescent="0.45">
      <c r="A783" s="37"/>
      <c r="B783" s="29"/>
      <c r="C783" s="29"/>
      <c r="D783" s="28"/>
      <c r="E783" s="30" t="str">
        <f>IFERROR(VLOOKUP(D783,KRX종목마스터!$A:$B,2,FALSE),"")</f>
        <v/>
      </c>
      <c r="F783" s="42"/>
      <c r="G783" s="42"/>
      <c r="H783" s="31" t="str">
        <f t="shared" si="36"/>
        <v/>
      </c>
      <c r="I783" s="43">
        <f ca="1">IFERROR(SUMPRODUCT((참고!$A$31:$A$130=C783)*(참고!$B$31:$B$130&lt;=A783)*(참고!$B$31:$B$130=_xludf.MAXIFS(참고!$B$31:$B$130,참고!$A$31:$A$130,C783,참고!$B$31:$B$130,"&lt;="&amp;A783))*참고!$C$31:$C$130)/100,0)</f>
        <v>0</v>
      </c>
      <c r="J783" s="31" t="str">
        <f t="shared" si="37"/>
        <v/>
      </c>
      <c r="K783" s="43">
        <f>IF(B783="매도",IFERROR(SUMPRODUCT((참고!$A$31:$A$130=C783)*(참고!$B$31:$B$130&lt;=A783)*(참고!$B$31:$B$130=_xludf.MAXIFS(참고!$B$31:$B$130,참고!$A$31:$A$130,C783,참고!$B$31:$B$130,"&lt;="&amp;A783))*참고!$D$31:$D$130)/100,0),0)</f>
        <v>0</v>
      </c>
      <c r="L783" s="31" t="str">
        <f t="shared" si="38"/>
        <v/>
      </c>
      <c r="M783" s="39"/>
    </row>
    <row r="784" spans="1:13" ht="18" customHeight="1" x14ac:dyDescent="0.45">
      <c r="A784" s="37"/>
      <c r="B784" s="29"/>
      <c r="C784" s="29"/>
      <c r="D784" s="28"/>
      <c r="E784" s="30" t="str">
        <f>IFERROR(VLOOKUP(D784,KRX종목마스터!$A:$B,2,FALSE),"")</f>
        <v/>
      </c>
      <c r="F784" s="42"/>
      <c r="G784" s="42"/>
      <c r="H784" s="31" t="str">
        <f t="shared" si="36"/>
        <v/>
      </c>
      <c r="I784" s="43">
        <f ca="1">IFERROR(SUMPRODUCT((참고!$A$31:$A$130=C784)*(참고!$B$31:$B$130&lt;=A784)*(참고!$B$31:$B$130=_xludf.MAXIFS(참고!$B$31:$B$130,참고!$A$31:$A$130,C784,참고!$B$31:$B$130,"&lt;="&amp;A784))*참고!$C$31:$C$130)/100,0)</f>
        <v>0</v>
      </c>
      <c r="J784" s="31" t="str">
        <f t="shared" si="37"/>
        <v/>
      </c>
      <c r="K784" s="43">
        <f>IF(B784="매도",IFERROR(SUMPRODUCT((참고!$A$31:$A$130=C784)*(참고!$B$31:$B$130&lt;=A784)*(참고!$B$31:$B$130=_xludf.MAXIFS(참고!$B$31:$B$130,참고!$A$31:$A$130,C784,참고!$B$31:$B$130,"&lt;="&amp;A784))*참고!$D$31:$D$130)/100,0),0)</f>
        <v>0</v>
      </c>
      <c r="L784" s="31" t="str">
        <f t="shared" si="38"/>
        <v/>
      </c>
      <c r="M784" s="39"/>
    </row>
    <row r="785" spans="1:13" ht="18" customHeight="1" x14ac:dyDescent="0.45">
      <c r="A785" s="37"/>
      <c r="B785" s="29"/>
      <c r="C785" s="29"/>
      <c r="D785" s="28"/>
      <c r="E785" s="30" t="str">
        <f>IFERROR(VLOOKUP(D785,KRX종목마스터!$A:$B,2,FALSE),"")</f>
        <v/>
      </c>
      <c r="F785" s="42"/>
      <c r="G785" s="42"/>
      <c r="H785" s="31" t="str">
        <f t="shared" si="36"/>
        <v/>
      </c>
      <c r="I785" s="43">
        <f ca="1">IFERROR(SUMPRODUCT((참고!$A$31:$A$130=C785)*(참고!$B$31:$B$130&lt;=A785)*(참고!$B$31:$B$130=_xludf.MAXIFS(참고!$B$31:$B$130,참고!$A$31:$A$130,C785,참고!$B$31:$B$130,"&lt;="&amp;A785))*참고!$C$31:$C$130)/100,0)</f>
        <v>0</v>
      </c>
      <c r="J785" s="31" t="str">
        <f t="shared" si="37"/>
        <v/>
      </c>
      <c r="K785" s="43">
        <f>IF(B785="매도",IFERROR(SUMPRODUCT((참고!$A$31:$A$130=C785)*(참고!$B$31:$B$130&lt;=A785)*(참고!$B$31:$B$130=_xludf.MAXIFS(참고!$B$31:$B$130,참고!$A$31:$A$130,C785,참고!$B$31:$B$130,"&lt;="&amp;A785))*참고!$D$31:$D$130)/100,0),0)</f>
        <v>0</v>
      </c>
      <c r="L785" s="31" t="str">
        <f t="shared" si="38"/>
        <v/>
      </c>
      <c r="M785" s="39"/>
    </row>
    <row r="786" spans="1:13" ht="18" customHeight="1" x14ac:dyDescent="0.45">
      <c r="A786" s="37"/>
      <c r="B786" s="29"/>
      <c r="C786" s="29"/>
      <c r="D786" s="28"/>
      <c r="E786" s="30" t="str">
        <f>IFERROR(VLOOKUP(D786,KRX종목마스터!$A:$B,2,FALSE),"")</f>
        <v/>
      </c>
      <c r="F786" s="42"/>
      <c r="G786" s="42"/>
      <c r="H786" s="31" t="str">
        <f t="shared" si="36"/>
        <v/>
      </c>
      <c r="I786" s="43">
        <f ca="1">IFERROR(SUMPRODUCT((참고!$A$31:$A$130=C786)*(참고!$B$31:$B$130&lt;=A786)*(참고!$B$31:$B$130=_xludf.MAXIFS(참고!$B$31:$B$130,참고!$A$31:$A$130,C786,참고!$B$31:$B$130,"&lt;="&amp;A786))*참고!$C$31:$C$130)/100,0)</f>
        <v>0</v>
      </c>
      <c r="J786" s="31" t="str">
        <f t="shared" si="37"/>
        <v/>
      </c>
      <c r="K786" s="43">
        <f>IF(B786="매도",IFERROR(SUMPRODUCT((참고!$A$31:$A$130=C786)*(참고!$B$31:$B$130&lt;=A786)*(참고!$B$31:$B$130=_xludf.MAXIFS(참고!$B$31:$B$130,참고!$A$31:$A$130,C786,참고!$B$31:$B$130,"&lt;="&amp;A786))*참고!$D$31:$D$130)/100,0),0)</f>
        <v>0</v>
      </c>
      <c r="L786" s="31" t="str">
        <f t="shared" si="38"/>
        <v/>
      </c>
      <c r="M786" s="39"/>
    </row>
    <row r="787" spans="1:13" ht="18" customHeight="1" x14ac:dyDescent="0.45">
      <c r="A787" s="37"/>
      <c r="B787" s="29"/>
      <c r="C787" s="29"/>
      <c r="D787" s="28"/>
      <c r="E787" s="30" t="str">
        <f>IFERROR(VLOOKUP(D787,KRX종목마스터!$A:$B,2,FALSE),"")</f>
        <v/>
      </c>
      <c r="F787" s="42"/>
      <c r="G787" s="42"/>
      <c r="H787" s="31" t="str">
        <f t="shared" si="36"/>
        <v/>
      </c>
      <c r="I787" s="43">
        <f ca="1">IFERROR(SUMPRODUCT((참고!$A$31:$A$130=C787)*(참고!$B$31:$B$130&lt;=A787)*(참고!$B$31:$B$130=_xludf.MAXIFS(참고!$B$31:$B$130,참고!$A$31:$A$130,C787,참고!$B$31:$B$130,"&lt;="&amp;A787))*참고!$C$31:$C$130)/100,0)</f>
        <v>0</v>
      </c>
      <c r="J787" s="31" t="str">
        <f t="shared" si="37"/>
        <v/>
      </c>
      <c r="K787" s="43">
        <f>IF(B787="매도",IFERROR(SUMPRODUCT((참고!$A$31:$A$130=C787)*(참고!$B$31:$B$130&lt;=A787)*(참고!$B$31:$B$130=_xludf.MAXIFS(참고!$B$31:$B$130,참고!$A$31:$A$130,C787,참고!$B$31:$B$130,"&lt;="&amp;A787))*참고!$D$31:$D$130)/100,0),0)</f>
        <v>0</v>
      </c>
      <c r="L787" s="31" t="str">
        <f t="shared" si="38"/>
        <v/>
      </c>
      <c r="M787" s="39"/>
    </row>
    <row r="788" spans="1:13" ht="18" customHeight="1" x14ac:dyDescent="0.45">
      <c r="A788" s="37"/>
      <c r="B788" s="29"/>
      <c r="C788" s="29"/>
      <c r="D788" s="28"/>
      <c r="E788" s="30" t="str">
        <f>IFERROR(VLOOKUP(D788,KRX종목마스터!$A:$B,2,FALSE),"")</f>
        <v/>
      </c>
      <c r="F788" s="42"/>
      <c r="G788" s="42"/>
      <c r="H788" s="31" t="str">
        <f t="shared" si="36"/>
        <v/>
      </c>
      <c r="I788" s="43">
        <f ca="1">IFERROR(SUMPRODUCT((참고!$A$31:$A$130=C788)*(참고!$B$31:$B$130&lt;=A788)*(참고!$B$31:$B$130=_xludf.MAXIFS(참고!$B$31:$B$130,참고!$A$31:$A$130,C788,참고!$B$31:$B$130,"&lt;="&amp;A788))*참고!$C$31:$C$130)/100,0)</f>
        <v>0</v>
      </c>
      <c r="J788" s="31" t="str">
        <f t="shared" si="37"/>
        <v/>
      </c>
      <c r="K788" s="43">
        <f>IF(B788="매도",IFERROR(SUMPRODUCT((참고!$A$31:$A$130=C788)*(참고!$B$31:$B$130&lt;=A788)*(참고!$B$31:$B$130=_xludf.MAXIFS(참고!$B$31:$B$130,참고!$A$31:$A$130,C788,참고!$B$31:$B$130,"&lt;="&amp;A788))*참고!$D$31:$D$130)/100,0),0)</f>
        <v>0</v>
      </c>
      <c r="L788" s="31" t="str">
        <f t="shared" si="38"/>
        <v/>
      </c>
      <c r="M788" s="39"/>
    </row>
    <row r="789" spans="1:13" ht="18" customHeight="1" x14ac:dyDescent="0.45">
      <c r="A789" s="37"/>
      <c r="B789" s="29"/>
      <c r="C789" s="29"/>
      <c r="D789" s="28"/>
      <c r="E789" s="30" t="str">
        <f>IFERROR(VLOOKUP(D789,KRX종목마스터!$A:$B,2,FALSE),"")</f>
        <v/>
      </c>
      <c r="F789" s="42"/>
      <c r="G789" s="42"/>
      <c r="H789" s="31" t="str">
        <f t="shared" si="36"/>
        <v/>
      </c>
      <c r="I789" s="43">
        <f ca="1">IFERROR(SUMPRODUCT((참고!$A$31:$A$130=C789)*(참고!$B$31:$B$130&lt;=A789)*(참고!$B$31:$B$130=_xludf.MAXIFS(참고!$B$31:$B$130,참고!$A$31:$A$130,C789,참고!$B$31:$B$130,"&lt;="&amp;A789))*참고!$C$31:$C$130)/100,0)</f>
        <v>0</v>
      </c>
      <c r="J789" s="31" t="str">
        <f t="shared" si="37"/>
        <v/>
      </c>
      <c r="K789" s="43">
        <f>IF(B789="매도",IFERROR(SUMPRODUCT((참고!$A$31:$A$130=C789)*(참고!$B$31:$B$130&lt;=A789)*(참고!$B$31:$B$130=_xludf.MAXIFS(참고!$B$31:$B$130,참고!$A$31:$A$130,C789,참고!$B$31:$B$130,"&lt;="&amp;A789))*참고!$D$31:$D$130)/100,0),0)</f>
        <v>0</v>
      </c>
      <c r="L789" s="31" t="str">
        <f t="shared" si="38"/>
        <v/>
      </c>
      <c r="M789" s="39"/>
    </row>
    <row r="790" spans="1:13" ht="18" customHeight="1" x14ac:dyDescent="0.45">
      <c r="A790" s="37"/>
      <c r="B790" s="29"/>
      <c r="C790" s="29"/>
      <c r="D790" s="28"/>
      <c r="E790" s="30" t="str">
        <f>IFERROR(VLOOKUP(D790,KRX종목마스터!$A:$B,2,FALSE),"")</f>
        <v/>
      </c>
      <c r="F790" s="42"/>
      <c r="G790" s="42"/>
      <c r="H790" s="31" t="str">
        <f t="shared" si="36"/>
        <v/>
      </c>
      <c r="I790" s="43">
        <f ca="1">IFERROR(SUMPRODUCT((참고!$A$31:$A$130=C790)*(참고!$B$31:$B$130&lt;=A790)*(참고!$B$31:$B$130=_xludf.MAXIFS(참고!$B$31:$B$130,참고!$A$31:$A$130,C790,참고!$B$31:$B$130,"&lt;="&amp;A790))*참고!$C$31:$C$130)/100,0)</f>
        <v>0</v>
      </c>
      <c r="J790" s="31" t="str">
        <f t="shared" si="37"/>
        <v/>
      </c>
      <c r="K790" s="43">
        <f>IF(B790="매도",IFERROR(SUMPRODUCT((참고!$A$31:$A$130=C790)*(참고!$B$31:$B$130&lt;=A790)*(참고!$B$31:$B$130=_xludf.MAXIFS(참고!$B$31:$B$130,참고!$A$31:$A$130,C790,참고!$B$31:$B$130,"&lt;="&amp;A790))*참고!$D$31:$D$130)/100,0),0)</f>
        <v>0</v>
      </c>
      <c r="L790" s="31" t="str">
        <f t="shared" si="38"/>
        <v/>
      </c>
      <c r="M790" s="39"/>
    </row>
    <row r="791" spans="1:13" ht="18" customHeight="1" x14ac:dyDescent="0.45">
      <c r="A791" s="37"/>
      <c r="B791" s="29"/>
      <c r="C791" s="29"/>
      <c r="D791" s="28"/>
      <c r="E791" s="30" t="str">
        <f>IFERROR(VLOOKUP(D791,KRX종목마스터!$A:$B,2,FALSE),"")</f>
        <v/>
      </c>
      <c r="F791" s="42"/>
      <c r="G791" s="42"/>
      <c r="H791" s="31" t="str">
        <f t="shared" si="36"/>
        <v/>
      </c>
      <c r="I791" s="43">
        <f ca="1">IFERROR(SUMPRODUCT((참고!$A$31:$A$130=C791)*(참고!$B$31:$B$130&lt;=A791)*(참고!$B$31:$B$130=_xludf.MAXIFS(참고!$B$31:$B$130,참고!$A$31:$A$130,C791,참고!$B$31:$B$130,"&lt;="&amp;A791))*참고!$C$31:$C$130)/100,0)</f>
        <v>0</v>
      </c>
      <c r="J791" s="31" t="str">
        <f t="shared" si="37"/>
        <v/>
      </c>
      <c r="K791" s="43">
        <f>IF(B791="매도",IFERROR(SUMPRODUCT((참고!$A$31:$A$130=C791)*(참고!$B$31:$B$130&lt;=A791)*(참고!$B$31:$B$130=_xludf.MAXIFS(참고!$B$31:$B$130,참고!$A$31:$A$130,C791,참고!$B$31:$B$130,"&lt;="&amp;A791))*참고!$D$31:$D$130)/100,0),0)</f>
        <v>0</v>
      </c>
      <c r="L791" s="31" t="str">
        <f t="shared" si="38"/>
        <v/>
      </c>
      <c r="M791" s="39"/>
    </row>
    <row r="792" spans="1:13" ht="18" customHeight="1" x14ac:dyDescent="0.45">
      <c r="A792" s="37"/>
      <c r="B792" s="29"/>
      <c r="C792" s="29"/>
      <c r="D792" s="28"/>
      <c r="E792" s="30" t="str">
        <f>IFERROR(VLOOKUP(D792,KRX종목마스터!$A:$B,2,FALSE),"")</f>
        <v/>
      </c>
      <c r="F792" s="42"/>
      <c r="G792" s="42"/>
      <c r="H792" s="31" t="str">
        <f t="shared" si="36"/>
        <v/>
      </c>
      <c r="I792" s="43">
        <f ca="1">IFERROR(SUMPRODUCT((참고!$A$31:$A$130=C792)*(참고!$B$31:$B$130&lt;=A792)*(참고!$B$31:$B$130=_xludf.MAXIFS(참고!$B$31:$B$130,참고!$A$31:$A$130,C792,참고!$B$31:$B$130,"&lt;="&amp;A792))*참고!$C$31:$C$130)/100,0)</f>
        <v>0</v>
      </c>
      <c r="J792" s="31" t="str">
        <f t="shared" si="37"/>
        <v/>
      </c>
      <c r="K792" s="43">
        <f>IF(B792="매도",IFERROR(SUMPRODUCT((참고!$A$31:$A$130=C792)*(참고!$B$31:$B$130&lt;=A792)*(참고!$B$31:$B$130=_xludf.MAXIFS(참고!$B$31:$B$130,참고!$A$31:$A$130,C792,참고!$B$31:$B$130,"&lt;="&amp;A792))*참고!$D$31:$D$130)/100,0),0)</f>
        <v>0</v>
      </c>
      <c r="L792" s="31" t="str">
        <f t="shared" si="38"/>
        <v/>
      </c>
      <c r="M792" s="39"/>
    </row>
    <row r="793" spans="1:13" ht="18" customHeight="1" x14ac:dyDescent="0.45">
      <c r="A793" s="37"/>
      <c r="B793" s="29"/>
      <c r="C793" s="29"/>
      <c r="D793" s="28"/>
      <c r="E793" s="30" t="str">
        <f>IFERROR(VLOOKUP(D793,KRX종목마스터!$A:$B,2,FALSE),"")</f>
        <v/>
      </c>
      <c r="F793" s="42"/>
      <c r="G793" s="42"/>
      <c r="H793" s="31" t="str">
        <f t="shared" si="36"/>
        <v/>
      </c>
      <c r="I793" s="43">
        <f ca="1">IFERROR(SUMPRODUCT((참고!$A$31:$A$130=C793)*(참고!$B$31:$B$130&lt;=A793)*(참고!$B$31:$B$130=_xludf.MAXIFS(참고!$B$31:$B$130,참고!$A$31:$A$130,C793,참고!$B$31:$B$130,"&lt;="&amp;A793))*참고!$C$31:$C$130)/100,0)</f>
        <v>0</v>
      </c>
      <c r="J793" s="31" t="str">
        <f t="shared" si="37"/>
        <v/>
      </c>
      <c r="K793" s="43">
        <f>IF(B793="매도",IFERROR(SUMPRODUCT((참고!$A$31:$A$130=C793)*(참고!$B$31:$B$130&lt;=A793)*(참고!$B$31:$B$130=_xludf.MAXIFS(참고!$B$31:$B$130,참고!$A$31:$A$130,C793,참고!$B$31:$B$130,"&lt;="&amp;A793))*참고!$D$31:$D$130)/100,0),0)</f>
        <v>0</v>
      </c>
      <c r="L793" s="31" t="str">
        <f t="shared" si="38"/>
        <v/>
      </c>
      <c r="M793" s="39"/>
    </row>
    <row r="794" spans="1:13" ht="18" customHeight="1" x14ac:dyDescent="0.45">
      <c r="A794" s="37"/>
      <c r="B794" s="29"/>
      <c r="C794" s="29"/>
      <c r="D794" s="28"/>
      <c r="E794" s="30" t="str">
        <f>IFERROR(VLOOKUP(D794,KRX종목마스터!$A:$B,2,FALSE),"")</f>
        <v/>
      </c>
      <c r="F794" s="42"/>
      <c r="G794" s="42"/>
      <c r="H794" s="31" t="str">
        <f t="shared" si="36"/>
        <v/>
      </c>
      <c r="I794" s="43">
        <f ca="1">IFERROR(SUMPRODUCT((참고!$A$31:$A$130=C794)*(참고!$B$31:$B$130&lt;=A794)*(참고!$B$31:$B$130=_xludf.MAXIFS(참고!$B$31:$B$130,참고!$A$31:$A$130,C794,참고!$B$31:$B$130,"&lt;="&amp;A794))*참고!$C$31:$C$130)/100,0)</f>
        <v>0</v>
      </c>
      <c r="J794" s="31" t="str">
        <f t="shared" si="37"/>
        <v/>
      </c>
      <c r="K794" s="43">
        <f>IF(B794="매도",IFERROR(SUMPRODUCT((참고!$A$31:$A$130=C794)*(참고!$B$31:$B$130&lt;=A794)*(참고!$B$31:$B$130=_xludf.MAXIFS(참고!$B$31:$B$130,참고!$A$31:$A$130,C794,참고!$B$31:$B$130,"&lt;="&amp;A794))*참고!$D$31:$D$130)/100,0),0)</f>
        <v>0</v>
      </c>
      <c r="L794" s="31" t="str">
        <f t="shared" si="38"/>
        <v/>
      </c>
      <c r="M794" s="39"/>
    </row>
    <row r="795" spans="1:13" ht="18" customHeight="1" x14ac:dyDescent="0.45">
      <c r="A795" s="37"/>
      <c r="B795" s="29"/>
      <c r="C795" s="29"/>
      <c r="D795" s="28"/>
      <c r="E795" s="30" t="str">
        <f>IFERROR(VLOOKUP(D795,KRX종목마스터!$A:$B,2,FALSE),"")</f>
        <v/>
      </c>
      <c r="F795" s="42"/>
      <c r="G795" s="42"/>
      <c r="H795" s="31" t="str">
        <f t="shared" si="36"/>
        <v/>
      </c>
      <c r="I795" s="43">
        <f ca="1">IFERROR(SUMPRODUCT((참고!$A$31:$A$130=C795)*(참고!$B$31:$B$130&lt;=A795)*(참고!$B$31:$B$130=_xludf.MAXIFS(참고!$B$31:$B$130,참고!$A$31:$A$130,C795,참고!$B$31:$B$130,"&lt;="&amp;A795))*참고!$C$31:$C$130)/100,0)</f>
        <v>0</v>
      </c>
      <c r="J795" s="31" t="str">
        <f t="shared" si="37"/>
        <v/>
      </c>
      <c r="K795" s="43">
        <f>IF(B795="매도",IFERROR(SUMPRODUCT((참고!$A$31:$A$130=C795)*(참고!$B$31:$B$130&lt;=A795)*(참고!$B$31:$B$130=_xludf.MAXIFS(참고!$B$31:$B$130,참고!$A$31:$A$130,C795,참고!$B$31:$B$130,"&lt;="&amp;A795))*참고!$D$31:$D$130)/100,0),0)</f>
        <v>0</v>
      </c>
      <c r="L795" s="31" t="str">
        <f t="shared" si="38"/>
        <v/>
      </c>
      <c r="M795" s="39"/>
    </row>
    <row r="796" spans="1:13" ht="18" customHeight="1" x14ac:dyDescent="0.45">
      <c r="A796" s="37"/>
      <c r="B796" s="29"/>
      <c r="C796" s="29"/>
      <c r="D796" s="28"/>
      <c r="E796" s="30" t="str">
        <f>IFERROR(VLOOKUP(D796,KRX종목마스터!$A:$B,2,FALSE),"")</f>
        <v/>
      </c>
      <c r="F796" s="42"/>
      <c r="G796" s="42"/>
      <c r="H796" s="31" t="str">
        <f t="shared" si="36"/>
        <v/>
      </c>
      <c r="I796" s="43">
        <f ca="1">IFERROR(SUMPRODUCT((참고!$A$31:$A$130=C796)*(참고!$B$31:$B$130&lt;=A796)*(참고!$B$31:$B$130=_xludf.MAXIFS(참고!$B$31:$B$130,참고!$A$31:$A$130,C796,참고!$B$31:$B$130,"&lt;="&amp;A796))*참고!$C$31:$C$130)/100,0)</f>
        <v>0</v>
      </c>
      <c r="J796" s="31" t="str">
        <f t="shared" si="37"/>
        <v/>
      </c>
      <c r="K796" s="43">
        <f>IF(B796="매도",IFERROR(SUMPRODUCT((참고!$A$31:$A$130=C796)*(참고!$B$31:$B$130&lt;=A796)*(참고!$B$31:$B$130=_xludf.MAXIFS(참고!$B$31:$B$130,참고!$A$31:$A$130,C796,참고!$B$31:$B$130,"&lt;="&amp;A796))*참고!$D$31:$D$130)/100,0),0)</f>
        <v>0</v>
      </c>
      <c r="L796" s="31" t="str">
        <f t="shared" si="38"/>
        <v/>
      </c>
      <c r="M796" s="39"/>
    </row>
    <row r="797" spans="1:13" ht="18" customHeight="1" x14ac:dyDescent="0.45">
      <c r="A797" s="37"/>
      <c r="B797" s="29"/>
      <c r="C797" s="29"/>
      <c r="D797" s="28"/>
      <c r="E797" s="30" t="str">
        <f>IFERROR(VLOOKUP(D797,KRX종목마스터!$A:$B,2,FALSE),"")</f>
        <v/>
      </c>
      <c r="F797" s="42"/>
      <c r="G797" s="42"/>
      <c r="H797" s="31" t="str">
        <f t="shared" si="36"/>
        <v/>
      </c>
      <c r="I797" s="43">
        <f ca="1">IFERROR(SUMPRODUCT((참고!$A$31:$A$130=C797)*(참고!$B$31:$B$130&lt;=A797)*(참고!$B$31:$B$130=_xludf.MAXIFS(참고!$B$31:$B$130,참고!$A$31:$A$130,C797,참고!$B$31:$B$130,"&lt;="&amp;A797))*참고!$C$31:$C$130)/100,0)</f>
        <v>0</v>
      </c>
      <c r="J797" s="31" t="str">
        <f t="shared" si="37"/>
        <v/>
      </c>
      <c r="K797" s="43">
        <f>IF(B797="매도",IFERROR(SUMPRODUCT((참고!$A$31:$A$130=C797)*(참고!$B$31:$B$130&lt;=A797)*(참고!$B$31:$B$130=_xludf.MAXIFS(참고!$B$31:$B$130,참고!$A$31:$A$130,C797,참고!$B$31:$B$130,"&lt;="&amp;A797))*참고!$D$31:$D$130)/100,0),0)</f>
        <v>0</v>
      </c>
      <c r="L797" s="31" t="str">
        <f t="shared" si="38"/>
        <v/>
      </c>
      <c r="M797" s="39"/>
    </row>
    <row r="798" spans="1:13" ht="18" customHeight="1" x14ac:dyDescent="0.45">
      <c r="A798" s="37"/>
      <c r="B798" s="29"/>
      <c r="C798" s="29"/>
      <c r="D798" s="28"/>
      <c r="E798" s="30" t="str">
        <f>IFERROR(VLOOKUP(D798,KRX종목마스터!$A:$B,2,FALSE),"")</f>
        <v/>
      </c>
      <c r="F798" s="42"/>
      <c r="G798" s="42"/>
      <c r="H798" s="31" t="str">
        <f t="shared" si="36"/>
        <v/>
      </c>
      <c r="I798" s="43">
        <f ca="1">IFERROR(SUMPRODUCT((참고!$A$31:$A$130=C798)*(참고!$B$31:$B$130&lt;=A798)*(참고!$B$31:$B$130=_xludf.MAXIFS(참고!$B$31:$B$130,참고!$A$31:$A$130,C798,참고!$B$31:$B$130,"&lt;="&amp;A798))*참고!$C$31:$C$130)/100,0)</f>
        <v>0</v>
      </c>
      <c r="J798" s="31" t="str">
        <f t="shared" si="37"/>
        <v/>
      </c>
      <c r="K798" s="43">
        <f>IF(B798="매도",IFERROR(SUMPRODUCT((참고!$A$31:$A$130=C798)*(참고!$B$31:$B$130&lt;=A798)*(참고!$B$31:$B$130=_xludf.MAXIFS(참고!$B$31:$B$130,참고!$A$31:$A$130,C798,참고!$B$31:$B$130,"&lt;="&amp;A798))*참고!$D$31:$D$130)/100,0),0)</f>
        <v>0</v>
      </c>
      <c r="L798" s="31" t="str">
        <f t="shared" si="38"/>
        <v/>
      </c>
      <c r="M798" s="39"/>
    </row>
    <row r="799" spans="1:13" ht="18" customHeight="1" x14ac:dyDescent="0.45">
      <c r="A799" s="37"/>
      <c r="B799" s="29"/>
      <c r="C799" s="29"/>
      <c r="D799" s="28"/>
      <c r="E799" s="30" t="str">
        <f>IFERROR(VLOOKUP(D799,KRX종목마스터!$A:$B,2,FALSE),"")</f>
        <v/>
      </c>
      <c r="F799" s="42"/>
      <c r="G799" s="42"/>
      <c r="H799" s="31" t="str">
        <f t="shared" si="36"/>
        <v/>
      </c>
      <c r="I799" s="43">
        <f ca="1">IFERROR(SUMPRODUCT((참고!$A$31:$A$130=C799)*(참고!$B$31:$B$130&lt;=A799)*(참고!$B$31:$B$130=_xludf.MAXIFS(참고!$B$31:$B$130,참고!$A$31:$A$130,C799,참고!$B$31:$B$130,"&lt;="&amp;A799))*참고!$C$31:$C$130)/100,0)</f>
        <v>0</v>
      </c>
      <c r="J799" s="31" t="str">
        <f t="shared" si="37"/>
        <v/>
      </c>
      <c r="K799" s="43">
        <f>IF(B799="매도",IFERROR(SUMPRODUCT((참고!$A$31:$A$130=C799)*(참고!$B$31:$B$130&lt;=A799)*(참고!$B$31:$B$130=_xludf.MAXIFS(참고!$B$31:$B$130,참고!$A$31:$A$130,C799,참고!$B$31:$B$130,"&lt;="&amp;A799))*참고!$D$31:$D$130)/100,0),0)</f>
        <v>0</v>
      </c>
      <c r="L799" s="31" t="str">
        <f t="shared" si="38"/>
        <v/>
      </c>
      <c r="M799" s="39"/>
    </row>
    <row r="800" spans="1:13" ht="18" customHeight="1" x14ac:dyDescent="0.45">
      <c r="A800" s="37"/>
      <c r="B800" s="29"/>
      <c r="C800" s="29"/>
      <c r="D800" s="28"/>
      <c r="E800" s="30" t="str">
        <f>IFERROR(VLOOKUP(D800,KRX종목마스터!$A:$B,2,FALSE),"")</f>
        <v/>
      </c>
      <c r="F800" s="42"/>
      <c r="G800" s="42"/>
      <c r="H800" s="31" t="str">
        <f t="shared" si="36"/>
        <v/>
      </c>
      <c r="I800" s="43">
        <f ca="1">IFERROR(SUMPRODUCT((참고!$A$31:$A$130=C800)*(참고!$B$31:$B$130&lt;=A800)*(참고!$B$31:$B$130=_xludf.MAXIFS(참고!$B$31:$B$130,참고!$A$31:$A$130,C800,참고!$B$31:$B$130,"&lt;="&amp;A800))*참고!$C$31:$C$130)/100,0)</f>
        <v>0</v>
      </c>
      <c r="J800" s="31" t="str">
        <f t="shared" si="37"/>
        <v/>
      </c>
      <c r="K800" s="43">
        <f>IF(B800="매도",IFERROR(SUMPRODUCT((참고!$A$31:$A$130=C800)*(참고!$B$31:$B$130&lt;=A800)*(참고!$B$31:$B$130=_xludf.MAXIFS(참고!$B$31:$B$130,참고!$A$31:$A$130,C800,참고!$B$31:$B$130,"&lt;="&amp;A800))*참고!$D$31:$D$130)/100,0),0)</f>
        <v>0</v>
      </c>
      <c r="L800" s="31" t="str">
        <f t="shared" si="38"/>
        <v/>
      </c>
      <c r="M800" s="39"/>
    </row>
    <row r="801" spans="1:13" ht="18" customHeight="1" x14ac:dyDescent="0.45">
      <c r="A801" s="37"/>
      <c r="B801" s="29"/>
      <c r="C801" s="29"/>
      <c r="D801" s="28"/>
      <c r="E801" s="30" t="str">
        <f>IFERROR(VLOOKUP(D801,KRX종목마스터!$A:$B,2,FALSE),"")</f>
        <v/>
      </c>
      <c r="F801" s="42"/>
      <c r="G801" s="42"/>
      <c r="H801" s="31" t="str">
        <f t="shared" si="36"/>
        <v/>
      </c>
      <c r="I801" s="43">
        <f ca="1">IFERROR(SUMPRODUCT((참고!$A$31:$A$130=C801)*(참고!$B$31:$B$130&lt;=A801)*(참고!$B$31:$B$130=_xludf.MAXIFS(참고!$B$31:$B$130,참고!$A$31:$A$130,C801,참고!$B$31:$B$130,"&lt;="&amp;A801))*참고!$C$31:$C$130)/100,0)</f>
        <v>0</v>
      </c>
      <c r="J801" s="31" t="str">
        <f t="shared" si="37"/>
        <v/>
      </c>
      <c r="K801" s="43">
        <f>IF(B801="매도",IFERROR(SUMPRODUCT((참고!$A$31:$A$130=C801)*(참고!$B$31:$B$130&lt;=A801)*(참고!$B$31:$B$130=_xludf.MAXIFS(참고!$B$31:$B$130,참고!$A$31:$A$130,C801,참고!$B$31:$B$130,"&lt;="&amp;A801))*참고!$D$31:$D$130)/100,0),0)</f>
        <v>0</v>
      </c>
      <c r="L801" s="31" t="str">
        <f t="shared" si="38"/>
        <v/>
      </c>
      <c r="M801" s="39"/>
    </row>
    <row r="802" spans="1:13" ht="18" customHeight="1" x14ac:dyDescent="0.45">
      <c r="A802" s="37"/>
      <c r="B802" s="29"/>
      <c r="C802" s="29"/>
      <c r="D802" s="28"/>
      <c r="E802" s="30" t="str">
        <f>IFERROR(VLOOKUP(D802,KRX종목마스터!$A:$B,2,FALSE),"")</f>
        <v/>
      </c>
      <c r="F802" s="42"/>
      <c r="G802" s="42"/>
      <c r="H802" s="31" t="str">
        <f t="shared" si="36"/>
        <v/>
      </c>
      <c r="I802" s="43">
        <f ca="1">IFERROR(SUMPRODUCT((참고!$A$31:$A$130=C802)*(참고!$B$31:$B$130&lt;=A802)*(참고!$B$31:$B$130=_xludf.MAXIFS(참고!$B$31:$B$130,참고!$A$31:$A$130,C802,참고!$B$31:$B$130,"&lt;="&amp;A802))*참고!$C$31:$C$130)/100,0)</f>
        <v>0</v>
      </c>
      <c r="J802" s="31" t="str">
        <f t="shared" si="37"/>
        <v/>
      </c>
      <c r="K802" s="43">
        <f>IF(B802="매도",IFERROR(SUMPRODUCT((참고!$A$31:$A$130=C802)*(참고!$B$31:$B$130&lt;=A802)*(참고!$B$31:$B$130=_xludf.MAXIFS(참고!$B$31:$B$130,참고!$A$31:$A$130,C802,참고!$B$31:$B$130,"&lt;="&amp;A802))*참고!$D$31:$D$130)/100,0),0)</f>
        <v>0</v>
      </c>
      <c r="L802" s="31" t="str">
        <f t="shared" si="38"/>
        <v/>
      </c>
      <c r="M802" s="39"/>
    </row>
    <row r="803" spans="1:13" ht="18" customHeight="1" x14ac:dyDescent="0.45">
      <c r="A803" s="37"/>
      <c r="B803" s="29"/>
      <c r="C803" s="29"/>
      <c r="D803" s="28"/>
      <c r="E803" s="30" t="str">
        <f>IFERROR(VLOOKUP(D803,KRX종목마스터!$A:$B,2,FALSE),"")</f>
        <v/>
      </c>
      <c r="F803" s="42"/>
      <c r="G803" s="42"/>
      <c r="H803" s="31" t="str">
        <f t="shared" si="36"/>
        <v/>
      </c>
      <c r="I803" s="43">
        <f ca="1">IFERROR(SUMPRODUCT((참고!$A$31:$A$130=C803)*(참고!$B$31:$B$130&lt;=A803)*(참고!$B$31:$B$130=_xludf.MAXIFS(참고!$B$31:$B$130,참고!$A$31:$A$130,C803,참고!$B$31:$B$130,"&lt;="&amp;A803))*참고!$C$31:$C$130)/100,0)</f>
        <v>0</v>
      </c>
      <c r="J803" s="31" t="str">
        <f t="shared" si="37"/>
        <v/>
      </c>
      <c r="K803" s="43">
        <f>IF(B803="매도",IFERROR(SUMPRODUCT((참고!$A$31:$A$130=C803)*(참고!$B$31:$B$130&lt;=A803)*(참고!$B$31:$B$130=_xludf.MAXIFS(참고!$B$31:$B$130,참고!$A$31:$A$130,C803,참고!$B$31:$B$130,"&lt;="&amp;A803))*참고!$D$31:$D$130)/100,0),0)</f>
        <v>0</v>
      </c>
      <c r="L803" s="31" t="str">
        <f t="shared" si="38"/>
        <v/>
      </c>
      <c r="M803" s="39"/>
    </row>
    <row r="804" spans="1:13" ht="18" customHeight="1" x14ac:dyDescent="0.45">
      <c r="A804" s="37"/>
      <c r="B804" s="29"/>
      <c r="C804" s="29"/>
      <c r="D804" s="28"/>
      <c r="E804" s="30" t="str">
        <f>IFERROR(VLOOKUP(D804,KRX종목마스터!$A:$B,2,FALSE),"")</f>
        <v/>
      </c>
      <c r="F804" s="42"/>
      <c r="G804" s="42"/>
      <c r="H804" s="31" t="str">
        <f t="shared" si="36"/>
        <v/>
      </c>
      <c r="I804" s="43">
        <f ca="1">IFERROR(SUMPRODUCT((참고!$A$31:$A$130=C804)*(참고!$B$31:$B$130&lt;=A804)*(참고!$B$31:$B$130=_xludf.MAXIFS(참고!$B$31:$B$130,참고!$A$31:$A$130,C804,참고!$B$31:$B$130,"&lt;="&amp;A804))*참고!$C$31:$C$130)/100,0)</f>
        <v>0</v>
      </c>
      <c r="J804" s="31" t="str">
        <f t="shared" si="37"/>
        <v/>
      </c>
      <c r="K804" s="43">
        <f>IF(B804="매도",IFERROR(SUMPRODUCT((참고!$A$31:$A$130=C804)*(참고!$B$31:$B$130&lt;=A804)*(참고!$B$31:$B$130=_xludf.MAXIFS(참고!$B$31:$B$130,참고!$A$31:$A$130,C804,참고!$B$31:$B$130,"&lt;="&amp;A804))*참고!$D$31:$D$130)/100,0),0)</f>
        <v>0</v>
      </c>
      <c r="L804" s="31" t="str">
        <f t="shared" si="38"/>
        <v/>
      </c>
      <c r="M804" s="39"/>
    </row>
    <row r="805" spans="1:13" ht="18" customHeight="1" x14ac:dyDescent="0.45">
      <c r="A805" s="37"/>
      <c r="B805" s="29"/>
      <c r="C805" s="29"/>
      <c r="D805" s="28"/>
      <c r="E805" s="30" t="str">
        <f>IFERROR(VLOOKUP(D805,KRX종목마스터!$A:$B,2,FALSE),"")</f>
        <v/>
      </c>
      <c r="F805" s="42"/>
      <c r="G805" s="42"/>
      <c r="H805" s="31" t="str">
        <f t="shared" si="36"/>
        <v/>
      </c>
      <c r="I805" s="43">
        <f ca="1">IFERROR(SUMPRODUCT((참고!$A$31:$A$130=C805)*(참고!$B$31:$B$130&lt;=A805)*(참고!$B$31:$B$130=_xludf.MAXIFS(참고!$B$31:$B$130,참고!$A$31:$A$130,C805,참고!$B$31:$B$130,"&lt;="&amp;A805))*참고!$C$31:$C$130)/100,0)</f>
        <v>0</v>
      </c>
      <c r="J805" s="31" t="str">
        <f t="shared" si="37"/>
        <v/>
      </c>
      <c r="K805" s="43">
        <f>IF(B805="매도",IFERROR(SUMPRODUCT((참고!$A$31:$A$130=C805)*(참고!$B$31:$B$130&lt;=A805)*(참고!$B$31:$B$130=_xludf.MAXIFS(참고!$B$31:$B$130,참고!$A$31:$A$130,C805,참고!$B$31:$B$130,"&lt;="&amp;A805))*참고!$D$31:$D$130)/100,0),0)</f>
        <v>0</v>
      </c>
      <c r="L805" s="31" t="str">
        <f t="shared" si="38"/>
        <v/>
      </c>
      <c r="M805" s="39"/>
    </row>
    <row r="806" spans="1:13" ht="18" customHeight="1" x14ac:dyDescent="0.45">
      <c r="A806" s="37"/>
      <c r="B806" s="29"/>
      <c r="C806" s="29"/>
      <c r="D806" s="28"/>
      <c r="E806" s="30" t="str">
        <f>IFERROR(VLOOKUP(D806,KRX종목마스터!$A:$B,2,FALSE),"")</f>
        <v/>
      </c>
      <c r="F806" s="42"/>
      <c r="G806" s="42"/>
      <c r="H806" s="31" t="str">
        <f t="shared" si="36"/>
        <v/>
      </c>
      <c r="I806" s="43">
        <f ca="1">IFERROR(SUMPRODUCT((참고!$A$31:$A$130=C806)*(참고!$B$31:$B$130&lt;=A806)*(참고!$B$31:$B$130=_xludf.MAXIFS(참고!$B$31:$B$130,참고!$A$31:$A$130,C806,참고!$B$31:$B$130,"&lt;="&amp;A806))*참고!$C$31:$C$130)/100,0)</f>
        <v>0</v>
      </c>
      <c r="J806" s="31" t="str">
        <f t="shared" si="37"/>
        <v/>
      </c>
      <c r="K806" s="43">
        <f>IF(B806="매도",IFERROR(SUMPRODUCT((참고!$A$31:$A$130=C806)*(참고!$B$31:$B$130&lt;=A806)*(참고!$B$31:$B$130=_xludf.MAXIFS(참고!$B$31:$B$130,참고!$A$31:$A$130,C806,참고!$B$31:$B$130,"&lt;="&amp;A806))*참고!$D$31:$D$130)/100,0),0)</f>
        <v>0</v>
      </c>
      <c r="L806" s="31" t="str">
        <f t="shared" si="38"/>
        <v/>
      </c>
      <c r="M806" s="39"/>
    </row>
    <row r="807" spans="1:13" ht="18" customHeight="1" x14ac:dyDescent="0.45">
      <c r="A807" s="37"/>
      <c r="B807" s="29"/>
      <c r="C807" s="29"/>
      <c r="D807" s="28"/>
      <c r="E807" s="30" t="str">
        <f>IFERROR(VLOOKUP(D807,KRX종목마스터!$A:$B,2,FALSE),"")</f>
        <v/>
      </c>
      <c r="F807" s="42"/>
      <c r="G807" s="42"/>
      <c r="H807" s="31" t="str">
        <f t="shared" si="36"/>
        <v/>
      </c>
      <c r="I807" s="43">
        <f ca="1">IFERROR(SUMPRODUCT((참고!$A$31:$A$130=C807)*(참고!$B$31:$B$130&lt;=A807)*(참고!$B$31:$B$130=_xludf.MAXIFS(참고!$B$31:$B$130,참고!$A$31:$A$130,C807,참고!$B$31:$B$130,"&lt;="&amp;A807))*참고!$C$31:$C$130)/100,0)</f>
        <v>0</v>
      </c>
      <c r="J807" s="31" t="str">
        <f t="shared" si="37"/>
        <v/>
      </c>
      <c r="K807" s="43">
        <f>IF(B807="매도",IFERROR(SUMPRODUCT((참고!$A$31:$A$130=C807)*(참고!$B$31:$B$130&lt;=A807)*(참고!$B$31:$B$130=_xludf.MAXIFS(참고!$B$31:$B$130,참고!$A$31:$A$130,C807,참고!$B$31:$B$130,"&lt;="&amp;A807))*참고!$D$31:$D$130)/100,0),0)</f>
        <v>0</v>
      </c>
      <c r="L807" s="31" t="str">
        <f t="shared" si="38"/>
        <v/>
      </c>
      <c r="M807" s="39"/>
    </row>
    <row r="808" spans="1:13" ht="18" customHeight="1" x14ac:dyDescent="0.45">
      <c r="A808" s="37"/>
      <c r="B808" s="29"/>
      <c r="C808" s="29"/>
      <c r="D808" s="28"/>
      <c r="E808" s="30" t="str">
        <f>IFERROR(VLOOKUP(D808,KRX종목마스터!$A:$B,2,FALSE),"")</f>
        <v/>
      </c>
      <c r="F808" s="42"/>
      <c r="G808" s="42"/>
      <c r="H808" s="31" t="str">
        <f t="shared" si="36"/>
        <v/>
      </c>
      <c r="I808" s="43">
        <f ca="1">IFERROR(SUMPRODUCT((참고!$A$31:$A$130=C808)*(참고!$B$31:$B$130&lt;=A808)*(참고!$B$31:$B$130=_xludf.MAXIFS(참고!$B$31:$B$130,참고!$A$31:$A$130,C808,참고!$B$31:$B$130,"&lt;="&amp;A808))*참고!$C$31:$C$130)/100,0)</f>
        <v>0</v>
      </c>
      <c r="J808" s="31" t="str">
        <f t="shared" si="37"/>
        <v/>
      </c>
      <c r="K808" s="43">
        <f>IF(B808="매도",IFERROR(SUMPRODUCT((참고!$A$31:$A$130=C808)*(참고!$B$31:$B$130&lt;=A808)*(참고!$B$31:$B$130=_xludf.MAXIFS(참고!$B$31:$B$130,참고!$A$31:$A$130,C808,참고!$B$31:$B$130,"&lt;="&amp;A808))*참고!$D$31:$D$130)/100,0),0)</f>
        <v>0</v>
      </c>
      <c r="L808" s="31" t="str">
        <f t="shared" si="38"/>
        <v/>
      </c>
      <c r="M808" s="39"/>
    </row>
    <row r="809" spans="1:13" ht="18" customHeight="1" x14ac:dyDescent="0.45">
      <c r="A809" s="37"/>
      <c r="B809" s="29"/>
      <c r="C809" s="29"/>
      <c r="D809" s="28"/>
      <c r="E809" s="30" t="str">
        <f>IFERROR(VLOOKUP(D809,KRX종목마스터!$A:$B,2,FALSE),"")</f>
        <v/>
      </c>
      <c r="F809" s="42"/>
      <c r="G809" s="42"/>
      <c r="H809" s="31" t="str">
        <f t="shared" si="36"/>
        <v/>
      </c>
      <c r="I809" s="43">
        <f ca="1">IFERROR(SUMPRODUCT((참고!$A$31:$A$130=C809)*(참고!$B$31:$B$130&lt;=A809)*(참고!$B$31:$B$130=_xludf.MAXIFS(참고!$B$31:$B$130,참고!$A$31:$A$130,C809,참고!$B$31:$B$130,"&lt;="&amp;A809))*참고!$C$31:$C$130)/100,0)</f>
        <v>0</v>
      </c>
      <c r="J809" s="31" t="str">
        <f t="shared" si="37"/>
        <v/>
      </c>
      <c r="K809" s="43">
        <f>IF(B809="매도",IFERROR(SUMPRODUCT((참고!$A$31:$A$130=C809)*(참고!$B$31:$B$130&lt;=A809)*(참고!$B$31:$B$130=_xludf.MAXIFS(참고!$B$31:$B$130,참고!$A$31:$A$130,C809,참고!$B$31:$B$130,"&lt;="&amp;A809))*참고!$D$31:$D$130)/100,0),0)</f>
        <v>0</v>
      </c>
      <c r="L809" s="31" t="str">
        <f t="shared" si="38"/>
        <v/>
      </c>
      <c r="M809" s="39"/>
    </row>
    <row r="810" spans="1:13" ht="18" customHeight="1" x14ac:dyDescent="0.45">
      <c r="A810" s="37"/>
      <c r="B810" s="29"/>
      <c r="C810" s="29"/>
      <c r="D810" s="28"/>
      <c r="E810" s="30" t="str">
        <f>IFERROR(VLOOKUP(D810,KRX종목마스터!$A:$B,2,FALSE),"")</f>
        <v/>
      </c>
      <c r="F810" s="42"/>
      <c r="G810" s="42"/>
      <c r="H810" s="31" t="str">
        <f t="shared" si="36"/>
        <v/>
      </c>
      <c r="I810" s="43">
        <f ca="1">IFERROR(SUMPRODUCT((참고!$A$31:$A$130=C810)*(참고!$B$31:$B$130&lt;=A810)*(참고!$B$31:$B$130=_xludf.MAXIFS(참고!$B$31:$B$130,참고!$A$31:$A$130,C810,참고!$B$31:$B$130,"&lt;="&amp;A810))*참고!$C$31:$C$130)/100,0)</f>
        <v>0</v>
      </c>
      <c r="J810" s="31" t="str">
        <f t="shared" si="37"/>
        <v/>
      </c>
      <c r="K810" s="43">
        <f>IF(B810="매도",IFERROR(SUMPRODUCT((참고!$A$31:$A$130=C810)*(참고!$B$31:$B$130&lt;=A810)*(참고!$B$31:$B$130=_xludf.MAXIFS(참고!$B$31:$B$130,참고!$A$31:$A$130,C810,참고!$B$31:$B$130,"&lt;="&amp;A810))*참고!$D$31:$D$130)/100,0),0)</f>
        <v>0</v>
      </c>
      <c r="L810" s="31" t="str">
        <f t="shared" si="38"/>
        <v/>
      </c>
      <c r="M810" s="39"/>
    </row>
    <row r="811" spans="1:13" ht="18" customHeight="1" x14ac:dyDescent="0.45">
      <c r="A811" s="37"/>
      <c r="B811" s="29"/>
      <c r="C811" s="29"/>
      <c r="D811" s="28"/>
      <c r="E811" s="30" t="str">
        <f>IFERROR(VLOOKUP(D811,KRX종목마스터!$A:$B,2,FALSE),"")</f>
        <v/>
      </c>
      <c r="F811" s="42"/>
      <c r="G811" s="42"/>
      <c r="H811" s="31" t="str">
        <f t="shared" si="36"/>
        <v/>
      </c>
      <c r="I811" s="43">
        <f ca="1">IFERROR(SUMPRODUCT((참고!$A$31:$A$130=C811)*(참고!$B$31:$B$130&lt;=A811)*(참고!$B$31:$B$130=_xludf.MAXIFS(참고!$B$31:$B$130,참고!$A$31:$A$130,C811,참고!$B$31:$B$130,"&lt;="&amp;A811))*참고!$C$31:$C$130)/100,0)</f>
        <v>0</v>
      </c>
      <c r="J811" s="31" t="str">
        <f t="shared" si="37"/>
        <v/>
      </c>
      <c r="K811" s="43">
        <f>IF(B811="매도",IFERROR(SUMPRODUCT((참고!$A$31:$A$130=C811)*(참고!$B$31:$B$130&lt;=A811)*(참고!$B$31:$B$130=_xludf.MAXIFS(참고!$B$31:$B$130,참고!$A$31:$A$130,C811,참고!$B$31:$B$130,"&lt;="&amp;A811))*참고!$D$31:$D$130)/100,0),0)</f>
        <v>0</v>
      </c>
      <c r="L811" s="31" t="str">
        <f t="shared" si="38"/>
        <v/>
      </c>
      <c r="M811" s="39"/>
    </row>
    <row r="812" spans="1:13" ht="18" customHeight="1" x14ac:dyDescent="0.45">
      <c r="A812" s="37"/>
      <c r="B812" s="29"/>
      <c r="C812" s="29"/>
      <c r="D812" s="28"/>
      <c r="E812" s="30" t="str">
        <f>IFERROR(VLOOKUP(D812,KRX종목마스터!$A:$B,2,FALSE),"")</f>
        <v/>
      </c>
      <c r="F812" s="42"/>
      <c r="G812" s="42"/>
      <c r="H812" s="31" t="str">
        <f t="shared" si="36"/>
        <v/>
      </c>
      <c r="I812" s="43">
        <f ca="1">IFERROR(SUMPRODUCT((참고!$A$31:$A$130=C812)*(참고!$B$31:$B$130&lt;=A812)*(참고!$B$31:$B$130=_xludf.MAXIFS(참고!$B$31:$B$130,참고!$A$31:$A$130,C812,참고!$B$31:$B$130,"&lt;="&amp;A812))*참고!$C$31:$C$130)/100,0)</f>
        <v>0</v>
      </c>
      <c r="J812" s="31" t="str">
        <f t="shared" si="37"/>
        <v/>
      </c>
      <c r="K812" s="43">
        <f>IF(B812="매도",IFERROR(SUMPRODUCT((참고!$A$31:$A$130=C812)*(참고!$B$31:$B$130&lt;=A812)*(참고!$B$31:$B$130=_xludf.MAXIFS(참고!$B$31:$B$130,참고!$A$31:$A$130,C812,참고!$B$31:$B$130,"&lt;="&amp;A812))*참고!$D$31:$D$130)/100,0),0)</f>
        <v>0</v>
      </c>
      <c r="L812" s="31" t="str">
        <f t="shared" si="38"/>
        <v/>
      </c>
      <c r="M812" s="39"/>
    </row>
    <row r="813" spans="1:13" ht="18" customHeight="1" x14ac:dyDescent="0.45">
      <c r="A813" s="37"/>
      <c r="B813" s="29"/>
      <c r="C813" s="29"/>
      <c r="D813" s="28"/>
      <c r="E813" s="30" t="str">
        <f>IFERROR(VLOOKUP(D813,KRX종목마스터!$A:$B,2,FALSE),"")</f>
        <v/>
      </c>
      <c r="F813" s="42"/>
      <c r="G813" s="42"/>
      <c r="H813" s="31" t="str">
        <f t="shared" si="36"/>
        <v/>
      </c>
      <c r="I813" s="43">
        <f ca="1">IFERROR(SUMPRODUCT((참고!$A$31:$A$130=C813)*(참고!$B$31:$B$130&lt;=A813)*(참고!$B$31:$B$130=_xludf.MAXIFS(참고!$B$31:$B$130,참고!$A$31:$A$130,C813,참고!$B$31:$B$130,"&lt;="&amp;A813))*참고!$C$31:$C$130)/100,0)</f>
        <v>0</v>
      </c>
      <c r="J813" s="31" t="str">
        <f t="shared" si="37"/>
        <v/>
      </c>
      <c r="K813" s="43">
        <f>IF(B813="매도",IFERROR(SUMPRODUCT((참고!$A$31:$A$130=C813)*(참고!$B$31:$B$130&lt;=A813)*(참고!$B$31:$B$130=_xludf.MAXIFS(참고!$B$31:$B$130,참고!$A$31:$A$130,C813,참고!$B$31:$B$130,"&lt;="&amp;A813))*참고!$D$31:$D$130)/100,0),0)</f>
        <v>0</v>
      </c>
      <c r="L813" s="31" t="str">
        <f t="shared" si="38"/>
        <v/>
      </c>
      <c r="M813" s="39"/>
    </row>
    <row r="814" spans="1:13" ht="18" customHeight="1" x14ac:dyDescent="0.45">
      <c r="A814" s="37"/>
      <c r="B814" s="29"/>
      <c r="C814" s="29"/>
      <c r="D814" s="28"/>
      <c r="E814" s="30" t="str">
        <f>IFERROR(VLOOKUP(D814,KRX종목마스터!$A:$B,2,FALSE),"")</f>
        <v/>
      </c>
      <c r="F814" s="42"/>
      <c r="G814" s="42"/>
      <c r="H814" s="31" t="str">
        <f t="shared" si="36"/>
        <v/>
      </c>
      <c r="I814" s="43">
        <f ca="1">IFERROR(SUMPRODUCT((참고!$A$31:$A$130=C814)*(참고!$B$31:$B$130&lt;=A814)*(참고!$B$31:$B$130=_xludf.MAXIFS(참고!$B$31:$B$130,참고!$A$31:$A$130,C814,참고!$B$31:$B$130,"&lt;="&amp;A814))*참고!$C$31:$C$130)/100,0)</f>
        <v>0</v>
      </c>
      <c r="J814" s="31" t="str">
        <f t="shared" si="37"/>
        <v/>
      </c>
      <c r="K814" s="43">
        <f>IF(B814="매도",IFERROR(SUMPRODUCT((참고!$A$31:$A$130=C814)*(참고!$B$31:$B$130&lt;=A814)*(참고!$B$31:$B$130=_xludf.MAXIFS(참고!$B$31:$B$130,참고!$A$31:$A$130,C814,참고!$B$31:$B$130,"&lt;="&amp;A814))*참고!$D$31:$D$130)/100,0),0)</f>
        <v>0</v>
      </c>
      <c r="L814" s="31" t="str">
        <f t="shared" si="38"/>
        <v/>
      </c>
      <c r="M814" s="39"/>
    </row>
    <row r="815" spans="1:13" ht="18" customHeight="1" x14ac:dyDescent="0.45">
      <c r="A815" s="37"/>
      <c r="B815" s="29"/>
      <c r="C815" s="29"/>
      <c r="D815" s="28"/>
      <c r="E815" s="30" t="str">
        <f>IFERROR(VLOOKUP(D815,KRX종목마스터!$A:$B,2,FALSE),"")</f>
        <v/>
      </c>
      <c r="F815" s="42"/>
      <c r="G815" s="42"/>
      <c r="H815" s="31" t="str">
        <f t="shared" si="36"/>
        <v/>
      </c>
      <c r="I815" s="43">
        <f ca="1">IFERROR(SUMPRODUCT((참고!$A$31:$A$130=C815)*(참고!$B$31:$B$130&lt;=A815)*(참고!$B$31:$B$130=_xludf.MAXIFS(참고!$B$31:$B$130,참고!$A$31:$A$130,C815,참고!$B$31:$B$130,"&lt;="&amp;A815))*참고!$C$31:$C$130)/100,0)</f>
        <v>0</v>
      </c>
      <c r="J815" s="31" t="str">
        <f t="shared" si="37"/>
        <v/>
      </c>
      <c r="K815" s="43">
        <f>IF(B815="매도",IFERROR(SUMPRODUCT((참고!$A$31:$A$130=C815)*(참고!$B$31:$B$130&lt;=A815)*(참고!$B$31:$B$130=_xludf.MAXIFS(참고!$B$31:$B$130,참고!$A$31:$A$130,C815,참고!$B$31:$B$130,"&lt;="&amp;A815))*참고!$D$31:$D$130)/100,0),0)</f>
        <v>0</v>
      </c>
      <c r="L815" s="31" t="str">
        <f t="shared" si="38"/>
        <v/>
      </c>
      <c r="M815" s="39"/>
    </row>
    <row r="816" spans="1:13" ht="18" customHeight="1" x14ac:dyDescent="0.45">
      <c r="A816" s="37"/>
      <c r="B816" s="29"/>
      <c r="C816" s="29"/>
      <c r="D816" s="28"/>
      <c r="E816" s="30" t="str">
        <f>IFERROR(VLOOKUP(D816,KRX종목마스터!$A:$B,2,FALSE),"")</f>
        <v/>
      </c>
      <c r="F816" s="42"/>
      <c r="G816" s="42"/>
      <c r="H816" s="31" t="str">
        <f t="shared" si="36"/>
        <v/>
      </c>
      <c r="I816" s="43">
        <f ca="1">IFERROR(SUMPRODUCT((참고!$A$31:$A$130=C816)*(참고!$B$31:$B$130&lt;=A816)*(참고!$B$31:$B$130=_xludf.MAXIFS(참고!$B$31:$B$130,참고!$A$31:$A$130,C816,참고!$B$31:$B$130,"&lt;="&amp;A816))*참고!$C$31:$C$130)/100,0)</f>
        <v>0</v>
      </c>
      <c r="J816" s="31" t="str">
        <f t="shared" si="37"/>
        <v/>
      </c>
      <c r="K816" s="43">
        <f>IF(B816="매도",IFERROR(SUMPRODUCT((참고!$A$31:$A$130=C816)*(참고!$B$31:$B$130&lt;=A816)*(참고!$B$31:$B$130=_xludf.MAXIFS(참고!$B$31:$B$130,참고!$A$31:$A$130,C816,참고!$B$31:$B$130,"&lt;="&amp;A816))*참고!$D$31:$D$130)/100,0),0)</f>
        <v>0</v>
      </c>
      <c r="L816" s="31" t="str">
        <f t="shared" si="38"/>
        <v/>
      </c>
      <c r="M816" s="39"/>
    </row>
    <row r="817" spans="1:13" ht="18" customHeight="1" x14ac:dyDescent="0.45">
      <c r="A817" s="37"/>
      <c r="B817" s="29"/>
      <c r="C817" s="29"/>
      <c r="D817" s="28"/>
      <c r="E817" s="30" t="str">
        <f>IFERROR(VLOOKUP(D817,KRX종목마스터!$A:$B,2,FALSE),"")</f>
        <v/>
      </c>
      <c r="F817" s="42"/>
      <c r="G817" s="42"/>
      <c r="H817" s="31" t="str">
        <f t="shared" si="36"/>
        <v/>
      </c>
      <c r="I817" s="43">
        <f ca="1">IFERROR(SUMPRODUCT((참고!$A$31:$A$130=C817)*(참고!$B$31:$B$130&lt;=A817)*(참고!$B$31:$B$130=_xludf.MAXIFS(참고!$B$31:$B$130,참고!$A$31:$A$130,C817,참고!$B$31:$B$130,"&lt;="&amp;A817))*참고!$C$31:$C$130)/100,0)</f>
        <v>0</v>
      </c>
      <c r="J817" s="31" t="str">
        <f t="shared" si="37"/>
        <v/>
      </c>
      <c r="K817" s="43">
        <f>IF(B817="매도",IFERROR(SUMPRODUCT((참고!$A$31:$A$130=C817)*(참고!$B$31:$B$130&lt;=A817)*(참고!$B$31:$B$130=_xludf.MAXIFS(참고!$B$31:$B$130,참고!$A$31:$A$130,C817,참고!$B$31:$B$130,"&lt;="&amp;A817))*참고!$D$31:$D$130)/100,0),0)</f>
        <v>0</v>
      </c>
      <c r="L817" s="31" t="str">
        <f t="shared" si="38"/>
        <v/>
      </c>
      <c r="M817" s="39"/>
    </row>
    <row r="818" spans="1:13" ht="18" customHeight="1" x14ac:dyDescent="0.45">
      <c r="A818" s="37"/>
      <c r="B818" s="29"/>
      <c r="C818" s="29"/>
      <c r="D818" s="28"/>
      <c r="E818" s="30" t="str">
        <f>IFERROR(VLOOKUP(D818,KRX종목마스터!$A:$B,2,FALSE),"")</f>
        <v/>
      </c>
      <c r="F818" s="42"/>
      <c r="G818" s="42"/>
      <c r="H818" s="31" t="str">
        <f t="shared" si="36"/>
        <v/>
      </c>
      <c r="I818" s="43">
        <f ca="1">IFERROR(SUMPRODUCT((참고!$A$31:$A$130=C818)*(참고!$B$31:$B$130&lt;=A818)*(참고!$B$31:$B$130=_xludf.MAXIFS(참고!$B$31:$B$130,참고!$A$31:$A$130,C818,참고!$B$31:$B$130,"&lt;="&amp;A818))*참고!$C$31:$C$130)/100,0)</f>
        <v>0</v>
      </c>
      <c r="J818" s="31" t="str">
        <f t="shared" si="37"/>
        <v/>
      </c>
      <c r="K818" s="43">
        <f>IF(B818="매도",IFERROR(SUMPRODUCT((참고!$A$31:$A$130=C818)*(참고!$B$31:$B$130&lt;=A818)*(참고!$B$31:$B$130=_xludf.MAXIFS(참고!$B$31:$B$130,참고!$A$31:$A$130,C818,참고!$B$31:$B$130,"&lt;="&amp;A818))*참고!$D$31:$D$130)/100,0),0)</f>
        <v>0</v>
      </c>
      <c r="L818" s="31" t="str">
        <f t="shared" si="38"/>
        <v/>
      </c>
      <c r="M818" s="39"/>
    </row>
    <row r="819" spans="1:13" ht="18" customHeight="1" x14ac:dyDescent="0.45">
      <c r="A819" s="37"/>
      <c r="B819" s="29"/>
      <c r="C819" s="29"/>
      <c r="D819" s="28"/>
      <c r="E819" s="30" t="str">
        <f>IFERROR(VLOOKUP(D819,KRX종목마스터!$A:$B,2,FALSE),"")</f>
        <v/>
      </c>
      <c r="F819" s="42"/>
      <c r="G819" s="42"/>
      <c r="H819" s="31" t="str">
        <f t="shared" si="36"/>
        <v/>
      </c>
      <c r="I819" s="43">
        <f ca="1">IFERROR(SUMPRODUCT((참고!$A$31:$A$130=C819)*(참고!$B$31:$B$130&lt;=A819)*(참고!$B$31:$B$130=_xludf.MAXIFS(참고!$B$31:$B$130,참고!$A$31:$A$130,C819,참고!$B$31:$B$130,"&lt;="&amp;A819))*참고!$C$31:$C$130)/100,0)</f>
        <v>0</v>
      </c>
      <c r="J819" s="31" t="str">
        <f t="shared" si="37"/>
        <v/>
      </c>
      <c r="K819" s="43">
        <f>IF(B819="매도",IFERROR(SUMPRODUCT((참고!$A$31:$A$130=C819)*(참고!$B$31:$B$130&lt;=A819)*(참고!$B$31:$B$130=_xludf.MAXIFS(참고!$B$31:$B$130,참고!$A$31:$A$130,C819,참고!$B$31:$B$130,"&lt;="&amp;A819))*참고!$D$31:$D$130)/100,0),0)</f>
        <v>0</v>
      </c>
      <c r="L819" s="31" t="str">
        <f t="shared" si="38"/>
        <v/>
      </c>
      <c r="M819" s="39"/>
    </row>
    <row r="820" spans="1:13" ht="18" customHeight="1" x14ac:dyDescent="0.45">
      <c r="A820" s="37"/>
      <c r="B820" s="29"/>
      <c r="C820" s="29"/>
      <c r="D820" s="28"/>
      <c r="E820" s="30" t="str">
        <f>IFERROR(VLOOKUP(D820,KRX종목마스터!$A:$B,2,FALSE),"")</f>
        <v/>
      </c>
      <c r="F820" s="42"/>
      <c r="G820" s="42"/>
      <c r="H820" s="31" t="str">
        <f t="shared" si="36"/>
        <v/>
      </c>
      <c r="I820" s="43">
        <f ca="1">IFERROR(SUMPRODUCT((참고!$A$31:$A$130=C820)*(참고!$B$31:$B$130&lt;=A820)*(참고!$B$31:$B$130=_xludf.MAXIFS(참고!$B$31:$B$130,참고!$A$31:$A$130,C820,참고!$B$31:$B$130,"&lt;="&amp;A820))*참고!$C$31:$C$130)/100,0)</f>
        <v>0</v>
      </c>
      <c r="J820" s="31" t="str">
        <f t="shared" si="37"/>
        <v/>
      </c>
      <c r="K820" s="43">
        <f>IF(B820="매도",IFERROR(SUMPRODUCT((참고!$A$31:$A$130=C820)*(참고!$B$31:$B$130&lt;=A820)*(참고!$B$31:$B$130=_xludf.MAXIFS(참고!$B$31:$B$130,참고!$A$31:$A$130,C820,참고!$B$31:$B$130,"&lt;="&amp;A820))*참고!$D$31:$D$130)/100,0),0)</f>
        <v>0</v>
      </c>
      <c r="L820" s="31" t="str">
        <f t="shared" si="38"/>
        <v/>
      </c>
      <c r="M820" s="39"/>
    </row>
    <row r="821" spans="1:13" ht="18" customHeight="1" x14ac:dyDescent="0.45">
      <c r="A821" s="37"/>
      <c r="B821" s="29"/>
      <c r="C821" s="29"/>
      <c r="D821" s="28"/>
      <c r="E821" s="30" t="str">
        <f>IFERROR(VLOOKUP(D821,KRX종목마스터!$A:$B,2,FALSE),"")</f>
        <v/>
      </c>
      <c r="F821" s="42"/>
      <c r="G821" s="42"/>
      <c r="H821" s="31" t="str">
        <f t="shared" si="36"/>
        <v/>
      </c>
      <c r="I821" s="43">
        <f ca="1">IFERROR(SUMPRODUCT((참고!$A$31:$A$130=C821)*(참고!$B$31:$B$130&lt;=A821)*(참고!$B$31:$B$130=_xludf.MAXIFS(참고!$B$31:$B$130,참고!$A$31:$A$130,C821,참고!$B$31:$B$130,"&lt;="&amp;A821))*참고!$C$31:$C$130)/100,0)</f>
        <v>0</v>
      </c>
      <c r="J821" s="31" t="str">
        <f t="shared" si="37"/>
        <v/>
      </c>
      <c r="K821" s="43">
        <f>IF(B821="매도",IFERROR(SUMPRODUCT((참고!$A$31:$A$130=C821)*(참고!$B$31:$B$130&lt;=A821)*(참고!$B$31:$B$130=_xludf.MAXIFS(참고!$B$31:$B$130,참고!$A$31:$A$130,C821,참고!$B$31:$B$130,"&lt;="&amp;A821))*참고!$D$31:$D$130)/100,0),0)</f>
        <v>0</v>
      </c>
      <c r="L821" s="31" t="str">
        <f t="shared" si="38"/>
        <v/>
      </c>
      <c r="M821" s="39"/>
    </row>
    <row r="822" spans="1:13" ht="18" customHeight="1" x14ac:dyDescent="0.45">
      <c r="A822" s="37"/>
      <c r="B822" s="29"/>
      <c r="C822" s="29"/>
      <c r="D822" s="28"/>
      <c r="E822" s="30" t="str">
        <f>IFERROR(VLOOKUP(D822,KRX종목마스터!$A:$B,2,FALSE),"")</f>
        <v/>
      </c>
      <c r="F822" s="42"/>
      <c r="G822" s="42"/>
      <c r="H822" s="31" t="str">
        <f t="shared" si="36"/>
        <v/>
      </c>
      <c r="I822" s="43">
        <f ca="1">IFERROR(SUMPRODUCT((참고!$A$31:$A$130=C822)*(참고!$B$31:$B$130&lt;=A822)*(참고!$B$31:$B$130=_xludf.MAXIFS(참고!$B$31:$B$130,참고!$A$31:$A$130,C822,참고!$B$31:$B$130,"&lt;="&amp;A822))*참고!$C$31:$C$130)/100,0)</f>
        <v>0</v>
      </c>
      <c r="J822" s="31" t="str">
        <f t="shared" si="37"/>
        <v/>
      </c>
      <c r="K822" s="43">
        <f>IF(B822="매도",IFERROR(SUMPRODUCT((참고!$A$31:$A$130=C822)*(참고!$B$31:$B$130&lt;=A822)*(참고!$B$31:$B$130=_xludf.MAXIFS(참고!$B$31:$B$130,참고!$A$31:$A$130,C822,참고!$B$31:$B$130,"&lt;="&amp;A822))*참고!$D$31:$D$130)/100,0),0)</f>
        <v>0</v>
      </c>
      <c r="L822" s="31" t="str">
        <f t="shared" si="38"/>
        <v/>
      </c>
      <c r="M822" s="39"/>
    </row>
    <row r="823" spans="1:13" ht="18" customHeight="1" x14ac:dyDescent="0.45">
      <c r="A823" s="37"/>
      <c r="B823" s="29"/>
      <c r="C823" s="29"/>
      <c r="D823" s="28"/>
      <c r="E823" s="30" t="str">
        <f>IFERROR(VLOOKUP(D823,KRX종목마스터!$A:$B,2,FALSE),"")</f>
        <v/>
      </c>
      <c r="F823" s="42"/>
      <c r="G823" s="42"/>
      <c r="H823" s="31" t="str">
        <f t="shared" si="36"/>
        <v/>
      </c>
      <c r="I823" s="43">
        <f ca="1">IFERROR(SUMPRODUCT((참고!$A$31:$A$130=C823)*(참고!$B$31:$B$130&lt;=A823)*(참고!$B$31:$B$130=_xludf.MAXIFS(참고!$B$31:$B$130,참고!$A$31:$A$130,C823,참고!$B$31:$B$130,"&lt;="&amp;A823))*참고!$C$31:$C$130)/100,0)</f>
        <v>0</v>
      </c>
      <c r="J823" s="31" t="str">
        <f t="shared" si="37"/>
        <v/>
      </c>
      <c r="K823" s="43">
        <f>IF(B823="매도",IFERROR(SUMPRODUCT((참고!$A$31:$A$130=C823)*(참고!$B$31:$B$130&lt;=A823)*(참고!$B$31:$B$130=_xludf.MAXIFS(참고!$B$31:$B$130,참고!$A$31:$A$130,C823,참고!$B$31:$B$130,"&lt;="&amp;A823))*참고!$D$31:$D$130)/100,0),0)</f>
        <v>0</v>
      </c>
      <c r="L823" s="31" t="str">
        <f t="shared" si="38"/>
        <v/>
      </c>
      <c r="M823" s="39"/>
    </row>
    <row r="824" spans="1:13" ht="18" customHeight="1" x14ac:dyDescent="0.45">
      <c r="A824" s="37"/>
      <c r="B824" s="29"/>
      <c r="C824" s="29"/>
      <c r="D824" s="28"/>
      <c r="E824" s="30" t="str">
        <f>IFERROR(VLOOKUP(D824,KRX종목마스터!$A:$B,2,FALSE),"")</f>
        <v/>
      </c>
      <c r="F824" s="42"/>
      <c r="G824" s="42"/>
      <c r="H824" s="31" t="str">
        <f t="shared" si="36"/>
        <v/>
      </c>
      <c r="I824" s="43">
        <f ca="1">IFERROR(SUMPRODUCT((참고!$A$31:$A$130=C824)*(참고!$B$31:$B$130&lt;=A824)*(참고!$B$31:$B$130=_xludf.MAXIFS(참고!$B$31:$B$130,참고!$A$31:$A$130,C824,참고!$B$31:$B$130,"&lt;="&amp;A824))*참고!$C$31:$C$130)/100,0)</f>
        <v>0</v>
      </c>
      <c r="J824" s="31" t="str">
        <f t="shared" si="37"/>
        <v/>
      </c>
      <c r="K824" s="43">
        <f>IF(B824="매도",IFERROR(SUMPRODUCT((참고!$A$31:$A$130=C824)*(참고!$B$31:$B$130&lt;=A824)*(참고!$B$31:$B$130=_xludf.MAXIFS(참고!$B$31:$B$130,참고!$A$31:$A$130,C824,참고!$B$31:$B$130,"&lt;="&amp;A824))*참고!$D$31:$D$130)/100,0),0)</f>
        <v>0</v>
      </c>
      <c r="L824" s="31" t="str">
        <f t="shared" si="38"/>
        <v/>
      </c>
      <c r="M824" s="39"/>
    </row>
    <row r="825" spans="1:13" ht="18" customHeight="1" x14ac:dyDescent="0.45">
      <c r="A825" s="37"/>
      <c r="B825" s="29"/>
      <c r="C825" s="29"/>
      <c r="D825" s="28"/>
      <c r="E825" s="30" t="str">
        <f>IFERROR(VLOOKUP(D825,KRX종목마스터!$A:$B,2,FALSE),"")</f>
        <v/>
      </c>
      <c r="F825" s="42"/>
      <c r="G825" s="42"/>
      <c r="H825" s="31" t="str">
        <f t="shared" si="36"/>
        <v/>
      </c>
      <c r="I825" s="43">
        <f ca="1">IFERROR(SUMPRODUCT((참고!$A$31:$A$130=C825)*(참고!$B$31:$B$130&lt;=A825)*(참고!$B$31:$B$130=_xludf.MAXIFS(참고!$B$31:$B$130,참고!$A$31:$A$130,C825,참고!$B$31:$B$130,"&lt;="&amp;A825))*참고!$C$31:$C$130)/100,0)</f>
        <v>0</v>
      </c>
      <c r="J825" s="31" t="str">
        <f t="shared" si="37"/>
        <v/>
      </c>
      <c r="K825" s="43">
        <f>IF(B825="매도",IFERROR(SUMPRODUCT((참고!$A$31:$A$130=C825)*(참고!$B$31:$B$130&lt;=A825)*(참고!$B$31:$B$130=_xludf.MAXIFS(참고!$B$31:$B$130,참고!$A$31:$A$130,C825,참고!$B$31:$B$130,"&lt;="&amp;A825))*참고!$D$31:$D$130)/100,0),0)</f>
        <v>0</v>
      </c>
      <c r="L825" s="31" t="str">
        <f t="shared" si="38"/>
        <v/>
      </c>
      <c r="M825" s="39"/>
    </row>
    <row r="826" spans="1:13" ht="18" customHeight="1" x14ac:dyDescent="0.45">
      <c r="A826" s="37"/>
      <c r="B826" s="29"/>
      <c r="C826" s="29"/>
      <c r="D826" s="28"/>
      <c r="E826" s="30" t="str">
        <f>IFERROR(VLOOKUP(D826,KRX종목마스터!$A:$B,2,FALSE),"")</f>
        <v/>
      </c>
      <c r="F826" s="42"/>
      <c r="G826" s="42"/>
      <c r="H826" s="31" t="str">
        <f t="shared" si="36"/>
        <v/>
      </c>
      <c r="I826" s="43">
        <f ca="1">IFERROR(SUMPRODUCT((참고!$A$31:$A$130=C826)*(참고!$B$31:$B$130&lt;=A826)*(참고!$B$31:$B$130=_xludf.MAXIFS(참고!$B$31:$B$130,참고!$A$31:$A$130,C826,참고!$B$31:$B$130,"&lt;="&amp;A826))*참고!$C$31:$C$130)/100,0)</f>
        <v>0</v>
      </c>
      <c r="J826" s="31" t="str">
        <f t="shared" si="37"/>
        <v/>
      </c>
      <c r="K826" s="43">
        <f>IF(B826="매도",IFERROR(SUMPRODUCT((참고!$A$31:$A$130=C826)*(참고!$B$31:$B$130&lt;=A826)*(참고!$B$31:$B$130=_xludf.MAXIFS(참고!$B$31:$B$130,참고!$A$31:$A$130,C826,참고!$B$31:$B$130,"&lt;="&amp;A826))*참고!$D$31:$D$130)/100,0),0)</f>
        <v>0</v>
      </c>
      <c r="L826" s="31" t="str">
        <f t="shared" si="38"/>
        <v/>
      </c>
      <c r="M826" s="39"/>
    </row>
    <row r="827" spans="1:13" ht="18" customHeight="1" x14ac:dyDescent="0.45">
      <c r="A827" s="37"/>
      <c r="B827" s="29"/>
      <c r="C827" s="29"/>
      <c r="D827" s="28"/>
      <c r="E827" s="30" t="str">
        <f>IFERROR(VLOOKUP(D827,KRX종목마스터!$A:$B,2,FALSE),"")</f>
        <v/>
      </c>
      <c r="F827" s="42"/>
      <c r="G827" s="42"/>
      <c r="H827" s="31" t="str">
        <f t="shared" si="36"/>
        <v/>
      </c>
      <c r="I827" s="43">
        <f ca="1">IFERROR(SUMPRODUCT((참고!$A$31:$A$130=C827)*(참고!$B$31:$B$130&lt;=A827)*(참고!$B$31:$B$130=_xludf.MAXIFS(참고!$B$31:$B$130,참고!$A$31:$A$130,C827,참고!$B$31:$B$130,"&lt;="&amp;A827))*참고!$C$31:$C$130)/100,0)</f>
        <v>0</v>
      </c>
      <c r="J827" s="31" t="str">
        <f t="shared" si="37"/>
        <v/>
      </c>
      <c r="K827" s="43">
        <f>IF(B827="매도",IFERROR(SUMPRODUCT((참고!$A$31:$A$130=C827)*(참고!$B$31:$B$130&lt;=A827)*(참고!$B$31:$B$130=_xludf.MAXIFS(참고!$B$31:$B$130,참고!$A$31:$A$130,C827,참고!$B$31:$B$130,"&lt;="&amp;A827))*참고!$D$31:$D$130)/100,0),0)</f>
        <v>0</v>
      </c>
      <c r="L827" s="31" t="str">
        <f t="shared" si="38"/>
        <v/>
      </c>
      <c r="M827" s="39"/>
    </row>
    <row r="828" spans="1:13" ht="18" customHeight="1" x14ac:dyDescent="0.45">
      <c r="A828" s="37"/>
      <c r="B828" s="29"/>
      <c r="C828" s="29"/>
      <c r="D828" s="28"/>
      <c r="E828" s="30" t="str">
        <f>IFERROR(VLOOKUP(D828,KRX종목마스터!$A:$B,2,FALSE),"")</f>
        <v/>
      </c>
      <c r="F828" s="42"/>
      <c r="G828" s="42"/>
      <c r="H828" s="31" t="str">
        <f t="shared" si="36"/>
        <v/>
      </c>
      <c r="I828" s="43">
        <f ca="1">IFERROR(SUMPRODUCT((참고!$A$31:$A$130=C828)*(참고!$B$31:$B$130&lt;=A828)*(참고!$B$31:$B$130=_xludf.MAXIFS(참고!$B$31:$B$130,참고!$A$31:$A$130,C828,참고!$B$31:$B$130,"&lt;="&amp;A828))*참고!$C$31:$C$130)/100,0)</f>
        <v>0</v>
      </c>
      <c r="J828" s="31" t="str">
        <f t="shared" si="37"/>
        <v/>
      </c>
      <c r="K828" s="43">
        <f>IF(B828="매도",IFERROR(SUMPRODUCT((참고!$A$31:$A$130=C828)*(참고!$B$31:$B$130&lt;=A828)*(참고!$B$31:$B$130=_xludf.MAXIFS(참고!$B$31:$B$130,참고!$A$31:$A$130,C828,참고!$B$31:$B$130,"&lt;="&amp;A828))*참고!$D$31:$D$130)/100,0),0)</f>
        <v>0</v>
      </c>
      <c r="L828" s="31" t="str">
        <f t="shared" si="38"/>
        <v/>
      </c>
      <c r="M828" s="39"/>
    </row>
    <row r="829" spans="1:13" ht="18" customHeight="1" x14ac:dyDescent="0.45">
      <c r="A829" s="37"/>
      <c r="B829" s="29"/>
      <c r="C829" s="29"/>
      <c r="D829" s="28"/>
      <c r="E829" s="30" t="str">
        <f>IFERROR(VLOOKUP(D829,KRX종목마스터!$A:$B,2,FALSE),"")</f>
        <v/>
      </c>
      <c r="F829" s="42"/>
      <c r="G829" s="42"/>
      <c r="H829" s="31" t="str">
        <f t="shared" si="36"/>
        <v/>
      </c>
      <c r="I829" s="43">
        <f ca="1">IFERROR(SUMPRODUCT((참고!$A$31:$A$130=C829)*(참고!$B$31:$B$130&lt;=A829)*(참고!$B$31:$B$130=_xludf.MAXIFS(참고!$B$31:$B$130,참고!$A$31:$A$130,C829,참고!$B$31:$B$130,"&lt;="&amp;A829))*참고!$C$31:$C$130)/100,0)</f>
        <v>0</v>
      </c>
      <c r="J829" s="31" t="str">
        <f t="shared" si="37"/>
        <v/>
      </c>
      <c r="K829" s="43">
        <f>IF(B829="매도",IFERROR(SUMPRODUCT((참고!$A$31:$A$130=C829)*(참고!$B$31:$B$130&lt;=A829)*(참고!$B$31:$B$130=_xludf.MAXIFS(참고!$B$31:$B$130,참고!$A$31:$A$130,C829,참고!$B$31:$B$130,"&lt;="&amp;A829))*참고!$D$31:$D$130)/100,0),0)</f>
        <v>0</v>
      </c>
      <c r="L829" s="31" t="str">
        <f t="shared" si="38"/>
        <v/>
      </c>
      <c r="M829" s="39"/>
    </row>
    <row r="830" spans="1:13" ht="18" customHeight="1" x14ac:dyDescent="0.45">
      <c r="A830" s="37"/>
      <c r="B830" s="29"/>
      <c r="C830" s="29"/>
      <c r="D830" s="28"/>
      <c r="E830" s="30" t="str">
        <f>IFERROR(VLOOKUP(D830,KRX종목마스터!$A:$B,2,FALSE),"")</f>
        <v/>
      </c>
      <c r="F830" s="42"/>
      <c r="G830" s="42"/>
      <c r="H830" s="31" t="str">
        <f t="shared" si="36"/>
        <v/>
      </c>
      <c r="I830" s="43">
        <f ca="1">IFERROR(SUMPRODUCT((참고!$A$31:$A$130=C830)*(참고!$B$31:$B$130&lt;=A830)*(참고!$B$31:$B$130=_xludf.MAXIFS(참고!$B$31:$B$130,참고!$A$31:$A$130,C830,참고!$B$31:$B$130,"&lt;="&amp;A830))*참고!$C$31:$C$130)/100,0)</f>
        <v>0</v>
      </c>
      <c r="J830" s="31" t="str">
        <f t="shared" si="37"/>
        <v/>
      </c>
      <c r="K830" s="43">
        <f>IF(B830="매도",IFERROR(SUMPRODUCT((참고!$A$31:$A$130=C830)*(참고!$B$31:$B$130&lt;=A830)*(참고!$B$31:$B$130=_xludf.MAXIFS(참고!$B$31:$B$130,참고!$A$31:$A$130,C830,참고!$B$31:$B$130,"&lt;="&amp;A830))*참고!$D$31:$D$130)/100,0),0)</f>
        <v>0</v>
      </c>
      <c r="L830" s="31" t="str">
        <f t="shared" si="38"/>
        <v/>
      </c>
      <c r="M830" s="39"/>
    </row>
    <row r="831" spans="1:13" ht="18" customHeight="1" x14ac:dyDescent="0.45">
      <c r="A831" s="37"/>
      <c r="B831" s="29"/>
      <c r="C831" s="29"/>
      <c r="D831" s="28"/>
      <c r="E831" s="30" t="str">
        <f>IFERROR(VLOOKUP(D831,KRX종목마스터!$A:$B,2,FALSE),"")</f>
        <v/>
      </c>
      <c r="F831" s="42"/>
      <c r="G831" s="42"/>
      <c r="H831" s="31" t="str">
        <f t="shared" si="36"/>
        <v/>
      </c>
      <c r="I831" s="43">
        <f ca="1">IFERROR(SUMPRODUCT((참고!$A$31:$A$130=C831)*(참고!$B$31:$B$130&lt;=A831)*(참고!$B$31:$B$130=_xludf.MAXIFS(참고!$B$31:$B$130,참고!$A$31:$A$130,C831,참고!$B$31:$B$130,"&lt;="&amp;A831))*참고!$C$31:$C$130)/100,0)</f>
        <v>0</v>
      </c>
      <c r="J831" s="31" t="str">
        <f t="shared" si="37"/>
        <v/>
      </c>
      <c r="K831" s="43">
        <f>IF(B831="매도",IFERROR(SUMPRODUCT((참고!$A$31:$A$130=C831)*(참고!$B$31:$B$130&lt;=A831)*(참고!$B$31:$B$130=_xludf.MAXIFS(참고!$B$31:$B$130,참고!$A$31:$A$130,C831,참고!$B$31:$B$130,"&lt;="&amp;A831))*참고!$D$31:$D$130)/100,0),0)</f>
        <v>0</v>
      </c>
      <c r="L831" s="31" t="str">
        <f t="shared" si="38"/>
        <v/>
      </c>
      <c r="M831" s="39"/>
    </row>
    <row r="832" spans="1:13" ht="18" customHeight="1" x14ac:dyDescent="0.45">
      <c r="A832" s="37"/>
      <c r="B832" s="29"/>
      <c r="C832" s="29"/>
      <c r="D832" s="28"/>
      <c r="E832" s="30" t="str">
        <f>IFERROR(VLOOKUP(D832,KRX종목마스터!$A:$B,2,FALSE),"")</f>
        <v/>
      </c>
      <c r="F832" s="42"/>
      <c r="G832" s="42"/>
      <c r="H832" s="31" t="str">
        <f t="shared" si="36"/>
        <v/>
      </c>
      <c r="I832" s="43">
        <f ca="1">IFERROR(SUMPRODUCT((참고!$A$31:$A$130=C832)*(참고!$B$31:$B$130&lt;=A832)*(참고!$B$31:$B$130=_xludf.MAXIFS(참고!$B$31:$B$130,참고!$A$31:$A$130,C832,참고!$B$31:$B$130,"&lt;="&amp;A832))*참고!$C$31:$C$130)/100,0)</f>
        <v>0</v>
      </c>
      <c r="J832" s="31" t="str">
        <f t="shared" si="37"/>
        <v/>
      </c>
      <c r="K832" s="43">
        <f>IF(B832="매도",IFERROR(SUMPRODUCT((참고!$A$31:$A$130=C832)*(참고!$B$31:$B$130&lt;=A832)*(참고!$B$31:$B$130=_xludf.MAXIFS(참고!$B$31:$B$130,참고!$A$31:$A$130,C832,참고!$B$31:$B$130,"&lt;="&amp;A832))*참고!$D$31:$D$130)/100,0),0)</f>
        <v>0</v>
      </c>
      <c r="L832" s="31" t="str">
        <f t="shared" si="38"/>
        <v/>
      </c>
      <c r="M832" s="39"/>
    </row>
    <row r="833" spans="1:13" ht="18" customHeight="1" x14ac:dyDescent="0.45">
      <c r="A833" s="37"/>
      <c r="B833" s="29"/>
      <c r="C833" s="29"/>
      <c r="D833" s="28"/>
      <c r="E833" s="30" t="str">
        <f>IFERROR(VLOOKUP(D833,KRX종목마스터!$A:$B,2,FALSE),"")</f>
        <v/>
      </c>
      <c r="F833" s="42"/>
      <c r="G833" s="42"/>
      <c r="H833" s="31" t="str">
        <f t="shared" si="36"/>
        <v/>
      </c>
      <c r="I833" s="43">
        <f ca="1">IFERROR(SUMPRODUCT((참고!$A$31:$A$130=C833)*(참고!$B$31:$B$130&lt;=A833)*(참고!$B$31:$B$130=_xludf.MAXIFS(참고!$B$31:$B$130,참고!$A$31:$A$130,C833,참고!$B$31:$B$130,"&lt;="&amp;A833))*참고!$C$31:$C$130)/100,0)</f>
        <v>0</v>
      </c>
      <c r="J833" s="31" t="str">
        <f t="shared" si="37"/>
        <v/>
      </c>
      <c r="K833" s="43">
        <f>IF(B833="매도",IFERROR(SUMPRODUCT((참고!$A$31:$A$130=C833)*(참고!$B$31:$B$130&lt;=A833)*(참고!$B$31:$B$130=_xludf.MAXIFS(참고!$B$31:$B$130,참고!$A$31:$A$130,C833,참고!$B$31:$B$130,"&lt;="&amp;A833))*참고!$D$31:$D$130)/100,0),0)</f>
        <v>0</v>
      </c>
      <c r="L833" s="31" t="str">
        <f t="shared" si="38"/>
        <v/>
      </c>
      <c r="M833" s="39"/>
    </row>
    <row r="834" spans="1:13" ht="18" customHeight="1" x14ac:dyDescent="0.45">
      <c r="A834" s="37"/>
      <c r="B834" s="29"/>
      <c r="C834" s="29"/>
      <c r="D834" s="28"/>
      <c r="E834" s="30" t="str">
        <f>IFERROR(VLOOKUP(D834,KRX종목마스터!$A:$B,2,FALSE),"")</f>
        <v/>
      </c>
      <c r="F834" s="42"/>
      <c r="G834" s="42"/>
      <c r="H834" s="31" t="str">
        <f t="shared" si="36"/>
        <v/>
      </c>
      <c r="I834" s="43">
        <f ca="1">IFERROR(SUMPRODUCT((참고!$A$31:$A$130=C834)*(참고!$B$31:$B$130&lt;=A834)*(참고!$B$31:$B$130=_xludf.MAXIFS(참고!$B$31:$B$130,참고!$A$31:$A$130,C834,참고!$B$31:$B$130,"&lt;="&amp;A834))*참고!$C$31:$C$130)/100,0)</f>
        <v>0</v>
      </c>
      <c r="J834" s="31" t="str">
        <f t="shared" si="37"/>
        <v/>
      </c>
      <c r="K834" s="43">
        <f>IF(B834="매도",IFERROR(SUMPRODUCT((참고!$A$31:$A$130=C834)*(참고!$B$31:$B$130&lt;=A834)*(참고!$B$31:$B$130=_xludf.MAXIFS(참고!$B$31:$B$130,참고!$A$31:$A$130,C834,참고!$B$31:$B$130,"&lt;="&amp;A834))*참고!$D$31:$D$130)/100,0),0)</f>
        <v>0</v>
      </c>
      <c r="L834" s="31" t="str">
        <f t="shared" si="38"/>
        <v/>
      </c>
      <c r="M834" s="39"/>
    </row>
    <row r="835" spans="1:13" ht="18" customHeight="1" x14ac:dyDescent="0.45">
      <c r="A835" s="37"/>
      <c r="B835" s="29"/>
      <c r="C835" s="29"/>
      <c r="D835" s="28"/>
      <c r="E835" s="30" t="str">
        <f>IFERROR(VLOOKUP(D835,KRX종목마스터!$A:$B,2,FALSE),"")</f>
        <v/>
      </c>
      <c r="F835" s="42"/>
      <c r="G835" s="42"/>
      <c r="H835" s="31" t="str">
        <f t="shared" si="36"/>
        <v/>
      </c>
      <c r="I835" s="43">
        <f ca="1">IFERROR(SUMPRODUCT((참고!$A$31:$A$130=C835)*(참고!$B$31:$B$130&lt;=A835)*(참고!$B$31:$B$130=_xludf.MAXIFS(참고!$B$31:$B$130,참고!$A$31:$A$130,C835,참고!$B$31:$B$130,"&lt;="&amp;A835))*참고!$C$31:$C$130)/100,0)</f>
        <v>0</v>
      </c>
      <c r="J835" s="31" t="str">
        <f t="shared" si="37"/>
        <v/>
      </c>
      <c r="K835" s="43">
        <f>IF(B835="매도",IFERROR(SUMPRODUCT((참고!$A$31:$A$130=C835)*(참고!$B$31:$B$130&lt;=A835)*(참고!$B$31:$B$130=_xludf.MAXIFS(참고!$B$31:$B$130,참고!$A$31:$A$130,C835,참고!$B$31:$B$130,"&lt;="&amp;A835))*참고!$D$31:$D$130)/100,0),0)</f>
        <v>0</v>
      </c>
      <c r="L835" s="31" t="str">
        <f t="shared" si="38"/>
        <v/>
      </c>
      <c r="M835" s="39"/>
    </row>
    <row r="836" spans="1:13" ht="18" customHeight="1" x14ac:dyDescent="0.45">
      <c r="A836" s="37"/>
      <c r="B836" s="29"/>
      <c r="C836" s="29"/>
      <c r="D836" s="28"/>
      <c r="E836" s="30" t="str">
        <f>IFERROR(VLOOKUP(D836,KRX종목마스터!$A:$B,2,FALSE),"")</f>
        <v/>
      </c>
      <c r="F836" s="42"/>
      <c r="G836" s="42"/>
      <c r="H836" s="31" t="str">
        <f t="shared" si="36"/>
        <v/>
      </c>
      <c r="I836" s="43">
        <f ca="1">IFERROR(SUMPRODUCT((참고!$A$31:$A$130=C836)*(참고!$B$31:$B$130&lt;=A836)*(참고!$B$31:$B$130=_xludf.MAXIFS(참고!$B$31:$B$130,참고!$A$31:$A$130,C836,참고!$B$31:$B$130,"&lt;="&amp;A836))*참고!$C$31:$C$130)/100,0)</f>
        <v>0</v>
      </c>
      <c r="J836" s="31" t="str">
        <f t="shared" si="37"/>
        <v/>
      </c>
      <c r="K836" s="43">
        <f>IF(B836="매도",IFERROR(SUMPRODUCT((참고!$A$31:$A$130=C836)*(참고!$B$31:$B$130&lt;=A836)*(참고!$B$31:$B$130=_xludf.MAXIFS(참고!$B$31:$B$130,참고!$A$31:$A$130,C836,참고!$B$31:$B$130,"&lt;="&amp;A836))*참고!$D$31:$D$130)/100,0),0)</f>
        <v>0</v>
      </c>
      <c r="L836" s="31" t="str">
        <f t="shared" si="38"/>
        <v/>
      </c>
      <c r="M836" s="39"/>
    </row>
    <row r="837" spans="1:13" ht="18" customHeight="1" x14ac:dyDescent="0.45">
      <c r="A837" s="37"/>
      <c r="B837" s="29"/>
      <c r="C837" s="29"/>
      <c r="D837" s="28"/>
      <c r="E837" s="30" t="str">
        <f>IFERROR(VLOOKUP(D837,KRX종목마스터!$A:$B,2,FALSE),"")</f>
        <v/>
      </c>
      <c r="F837" s="42"/>
      <c r="G837" s="42"/>
      <c r="H837" s="31" t="str">
        <f t="shared" ref="H837:H900" si="39">IF(AND(F837&lt;&gt;"",G837&lt;&gt;""),F837*G837,"")</f>
        <v/>
      </c>
      <c r="I837" s="43">
        <f ca="1">IFERROR(SUMPRODUCT((참고!$A$31:$A$130=C837)*(참고!$B$31:$B$130&lt;=A837)*(참고!$B$31:$B$130=_xludf.MAXIFS(참고!$B$31:$B$130,참고!$A$31:$A$130,C837,참고!$B$31:$B$130,"&lt;="&amp;A837))*참고!$C$31:$C$130)/100,0)</f>
        <v>0</v>
      </c>
      <c r="J837" s="31" t="str">
        <f t="shared" ref="J837:J900" si="40">IF(H837="","",ROUND(H837*I837,0))</f>
        <v/>
      </c>
      <c r="K837" s="43">
        <f>IF(B837="매도",IFERROR(SUMPRODUCT((참고!$A$31:$A$130=C837)*(참고!$B$31:$B$130&lt;=A837)*(참고!$B$31:$B$130=_xludf.MAXIFS(참고!$B$31:$B$130,참고!$A$31:$A$130,C837,참고!$B$31:$B$130,"&lt;="&amp;A837))*참고!$D$31:$D$130)/100,0),0)</f>
        <v>0</v>
      </c>
      <c r="L837" s="31" t="str">
        <f t="shared" ref="L837:L900" si="41">IF(H837="","",ROUND(H837*K837,0))</f>
        <v/>
      </c>
      <c r="M837" s="39"/>
    </row>
    <row r="838" spans="1:13" ht="18" customHeight="1" x14ac:dyDescent="0.45">
      <c r="A838" s="37"/>
      <c r="B838" s="29"/>
      <c r="C838" s="29"/>
      <c r="D838" s="28"/>
      <c r="E838" s="30" t="str">
        <f>IFERROR(VLOOKUP(D838,KRX종목마스터!$A:$B,2,FALSE),"")</f>
        <v/>
      </c>
      <c r="F838" s="42"/>
      <c r="G838" s="42"/>
      <c r="H838" s="31" t="str">
        <f t="shared" si="39"/>
        <v/>
      </c>
      <c r="I838" s="43">
        <f ca="1">IFERROR(SUMPRODUCT((참고!$A$31:$A$130=C838)*(참고!$B$31:$B$130&lt;=A838)*(참고!$B$31:$B$130=_xludf.MAXIFS(참고!$B$31:$B$130,참고!$A$31:$A$130,C838,참고!$B$31:$B$130,"&lt;="&amp;A838))*참고!$C$31:$C$130)/100,0)</f>
        <v>0</v>
      </c>
      <c r="J838" s="31" t="str">
        <f t="shared" si="40"/>
        <v/>
      </c>
      <c r="K838" s="43">
        <f>IF(B838="매도",IFERROR(SUMPRODUCT((참고!$A$31:$A$130=C838)*(참고!$B$31:$B$130&lt;=A838)*(참고!$B$31:$B$130=_xludf.MAXIFS(참고!$B$31:$B$130,참고!$A$31:$A$130,C838,참고!$B$31:$B$130,"&lt;="&amp;A838))*참고!$D$31:$D$130)/100,0),0)</f>
        <v>0</v>
      </c>
      <c r="L838" s="31" t="str">
        <f t="shared" si="41"/>
        <v/>
      </c>
      <c r="M838" s="39"/>
    </row>
    <row r="839" spans="1:13" ht="18" customHeight="1" x14ac:dyDescent="0.45">
      <c r="A839" s="37"/>
      <c r="B839" s="29"/>
      <c r="C839" s="29"/>
      <c r="D839" s="28"/>
      <c r="E839" s="30" t="str">
        <f>IFERROR(VLOOKUP(D839,KRX종목마스터!$A:$B,2,FALSE),"")</f>
        <v/>
      </c>
      <c r="F839" s="42"/>
      <c r="G839" s="42"/>
      <c r="H839" s="31" t="str">
        <f t="shared" si="39"/>
        <v/>
      </c>
      <c r="I839" s="43">
        <f ca="1">IFERROR(SUMPRODUCT((참고!$A$31:$A$130=C839)*(참고!$B$31:$B$130&lt;=A839)*(참고!$B$31:$B$130=_xludf.MAXIFS(참고!$B$31:$B$130,참고!$A$31:$A$130,C839,참고!$B$31:$B$130,"&lt;="&amp;A839))*참고!$C$31:$C$130)/100,0)</f>
        <v>0</v>
      </c>
      <c r="J839" s="31" t="str">
        <f t="shared" si="40"/>
        <v/>
      </c>
      <c r="K839" s="43">
        <f>IF(B839="매도",IFERROR(SUMPRODUCT((참고!$A$31:$A$130=C839)*(참고!$B$31:$B$130&lt;=A839)*(참고!$B$31:$B$130=_xludf.MAXIFS(참고!$B$31:$B$130,참고!$A$31:$A$130,C839,참고!$B$31:$B$130,"&lt;="&amp;A839))*참고!$D$31:$D$130)/100,0),0)</f>
        <v>0</v>
      </c>
      <c r="L839" s="31" t="str">
        <f t="shared" si="41"/>
        <v/>
      </c>
      <c r="M839" s="39"/>
    </row>
    <row r="840" spans="1:13" ht="18" customHeight="1" x14ac:dyDescent="0.45">
      <c r="A840" s="37"/>
      <c r="B840" s="29"/>
      <c r="C840" s="29"/>
      <c r="D840" s="28"/>
      <c r="E840" s="30" t="str">
        <f>IFERROR(VLOOKUP(D840,KRX종목마스터!$A:$B,2,FALSE),"")</f>
        <v/>
      </c>
      <c r="F840" s="42"/>
      <c r="G840" s="42"/>
      <c r="H840" s="31" t="str">
        <f t="shared" si="39"/>
        <v/>
      </c>
      <c r="I840" s="43">
        <f ca="1">IFERROR(SUMPRODUCT((참고!$A$31:$A$130=C840)*(참고!$B$31:$B$130&lt;=A840)*(참고!$B$31:$B$130=_xludf.MAXIFS(참고!$B$31:$B$130,참고!$A$31:$A$130,C840,참고!$B$31:$B$130,"&lt;="&amp;A840))*참고!$C$31:$C$130)/100,0)</f>
        <v>0</v>
      </c>
      <c r="J840" s="31" t="str">
        <f t="shared" si="40"/>
        <v/>
      </c>
      <c r="K840" s="43">
        <f>IF(B840="매도",IFERROR(SUMPRODUCT((참고!$A$31:$A$130=C840)*(참고!$B$31:$B$130&lt;=A840)*(참고!$B$31:$B$130=_xludf.MAXIFS(참고!$B$31:$B$130,참고!$A$31:$A$130,C840,참고!$B$31:$B$130,"&lt;="&amp;A840))*참고!$D$31:$D$130)/100,0),0)</f>
        <v>0</v>
      </c>
      <c r="L840" s="31" t="str">
        <f t="shared" si="41"/>
        <v/>
      </c>
      <c r="M840" s="39"/>
    </row>
    <row r="841" spans="1:13" ht="18" customHeight="1" x14ac:dyDescent="0.45">
      <c r="A841" s="37"/>
      <c r="B841" s="29"/>
      <c r="C841" s="29"/>
      <c r="D841" s="28"/>
      <c r="E841" s="30" t="str">
        <f>IFERROR(VLOOKUP(D841,KRX종목마스터!$A:$B,2,FALSE),"")</f>
        <v/>
      </c>
      <c r="F841" s="42"/>
      <c r="G841" s="42"/>
      <c r="H841" s="31" t="str">
        <f t="shared" si="39"/>
        <v/>
      </c>
      <c r="I841" s="43">
        <f ca="1">IFERROR(SUMPRODUCT((참고!$A$31:$A$130=C841)*(참고!$B$31:$B$130&lt;=A841)*(참고!$B$31:$B$130=_xludf.MAXIFS(참고!$B$31:$B$130,참고!$A$31:$A$130,C841,참고!$B$31:$B$130,"&lt;="&amp;A841))*참고!$C$31:$C$130)/100,0)</f>
        <v>0</v>
      </c>
      <c r="J841" s="31" t="str">
        <f t="shared" si="40"/>
        <v/>
      </c>
      <c r="K841" s="43">
        <f>IF(B841="매도",IFERROR(SUMPRODUCT((참고!$A$31:$A$130=C841)*(참고!$B$31:$B$130&lt;=A841)*(참고!$B$31:$B$130=_xludf.MAXIFS(참고!$B$31:$B$130,참고!$A$31:$A$130,C841,참고!$B$31:$B$130,"&lt;="&amp;A841))*참고!$D$31:$D$130)/100,0),0)</f>
        <v>0</v>
      </c>
      <c r="L841" s="31" t="str">
        <f t="shared" si="41"/>
        <v/>
      </c>
      <c r="M841" s="39"/>
    </row>
    <row r="842" spans="1:13" ht="18" customHeight="1" x14ac:dyDescent="0.45">
      <c r="A842" s="37"/>
      <c r="B842" s="29"/>
      <c r="C842" s="29"/>
      <c r="D842" s="28"/>
      <c r="E842" s="30" t="str">
        <f>IFERROR(VLOOKUP(D842,KRX종목마스터!$A:$B,2,FALSE),"")</f>
        <v/>
      </c>
      <c r="F842" s="42"/>
      <c r="G842" s="42"/>
      <c r="H842" s="31" t="str">
        <f t="shared" si="39"/>
        <v/>
      </c>
      <c r="I842" s="43">
        <f ca="1">IFERROR(SUMPRODUCT((참고!$A$31:$A$130=C842)*(참고!$B$31:$B$130&lt;=A842)*(참고!$B$31:$B$130=_xludf.MAXIFS(참고!$B$31:$B$130,참고!$A$31:$A$130,C842,참고!$B$31:$B$130,"&lt;="&amp;A842))*참고!$C$31:$C$130)/100,0)</f>
        <v>0</v>
      </c>
      <c r="J842" s="31" t="str">
        <f t="shared" si="40"/>
        <v/>
      </c>
      <c r="K842" s="43">
        <f>IF(B842="매도",IFERROR(SUMPRODUCT((참고!$A$31:$A$130=C842)*(참고!$B$31:$B$130&lt;=A842)*(참고!$B$31:$B$130=_xludf.MAXIFS(참고!$B$31:$B$130,참고!$A$31:$A$130,C842,참고!$B$31:$B$130,"&lt;="&amp;A842))*참고!$D$31:$D$130)/100,0),0)</f>
        <v>0</v>
      </c>
      <c r="L842" s="31" t="str">
        <f t="shared" si="41"/>
        <v/>
      </c>
      <c r="M842" s="39"/>
    </row>
    <row r="843" spans="1:13" ht="18" customHeight="1" x14ac:dyDescent="0.45">
      <c r="A843" s="37"/>
      <c r="B843" s="29"/>
      <c r="C843" s="29"/>
      <c r="D843" s="28"/>
      <c r="E843" s="30" t="str">
        <f>IFERROR(VLOOKUP(D843,KRX종목마스터!$A:$B,2,FALSE),"")</f>
        <v/>
      </c>
      <c r="F843" s="42"/>
      <c r="G843" s="42"/>
      <c r="H843" s="31" t="str">
        <f t="shared" si="39"/>
        <v/>
      </c>
      <c r="I843" s="43">
        <f ca="1">IFERROR(SUMPRODUCT((참고!$A$31:$A$130=C843)*(참고!$B$31:$B$130&lt;=A843)*(참고!$B$31:$B$130=_xludf.MAXIFS(참고!$B$31:$B$130,참고!$A$31:$A$130,C843,참고!$B$31:$B$130,"&lt;="&amp;A843))*참고!$C$31:$C$130)/100,0)</f>
        <v>0</v>
      </c>
      <c r="J843" s="31" t="str">
        <f t="shared" si="40"/>
        <v/>
      </c>
      <c r="K843" s="43">
        <f>IF(B843="매도",IFERROR(SUMPRODUCT((참고!$A$31:$A$130=C843)*(참고!$B$31:$B$130&lt;=A843)*(참고!$B$31:$B$130=_xludf.MAXIFS(참고!$B$31:$B$130,참고!$A$31:$A$130,C843,참고!$B$31:$B$130,"&lt;="&amp;A843))*참고!$D$31:$D$130)/100,0),0)</f>
        <v>0</v>
      </c>
      <c r="L843" s="31" t="str">
        <f t="shared" si="41"/>
        <v/>
      </c>
      <c r="M843" s="39"/>
    </row>
    <row r="844" spans="1:13" ht="18" customHeight="1" x14ac:dyDescent="0.45">
      <c r="A844" s="37"/>
      <c r="B844" s="29"/>
      <c r="C844" s="29"/>
      <c r="D844" s="28"/>
      <c r="E844" s="30" t="str">
        <f>IFERROR(VLOOKUP(D844,KRX종목마스터!$A:$B,2,FALSE),"")</f>
        <v/>
      </c>
      <c r="F844" s="42"/>
      <c r="G844" s="42"/>
      <c r="H844" s="31" t="str">
        <f t="shared" si="39"/>
        <v/>
      </c>
      <c r="I844" s="43">
        <f ca="1">IFERROR(SUMPRODUCT((참고!$A$31:$A$130=C844)*(참고!$B$31:$B$130&lt;=A844)*(참고!$B$31:$B$130=_xludf.MAXIFS(참고!$B$31:$B$130,참고!$A$31:$A$130,C844,참고!$B$31:$B$130,"&lt;="&amp;A844))*참고!$C$31:$C$130)/100,0)</f>
        <v>0</v>
      </c>
      <c r="J844" s="31" t="str">
        <f t="shared" si="40"/>
        <v/>
      </c>
      <c r="K844" s="43">
        <f>IF(B844="매도",IFERROR(SUMPRODUCT((참고!$A$31:$A$130=C844)*(참고!$B$31:$B$130&lt;=A844)*(참고!$B$31:$B$130=_xludf.MAXIFS(참고!$B$31:$B$130,참고!$A$31:$A$130,C844,참고!$B$31:$B$130,"&lt;="&amp;A844))*참고!$D$31:$D$130)/100,0),0)</f>
        <v>0</v>
      </c>
      <c r="L844" s="31" t="str">
        <f t="shared" si="41"/>
        <v/>
      </c>
      <c r="M844" s="39"/>
    </row>
    <row r="845" spans="1:13" ht="18" customHeight="1" x14ac:dyDescent="0.45">
      <c r="A845" s="37"/>
      <c r="B845" s="29"/>
      <c r="C845" s="29"/>
      <c r="D845" s="28"/>
      <c r="E845" s="30" t="str">
        <f>IFERROR(VLOOKUP(D845,KRX종목마스터!$A:$B,2,FALSE),"")</f>
        <v/>
      </c>
      <c r="F845" s="42"/>
      <c r="G845" s="42"/>
      <c r="H845" s="31" t="str">
        <f t="shared" si="39"/>
        <v/>
      </c>
      <c r="I845" s="43">
        <f ca="1">IFERROR(SUMPRODUCT((참고!$A$31:$A$130=C845)*(참고!$B$31:$B$130&lt;=A845)*(참고!$B$31:$B$130=_xludf.MAXIFS(참고!$B$31:$B$130,참고!$A$31:$A$130,C845,참고!$B$31:$B$130,"&lt;="&amp;A845))*참고!$C$31:$C$130)/100,0)</f>
        <v>0</v>
      </c>
      <c r="J845" s="31" t="str">
        <f t="shared" si="40"/>
        <v/>
      </c>
      <c r="K845" s="43">
        <f>IF(B845="매도",IFERROR(SUMPRODUCT((참고!$A$31:$A$130=C845)*(참고!$B$31:$B$130&lt;=A845)*(참고!$B$31:$B$130=_xludf.MAXIFS(참고!$B$31:$B$130,참고!$A$31:$A$130,C845,참고!$B$31:$B$130,"&lt;="&amp;A845))*참고!$D$31:$D$130)/100,0),0)</f>
        <v>0</v>
      </c>
      <c r="L845" s="31" t="str">
        <f t="shared" si="41"/>
        <v/>
      </c>
      <c r="M845" s="39"/>
    </row>
    <row r="846" spans="1:13" ht="18" customHeight="1" x14ac:dyDescent="0.45">
      <c r="A846" s="37"/>
      <c r="B846" s="29"/>
      <c r="C846" s="29"/>
      <c r="D846" s="28"/>
      <c r="E846" s="30" t="str">
        <f>IFERROR(VLOOKUP(D846,KRX종목마스터!$A:$B,2,FALSE),"")</f>
        <v/>
      </c>
      <c r="F846" s="42"/>
      <c r="G846" s="42"/>
      <c r="H846" s="31" t="str">
        <f t="shared" si="39"/>
        <v/>
      </c>
      <c r="I846" s="43">
        <f ca="1">IFERROR(SUMPRODUCT((참고!$A$31:$A$130=C846)*(참고!$B$31:$B$130&lt;=A846)*(참고!$B$31:$B$130=_xludf.MAXIFS(참고!$B$31:$B$130,참고!$A$31:$A$130,C846,참고!$B$31:$B$130,"&lt;="&amp;A846))*참고!$C$31:$C$130)/100,0)</f>
        <v>0</v>
      </c>
      <c r="J846" s="31" t="str">
        <f t="shared" si="40"/>
        <v/>
      </c>
      <c r="K846" s="43">
        <f>IF(B846="매도",IFERROR(SUMPRODUCT((참고!$A$31:$A$130=C846)*(참고!$B$31:$B$130&lt;=A846)*(참고!$B$31:$B$130=_xludf.MAXIFS(참고!$B$31:$B$130,참고!$A$31:$A$130,C846,참고!$B$31:$B$130,"&lt;="&amp;A846))*참고!$D$31:$D$130)/100,0),0)</f>
        <v>0</v>
      </c>
      <c r="L846" s="31" t="str">
        <f t="shared" si="41"/>
        <v/>
      </c>
      <c r="M846" s="39"/>
    </row>
    <row r="847" spans="1:13" ht="18" customHeight="1" x14ac:dyDescent="0.45">
      <c r="A847" s="37"/>
      <c r="B847" s="29"/>
      <c r="C847" s="29"/>
      <c r="D847" s="28"/>
      <c r="E847" s="30" t="str">
        <f>IFERROR(VLOOKUP(D847,KRX종목마스터!$A:$B,2,FALSE),"")</f>
        <v/>
      </c>
      <c r="F847" s="42"/>
      <c r="G847" s="42"/>
      <c r="H847" s="31" t="str">
        <f t="shared" si="39"/>
        <v/>
      </c>
      <c r="I847" s="43">
        <f ca="1">IFERROR(SUMPRODUCT((참고!$A$31:$A$130=C847)*(참고!$B$31:$B$130&lt;=A847)*(참고!$B$31:$B$130=_xludf.MAXIFS(참고!$B$31:$B$130,참고!$A$31:$A$130,C847,참고!$B$31:$B$130,"&lt;="&amp;A847))*참고!$C$31:$C$130)/100,0)</f>
        <v>0</v>
      </c>
      <c r="J847" s="31" t="str">
        <f t="shared" si="40"/>
        <v/>
      </c>
      <c r="K847" s="43">
        <f>IF(B847="매도",IFERROR(SUMPRODUCT((참고!$A$31:$A$130=C847)*(참고!$B$31:$B$130&lt;=A847)*(참고!$B$31:$B$130=_xludf.MAXIFS(참고!$B$31:$B$130,참고!$A$31:$A$130,C847,참고!$B$31:$B$130,"&lt;="&amp;A847))*참고!$D$31:$D$130)/100,0),0)</f>
        <v>0</v>
      </c>
      <c r="L847" s="31" t="str">
        <f t="shared" si="41"/>
        <v/>
      </c>
      <c r="M847" s="39"/>
    </row>
    <row r="848" spans="1:13" ht="18" customHeight="1" x14ac:dyDescent="0.45">
      <c r="A848" s="37"/>
      <c r="B848" s="29"/>
      <c r="C848" s="29"/>
      <c r="D848" s="28"/>
      <c r="E848" s="30" t="str">
        <f>IFERROR(VLOOKUP(D848,KRX종목마스터!$A:$B,2,FALSE),"")</f>
        <v/>
      </c>
      <c r="F848" s="42"/>
      <c r="G848" s="42"/>
      <c r="H848" s="31" t="str">
        <f t="shared" si="39"/>
        <v/>
      </c>
      <c r="I848" s="43">
        <f ca="1">IFERROR(SUMPRODUCT((참고!$A$31:$A$130=C848)*(참고!$B$31:$B$130&lt;=A848)*(참고!$B$31:$B$130=_xludf.MAXIFS(참고!$B$31:$B$130,참고!$A$31:$A$130,C848,참고!$B$31:$B$130,"&lt;="&amp;A848))*참고!$C$31:$C$130)/100,0)</f>
        <v>0</v>
      </c>
      <c r="J848" s="31" t="str">
        <f t="shared" si="40"/>
        <v/>
      </c>
      <c r="K848" s="43">
        <f>IF(B848="매도",IFERROR(SUMPRODUCT((참고!$A$31:$A$130=C848)*(참고!$B$31:$B$130&lt;=A848)*(참고!$B$31:$B$130=_xludf.MAXIFS(참고!$B$31:$B$130,참고!$A$31:$A$130,C848,참고!$B$31:$B$130,"&lt;="&amp;A848))*참고!$D$31:$D$130)/100,0),0)</f>
        <v>0</v>
      </c>
      <c r="L848" s="31" t="str">
        <f t="shared" si="41"/>
        <v/>
      </c>
      <c r="M848" s="39"/>
    </row>
    <row r="849" spans="1:13" ht="18" customHeight="1" x14ac:dyDescent="0.45">
      <c r="A849" s="37"/>
      <c r="B849" s="29"/>
      <c r="C849" s="29"/>
      <c r="D849" s="28"/>
      <c r="E849" s="30" t="str">
        <f>IFERROR(VLOOKUP(D849,KRX종목마스터!$A:$B,2,FALSE),"")</f>
        <v/>
      </c>
      <c r="F849" s="42"/>
      <c r="G849" s="42"/>
      <c r="H849" s="31" t="str">
        <f t="shared" si="39"/>
        <v/>
      </c>
      <c r="I849" s="43">
        <f ca="1">IFERROR(SUMPRODUCT((참고!$A$31:$A$130=C849)*(참고!$B$31:$B$130&lt;=A849)*(참고!$B$31:$B$130=_xludf.MAXIFS(참고!$B$31:$B$130,참고!$A$31:$A$130,C849,참고!$B$31:$B$130,"&lt;="&amp;A849))*참고!$C$31:$C$130)/100,0)</f>
        <v>0</v>
      </c>
      <c r="J849" s="31" t="str">
        <f t="shared" si="40"/>
        <v/>
      </c>
      <c r="K849" s="43">
        <f>IF(B849="매도",IFERROR(SUMPRODUCT((참고!$A$31:$A$130=C849)*(참고!$B$31:$B$130&lt;=A849)*(참고!$B$31:$B$130=_xludf.MAXIFS(참고!$B$31:$B$130,참고!$A$31:$A$130,C849,참고!$B$31:$B$130,"&lt;="&amp;A849))*참고!$D$31:$D$130)/100,0),0)</f>
        <v>0</v>
      </c>
      <c r="L849" s="31" t="str">
        <f t="shared" si="41"/>
        <v/>
      </c>
      <c r="M849" s="39"/>
    </row>
    <row r="850" spans="1:13" ht="18" customHeight="1" x14ac:dyDescent="0.45">
      <c r="A850" s="37"/>
      <c r="B850" s="29"/>
      <c r="C850" s="29"/>
      <c r="D850" s="28"/>
      <c r="E850" s="30" t="str">
        <f>IFERROR(VLOOKUP(D850,KRX종목마스터!$A:$B,2,FALSE),"")</f>
        <v/>
      </c>
      <c r="F850" s="42"/>
      <c r="G850" s="42"/>
      <c r="H850" s="31" t="str">
        <f t="shared" si="39"/>
        <v/>
      </c>
      <c r="I850" s="43">
        <f ca="1">IFERROR(SUMPRODUCT((참고!$A$31:$A$130=C850)*(참고!$B$31:$B$130&lt;=A850)*(참고!$B$31:$B$130=_xludf.MAXIFS(참고!$B$31:$B$130,참고!$A$31:$A$130,C850,참고!$B$31:$B$130,"&lt;="&amp;A850))*참고!$C$31:$C$130)/100,0)</f>
        <v>0</v>
      </c>
      <c r="J850" s="31" t="str">
        <f t="shared" si="40"/>
        <v/>
      </c>
      <c r="K850" s="43">
        <f>IF(B850="매도",IFERROR(SUMPRODUCT((참고!$A$31:$A$130=C850)*(참고!$B$31:$B$130&lt;=A850)*(참고!$B$31:$B$130=_xludf.MAXIFS(참고!$B$31:$B$130,참고!$A$31:$A$130,C850,참고!$B$31:$B$130,"&lt;="&amp;A850))*참고!$D$31:$D$130)/100,0),0)</f>
        <v>0</v>
      </c>
      <c r="L850" s="31" t="str">
        <f t="shared" si="41"/>
        <v/>
      </c>
      <c r="M850" s="39"/>
    </row>
    <row r="851" spans="1:13" ht="18" customHeight="1" x14ac:dyDescent="0.45">
      <c r="A851" s="37"/>
      <c r="B851" s="29"/>
      <c r="C851" s="29"/>
      <c r="D851" s="28"/>
      <c r="E851" s="30" t="str">
        <f>IFERROR(VLOOKUP(D851,KRX종목마스터!$A:$B,2,FALSE),"")</f>
        <v/>
      </c>
      <c r="F851" s="42"/>
      <c r="G851" s="42"/>
      <c r="H851" s="31" t="str">
        <f t="shared" si="39"/>
        <v/>
      </c>
      <c r="I851" s="43">
        <f ca="1">IFERROR(SUMPRODUCT((참고!$A$31:$A$130=C851)*(참고!$B$31:$B$130&lt;=A851)*(참고!$B$31:$B$130=_xludf.MAXIFS(참고!$B$31:$B$130,참고!$A$31:$A$130,C851,참고!$B$31:$B$130,"&lt;="&amp;A851))*참고!$C$31:$C$130)/100,0)</f>
        <v>0</v>
      </c>
      <c r="J851" s="31" t="str">
        <f t="shared" si="40"/>
        <v/>
      </c>
      <c r="K851" s="43">
        <f>IF(B851="매도",IFERROR(SUMPRODUCT((참고!$A$31:$A$130=C851)*(참고!$B$31:$B$130&lt;=A851)*(참고!$B$31:$B$130=_xludf.MAXIFS(참고!$B$31:$B$130,참고!$A$31:$A$130,C851,참고!$B$31:$B$130,"&lt;="&amp;A851))*참고!$D$31:$D$130)/100,0),0)</f>
        <v>0</v>
      </c>
      <c r="L851" s="31" t="str">
        <f t="shared" si="41"/>
        <v/>
      </c>
      <c r="M851" s="39"/>
    </row>
    <row r="852" spans="1:13" ht="18" customHeight="1" x14ac:dyDescent="0.45">
      <c r="A852" s="37"/>
      <c r="B852" s="29"/>
      <c r="C852" s="29"/>
      <c r="D852" s="28"/>
      <c r="E852" s="30" t="str">
        <f>IFERROR(VLOOKUP(D852,KRX종목마스터!$A:$B,2,FALSE),"")</f>
        <v/>
      </c>
      <c r="F852" s="42"/>
      <c r="G852" s="42"/>
      <c r="H852" s="31" t="str">
        <f t="shared" si="39"/>
        <v/>
      </c>
      <c r="I852" s="43">
        <f ca="1">IFERROR(SUMPRODUCT((참고!$A$31:$A$130=C852)*(참고!$B$31:$B$130&lt;=A852)*(참고!$B$31:$B$130=_xludf.MAXIFS(참고!$B$31:$B$130,참고!$A$31:$A$130,C852,참고!$B$31:$B$130,"&lt;="&amp;A852))*참고!$C$31:$C$130)/100,0)</f>
        <v>0</v>
      </c>
      <c r="J852" s="31" t="str">
        <f t="shared" si="40"/>
        <v/>
      </c>
      <c r="K852" s="43">
        <f>IF(B852="매도",IFERROR(SUMPRODUCT((참고!$A$31:$A$130=C852)*(참고!$B$31:$B$130&lt;=A852)*(참고!$B$31:$B$130=_xludf.MAXIFS(참고!$B$31:$B$130,참고!$A$31:$A$130,C852,참고!$B$31:$B$130,"&lt;="&amp;A852))*참고!$D$31:$D$130)/100,0),0)</f>
        <v>0</v>
      </c>
      <c r="L852" s="31" t="str">
        <f t="shared" si="41"/>
        <v/>
      </c>
      <c r="M852" s="39"/>
    </row>
    <row r="853" spans="1:13" ht="18" customHeight="1" x14ac:dyDescent="0.45">
      <c r="A853" s="37"/>
      <c r="B853" s="29"/>
      <c r="C853" s="29"/>
      <c r="D853" s="28"/>
      <c r="E853" s="30" t="str">
        <f>IFERROR(VLOOKUP(D853,KRX종목마스터!$A:$B,2,FALSE),"")</f>
        <v/>
      </c>
      <c r="F853" s="42"/>
      <c r="G853" s="42"/>
      <c r="H853" s="31" t="str">
        <f t="shared" si="39"/>
        <v/>
      </c>
      <c r="I853" s="43">
        <f ca="1">IFERROR(SUMPRODUCT((참고!$A$31:$A$130=C853)*(참고!$B$31:$B$130&lt;=A853)*(참고!$B$31:$B$130=_xludf.MAXIFS(참고!$B$31:$B$130,참고!$A$31:$A$130,C853,참고!$B$31:$B$130,"&lt;="&amp;A853))*참고!$C$31:$C$130)/100,0)</f>
        <v>0</v>
      </c>
      <c r="J853" s="31" t="str">
        <f t="shared" si="40"/>
        <v/>
      </c>
      <c r="K853" s="43">
        <f>IF(B853="매도",IFERROR(SUMPRODUCT((참고!$A$31:$A$130=C853)*(참고!$B$31:$B$130&lt;=A853)*(참고!$B$31:$B$130=_xludf.MAXIFS(참고!$B$31:$B$130,참고!$A$31:$A$130,C853,참고!$B$31:$B$130,"&lt;="&amp;A853))*참고!$D$31:$D$130)/100,0),0)</f>
        <v>0</v>
      </c>
      <c r="L853" s="31" t="str">
        <f t="shared" si="41"/>
        <v/>
      </c>
      <c r="M853" s="39"/>
    </row>
    <row r="854" spans="1:13" ht="18" customHeight="1" x14ac:dyDescent="0.45">
      <c r="A854" s="37"/>
      <c r="B854" s="29"/>
      <c r="C854" s="29"/>
      <c r="D854" s="28"/>
      <c r="E854" s="30" t="str">
        <f>IFERROR(VLOOKUP(D854,KRX종목마스터!$A:$B,2,FALSE),"")</f>
        <v/>
      </c>
      <c r="F854" s="42"/>
      <c r="G854" s="42"/>
      <c r="H854" s="31" t="str">
        <f t="shared" si="39"/>
        <v/>
      </c>
      <c r="I854" s="43">
        <f ca="1">IFERROR(SUMPRODUCT((참고!$A$31:$A$130=C854)*(참고!$B$31:$B$130&lt;=A854)*(참고!$B$31:$B$130=_xludf.MAXIFS(참고!$B$31:$B$130,참고!$A$31:$A$130,C854,참고!$B$31:$B$130,"&lt;="&amp;A854))*참고!$C$31:$C$130)/100,0)</f>
        <v>0</v>
      </c>
      <c r="J854" s="31" t="str">
        <f t="shared" si="40"/>
        <v/>
      </c>
      <c r="K854" s="43">
        <f>IF(B854="매도",IFERROR(SUMPRODUCT((참고!$A$31:$A$130=C854)*(참고!$B$31:$B$130&lt;=A854)*(참고!$B$31:$B$130=_xludf.MAXIFS(참고!$B$31:$B$130,참고!$A$31:$A$130,C854,참고!$B$31:$B$130,"&lt;="&amp;A854))*참고!$D$31:$D$130)/100,0),0)</f>
        <v>0</v>
      </c>
      <c r="L854" s="31" t="str">
        <f t="shared" si="41"/>
        <v/>
      </c>
      <c r="M854" s="39"/>
    </row>
    <row r="855" spans="1:13" ht="18" customHeight="1" x14ac:dyDescent="0.45">
      <c r="A855" s="37"/>
      <c r="B855" s="29"/>
      <c r="C855" s="29"/>
      <c r="D855" s="28"/>
      <c r="E855" s="30" t="str">
        <f>IFERROR(VLOOKUP(D855,KRX종목마스터!$A:$B,2,FALSE),"")</f>
        <v/>
      </c>
      <c r="F855" s="42"/>
      <c r="G855" s="42"/>
      <c r="H855" s="31" t="str">
        <f t="shared" si="39"/>
        <v/>
      </c>
      <c r="I855" s="43">
        <f ca="1">IFERROR(SUMPRODUCT((참고!$A$31:$A$130=C855)*(참고!$B$31:$B$130&lt;=A855)*(참고!$B$31:$B$130=_xludf.MAXIFS(참고!$B$31:$B$130,참고!$A$31:$A$130,C855,참고!$B$31:$B$130,"&lt;="&amp;A855))*참고!$C$31:$C$130)/100,0)</f>
        <v>0</v>
      </c>
      <c r="J855" s="31" t="str">
        <f t="shared" si="40"/>
        <v/>
      </c>
      <c r="K855" s="43">
        <f>IF(B855="매도",IFERROR(SUMPRODUCT((참고!$A$31:$A$130=C855)*(참고!$B$31:$B$130&lt;=A855)*(참고!$B$31:$B$130=_xludf.MAXIFS(참고!$B$31:$B$130,참고!$A$31:$A$130,C855,참고!$B$31:$B$130,"&lt;="&amp;A855))*참고!$D$31:$D$130)/100,0),0)</f>
        <v>0</v>
      </c>
      <c r="L855" s="31" t="str">
        <f t="shared" si="41"/>
        <v/>
      </c>
      <c r="M855" s="39"/>
    </row>
    <row r="856" spans="1:13" ht="18" customHeight="1" x14ac:dyDescent="0.45">
      <c r="A856" s="37"/>
      <c r="B856" s="29"/>
      <c r="C856" s="29"/>
      <c r="D856" s="28"/>
      <c r="E856" s="30" t="str">
        <f>IFERROR(VLOOKUP(D856,KRX종목마스터!$A:$B,2,FALSE),"")</f>
        <v/>
      </c>
      <c r="F856" s="42"/>
      <c r="G856" s="42"/>
      <c r="H856" s="31" t="str">
        <f t="shared" si="39"/>
        <v/>
      </c>
      <c r="I856" s="43">
        <f ca="1">IFERROR(SUMPRODUCT((참고!$A$31:$A$130=C856)*(참고!$B$31:$B$130&lt;=A856)*(참고!$B$31:$B$130=_xludf.MAXIFS(참고!$B$31:$B$130,참고!$A$31:$A$130,C856,참고!$B$31:$B$130,"&lt;="&amp;A856))*참고!$C$31:$C$130)/100,0)</f>
        <v>0</v>
      </c>
      <c r="J856" s="31" t="str">
        <f t="shared" si="40"/>
        <v/>
      </c>
      <c r="K856" s="43">
        <f>IF(B856="매도",IFERROR(SUMPRODUCT((참고!$A$31:$A$130=C856)*(참고!$B$31:$B$130&lt;=A856)*(참고!$B$31:$B$130=_xludf.MAXIFS(참고!$B$31:$B$130,참고!$A$31:$A$130,C856,참고!$B$31:$B$130,"&lt;="&amp;A856))*참고!$D$31:$D$130)/100,0),0)</f>
        <v>0</v>
      </c>
      <c r="L856" s="31" t="str">
        <f t="shared" si="41"/>
        <v/>
      </c>
      <c r="M856" s="39"/>
    </row>
    <row r="857" spans="1:13" ht="18" customHeight="1" x14ac:dyDescent="0.45">
      <c r="A857" s="37"/>
      <c r="B857" s="29"/>
      <c r="C857" s="29"/>
      <c r="D857" s="28"/>
      <c r="E857" s="30" t="str">
        <f>IFERROR(VLOOKUP(D857,KRX종목마스터!$A:$B,2,FALSE),"")</f>
        <v/>
      </c>
      <c r="F857" s="42"/>
      <c r="G857" s="42"/>
      <c r="H857" s="31" t="str">
        <f t="shared" si="39"/>
        <v/>
      </c>
      <c r="I857" s="43">
        <f ca="1">IFERROR(SUMPRODUCT((참고!$A$31:$A$130=C857)*(참고!$B$31:$B$130&lt;=A857)*(참고!$B$31:$B$130=_xludf.MAXIFS(참고!$B$31:$B$130,참고!$A$31:$A$130,C857,참고!$B$31:$B$130,"&lt;="&amp;A857))*참고!$C$31:$C$130)/100,0)</f>
        <v>0</v>
      </c>
      <c r="J857" s="31" t="str">
        <f t="shared" si="40"/>
        <v/>
      </c>
      <c r="K857" s="43">
        <f>IF(B857="매도",IFERROR(SUMPRODUCT((참고!$A$31:$A$130=C857)*(참고!$B$31:$B$130&lt;=A857)*(참고!$B$31:$B$130=_xludf.MAXIFS(참고!$B$31:$B$130,참고!$A$31:$A$130,C857,참고!$B$31:$B$130,"&lt;="&amp;A857))*참고!$D$31:$D$130)/100,0),0)</f>
        <v>0</v>
      </c>
      <c r="L857" s="31" t="str">
        <f t="shared" si="41"/>
        <v/>
      </c>
      <c r="M857" s="39"/>
    </row>
    <row r="858" spans="1:13" ht="18" customHeight="1" x14ac:dyDescent="0.45">
      <c r="A858" s="37"/>
      <c r="B858" s="29"/>
      <c r="C858" s="29"/>
      <c r="D858" s="28"/>
      <c r="E858" s="30" t="str">
        <f>IFERROR(VLOOKUP(D858,KRX종목마스터!$A:$B,2,FALSE),"")</f>
        <v/>
      </c>
      <c r="F858" s="42"/>
      <c r="G858" s="42"/>
      <c r="H858" s="31" t="str">
        <f t="shared" si="39"/>
        <v/>
      </c>
      <c r="I858" s="43">
        <f ca="1">IFERROR(SUMPRODUCT((참고!$A$31:$A$130=C858)*(참고!$B$31:$B$130&lt;=A858)*(참고!$B$31:$B$130=_xludf.MAXIFS(참고!$B$31:$B$130,참고!$A$31:$A$130,C858,참고!$B$31:$B$130,"&lt;="&amp;A858))*참고!$C$31:$C$130)/100,0)</f>
        <v>0</v>
      </c>
      <c r="J858" s="31" t="str">
        <f t="shared" si="40"/>
        <v/>
      </c>
      <c r="K858" s="43">
        <f>IF(B858="매도",IFERROR(SUMPRODUCT((참고!$A$31:$A$130=C858)*(참고!$B$31:$B$130&lt;=A858)*(참고!$B$31:$B$130=_xludf.MAXIFS(참고!$B$31:$B$130,참고!$A$31:$A$130,C858,참고!$B$31:$B$130,"&lt;="&amp;A858))*참고!$D$31:$D$130)/100,0),0)</f>
        <v>0</v>
      </c>
      <c r="L858" s="31" t="str">
        <f t="shared" si="41"/>
        <v/>
      </c>
      <c r="M858" s="39"/>
    </row>
    <row r="859" spans="1:13" ht="18" customHeight="1" x14ac:dyDescent="0.45">
      <c r="A859" s="37"/>
      <c r="B859" s="29"/>
      <c r="C859" s="29"/>
      <c r="D859" s="28"/>
      <c r="E859" s="30" t="str">
        <f>IFERROR(VLOOKUP(D859,KRX종목마스터!$A:$B,2,FALSE),"")</f>
        <v/>
      </c>
      <c r="F859" s="42"/>
      <c r="G859" s="42"/>
      <c r="H859" s="31" t="str">
        <f t="shared" si="39"/>
        <v/>
      </c>
      <c r="I859" s="43">
        <f ca="1">IFERROR(SUMPRODUCT((참고!$A$31:$A$130=C859)*(참고!$B$31:$B$130&lt;=A859)*(참고!$B$31:$B$130=_xludf.MAXIFS(참고!$B$31:$B$130,참고!$A$31:$A$130,C859,참고!$B$31:$B$130,"&lt;="&amp;A859))*참고!$C$31:$C$130)/100,0)</f>
        <v>0</v>
      </c>
      <c r="J859" s="31" t="str">
        <f t="shared" si="40"/>
        <v/>
      </c>
      <c r="K859" s="43">
        <f>IF(B859="매도",IFERROR(SUMPRODUCT((참고!$A$31:$A$130=C859)*(참고!$B$31:$B$130&lt;=A859)*(참고!$B$31:$B$130=_xludf.MAXIFS(참고!$B$31:$B$130,참고!$A$31:$A$130,C859,참고!$B$31:$B$130,"&lt;="&amp;A859))*참고!$D$31:$D$130)/100,0),0)</f>
        <v>0</v>
      </c>
      <c r="L859" s="31" t="str">
        <f t="shared" si="41"/>
        <v/>
      </c>
      <c r="M859" s="39"/>
    </row>
    <row r="860" spans="1:13" ht="18" customHeight="1" x14ac:dyDescent="0.45">
      <c r="A860" s="37"/>
      <c r="B860" s="29"/>
      <c r="C860" s="29"/>
      <c r="D860" s="28"/>
      <c r="E860" s="30" t="str">
        <f>IFERROR(VLOOKUP(D860,KRX종목마스터!$A:$B,2,FALSE),"")</f>
        <v/>
      </c>
      <c r="F860" s="42"/>
      <c r="G860" s="42"/>
      <c r="H860" s="31" t="str">
        <f t="shared" si="39"/>
        <v/>
      </c>
      <c r="I860" s="43">
        <f ca="1">IFERROR(SUMPRODUCT((참고!$A$31:$A$130=C860)*(참고!$B$31:$B$130&lt;=A860)*(참고!$B$31:$B$130=_xludf.MAXIFS(참고!$B$31:$B$130,참고!$A$31:$A$130,C860,참고!$B$31:$B$130,"&lt;="&amp;A860))*참고!$C$31:$C$130)/100,0)</f>
        <v>0</v>
      </c>
      <c r="J860" s="31" t="str">
        <f t="shared" si="40"/>
        <v/>
      </c>
      <c r="K860" s="43">
        <f>IF(B860="매도",IFERROR(SUMPRODUCT((참고!$A$31:$A$130=C860)*(참고!$B$31:$B$130&lt;=A860)*(참고!$B$31:$B$130=_xludf.MAXIFS(참고!$B$31:$B$130,참고!$A$31:$A$130,C860,참고!$B$31:$B$130,"&lt;="&amp;A860))*참고!$D$31:$D$130)/100,0),0)</f>
        <v>0</v>
      </c>
      <c r="L860" s="31" t="str">
        <f t="shared" si="41"/>
        <v/>
      </c>
      <c r="M860" s="39"/>
    </row>
    <row r="861" spans="1:13" ht="18" customHeight="1" x14ac:dyDescent="0.45">
      <c r="A861" s="37"/>
      <c r="B861" s="29"/>
      <c r="C861" s="29"/>
      <c r="D861" s="28"/>
      <c r="E861" s="30" t="str">
        <f>IFERROR(VLOOKUP(D861,KRX종목마스터!$A:$B,2,FALSE),"")</f>
        <v/>
      </c>
      <c r="F861" s="42"/>
      <c r="G861" s="42"/>
      <c r="H861" s="31" t="str">
        <f t="shared" si="39"/>
        <v/>
      </c>
      <c r="I861" s="43">
        <f ca="1">IFERROR(SUMPRODUCT((참고!$A$31:$A$130=C861)*(참고!$B$31:$B$130&lt;=A861)*(참고!$B$31:$B$130=_xludf.MAXIFS(참고!$B$31:$B$130,참고!$A$31:$A$130,C861,참고!$B$31:$B$130,"&lt;="&amp;A861))*참고!$C$31:$C$130)/100,0)</f>
        <v>0</v>
      </c>
      <c r="J861" s="31" t="str">
        <f t="shared" si="40"/>
        <v/>
      </c>
      <c r="K861" s="43">
        <f>IF(B861="매도",IFERROR(SUMPRODUCT((참고!$A$31:$A$130=C861)*(참고!$B$31:$B$130&lt;=A861)*(참고!$B$31:$B$130=_xludf.MAXIFS(참고!$B$31:$B$130,참고!$A$31:$A$130,C861,참고!$B$31:$B$130,"&lt;="&amp;A861))*참고!$D$31:$D$130)/100,0),0)</f>
        <v>0</v>
      </c>
      <c r="L861" s="31" t="str">
        <f t="shared" si="41"/>
        <v/>
      </c>
      <c r="M861" s="39"/>
    </row>
    <row r="862" spans="1:13" ht="18" customHeight="1" x14ac:dyDescent="0.45">
      <c r="A862" s="37"/>
      <c r="B862" s="29"/>
      <c r="C862" s="29"/>
      <c r="D862" s="28"/>
      <c r="E862" s="30" t="str">
        <f>IFERROR(VLOOKUP(D862,KRX종목마스터!$A:$B,2,FALSE),"")</f>
        <v/>
      </c>
      <c r="F862" s="42"/>
      <c r="G862" s="42"/>
      <c r="H862" s="31" t="str">
        <f t="shared" si="39"/>
        <v/>
      </c>
      <c r="I862" s="43">
        <f ca="1">IFERROR(SUMPRODUCT((참고!$A$31:$A$130=C862)*(참고!$B$31:$B$130&lt;=A862)*(참고!$B$31:$B$130=_xludf.MAXIFS(참고!$B$31:$B$130,참고!$A$31:$A$130,C862,참고!$B$31:$B$130,"&lt;="&amp;A862))*참고!$C$31:$C$130)/100,0)</f>
        <v>0</v>
      </c>
      <c r="J862" s="31" t="str">
        <f t="shared" si="40"/>
        <v/>
      </c>
      <c r="K862" s="43">
        <f>IF(B862="매도",IFERROR(SUMPRODUCT((참고!$A$31:$A$130=C862)*(참고!$B$31:$B$130&lt;=A862)*(참고!$B$31:$B$130=_xludf.MAXIFS(참고!$B$31:$B$130,참고!$A$31:$A$130,C862,참고!$B$31:$B$130,"&lt;="&amp;A862))*참고!$D$31:$D$130)/100,0),0)</f>
        <v>0</v>
      </c>
      <c r="L862" s="31" t="str">
        <f t="shared" si="41"/>
        <v/>
      </c>
      <c r="M862" s="39"/>
    </row>
    <row r="863" spans="1:13" ht="18" customHeight="1" x14ac:dyDescent="0.45">
      <c r="A863" s="37"/>
      <c r="B863" s="29"/>
      <c r="C863" s="29"/>
      <c r="D863" s="28"/>
      <c r="E863" s="30" t="str">
        <f>IFERROR(VLOOKUP(D863,KRX종목마스터!$A:$B,2,FALSE),"")</f>
        <v/>
      </c>
      <c r="F863" s="42"/>
      <c r="G863" s="42"/>
      <c r="H863" s="31" t="str">
        <f t="shared" si="39"/>
        <v/>
      </c>
      <c r="I863" s="43">
        <f ca="1">IFERROR(SUMPRODUCT((참고!$A$31:$A$130=C863)*(참고!$B$31:$B$130&lt;=A863)*(참고!$B$31:$B$130=_xludf.MAXIFS(참고!$B$31:$B$130,참고!$A$31:$A$130,C863,참고!$B$31:$B$130,"&lt;="&amp;A863))*참고!$C$31:$C$130)/100,0)</f>
        <v>0</v>
      </c>
      <c r="J863" s="31" t="str">
        <f t="shared" si="40"/>
        <v/>
      </c>
      <c r="K863" s="43">
        <f>IF(B863="매도",IFERROR(SUMPRODUCT((참고!$A$31:$A$130=C863)*(참고!$B$31:$B$130&lt;=A863)*(참고!$B$31:$B$130=_xludf.MAXIFS(참고!$B$31:$B$130,참고!$A$31:$A$130,C863,참고!$B$31:$B$130,"&lt;="&amp;A863))*참고!$D$31:$D$130)/100,0),0)</f>
        <v>0</v>
      </c>
      <c r="L863" s="31" t="str">
        <f t="shared" si="41"/>
        <v/>
      </c>
      <c r="M863" s="39"/>
    </row>
    <row r="864" spans="1:13" ht="18" customHeight="1" x14ac:dyDescent="0.45">
      <c r="A864" s="37"/>
      <c r="B864" s="29"/>
      <c r="C864" s="29"/>
      <c r="D864" s="28"/>
      <c r="E864" s="30" t="str">
        <f>IFERROR(VLOOKUP(D864,KRX종목마스터!$A:$B,2,FALSE),"")</f>
        <v/>
      </c>
      <c r="F864" s="42"/>
      <c r="G864" s="42"/>
      <c r="H864" s="31" t="str">
        <f t="shared" si="39"/>
        <v/>
      </c>
      <c r="I864" s="43">
        <f ca="1">IFERROR(SUMPRODUCT((참고!$A$31:$A$130=C864)*(참고!$B$31:$B$130&lt;=A864)*(참고!$B$31:$B$130=_xludf.MAXIFS(참고!$B$31:$B$130,참고!$A$31:$A$130,C864,참고!$B$31:$B$130,"&lt;="&amp;A864))*참고!$C$31:$C$130)/100,0)</f>
        <v>0</v>
      </c>
      <c r="J864" s="31" t="str">
        <f t="shared" si="40"/>
        <v/>
      </c>
      <c r="K864" s="43">
        <f>IF(B864="매도",IFERROR(SUMPRODUCT((참고!$A$31:$A$130=C864)*(참고!$B$31:$B$130&lt;=A864)*(참고!$B$31:$B$130=_xludf.MAXIFS(참고!$B$31:$B$130,참고!$A$31:$A$130,C864,참고!$B$31:$B$130,"&lt;="&amp;A864))*참고!$D$31:$D$130)/100,0),0)</f>
        <v>0</v>
      </c>
      <c r="L864" s="31" t="str">
        <f t="shared" si="41"/>
        <v/>
      </c>
      <c r="M864" s="39"/>
    </row>
    <row r="865" spans="1:13" ht="18" customHeight="1" x14ac:dyDescent="0.45">
      <c r="A865" s="37"/>
      <c r="B865" s="29"/>
      <c r="C865" s="29"/>
      <c r="D865" s="28"/>
      <c r="E865" s="30" t="str">
        <f>IFERROR(VLOOKUP(D865,KRX종목마스터!$A:$B,2,FALSE),"")</f>
        <v/>
      </c>
      <c r="F865" s="42"/>
      <c r="G865" s="42"/>
      <c r="H865" s="31" t="str">
        <f t="shared" si="39"/>
        <v/>
      </c>
      <c r="I865" s="43">
        <f ca="1">IFERROR(SUMPRODUCT((참고!$A$31:$A$130=C865)*(참고!$B$31:$B$130&lt;=A865)*(참고!$B$31:$B$130=_xludf.MAXIFS(참고!$B$31:$B$130,참고!$A$31:$A$130,C865,참고!$B$31:$B$130,"&lt;="&amp;A865))*참고!$C$31:$C$130)/100,0)</f>
        <v>0</v>
      </c>
      <c r="J865" s="31" t="str">
        <f t="shared" si="40"/>
        <v/>
      </c>
      <c r="K865" s="43">
        <f>IF(B865="매도",IFERROR(SUMPRODUCT((참고!$A$31:$A$130=C865)*(참고!$B$31:$B$130&lt;=A865)*(참고!$B$31:$B$130=_xludf.MAXIFS(참고!$B$31:$B$130,참고!$A$31:$A$130,C865,참고!$B$31:$B$130,"&lt;="&amp;A865))*참고!$D$31:$D$130)/100,0),0)</f>
        <v>0</v>
      </c>
      <c r="L865" s="31" t="str">
        <f t="shared" si="41"/>
        <v/>
      </c>
      <c r="M865" s="39"/>
    </row>
    <row r="866" spans="1:13" ht="18" customHeight="1" x14ac:dyDescent="0.45">
      <c r="A866" s="37"/>
      <c r="B866" s="29"/>
      <c r="C866" s="29"/>
      <c r="D866" s="28"/>
      <c r="E866" s="30" t="str">
        <f>IFERROR(VLOOKUP(D866,KRX종목마스터!$A:$B,2,FALSE),"")</f>
        <v/>
      </c>
      <c r="F866" s="42"/>
      <c r="G866" s="42"/>
      <c r="H866" s="31" t="str">
        <f t="shared" si="39"/>
        <v/>
      </c>
      <c r="I866" s="43">
        <f ca="1">IFERROR(SUMPRODUCT((참고!$A$31:$A$130=C866)*(참고!$B$31:$B$130&lt;=A866)*(참고!$B$31:$B$130=_xludf.MAXIFS(참고!$B$31:$B$130,참고!$A$31:$A$130,C866,참고!$B$31:$B$130,"&lt;="&amp;A866))*참고!$C$31:$C$130)/100,0)</f>
        <v>0</v>
      </c>
      <c r="J866" s="31" t="str">
        <f t="shared" si="40"/>
        <v/>
      </c>
      <c r="K866" s="43">
        <f>IF(B866="매도",IFERROR(SUMPRODUCT((참고!$A$31:$A$130=C866)*(참고!$B$31:$B$130&lt;=A866)*(참고!$B$31:$B$130=_xludf.MAXIFS(참고!$B$31:$B$130,참고!$A$31:$A$130,C866,참고!$B$31:$B$130,"&lt;="&amp;A866))*참고!$D$31:$D$130)/100,0),0)</f>
        <v>0</v>
      </c>
      <c r="L866" s="31" t="str">
        <f t="shared" si="41"/>
        <v/>
      </c>
      <c r="M866" s="39"/>
    </row>
    <row r="867" spans="1:13" ht="18" customHeight="1" x14ac:dyDescent="0.45">
      <c r="A867" s="37"/>
      <c r="B867" s="29"/>
      <c r="C867" s="29"/>
      <c r="D867" s="28"/>
      <c r="E867" s="30" t="str">
        <f>IFERROR(VLOOKUP(D867,KRX종목마스터!$A:$B,2,FALSE),"")</f>
        <v/>
      </c>
      <c r="F867" s="42"/>
      <c r="G867" s="42"/>
      <c r="H867" s="31" t="str">
        <f t="shared" si="39"/>
        <v/>
      </c>
      <c r="I867" s="43">
        <f ca="1">IFERROR(SUMPRODUCT((참고!$A$31:$A$130=C867)*(참고!$B$31:$B$130&lt;=A867)*(참고!$B$31:$B$130=_xludf.MAXIFS(참고!$B$31:$B$130,참고!$A$31:$A$130,C867,참고!$B$31:$B$130,"&lt;="&amp;A867))*참고!$C$31:$C$130)/100,0)</f>
        <v>0</v>
      </c>
      <c r="J867" s="31" t="str">
        <f t="shared" si="40"/>
        <v/>
      </c>
      <c r="K867" s="43">
        <f>IF(B867="매도",IFERROR(SUMPRODUCT((참고!$A$31:$A$130=C867)*(참고!$B$31:$B$130&lt;=A867)*(참고!$B$31:$B$130=_xludf.MAXIFS(참고!$B$31:$B$130,참고!$A$31:$A$130,C867,참고!$B$31:$B$130,"&lt;="&amp;A867))*참고!$D$31:$D$130)/100,0),0)</f>
        <v>0</v>
      </c>
      <c r="L867" s="31" t="str">
        <f t="shared" si="41"/>
        <v/>
      </c>
      <c r="M867" s="39"/>
    </row>
    <row r="868" spans="1:13" ht="18" customHeight="1" x14ac:dyDescent="0.45">
      <c r="A868" s="37"/>
      <c r="B868" s="29"/>
      <c r="C868" s="29"/>
      <c r="D868" s="28"/>
      <c r="E868" s="30" t="str">
        <f>IFERROR(VLOOKUP(D868,KRX종목마스터!$A:$B,2,FALSE),"")</f>
        <v/>
      </c>
      <c r="F868" s="42"/>
      <c r="G868" s="42"/>
      <c r="H868" s="31" t="str">
        <f t="shared" si="39"/>
        <v/>
      </c>
      <c r="I868" s="43">
        <f ca="1">IFERROR(SUMPRODUCT((참고!$A$31:$A$130=C868)*(참고!$B$31:$B$130&lt;=A868)*(참고!$B$31:$B$130=_xludf.MAXIFS(참고!$B$31:$B$130,참고!$A$31:$A$130,C868,참고!$B$31:$B$130,"&lt;="&amp;A868))*참고!$C$31:$C$130)/100,0)</f>
        <v>0</v>
      </c>
      <c r="J868" s="31" t="str">
        <f t="shared" si="40"/>
        <v/>
      </c>
      <c r="K868" s="43">
        <f>IF(B868="매도",IFERROR(SUMPRODUCT((참고!$A$31:$A$130=C868)*(참고!$B$31:$B$130&lt;=A868)*(참고!$B$31:$B$130=_xludf.MAXIFS(참고!$B$31:$B$130,참고!$A$31:$A$130,C868,참고!$B$31:$B$130,"&lt;="&amp;A868))*참고!$D$31:$D$130)/100,0),0)</f>
        <v>0</v>
      </c>
      <c r="L868" s="31" t="str">
        <f t="shared" si="41"/>
        <v/>
      </c>
      <c r="M868" s="39"/>
    </row>
    <row r="869" spans="1:13" ht="18" customHeight="1" x14ac:dyDescent="0.45">
      <c r="A869" s="37"/>
      <c r="B869" s="29"/>
      <c r="C869" s="29"/>
      <c r="D869" s="28"/>
      <c r="E869" s="30" t="str">
        <f>IFERROR(VLOOKUP(D869,KRX종목마스터!$A:$B,2,FALSE),"")</f>
        <v/>
      </c>
      <c r="F869" s="42"/>
      <c r="G869" s="42"/>
      <c r="H869" s="31" t="str">
        <f t="shared" si="39"/>
        <v/>
      </c>
      <c r="I869" s="43">
        <f ca="1">IFERROR(SUMPRODUCT((참고!$A$31:$A$130=C869)*(참고!$B$31:$B$130&lt;=A869)*(참고!$B$31:$B$130=_xludf.MAXIFS(참고!$B$31:$B$130,참고!$A$31:$A$130,C869,참고!$B$31:$B$130,"&lt;="&amp;A869))*참고!$C$31:$C$130)/100,0)</f>
        <v>0</v>
      </c>
      <c r="J869" s="31" t="str">
        <f t="shared" si="40"/>
        <v/>
      </c>
      <c r="K869" s="43">
        <f>IF(B869="매도",IFERROR(SUMPRODUCT((참고!$A$31:$A$130=C869)*(참고!$B$31:$B$130&lt;=A869)*(참고!$B$31:$B$130=_xludf.MAXIFS(참고!$B$31:$B$130,참고!$A$31:$A$130,C869,참고!$B$31:$B$130,"&lt;="&amp;A869))*참고!$D$31:$D$130)/100,0),0)</f>
        <v>0</v>
      </c>
      <c r="L869" s="31" t="str">
        <f t="shared" si="41"/>
        <v/>
      </c>
      <c r="M869" s="39"/>
    </row>
    <row r="870" spans="1:13" ht="18" customHeight="1" x14ac:dyDescent="0.45">
      <c r="A870" s="37"/>
      <c r="B870" s="29"/>
      <c r="C870" s="29"/>
      <c r="D870" s="28"/>
      <c r="E870" s="30" t="str">
        <f>IFERROR(VLOOKUP(D870,KRX종목마스터!$A:$B,2,FALSE),"")</f>
        <v/>
      </c>
      <c r="F870" s="42"/>
      <c r="G870" s="42"/>
      <c r="H870" s="31" t="str">
        <f t="shared" si="39"/>
        <v/>
      </c>
      <c r="I870" s="43">
        <f ca="1">IFERROR(SUMPRODUCT((참고!$A$31:$A$130=C870)*(참고!$B$31:$B$130&lt;=A870)*(참고!$B$31:$B$130=_xludf.MAXIFS(참고!$B$31:$B$130,참고!$A$31:$A$130,C870,참고!$B$31:$B$130,"&lt;="&amp;A870))*참고!$C$31:$C$130)/100,0)</f>
        <v>0</v>
      </c>
      <c r="J870" s="31" t="str">
        <f t="shared" si="40"/>
        <v/>
      </c>
      <c r="K870" s="43">
        <f>IF(B870="매도",IFERROR(SUMPRODUCT((참고!$A$31:$A$130=C870)*(참고!$B$31:$B$130&lt;=A870)*(참고!$B$31:$B$130=_xludf.MAXIFS(참고!$B$31:$B$130,참고!$A$31:$A$130,C870,참고!$B$31:$B$130,"&lt;="&amp;A870))*참고!$D$31:$D$130)/100,0),0)</f>
        <v>0</v>
      </c>
      <c r="L870" s="31" t="str">
        <f t="shared" si="41"/>
        <v/>
      </c>
      <c r="M870" s="39"/>
    </row>
    <row r="871" spans="1:13" ht="18" customHeight="1" x14ac:dyDescent="0.45">
      <c r="A871" s="37"/>
      <c r="B871" s="29"/>
      <c r="C871" s="29"/>
      <c r="D871" s="28"/>
      <c r="E871" s="30" t="str">
        <f>IFERROR(VLOOKUP(D871,KRX종목마스터!$A:$B,2,FALSE),"")</f>
        <v/>
      </c>
      <c r="F871" s="42"/>
      <c r="G871" s="42"/>
      <c r="H871" s="31" t="str">
        <f t="shared" si="39"/>
        <v/>
      </c>
      <c r="I871" s="43">
        <f ca="1">IFERROR(SUMPRODUCT((참고!$A$31:$A$130=C871)*(참고!$B$31:$B$130&lt;=A871)*(참고!$B$31:$B$130=_xludf.MAXIFS(참고!$B$31:$B$130,참고!$A$31:$A$130,C871,참고!$B$31:$B$130,"&lt;="&amp;A871))*참고!$C$31:$C$130)/100,0)</f>
        <v>0</v>
      </c>
      <c r="J871" s="31" t="str">
        <f t="shared" si="40"/>
        <v/>
      </c>
      <c r="K871" s="43">
        <f>IF(B871="매도",IFERROR(SUMPRODUCT((참고!$A$31:$A$130=C871)*(참고!$B$31:$B$130&lt;=A871)*(참고!$B$31:$B$130=_xludf.MAXIFS(참고!$B$31:$B$130,참고!$A$31:$A$130,C871,참고!$B$31:$B$130,"&lt;="&amp;A871))*참고!$D$31:$D$130)/100,0),0)</f>
        <v>0</v>
      </c>
      <c r="L871" s="31" t="str">
        <f t="shared" si="41"/>
        <v/>
      </c>
      <c r="M871" s="39"/>
    </row>
    <row r="872" spans="1:13" ht="18" customHeight="1" x14ac:dyDescent="0.45">
      <c r="A872" s="37"/>
      <c r="B872" s="29"/>
      <c r="C872" s="29"/>
      <c r="D872" s="28"/>
      <c r="E872" s="30" t="str">
        <f>IFERROR(VLOOKUP(D872,KRX종목마스터!$A:$B,2,FALSE),"")</f>
        <v/>
      </c>
      <c r="F872" s="42"/>
      <c r="G872" s="42"/>
      <c r="H872" s="31" t="str">
        <f t="shared" si="39"/>
        <v/>
      </c>
      <c r="I872" s="43">
        <f ca="1">IFERROR(SUMPRODUCT((참고!$A$31:$A$130=C872)*(참고!$B$31:$B$130&lt;=A872)*(참고!$B$31:$B$130=_xludf.MAXIFS(참고!$B$31:$B$130,참고!$A$31:$A$130,C872,참고!$B$31:$B$130,"&lt;="&amp;A872))*참고!$C$31:$C$130)/100,0)</f>
        <v>0</v>
      </c>
      <c r="J872" s="31" t="str">
        <f t="shared" si="40"/>
        <v/>
      </c>
      <c r="K872" s="43">
        <f>IF(B872="매도",IFERROR(SUMPRODUCT((참고!$A$31:$A$130=C872)*(참고!$B$31:$B$130&lt;=A872)*(참고!$B$31:$B$130=_xludf.MAXIFS(참고!$B$31:$B$130,참고!$A$31:$A$130,C872,참고!$B$31:$B$130,"&lt;="&amp;A872))*참고!$D$31:$D$130)/100,0),0)</f>
        <v>0</v>
      </c>
      <c r="L872" s="31" t="str">
        <f t="shared" si="41"/>
        <v/>
      </c>
      <c r="M872" s="39"/>
    </row>
    <row r="873" spans="1:13" ht="18" customHeight="1" x14ac:dyDescent="0.45">
      <c r="A873" s="37"/>
      <c r="B873" s="29"/>
      <c r="C873" s="29"/>
      <c r="D873" s="28"/>
      <c r="E873" s="30" t="str">
        <f>IFERROR(VLOOKUP(D873,KRX종목마스터!$A:$B,2,FALSE),"")</f>
        <v/>
      </c>
      <c r="F873" s="42"/>
      <c r="G873" s="42"/>
      <c r="H873" s="31" t="str">
        <f t="shared" si="39"/>
        <v/>
      </c>
      <c r="I873" s="43">
        <f ca="1">IFERROR(SUMPRODUCT((참고!$A$31:$A$130=C873)*(참고!$B$31:$B$130&lt;=A873)*(참고!$B$31:$B$130=_xludf.MAXIFS(참고!$B$31:$B$130,참고!$A$31:$A$130,C873,참고!$B$31:$B$130,"&lt;="&amp;A873))*참고!$C$31:$C$130)/100,0)</f>
        <v>0</v>
      </c>
      <c r="J873" s="31" t="str">
        <f t="shared" si="40"/>
        <v/>
      </c>
      <c r="K873" s="43">
        <f>IF(B873="매도",IFERROR(SUMPRODUCT((참고!$A$31:$A$130=C873)*(참고!$B$31:$B$130&lt;=A873)*(참고!$B$31:$B$130=_xludf.MAXIFS(참고!$B$31:$B$130,참고!$A$31:$A$130,C873,참고!$B$31:$B$130,"&lt;="&amp;A873))*참고!$D$31:$D$130)/100,0),0)</f>
        <v>0</v>
      </c>
      <c r="L873" s="31" t="str">
        <f t="shared" si="41"/>
        <v/>
      </c>
      <c r="M873" s="39"/>
    </row>
    <row r="874" spans="1:13" ht="18" customHeight="1" x14ac:dyDescent="0.45">
      <c r="A874" s="37"/>
      <c r="B874" s="29"/>
      <c r="C874" s="29"/>
      <c r="D874" s="28"/>
      <c r="E874" s="30" t="str">
        <f>IFERROR(VLOOKUP(D874,KRX종목마스터!$A:$B,2,FALSE),"")</f>
        <v/>
      </c>
      <c r="F874" s="42"/>
      <c r="G874" s="42"/>
      <c r="H874" s="31" t="str">
        <f t="shared" si="39"/>
        <v/>
      </c>
      <c r="I874" s="43">
        <f ca="1">IFERROR(SUMPRODUCT((참고!$A$31:$A$130=C874)*(참고!$B$31:$B$130&lt;=A874)*(참고!$B$31:$B$130=_xludf.MAXIFS(참고!$B$31:$B$130,참고!$A$31:$A$130,C874,참고!$B$31:$B$130,"&lt;="&amp;A874))*참고!$C$31:$C$130)/100,0)</f>
        <v>0</v>
      </c>
      <c r="J874" s="31" t="str">
        <f t="shared" si="40"/>
        <v/>
      </c>
      <c r="K874" s="43">
        <f>IF(B874="매도",IFERROR(SUMPRODUCT((참고!$A$31:$A$130=C874)*(참고!$B$31:$B$130&lt;=A874)*(참고!$B$31:$B$130=_xludf.MAXIFS(참고!$B$31:$B$130,참고!$A$31:$A$130,C874,참고!$B$31:$B$130,"&lt;="&amp;A874))*참고!$D$31:$D$130)/100,0),0)</f>
        <v>0</v>
      </c>
      <c r="L874" s="31" t="str">
        <f t="shared" si="41"/>
        <v/>
      </c>
      <c r="M874" s="39"/>
    </row>
    <row r="875" spans="1:13" ht="18" customHeight="1" x14ac:dyDescent="0.45">
      <c r="A875" s="37"/>
      <c r="B875" s="29"/>
      <c r="C875" s="29"/>
      <c r="D875" s="28"/>
      <c r="E875" s="30" t="str">
        <f>IFERROR(VLOOKUP(D875,KRX종목마스터!$A:$B,2,FALSE),"")</f>
        <v/>
      </c>
      <c r="F875" s="42"/>
      <c r="G875" s="42"/>
      <c r="H875" s="31" t="str">
        <f t="shared" si="39"/>
        <v/>
      </c>
      <c r="I875" s="43">
        <f ca="1">IFERROR(SUMPRODUCT((참고!$A$31:$A$130=C875)*(참고!$B$31:$B$130&lt;=A875)*(참고!$B$31:$B$130=_xludf.MAXIFS(참고!$B$31:$B$130,참고!$A$31:$A$130,C875,참고!$B$31:$B$130,"&lt;="&amp;A875))*참고!$C$31:$C$130)/100,0)</f>
        <v>0</v>
      </c>
      <c r="J875" s="31" t="str">
        <f t="shared" si="40"/>
        <v/>
      </c>
      <c r="K875" s="43">
        <f>IF(B875="매도",IFERROR(SUMPRODUCT((참고!$A$31:$A$130=C875)*(참고!$B$31:$B$130&lt;=A875)*(참고!$B$31:$B$130=_xludf.MAXIFS(참고!$B$31:$B$130,참고!$A$31:$A$130,C875,참고!$B$31:$B$130,"&lt;="&amp;A875))*참고!$D$31:$D$130)/100,0),0)</f>
        <v>0</v>
      </c>
      <c r="L875" s="31" t="str">
        <f t="shared" si="41"/>
        <v/>
      </c>
      <c r="M875" s="39"/>
    </row>
    <row r="876" spans="1:13" ht="18" customHeight="1" x14ac:dyDescent="0.45">
      <c r="A876" s="37"/>
      <c r="B876" s="29"/>
      <c r="C876" s="29"/>
      <c r="D876" s="28"/>
      <c r="E876" s="30" t="str">
        <f>IFERROR(VLOOKUP(D876,KRX종목마스터!$A:$B,2,FALSE),"")</f>
        <v/>
      </c>
      <c r="F876" s="42"/>
      <c r="G876" s="42"/>
      <c r="H876" s="31" t="str">
        <f t="shared" si="39"/>
        <v/>
      </c>
      <c r="I876" s="43">
        <f ca="1">IFERROR(SUMPRODUCT((참고!$A$31:$A$130=C876)*(참고!$B$31:$B$130&lt;=A876)*(참고!$B$31:$B$130=_xludf.MAXIFS(참고!$B$31:$B$130,참고!$A$31:$A$130,C876,참고!$B$31:$B$130,"&lt;="&amp;A876))*참고!$C$31:$C$130)/100,0)</f>
        <v>0</v>
      </c>
      <c r="J876" s="31" t="str">
        <f t="shared" si="40"/>
        <v/>
      </c>
      <c r="K876" s="43">
        <f>IF(B876="매도",IFERROR(SUMPRODUCT((참고!$A$31:$A$130=C876)*(참고!$B$31:$B$130&lt;=A876)*(참고!$B$31:$B$130=_xludf.MAXIFS(참고!$B$31:$B$130,참고!$A$31:$A$130,C876,참고!$B$31:$B$130,"&lt;="&amp;A876))*참고!$D$31:$D$130)/100,0),0)</f>
        <v>0</v>
      </c>
      <c r="L876" s="31" t="str">
        <f t="shared" si="41"/>
        <v/>
      </c>
      <c r="M876" s="39"/>
    </row>
    <row r="877" spans="1:13" ht="18" customHeight="1" x14ac:dyDescent="0.45">
      <c r="A877" s="37"/>
      <c r="B877" s="29"/>
      <c r="C877" s="29"/>
      <c r="D877" s="28"/>
      <c r="E877" s="30" t="str">
        <f>IFERROR(VLOOKUP(D877,KRX종목마스터!$A:$B,2,FALSE),"")</f>
        <v/>
      </c>
      <c r="F877" s="42"/>
      <c r="G877" s="42"/>
      <c r="H877" s="31" t="str">
        <f t="shared" si="39"/>
        <v/>
      </c>
      <c r="I877" s="43">
        <f ca="1">IFERROR(SUMPRODUCT((참고!$A$31:$A$130=C877)*(참고!$B$31:$B$130&lt;=A877)*(참고!$B$31:$B$130=_xludf.MAXIFS(참고!$B$31:$B$130,참고!$A$31:$A$130,C877,참고!$B$31:$B$130,"&lt;="&amp;A877))*참고!$C$31:$C$130)/100,0)</f>
        <v>0</v>
      </c>
      <c r="J877" s="31" t="str">
        <f t="shared" si="40"/>
        <v/>
      </c>
      <c r="K877" s="43">
        <f>IF(B877="매도",IFERROR(SUMPRODUCT((참고!$A$31:$A$130=C877)*(참고!$B$31:$B$130&lt;=A877)*(참고!$B$31:$B$130=_xludf.MAXIFS(참고!$B$31:$B$130,참고!$A$31:$A$130,C877,참고!$B$31:$B$130,"&lt;="&amp;A877))*참고!$D$31:$D$130)/100,0),0)</f>
        <v>0</v>
      </c>
      <c r="L877" s="31" t="str">
        <f t="shared" si="41"/>
        <v/>
      </c>
      <c r="M877" s="39"/>
    </row>
    <row r="878" spans="1:13" ht="18" customHeight="1" x14ac:dyDescent="0.45">
      <c r="A878" s="37"/>
      <c r="B878" s="29"/>
      <c r="C878" s="29"/>
      <c r="D878" s="28"/>
      <c r="E878" s="30" t="str">
        <f>IFERROR(VLOOKUP(D878,KRX종목마스터!$A:$B,2,FALSE),"")</f>
        <v/>
      </c>
      <c r="F878" s="42"/>
      <c r="G878" s="42"/>
      <c r="H878" s="31" t="str">
        <f t="shared" si="39"/>
        <v/>
      </c>
      <c r="I878" s="43">
        <f ca="1">IFERROR(SUMPRODUCT((참고!$A$31:$A$130=C878)*(참고!$B$31:$B$130&lt;=A878)*(참고!$B$31:$B$130=_xludf.MAXIFS(참고!$B$31:$B$130,참고!$A$31:$A$130,C878,참고!$B$31:$B$130,"&lt;="&amp;A878))*참고!$C$31:$C$130)/100,0)</f>
        <v>0</v>
      </c>
      <c r="J878" s="31" t="str">
        <f t="shared" si="40"/>
        <v/>
      </c>
      <c r="K878" s="43">
        <f>IF(B878="매도",IFERROR(SUMPRODUCT((참고!$A$31:$A$130=C878)*(참고!$B$31:$B$130&lt;=A878)*(참고!$B$31:$B$130=_xludf.MAXIFS(참고!$B$31:$B$130,참고!$A$31:$A$130,C878,참고!$B$31:$B$130,"&lt;="&amp;A878))*참고!$D$31:$D$130)/100,0),0)</f>
        <v>0</v>
      </c>
      <c r="L878" s="31" t="str">
        <f t="shared" si="41"/>
        <v/>
      </c>
      <c r="M878" s="39"/>
    </row>
    <row r="879" spans="1:13" ht="18" customHeight="1" x14ac:dyDescent="0.45">
      <c r="A879" s="37"/>
      <c r="B879" s="29"/>
      <c r="C879" s="29"/>
      <c r="D879" s="28"/>
      <c r="E879" s="30" t="str">
        <f>IFERROR(VLOOKUP(D879,KRX종목마스터!$A:$B,2,FALSE),"")</f>
        <v/>
      </c>
      <c r="F879" s="42"/>
      <c r="G879" s="42"/>
      <c r="H879" s="31" t="str">
        <f t="shared" si="39"/>
        <v/>
      </c>
      <c r="I879" s="43">
        <f ca="1">IFERROR(SUMPRODUCT((참고!$A$31:$A$130=C879)*(참고!$B$31:$B$130&lt;=A879)*(참고!$B$31:$B$130=_xludf.MAXIFS(참고!$B$31:$B$130,참고!$A$31:$A$130,C879,참고!$B$31:$B$130,"&lt;="&amp;A879))*참고!$C$31:$C$130)/100,0)</f>
        <v>0</v>
      </c>
      <c r="J879" s="31" t="str">
        <f t="shared" si="40"/>
        <v/>
      </c>
      <c r="K879" s="43">
        <f>IF(B879="매도",IFERROR(SUMPRODUCT((참고!$A$31:$A$130=C879)*(참고!$B$31:$B$130&lt;=A879)*(참고!$B$31:$B$130=_xludf.MAXIFS(참고!$B$31:$B$130,참고!$A$31:$A$130,C879,참고!$B$31:$B$130,"&lt;="&amp;A879))*참고!$D$31:$D$130)/100,0),0)</f>
        <v>0</v>
      </c>
      <c r="L879" s="31" t="str">
        <f t="shared" si="41"/>
        <v/>
      </c>
      <c r="M879" s="39"/>
    </row>
    <row r="880" spans="1:13" ht="18" customHeight="1" x14ac:dyDescent="0.45">
      <c r="A880" s="37"/>
      <c r="B880" s="29"/>
      <c r="C880" s="29"/>
      <c r="D880" s="28"/>
      <c r="E880" s="30" t="str">
        <f>IFERROR(VLOOKUP(D880,KRX종목마스터!$A:$B,2,FALSE),"")</f>
        <v/>
      </c>
      <c r="F880" s="42"/>
      <c r="G880" s="42"/>
      <c r="H880" s="31" t="str">
        <f t="shared" si="39"/>
        <v/>
      </c>
      <c r="I880" s="43">
        <f ca="1">IFERROR(SUMPRODUCT((참고!$A$31:$A$130=C880)*(참고!$B$31:$B$130&lt;=A880)*(참고!$B$31:$B$130=_xludf.MAXIFS(참고!$B$31:$B$130,참고!$A$31:$A$130,C880,참고!$B$31:$B$130,"&lt;="&amp;A880))*참고!$C$31:$C$130)/100,0)</f>
        <v>0</v>
      </c>
      <c r="J880" s="31" t="str">
        <f t="shared" si="40"/>
        <v/>
      </c>
      <c r="K880" s="43">
        <f>IF(B880="매도",IFERROR(SUMPRODUCT((참고!$A$31:$A$130=C880)*(참고!$B$31:$B$130&lt;=A880)*(참고!$B$31:$B$130=_xludf.MAXIFS(참고!$B$31:$B$130,참고!$A$31:$A$130,C880,참고!$B$31:$B$130,"&lt;="&amp;A880))*참고!$D$31:$D$130)/100,0),0)</f>
        <v>0</v>
      </c>
      <c r="L880" s="31" t="str">
        <f t="shared" si="41"/>
        <v/>
      </c>
      <c r="M880" s="39"/>
    </row>
    <row r="881" spans="1:13" ht="18" customHeight="1" x14ac:dyDescent="0.45">
      <c r="A881" s="37"/>
      <c r="B881" s="29"/>
      <c r="C881" s="29"/>
      <c r="D881" s="28"/>
      <c r="E881" s="30" t="str">
        <f>IFERROR(VLOOKUP(D881,KRX종목마스터!$A:$B,2,FALSE),"")</f>
        <v/>
      </c>
      <c r="F881" s="42"/>
      <c r="G881" s="42"/>
      <c r="H881" s="31" t="str">
        <f t="shared" si="39"/>
        <v/>
      </c>
      <c r="I881" s="43">
        <f ca="1">IFERROR(SUMPRODUCT((참고!$A$31:$A$130=C881)*(참고!$B$31:$B$130&lt;=A881)*(참고!$B$31:$B$130=_xludf.MAXIFS(참고!$B$31:$B$130,참고!$A$31:$A$130,C881,참고!$B$31:$B$130,"&lt;="&amp;A881))*참고!$C$31:$C$130)/100,0)</f>
        <v>0</v>
      </c>
      <c r="J881" s="31" t="str">
        <f t="shared" si="40"/>
        <v/>
      </c>
      <c r="K881" s="43">
        <f>IF(B881="매도",IFERROR(SUMPRODUCT((참고!$A$31:$A$130=C881)*(참고!$B$31:$B$130&lt;=A881)*(참고!$B$31:$B$130=_xludf.MAXIFS(참고!$B$31:$B$130,참고!$A$31:$A$130,C881,참고!$B$31:$B$130,"&lt;="&amp;A881))*참고!$D$31:$D$130)/100,0),0)</f>
        <v>0</v>
      </c>
      <c r="L881" s="31" t="str">
        <f t="shared" si="41"/>
        <v/>
      </c>
      <c r="M881" s="39"/>
    </row>
    <row r="882" spans="1:13" ht="18" customHeight="1" x14ac:dyDescent="0.45">
      <c r="A882" s="37"/>
      <c r="B882" s="29"/>
      <c r="C882" s="29"/>
      <c r="D882" s="28"/>
      <c r="E882" s="30" t="str">
        <f>IFERROR(VLOOKUP(D882,KRX종목마스터!$A:$B,2,FALSE),"")</f>
        <v/>
      </c>
      <c r="F882" s="42"/>
      <c r="G882" s="42"/>
      <c r="H882" s="31" t="str">
        <f t="shared" si="39"/>
        <v/>
      </c>
      <c r="I882" s="43">
        <f ca="1">IFERROR(SUMPRODUCT((참고!$A$31:$A$130=C882)*(참고!$B$31:$B$130&lt;=A882)*(참고!$B$31:$B$130=_xludf.MAXIFS(참고!$B$31:$B$130,참고!$A$31:$A$130,C882,참고!$B$31:$B$130,"&lt;="&amp;A882))*참고!$C$31:$C$130)/100,0)</f>
        <v>0</v>
      </c>
      <c r="J882" s="31" t="str">
        <f t="shared" si="40"/>
        <v/>
      </c>
      <c r="K882" s="43">
        <f>IF(B882="매도",IFERROR(SUMPRODUCT((참고!$A$31:$A$130=C882)*(참고!$B$31:$B$130&lt;=A882)*(참고!$B$31:$B$130=_xludf.MAXIFS(참고!$B$31:$B$130,참고!$A$31:$A$130,C882,참고!$B$31:$B$130,"&lt;="&amp;A882))*참고!$D$31:$D$130)/100,0),0)</f>
        <v>0</v>
      </c>
      <c r="L882" s="31" t="str">
        <f t="shared" si="41"/>
        <v/>
      </c>
      <c r="M882" s="39"/>
    </row>
    <row r="883" spans="1:13" ht="18" customHeight="1" x14ac:dyDescent="0.45">
      <c r="A883" s="37"/>
      <c r="B883" s="29"/>
      <c r="C883" s="29"/>
      <c r="D883" s="28"/>
      <c r="E883" s="30" t="str">
        <f>IFERROR(VLOOKUP(D883,KRX종목마스터!$A:$B,2,FALSE),"")</f>
        <v/>
      </c>
      <c r="F883" s="42"/>
      <c r="G883" s="42"/>
      <c r="H883" s="31" t="str">
        <f t="shared" si="39"/>
        <v/>
      </c>
      <c r="I883" s="43">
        <f ca="1">IFERROR(SUMPRODUCT((참고!$A$31:$A$130=C883)*(참고!$B$31:$B$130&lt;=A883)*(참고!$B$31:$B$130=_xludf.MAXIFS(참고!$B$31:$B$130,참고!$A$31:$A$130,C883,참고!$B$31:$B$130,"&lt;="&amp;A883))*참고!$C$31:$C$130)/100,0)</f>
        <v>0</v>
      </c>
      <c r="J883" s="31" t="str">
        <f t="shared" si="40"/>
        <v/>
      </c>
      <c r="K883" s="43">
        <f>IF(B883="매도",IFERROR(SUMPRODUCT((참고!$A$31:$A$130=C883)*(참고!$B$31:$B$130&lt;=A883)*(참고!$B$31:$B$130=_xludf.MAXIFS(참고!$B$31:$B$130,참고!$A$31:$A$130,C883,참고!$B$31:$B$130,"&lt;="&amp;A883))*참고!$D$31:$D$130)/100,0),0)</f>
        <v>0</v>
      </c>
      <c r="L883" s="31" t="str">
        <f t="shared" si="41"/>
        <v/>
      </c>
      <c r="M883" s="39"/>
    </row>
    <row r="884" spans="1:13" ht="18" customHeight="1" x14ac:dyDescent="0.45">
      <c r="A884" s="37"/>
      <c r="B884" s="29"/>
      <c r="C884" s="29"/>
      <c r="D884" s="28"/>
      <c r="E884" s="30" t="str">
        <f>IFERROR(VLOOKUP(D884,KRX종목마스터!$A:$B,2,FALSE),"")</f>
        <v/>
      </c>
      <c r="F884" s="42"/>
      <c r="G884" s="42"/>
      <c r="H884" s="31" t="str">
        <f t="shared" si="39"/>
        <v/>
      </c>
      <c r="I884" s="43">
        <f ca="1">IFERROR(SUMPRODUCT((참고!$A$31:$A$130=C884)*(참고!$B$31:$B$130&lt;=A884)*(참고!$B$31:$B$130=_xludf.MAXIFS(참고!$B$31:$B$130,참고!$A$31:$A$130,C884,참고!$B$31:$B$130,"&lt;="&amp;A884))*참고!$C$31:$C$130)/100,0)</f>
        <v>0</v>
      </c>
      <c r="J884" s="31" t="str">
        <f t="shared" si="40"/>
        <v/>
      </c>
      <c r="K884" s="43">
        <f>IF(B884="매도",IFERROR(SUMPRODUCT((참고!$A$31:$A$130=C884)*(참고!$B$31:$B$130&lt;=A884)*(참고!$B$31:$B$130=_xludf.MAXIFS(참고!$B$31:$B$130,참고!$A$31:$A$130,C884,참고!$B$31:$B$130,"&lt;="&amp;A884))*참고!$D$31:$D$130)/100,0),0)</f>
        <v>0</v>
      </c>
      <c r="L884" s="31" t="str">
        <f t="shared" si="41"/>
        <v/>
      </c>
      <c r="M884" s="39"/>
    </row>
    <row r="885" spans="1:13" ht="18" customHeight="1" x14ac:dyDescent="0.45">
      <c r="A885" s="37"/>
      <c r="B885" s="29"/>
      <c r="C885" s="29"/>
      <c r="D885" s="28"/>
      <c r="E885" s="30" t="str">
        <f>IFERROR(VLOOKUP(D885,KRX종목마스터!$A:$B,2,FALSE),"")</f>
        <v/>
      </c>
      <c r="F885" s="42"/>
      <c r="G885" s="42"/>
      <c r="H885" s="31" t="str">
        <f t="shared" si="39"/>
        <v/>
      </c>
      <c r="I885" s="43">
        <f ca="1">IFERROR(SUMPRODUCT((참고!$A$31:$A$130=C885)*(참고!$B$31:$B$130&lt;=A885)*(참고!$B$31:$B$130=_xludf.MAXIFS(참고!$B$31:$B$130,참고!$A$31:$A$130,C885,참고!$B$31:$B$130,"&lt;="&amp;A885))*참고!$C$31:$C$130)/100,0)</f>
        <v>0</v>
      </c>
      <c r="J885" s="31" t="str">
        <f t="shared" si="40"/>
        <v/>
      </c>
      <c r="K885" s="43">
        <f>IF(B885="매도",IFERROR(SUMPRODUCT((참고!$A$31:$A$130=C885)*(참고!$B$31:$B$130&lt;=A885)*(참고!$B$31:$B$130=_xludf.MAXIFS(참고!$B$31:$B$130,참고!$A$31:$A$130,C885,참고!$B$31:$B$130,"&lt;="&amp;A885))*참고!$D$31:$D$130)/100,0),0)</f>
        <v>0</v>
      </c>
      <c r="L885" s="31" t="str">
        <f t="shared" si="41"/>
        <v/>
      </c>
      <c r="M885" s="39"/>
    </row>
    <row r="886" spans="1:13" ht="18" customHeight="1" x14ac:dyDescent="0.45">
      <c r="A886" s="37"/>
      <c r="B886" s="29"/>
      <c r="C886" s="29"/>
      <c r="D886" s="28"/>
      <c r="E886" s="30" t="str">
        <f>IFERROR(VLOOKUP(D886,KRX종목마스터!$A:$B,2,FALSE),"")</f>
        <v/>
      </c>
      <c r="F886" s="42"/>
      <c r="G886" s="42"/>
      <c r="H886" s="31" t="str">
        <f t="shared" si="39"/>
        <v/>
      </c>
      <c r="I886" s="43">
        <f ca="1">IFERROR(SUMPRODUCT((참고!$A$31:$A$130=C886)*(참고!$B$31:$B$130&lt;=A886)*(참고!$B$31:$B$130=_xludf.MAXIFS(참고!$B$31:$B$130,참고!$A$31:$A$130,C886,참고!$B$31:$B$130,"&lt;="&amp;A886))*참고!$C$31:$C$130)/100,0)</f>
        <v>0</v>
      </c>
      <c r="J886" s="31" t="str">
        <f t="shared" si="40"/>
        <v/>
      </c>
      <c r="K886" s="43">
        <f>IF(B886="매도",IFERROR(SUMPRODUCT((참고!$A$31:$A$130=C886)*(참고!$B$31:$B$130&lt;=A886)*(참고!$B$31:$B$130=_xludf.MAXIFS(참고!$B$31:$B$130,참고!$A$31:$A$130,C886,참고!$B$31:$B$130,"&lt;="&amp;A886))*참고!$D$31:$D$130)/100,0),0)</f>
        <v>0</v>
      </c>
      <c r="L886" s="31" t="str">
        <f t="shared" si="41"/>
        <v/>
      </c>
      <c r="M886" s="39"/>
    </row>
    <row r="887" spans="1:13" ht="18" customHeight="1" x14ac:dyDescent="0.45">
      <c r="A887" s="37"/>
      <c r="B887" s="29"/>
      <c r="C887" s="29"/>
      <c r="D887" s="28"/>
      <c r="E887" s="30" t="str">
        <f>IFERROR(VLOOKUP(D887,KRX종목마스터!$A:$B,2,FALSE),"")</f>
        <v/>
      </c>
      <c r="F887" s="42"/>
      <c r="G887" s="42"/>
      <c r="H887" s="31" t="str">
        <f t="shared" si="39"/>
        <v/>
      </c>
      <c r="I887" s="43">
        <f ca="1">IFERROR(SUMPRODUCT((참고!$A$31:$A$130=C887)*(참고!$B$31:$B$130&lt;=A887)*(참고!$B$31:$B$130=_xludf.MAXIFS(참고!$B$31:$B$130,참고!$A$31:$A$130,C887,참고!$B$31:$B$130,"&lt;="&amp;A887))*참고!$C$31:$C$130)/100,0)</f>
        <v>0</v>
      </c>
      <c r="J887" s="31" t="str">
        <f t="shared" si="40"/>
        <v/>
      </c>
      <c r="K887" s="43">
        <f>IF(B887="매도",IFERROR(SUMPRODUCT((참고!$A$31:$A$130=C887)*(참고!$B$31:$B$130&lt;=A887)*(참고!$B$31:$B$130=_xludf.MAXIFS(참고!$B$31:$B$130,참고!$A$31:$A$130,C887,참고!$B$31:$B$130,"&lt;="&amp;A887))*참고!$D$31:$D$130)/100,0),0)</f>
        <v>0</v>
      </c>
      <c r="L887" s="31" t="str">
        <f t="shared" si="41"/>
        <v/>
      </c>
      <c r="M887" s="39"/>
    </row>
    <row r="888" spans="1:13" ht="18" customHeight="1" x14ac:dyDescent="0.45">
      <c r="A888" s="37"/>
      <c r="B888" s="29"/>
      <c r="C888" s="29"/>
      <c r="D888" s="28"/>
      <c r="E888" s="30" t="str">
        <f>IFERROR(VLOOKUP(D888,KRX종목마스터!$A:$B,2,FALSE),"")</f>
        <v/>
      </c>
      <c r="F888" s="42"/>
      <c r="G888" s="42"/>
      <c r="H888" s="31" t="str">
        <f t="shared" si="39"/>
        <v/>
      </c>
      <c r="I888" s="43">
        <f ca="1">IFERROR(SUMPRODUCT((참고!$A$31:$A$130=C888)*(참고!$B$31:$B$130&lt;=A888)*(참고!$B$31:$B$130=_xludf.MAXIFS(참고!$B$31:$B$130,참고!$A$31:$A$130,C888,참고!$B$31:$B$130,"&lt;="&amp;A888))*참고!$C$31:$C$130)/100,0)</f>
        <v>0</v>
      </c>
      <c r="J888" s="31" t="str">
        <f t="shared" si="40"/>
        <v/>
      </c>
      <c r="K888" s="43">
        <f>IF(B888="매도",IFERROR(SUMPRODUCT((참고!$A$31:$A$130=C888)*(참고!$B$31:$B$130&lt;=A888)*(참고!$B$31:$B$130=_xludf.MAXIFS(참고!$B$31:$B$130,참고!$A$31:$A$130,C888,참고!$B$31:$B$130,"&lt;="&amp;A888))*참고!$D$31:$D$130)/100,0),0)</f>
        <v>0</v>
      </c>
      <c r="L888" s="31" t="str">
        <f t="shared" si="41"/>
        <v/>
      </c>
      <c r="M888" s="39"/>
    </row>
    <row r="889" spans="1:13" ht="18" customHeight="1" x14ac:dyDescent="0.45">
      <c r="A889" s="37"/>
      <c r="B889" s="29"/>
      <c r="C889" s="29"/>
      <c r="D889" s="28"/>
      <c r="E889" s="30" t="str">
        <f>IFERROR(VLOOKUP(D889,KRX종목마스터!$A:$B,2,FALSE),"")</f>
        <v/>
      </c>
      <c r="F889" s="42"/>
      <c r="G889" s="42"/>
      <c r="H889" s="31" t="str">
        <f t="shared" si="39"/>
        <v/>
      </c>
      <c r="I889" s="43">
        <f ca="1">IFERROR(SUMPRODUCT((참고!$A$31:$A$130=C889)*(참고!$B$31:$B$130&lt;=A889)*(참고!$B$31:$B$130=_xludf.MAXIFS(참고!$B$31:$B$130,참고!$A$31:$A$130,C889,참고!$B$31:$B$130,"&lt;="&amp;A889))*참고!$C$31:$C$130)/100,0)</f>
        <v>0</v>
      </c>
      <c r="J889" s="31" t="str">
        <f t="shared" si="40"/>
        <v/>
      </c>
      <c r="K889" s="43">
        <f>IF(B889="매도",IFERROR(SUMPRODUCT((참고!$A$31:$A$130=C889)*(참고!$B$31:$B$130&lt;=A889)*(참고!$B$31:$B$130=_xludf.MAXIFS(참고!$B$31:$B$130,참고!$A$31:$A$130,C889,참고!$B$31:$B$130,"&lt;="&amp;A889))*참고!$D$31:$D$130)/100,0),0)</f>
        <v>0</v>
      </c>
      <c r="L889" s="31" t="str">
        <f t="shared" si="41"/>
        <v/>
      </c>
      <c r="M889" s="39"/>
    </row>
    <row r="890" spans="1:13" ht="18" customHeight="1" x14ac:dyDescent="0.45">
      <c r="A890" s="37"/>
      <c r="B890" s="29"/>
      <c r="C890" s="29"/>
      <c r="D890" s="28"/>
      <c r="E890" s="30" t="str">
        <f>IFERROR(VLOOKUP(D890,KRX종목마스터!$A:$B,2,FALSE),"")</f>
        <v/>
      </c>
      <c r="F890" s="42"/>
      <c r="G890" s="42"/>
      <c r="H890" s="31" t="str">
        <f t="shared" si="39"/>
        <v/>
      </c>
      <c r="I890" s="43">
        <f ca="1">IFERROR(SUMPRODUCT((참고!$A$31:$A$130=C890)*(참고!$B$31:$B$130&lt;=A890)*(참고!$B$31:$B$130=_xludf.MAXIFS(참고!$B$31:$B$130,참고!$A$31:$A$130,C890,참고!$B$31:$B$130,"&lt;="&amp;A890))*참고!$C$31:$C$130)/100,0)</f>
        <v>0</v>
      </c>
      <c r="J890" s="31" t="str">
        <f t="shared" si="40"/>
        <v/>
      </c>
      <c r="K890" s="43">
        <f>IF(B890="매도",IFERROR(SUMPRODUCT((참고!$A$31:$A$130=C890)*(참고!$B$31:$B$130&lt;=A890)*(참고!$B$31:$B$130=_xludf.MAXIFS(참고!$B$31:$B$130,참고!$A$31:$A$130,C890,참고!$B$31:$B$130,"&lt;="&amp;A890))*참고!$D$31:$D$130)/100,0),0)</f>
        <v>0</v>
      </c>
      <c r="L890" s="31" t="str">
        <f t="shared" si="41"/>
        <v/>
      </c>
      <c r="M890" s="39"/>
    </row>
    <row r="891" spans="1:13" ht="18" customHeight="1" x14ac:dyDescent="0.45">
      <c r="A891" s="37"/>
      <c r="B891" s="29"/>
      <c r="C891" s="29"/>
      <c r="D891" s="28"/>
      <c r="E891" s="30" t="str">
        <f>IFERROR(VLOOKUP(D891,KRX종목마스터!$A:$B,2,FALSE),"")</f>
        <v/>
      </c>
      <c r="F891" s="42"/>
      <c r="G891" s="42"/>
      <c r="H891" s="31" t="str">
        <f t="shared" si="39"/>
        <v/>
      </c>
      <c r="I891" s="43">
        <f ca="1">IFERROR(SUMPRODUCT((참고!$A$31:$A$130=C891)*(참고!$B$31:$B$130&lt;=A891)*(참고!$B$31:$B$130=_xludf.MAXIFS(참고!$B$31:$B$130,참고!$A$31:$A$130,C891,참고!$B$31:$B$130,"&lt;="&amp;A891))*참고!$C$31:$C$130)/100,0)</f>
        <v>0</v>
      </c>
      <c r="J891" s="31" t="str">
        <f t="shared" si="40"/>
        <v/>
      </c>
      <c r="K891" s="43">
        <f>IF(B891="매도",IFERROR(SUMPRODUCT((참고!$A$31:$A$130=C891)*(참고!$B$31:$B$130&lt;=A891)*(참고!$B$31:$B$130=_xludf.MAXIFS(참고!$B$31:$B$130,참고!$A$31:$A$130,C891,참고!$B$31:$B$130,"&lt;="&amp;A891))*참고!$D$31:$D$130)/100,0),0)</f>
        <v>0</v>
      </c>
      <c r="L891" s="31" t="str">
        <f t="shared" si="41"/>
        <v/>
      </c>
      <c r="M891" s="39"/>
    </row>
    <row r="892" spans="1:13" ht="18" customHeight="1" x14ac:dyDescent="0.45">
      <c r="A892" s="37"/>
      <c r="B892" s="29"/>
      <c r="C892" s="29"/>
      <c r="D892" s="28"/>
      <c r="E892" s="30" t="str">
        <f>IFERROR(VLOOKUP(D892,KRX종목마스터!$A:$B,2,FALSE),"")</f>
        <v/>
      </c>
      <c r="F892" s="42"/>
      <c r="G892" s="42"/>
      <c r="H892" s="31" t="str">
        <f t="shared" si="39"/>
        <v/>
      </c>
      <c r="I892" s="43">
        <f ca="1">IFERROR(SUMPRODUCT((참고!$A$31:$A$130=C892)*(참고!$B$31:$B$130&lt;=A892)*(참고!$B$31:$B$130=_xludf.MAXIFS(참고!$B$31:$B$130,참고!$A$31:$A$130,C892,참고!$B$31:$B$130,"&lt;="&amp;A892))*참고!$C$31:$C$130)/100,0)</f>
        <v>0</v>
      </c>
      <c r="J892" s="31" t="str">
        <f t="shared" si="40"/>
        <v/>
      </c>
      <c r="K892" s="43">
        <f>IF(B892="매도",IFERROR(SUMPRODUCT((참고!$A$31:$A$130=C892)*(참고!$B$31:$B$130&lt;=A892)*(참고!$B$31:$B$130=_xludf.MAXIFS(참고!$B$31:$B$130,참고!$A$31:$A$130,C892,참고!$B$31:$B$130,"&lt;="&amp;A892))*참고!$D$31:$D$130)/100,0),0)</f>
        <v>0</v>
      </c>
      <c r="L892" s="31" t="str">
        <f t="shared" si="41"/>
        <v/>
      </c>
      <c r="M892" s="39"/>
    </row>
    <row r="893" spans="1:13" ht="18" customHeight="1" x14ac:dyDescent="0.45">
      <c r="A893" s="37"/>
      <c r="B893" s="29"/>
      <c r="C893" s="29"/>
      <c r="D893" s="28"/>
      <c r="E893" s="30" t="str">
        <f>IFERROR(VLOOKUP(D893,KRX종목마스터!$A:$B,2,FALSE),"")</f>
        <v/>
      </c>
      <c r="F893" s="42"/>
      <c r="G893" s="42"/>
      <c r="H893" s="31" t="str">
        <f t="shared" si="39"/>
        <v/>
      </c>
      <c r="I893" s="43">
        <f ca="1">IFERROR(SUMPRODUCT((참고!$A$31:$A$130=C893)*(참고!$B$31:$B$130&lt;=A893)*(참고!$B$31:$B$130=_xludf.MAXIFS(참고!$B$31:$B$130,참고!$A$31:$A$130,C893,참고!$B$31:$B$130,"&lt;="&amp;A893))*참고!$C$31:$C$130)/100,0)</f>
        <v>0</v>
      </c>
      <c r="J893" s="31" t="str">
        <f t="shared" si="40"/>
        <v/>
      </c>
      <c r="K893" s="43">
        <f>IF(B893="매도",IFERROR(SUMPRODUCT((참고!$A$31:$A$130=C893)*(참고!$B$31:$B$130&lt;=A893)*(참고!$B$31:$B$130=_xludf.MAXIFS(참고!$B$31:$B$130,참고!$A$31:$A$130,C893,참고!$B$31:$B$130,"&lt;="&amp;A893))*참고!$D$31:$D$130)/100,0),0)</f>
        <v>0</v>
      </c>
      <c r="L893" s="31" t="str">
        <f t="shared" si="41"/>
        <v/>
      </c>
      <c r="M893" s="39"/>
    </row>
    <row r="894" spans="1:13" ht="18" customHeight="1" x14ac:dyDescent="0.45">
      <c r="A894" s="37"/>
      <c r="B894" s="29"/>
      <c r="C894" s="29"/>
      <c r="D894" s="28"/>
      <c r="E894" s="30" t="str">
        <f>IFERROR(VLOOKUP(D894,KRX종목마스터!$A:$B,2,FALSE),"")</f>
        <v/>
      </c>
      <c r="F894" s="42"/>
      <c r="G894" s="42"/>
      <c r="H894" s="31" t="str">
        <f t="shared" si="39"/>
        <v/>
      </c>
      <c r="I894" s="43">
        <f ca="1">IFERROR(SUMPRODUCT((참고!$A$31:$A$130=C894)*(참고!$B$31:$B$130&lt;=A894)*(참고!$B$31:$B$130=_xludf.MAXIFS(참고!$B$31:$B$130,참고!$A$31:$A$130,C894,참고!$B$31:$B$130,"&lt;="&amp;A894))*참고!$C$31:$C$130)/100,0)</f>
        <v>0</v>
      </c>
      <c r="J894" s="31" t="str">
        <f t="shared" si="40"/>
        <v/>
      </c>
      <c r="K894" s="43">
        <f>IF(B894="매도",IFERROR(SUMPRODUCT((참고!$A$31:$A$130=C894)*(참고!$B$31:$B$130&lt;=A894)*(참고!$B$31:$B$130=_xludf.MAXIFS(참고!$B$31:$B$130,참고!$A$31:$A$130,C894,참고!$B$31:$B$130,"&lt;="&amp;A894))*참고!$D$31:$D$130)/100,0),0)</f>
        <v>0</v>
      </c>
      <c r="L894" s="31" t="str">
        <f t="shared" si="41"/>
        <v/>
      </c>
      <c r="M894" s="39"/>
    </row>
    <row r="895" spans="1:13" ht="18" customHeight="1" x14ac:dyDescent="0.45">
      <c r="A895" s="37"/>
      <c r="B895" s="29"/>
      <c r="C895" s="29"/>
      <c r="D895" s="28"/>
      <c r="E895" s="30" t="str">
        <f>IFERROR(VLOOKUP(D895,KRX종목마스터!$A:$B,2,FALSE),"")</f>
        <v/>
      </c>
      <c r="F895" s="42"/>
      <c r="G895" s="42"/>
      <c r="H895" s="31" t="str">
        <f t="shared" si="39"/>
        <v/>
      </c>
      <c r="I895" s="43">
        <f ca="1">IFERROR(SUMPRODUCT((참고!$A$31:$A$130=C895)*(참고!$B$31:$B$130&lt;=A895)*(참고!$B$31:$B$130=_xludf.MAXIFS(참고!$B$31:$B$130,참고!$A$31:$A$130,C895,참고!$B$31:$B$130,"&lt;="&amp;A895))*참고!$C$31:$C$130)/100,0)</f>
        <v>0</v>
      </c>
      <c r="J895" s="31" t="str">
        <f t="shared" si="40"/>
        <v/>
      </c>
      <c r="K895" s="43">
        <f>IF(B895="매도",IFERROR(SUMPRODUCT((참고!$A$31:$A$130=C895)*(참고!$B$31:$B$130&lt;=A895)*(참고!$B$31:$B$130=_xludf.MAXIFS(참고!$B$31:$B$130,참고!$A$31:$A$130,C895,참고!$B$31:$B$130,"&lt;="&amp;A895))*참고!$D$31:$D$130)/100,0),0)</f>
        <v>0</v>
      </c>
      <c r="L895" s="31" t="str">
        <f t="shared" si="41"/>
        <v/>
      </c>
      <c r="M895" s="39"/>
    </row>
    <row r="896" spans="1:13" ht="18" customHeight="1" x14ac:dyDescent="0.45">
      <c r="A896" s="37"/>
      <c r="B896" s="29"/>
      <c r="C896" s="29"/>
      <c r="D896" s="28"/>
      <c r="E896" s="30" t="str">
        <f>IFERROR(VLOOKUP(D896,KRX종목마스터!$A:$B,2,FALSE),"")</f>
        <v/>
      </c>
      <c r="F896" s="42"/>
      <c r="G896" s="42"/>
      <c r="H896" s="31" t="str">
        <f t="shared" si="39"/>
        <v/>
      </c>
      <c r="I896" s="43">
        <f ca="1">IFERROR(SUMPRODUCT((참고!$A$31:$A$130=C896)*(참고!$B$31:$B$130&lt;=A896)*(참고!$B$31:$B$130=_xludf.MAXIFS(참고!$B$31:$B$130,참고!$A$31:$A$130,C896,참고!$B$31:$B$130,"&lt;="&amp;A896))*참고!$C$31:$C$130)/100,0)</f>
        <v>0</v>
      </c>
      <c r="J896" s="31" t="str">
        <f t="shared" si="40"/>
        <v/>
      </c>
      <c r="K896" s="43">
        <f>IF(B896="매도",IFERROR(SUMPRODUCT((참고!$A$31:$A$130=C896)*(참고!$B$31:$B$130&lt;=A896)*(참고!$B$31:$B$130=_xludf.MAXIFS(참고!$B$31:$B$130,참고!$A$31:$A$130,C896,참고!$B$31:$B$130,"&lt;="&amp;A896))*참고!$D$31:$D$130)/100,0),0)</f>
        <v>0</v>
      </c>
      <c r="L896" s="31" t="str">
        <f t="shared" si="41"/>
        <v/>
      </c>
      <c r="M896" s="39"/>
    </row>
    <row r="897" spans="1:13" ht="18" customHeight="1" x14ac:dyDescent="0.45">
      <c r="A897" s="37"/>
      <c r="B897" s="29"/>
      <c r="C897" s="29"/>
      <c r="D897" s="28"/>
      <c r="E897" s="30" t="str">
        <f>IFERROR(VLOOKUP(D897,KRX종목마스터!$A:$B,2,FALSE),"")</f>
        <v/>
      </c>
      <c r="F897" s="42"/>
      <c r="G897" s="42"/>
      <c r="H897" s="31" t="str">
        <f t="shared" si="39"/>
        <v/>
      </c>
      <c r="I897" s="43">
        <f ca="1">IFERROR(SUMPRODUCT((참고!$A$31:$A$130=C897)*(참고!$B$31:$B$130&lt;=A897)*(참고!$B$31:$B$130=_xludf.MAXIFS(참고!$B$31:$B$130,참고!$A$31:$A$130,C897,참고!$B$31:$B$130,"&lt;="&amp;A897))*참고!$C$31:$C$130)/100,0)</f>
        <v>0</v>
      </c>
      <c r="J897" s="31" t="str">
        <f t="shared" si="40"/>
        <v/>
      </c>
      <c r="K897" s="43">
        <f>IF(B897="매도",IFERROR(SUMPRODUCT((참고!$A$31:$A$130=C897)*(참고!$B$31:$B$130&lt;=A897)*(참고!$B$31:$B$130=_xludf.MAXIFS(참고!$B$31:$B$130,참고!$A$31:$A$130,C897,참고!$B$31:$B$130,"&lt;="&amp;A897))*참고!$D$31:$D$130)/100,0),0)</f>
        <v>0</v>
      </c>
      <c r="L897" s="31" t="str">
        <f t="shared" si="41"/>
        <v/>
      </c>
      <c r="M897" s="39"/>
    </row>
    <row r="898" spans="1:13" ht="18" customHeight="1" x14ac:dyDescent="0.45">
      <c r="A898" s="37"/>
      <c r="B898" s="29"/>
      <c r="C898" s="29"/>
      <c r="D898" s="28"/>
      <c r="E898" s="30" t="str">
        <f>IFERROR(VLOOKUP(D898,KRX종목마스터!$A:$B,2,FALSE),"")</f>
        <v/>
      </c>
      <c r="F898" s="42"/>
      <c r="G898" s="42"/>
      <c r="H898" s="31" t="str">
        <f t="shared" si="39"/>
        <v/>
      </c>
      <c r="I898" s="43">
        <f ca="1">IFERROR(SUMPRODUCT((참고!$A$31:$A$130=C898)*(참고!$B$31:$B$130&lt;=A898)*(참고!$B$31:$B$130=_xludf.MAXIFS(참고!$B$31:$B$130,참고!$A$31:$A$130,C898,참고!$B$31:$B$130,"&lt;="&amp;A898))*참고!$C$31:$C$130)/100,0)</f>
        <v>0</v>
      </c>
      <c r="J898" s="31" t="str">
        <f t="shared" si="40"/>
        <v/>
      </c>
      <c r="K898" s="43">
        <f>IF(B898="매도",IFERROR(SUMPRODUCT((참고!$A$31:$A$130=C898)*(참고!$B$31:$B$130&lt;=A898)*(참고!$B$31:$B$130=_xludf.MAXIFS(참고!$B$31:$B$130,참고!$A$31:$A$130,C898,참고!$B$31:$B$130,"&lt;="&amp;A898))*참고!$D$31:$D$130)/100,0),0)</f>
        <v>0</v>
      </c>
      <c r="L898" s="31" t="str">
        <f t="shared" si="41"/>
        <v/>
      </c>
      <c r="M898" s="39"/>
    </row>
    <row r="899" spans="1:13" ht="18" customHeight="1" x14ac:dyDescent="0.45">
      <c r="A899" s="37"/>
      <c r="B899" s="29"/>
      <c r="C899" s="29"/>
      <c r="D899" s="28"/>
      <c r="E899" s="30" t="str">
        <f>IFERROR(VLOOKUP(D899,KRX종목마스터!$A:$B,2,FALSE),"")</f>
        <v/>
      </c>
      <c r="F899" s="42"/>
      <c r="G899" s="42"/>
      <c r="H899" s="31" t="str">
        <f t="shared" si="39"/>
        <v/>
      </c>
      <c r="I899" s="43">
        <f ca="1">IFERROR(SUMPRODUCT((참고!$A$31:$A$130=C899)*(참고!$B$31:$B$130&lt;=A899)*(참고!$B$31:$B$130=_xludf.MAXIFS(참고!$B$31:$B$130,참고!$A$31:$A$130,C899,참고!$B$31:$B$130,"&lt;="&amp;A899))*참고!$C$31:$C$130)/100,0)</f>
        <v>0</v>
      </c>
      <c r="J899" s="31" t="str">
        <f t="shared" si="40"/>
        <v/>
      </c>
      <c r="K899" s="43">
        <f>IF(B899="매도",IFERROR(SUMPRODUCT((참고!$A$31:$A$130=C899)*(참고!$B$31:$B$130&lt;=A899)*(참고!$B$31:$B$130=_xludf.MAXIFS(참고!$B$31:$B$130,참고!$A$31:$A$130,C899,참고!$B$31:$B$130,"&lt;="&amp;A899))*참고!$D$31:$D$130)/100,0),0)</f>
        <v>0</v>
      </c>
      <c r="L899" s="31" t="str">
        <f t="shared" si="41"/>
        <v/>
      </c>
      <c r="M899" s="39"/>
    </row>
    <row r="900" spans="1:13" ht="18" customHeight="1" x14ac:dyDescent="0.45">
      <c r="A900" s="37"/>
      <c r="B900" s="29"/>
      <c r="C900" s="29"/>
      <c r="D900" s="28"/>
      <c r="E900" s="30" t="str">
        <f>IFERROR(VLOOKUP(D900,KRX종목마스터!$A:$B,2,FALSE),"")</f>
        <v/>
      </c>
      <c r="F900" s="42"/>
      <c r="G900" s="42"/>
      <c r="H900" s="31" t="str">
        <f t="shared" si="39"/>
        <v/>
      </c>
      <c r="I900" s="43">
        <f ca="1">IFERROR(SUMPRODUCT((참고!$A$31:$A$130=C900)*(참고!$B$31:$B$130&lt;=A900)*(참고!$B$31:$B$130=_xludf.MAXIFS(참고!$B$31:$B$130,참고!$A$31:$A$130,C900,참고!$B$31:$B$130,"&lt;="&amp;A900))*참고!$C$31:$C$130)/100,0)</f>
        <v>0</v>
      </c>
      <c r="J900" s="31" t="str">
        <f t="shared" si="40"/>
        <v/>
      </c>
      <c r="K900" s="43">
        <f>IF(B900="매도",IFERROR(SUMPRODUCT((참고!$A$31:$A$130=C900)*(참고!$B$31:$B$130&lt;=A900)*(참고!$B$31:$B$130=_xludf.MAXIFS(참고!$B$31:$B$130,참고!$A$31:$A$130,C900,참고!$B$31:$B$130,"&lt;="&amp;A900))*참고!$D$31:$D$130)/100,0),0)</f>
        <v>0</v>
      </c>
      <c r="L900" s="31" t="str">
        <f t="shared" si="41"/>
        <v/>
      </c>
      <c r="M900" s="39"/>
    </row>
    <row r="901" spans="1:13" ht="18" customHeight="1" x14ac:dyDescent="0.45">
      <c r="A901" s="37"/>
      <c r="B901" s="29"/>
      <c r="C901" s="29"/>
      <c r="D901" s="28"/>
      <c r="E901" s="30" t="str">
        <f>IFERROR(VLOOKUP(D901,KRX종목마스터!$A:$B,2,FALSE),"")</f>
        <v/>
      </c>
      <c r="F901" s="42"/>
      <c r="G901" s="42"/>
      <c r="H901" s="31" t="str">
        <f t="shared" ref="H901:H964" si="42">IF(AND(F901&lt;&gt;"",G901&lt;&gt;""),F901*G901,"")</f>
        <v/>
      </c>
      <c r="I901" s="43">
        <f ca="1">IFERROR(SUMPRODUCT((참고!$A$31:$A$130=C901)*(참고!$B$31:$B$130&lt;=A901)*(참고!$B$31:$B$130=_xludf.MAXIFS(참고!$B$31:$B$130,참고!$A$31:$A$130,C901,참고!$B$31:$B$130,"&lt;="&amp;A901))*참고!$C$31:$C$130)/100,0)</f>
        <v>0</v>
      </c>
      <c r="J901" s="31" t="str">
        <f t="shared" ref="J901:J964" si="43">IF(H901="","",ROUND(H901*I901,0))</f>
        <v/>
      </c>
      <c r="K901" s="43">
        <f>IF(B901="매도",IFERROR(SUMPRODUCT((참고!$A$31:$A$130=C901)*(참고!$B$31:$B$130&lt;=A901)*(참고!$B$31:$B$130=_xludf.MAXIFS(참고!$B$31:$B$130,참고!$A$31:$A$130,C901,참고!$B$31:$B$130,"&lt;="&amp;A901))*참고!$D$31:$D$130)/100,0),0)</f>
        <v>0</v>
      </c>
      <c r="L901" s="31" t="str">
        <f t="shared" ref="L901:L964" si="44">IF(H901="","",ROUND(H901*K901,0))</f>
        <v/>
      </c>
      <c r="M901" s="39"/>
    </row>
    <row r="902" spans="1:13" ht="18" customHeight="1" x14ac:dyDescent="0.45">
      <c r="A902" s="37"/>
      <c r="B902" s="29"/>
      <c r="C902" s="29"/>
      <c r="D902" s="28"/>
      <c r="E902" s="30" t="str">
        <f>IFERROR(VLOOKUP(D902,KRX종목마스터!$A:$B,2,FALSE),"")</f>
        <v/>
      </c>
      <c r="F902" s="42"/>
      <c r="G902" s="42"/>
      <c r="H902" s="31" t="str">
        <f t="shared" si="42"/>
        <v/>
      </c>
      <c r="I902" s="43">
        <f ca="1">IFERROR(SUMPRODUCT((참고!$A$31:$A$130=C902)*(참고!$B$31:$B$130&lt;=A902)*(참고!$B$31:$B$130=_xludf.MAXIFS(참고!$B$31:$B$130,참고!$A$31:$A$130,C902,참고!$B$31:$B$130,"&lt;="&amp;A902))*참고!$C$31:$C$130)/100,0)</f>
        <v>0</v>
      </c>
      <c r="J902" s="31" t="str">
        <f t="shared" si="43"/>
        <v/>
      </c>
      <c r="K902" s="43">
        <f>IF(B902="매도",IFERROR(SUMPRODUCT((참고!$A$31:$A$130=C902)*(참고!$B$31:$B$130&lt;=A902)*(참고!$B$31:$B$130=_xludf.MAXIFS(참고!$B$31:$B$130,참고!$A$31:$A$130,C902,참고!$B$31:$B$130,"&lt;="&amp;A902))*참고!$D$31:$D$130)/100,0),0)</f>
        <v>0</v>
      </c>
      <c r="L902" s="31" t="str">
        <f t="shared" si="44"/>
        <v/>
      </c>
      <c r="M902" s="39"/>
    </row>
    <row r="903" spans="1:13" ht="18" customHeight="1" x14ac:dyDescent="0.45">
      <c r="A903" s="37"/>
      <c r="B903" s="29"/>
      <c r="C903" s="29"/>
      <c r="D903" s="28"/>
      <c r="E903" s="30" t="str">
        <f>IFERROR(VLOOKUP(D903,KRX종목마스터!$A:$B,2,FALSE),"")</f>
        <v/>
      </c>
      <c r="F903" s="42"/>
      <c r="G903" s="42"/>
      <c r="H903" s="31" t="str">
        <f t="shared" si="42"/>
        <v/>
      </c>
      <c r="I903" s="43">
        <f ca="1">IFERROR(SUMPRODUCT((참고!$A$31:$A$130=C903)*(참고!$B$31:$B$130&lt;=A903)*(참고!$B$31:$B$130=_xludf.MAXIFS(참고!$B$31:$B$130,참고!$A$31:$A$130,C903,참고!$B$31:$B$130,"&lt;="&amp;A903))*참고!$C$31:$C$130)/100,0)</f>
        <v>0</v>
      </c>
      <c r="J903" s="31" t="str">
        <f t="shared" si="43"/>
        <v/>
      </c>
      <c r="K903" s="43">
        <f>IF(B903="매도",IFERROR(SUMPRODUCT((참고!$A$31:$A$130=C903)*(참고!$B$31:$B$130&lt;=A903)*(참고!$B$31:$B$130=_xludf.MAXIFS(참고!$B$31:$B$130,참고!$A$31:$A$130,C903,참고!$B$31:$B$130,"&lt;="&amp;A903))*참고!$D$31:$D$130)/100,0),0)</f>
        <v>0</v>
      </c>
      <c r="L903" s="31" t="str">
        <f t="shared" si="44"/>
        <v/>
      </c>
      <c r="M903" s="39"/>
    </row>
    <row r="904" spans="1:13" ht="18" customHeight="1" x14ac:dyDescent="0.45">
      <c r="A904" s="37"/>
      <c r="B904" s="29"/>
      <c r="C904" s="29"/>
      <c r="D904" s="28"/>
      <c r="E904" s="30" t="str">
        <f>IFERROR(VLOOKUP(D904,KRX종목마스터!$A:$B,2,FALSE),"")</f>
        <v/>
      </c>
      <c r="F904" s="42"/>
      <c r="G904" s="42"/>
      <c r="H904" s="31" t="str">
        <f t="shared" si="42"/>
        <v/>
      </c>
      <c r="I904" s="43">
        <f ca="1">IFERROR(SUMPRODUCT((참고!$A$31:$A$130=C904)*(참고!$B$31:$B$130&lt;=A904)*(참고!$B$31:$B$130=_xludf.MAXIFS(참고!$B$31:$B$130,참고!$A$31:$A$130,C904,참고!$B$31:$B$130,"&lt;="&amp;A904))*참고!$C$31:$C$130)/100,0)</f>
        <v>0</v>
      </c>
      <c r="J904" s="31" t="str">
        <f t="shared" si="43"/>
        <v/>
      </c>
      <c r="K904" s="43">
        <f>IF(B904="매도",IFERROR(SUMPRODUCT((참고!$A$31:$A$130=C904)*(참고!$B$31:$B$130&lt;=A904)*(참고!$B$31:$B$130=_xludf.MAXIFS(참고!$B$31:$B$130,참고!$A$31:$A$130,C904,참고!$B$31:$B$130,"&lt;="&amp;A904))*참고!$D$31:$D$130)/100,0),0)</f>
        <v>0</v>
      </c>
      <c r="L904" s="31" t="str">
        <f t="shared" si="44"/>
        <v/>
      </c>
      <c r="M904" s="39"/>
    </row>
    <row r="905" spans="1:13" ht="18" customHeight="1" x14ac:dyDescent="0.45">
      <c r="A905" s="37"/>
      <c r="B905" s="29"/>
      <c r="C905" s="29"/>
      <c r="D905" s="28"/>
      <c r="E905" s="30" t="str">
        <f>IFERROR(VLOOKUP(D905,KRX종목마스터!$A:$B,2,FALSE),"")</f>
        <v/>
      </c>
      <c r="F905" s="42"/>
      <c r="G905" s="42"/>
      <c r="H905" s="31" t="str">
        <f t="shared" si="42"/>
        <v/>
      </c>
      <c r="I905" s="43">
        <f ca="1">IFERROR(SUMPRODUCT((참고!$A$31:$A$130=C905)*(참고!$B$31:$B$130&lt;=A905)*(참고!$B$31:$B$130=_xludf.MAXIFS(참고!$B$31:$B$130,참고!$A$31:$A$130,C905,참고!$B$31:$B$130,"&lt;="&amp;A905))*참고!$C$31:$C$130)/100,0)</f>
        <v>0</v>
      </c>
      <c r="J905" s="31" t="str">
        <f t="shared" si="43"/>
        <v/>
      </c>
      <c r="K905" s="43">
        <f>IF(B905="매도",IFERROR(SUMPRODUCT((참고!$A$31:$A$130=C905)*(참고!$B$31:$B$130&lt;=A905)*(참고!$B$31:$B$130=_xludf.MAXIFS(참고!$B$31:$B$130,참고!$A$31:$A$130,C905,참고!$B$31:$B$130,"&lt;="&amp;A905))*참고!$D$31:$D$130)/100,0),0)</f>
        <v>0</v>
      </c>
      <c r="L905" s="31" t="str">
        <f t="shared" si="44"/>
        <v/>
      </c>
      <c r="M905" s="39"/>
    </row>
    <row r="906" spans="1:13" ht="18" customHeight="1" x14ac:dyDescent="0.45">
      <c r="A906" s="37"/>
      <c r="B906" s="29"/>
      <c r="C906" s="29"/>
      <c r="D906" s="28"/>
      <c r="E906" s="30" t="str">
        <f>IFERROR(VLOOKUP(D906,KRX종목마스터!$A:$B,2,FALSE),"")</f>
        <v/>
      </c>
      <c r="F906" s="42"/>
      <c r="G906" s="42"/>
      <c r="H906" s="31" t="str">
        <f t="shared" si="42"/>
        <v/>
      </c>
      <c r="I906" s="43">
        <f ca="1">IFERROR(SUMPRODUCT((참고!$A$31:$A$130=C906)*(참고!$B$31:$B$130&lt;=A906)*(참고!$B$31:$B$130=_xludf.MAXIFS(참고!$B$31:$B$130,참고!$A$31:$A$130,C906,참고!$B$31:$B$130,"&lt;="&amp;A906))*참고!$C$31:$C$130)/100,0)</f>
        <v>0</v>
      </c>
      <c r="J906" s="31" t="str">
        <f t="shared" si="43"/>
        <v/>
      </c>
      <c r="K906" s="43">
        <f>IF(B906="매도",IFERROR(SUMPRODUCT((참고!$A$31:$A$130=C906)*(참고!$B$31:$B$130&lt;=A906)*(참고!$B$31:$B$130=_xludf.MAXIFS(참고!$B$31:$B$130,참고!$A$31:$A$130,C906,참고!$B$31:$B$130,"&lt;="&amp;A906))*참고!$D$31:$D$130)/100,0),0)</f>
        <v>0</v>
      </c>
      <c r="L906" s="31" t="str">
        <f t="shared" si="44"/>
        <v/>
      </c>
      <c r="M906" s="39"/>
    </row>
    <row r="907" spans="1:13" ht="18" customHeight="1" x14ac:dyDescent="0.45">
      <c r="A907" s="37"/>
      <c r="B907" s="29"/>
      <c r="C907" s="29"/>
      <c r="D907" s="28"/>
      <c r="E907" s="30" t="str">
        <f>IFERROR(VLOOKUP(D907,KRX종목마스터!$A:$B,2,FALSE),"")</f>
        <v/>
      </c>
      <c r="F907" s="42"/>
      <c r="G907" s="42"/>
      <c r="H907" s="31" t="str">
        <f t="shared" si="42"/>
        <v/>
      </c>
      <c r="I907" s="43">
        <f ca="1">IFERROR(SUMPRODUCT((참고!$A$31:$A$130=C907)*(참고!$B$31:$B$130&lt;=A907)*(참고!$B$31:$B$130=_xludf.MAXIFS(참고!$B$31:$B$130,참고!$A$31:$A$130,C907,참고!$B$31:$B$130,"&lt;="&amp;A907))*참고!$C$31:$C$130)/100,0)</f>
        <v>0</v>
      </c>
      <c r="J907" s="31" t="str">
        <f t="shared" si="43"/>
        <v/>
      </c>
      <c r="K907" s="43">
        <f>IF(B907="매도",IFERROR(SUMPRODUCT((참고!$A$31:$A$130=C907)*(참고!$B$31:$B$130&lt;=A907)*(참고!$B$31:$B$130=_xludf.MAXIFS(참고!$B$31:$B$130,참고!$A$31:$A$130,C907,참고!$B$31:$B$130,"&lt;="&amp;A907))*참고!$D$31:$D$130)/100,0),0)</f>
        <v>0</v>
      </c>
      <c r="L907" s="31" t="str">
        <f t="shared" si="44"/>
        <v/>
      </c>
      <c r="M907" s="39"/>
    </row>
    <row r="908" spans="1:13" ht="18" customHeight="1" x14ac:dyDescent="0.45">
      <c r="A908" s="37"/>
      <c r="B908" s="29"/>
      <c r="C908" s="29"/>
      <c r="D908" s="28"/>
      <c r="E908" s="30" t="str">
        <f>IFERROR(VLOOKUP(D908,KRX종목마스터!$A:$B,2,FALSE),"")</f>
        <v/>
      </c>
      <c r="F908" s="42"/>
      <c r="G908" s="42"/>
      <c r="H908" s="31" t="str">
        <f t="shared" si="42"/>
        <v/>
      </c>
      <c r="I908" s="43">
        <f ca="1">IFERROR(SUMPRODUCT((참고!$A$31:$A$130=C908)*(참고!$B$31:$B$130&lt;=A908)*(참고!$B$31:$B$130=_xludf.MAXIFS(참고!$B$31:$B$130,참고!$A$31:$A$130,C908,참고!$B$31:$B$130,"&lt;="&amp;A908))*참고!$C$31:$C$130)/100,0)</f>
        <v>0</v>
      </c>
      <c r="J908" s="31" t="str">
        <f t="shared" si="43"/>
        <v/>
      </c>
      <c r="K908" s="43">
        <f>IF(B908="매도",IFERROR(SUMPRODUCT((참고!$A$31:$A$130=C908)*(참고!$B$31:$B$130&lt;=A908)*(참고!$B$31:$B$130=_xludf.MAXIFS(참고!$B$31:$B$130,참고!$A$31:$A$130,C908,참고!$B$31:$B$130,"&lt;="&amp;A908))*참고!$D$31:$D$130)/100,0),0)</f>
        <v>0</v>
      </c>
      <c r="L908" s="31" t="str">
        <f t="shared" si="44"/>
        <v/>
      </c>
      <c r="M908" s="39"/>
    </row>
    <row r="909" spans="1:13" ht="18" customHeight="1" x14ac:dyDescent="0.45">
      <c r="A909" s="37"/>
      <c r="B909" s="29"/>
      <c r="C909" s="29"/>
      <c r="D909" s="28"/>
      <c r="E909" s="30" t="str">
        <f>IFERROR(VLOOKUP(D909,KRX종목마스터!$A:$B,2,FALSE),"")</f>
        <v/>
      </c>
      <c r="F909" s="42"/>
      <c r="G909" s="42"/>
      <c r="H909" s="31" t="str">
        <f t="shared" si="42"/>
        <v/>
      </c>
      <c r="I909" s="43">
        <f ca="1">IFERROR(SUMPRODUCT((참고!$A$31:$A$130=C909)*(참고!$B$31:$B$130&lt;=A909)*(참고!$B$31:$B$130=_xludf.MAXIFS(참고!$B$31:$B$130,참고!$A$31:$A$130,C909,참고!$B$31:$B$130,"&lt;="&amp;A909))*참고!$C$31:$C$130)/100,0)</f>
        <v>0</v>
      </c>
      <c r="J909" s="31" t="str">
        <f t="shared" si="43"/>
        <v/>
      </c>
      <c r="K909" s="43">
        <f>IF(B909="매도",IFERROR(SUMPRODUCT((참고!$A$31:$A$130=C909)*(참고!$B$31:$B$130&lt;=A909)*(참고!$B$31:$B$130=_xludf.MAXIFS(참고!$B$31:$B$130,참고!$A$31:$A$130,C909,참고!$B$31:$B$130,"&lt;="&amp;A909))*참고!$D$31:$D$130)/100,0),0)</f>
        <v>0</v>
      </c>
      <c r="L909" s="31" t="str">
        <f t="shared" si="44"/>
        <v/>
      </c>
      <c r="M909" s="39"/>
    </row>
    <row r="910" spans="1:13" ht="18" customHeight="1" x14ac:dyDescent="0.45">
      <c r="A910" s="37"/>
      <c r="B910" s="29"/>
      <c r="C910" s="29"/>
      <c r="D910" s="28"/>
      <c r="E910" s="30" t="str">
        <f>IFERROR(VLOOKUP(D910,KRX종목마스터!$A:$B,2,FALSE),"")</f>
        <v/>
      </c>
      <c r="F910" s="42"/>
      <c r="G910" s="42"/>
      <c r="H910" s="31" t="str">
        <f t="shared" si="42"/>
        <v/>
      </c>
      <c r="I910" s="43">
        <f ca="1">IFERROR(SUMPRODUCT((참고!$A$31:$A$130=C910)*(참고!$B$31:$B$130&lt;=A910)*(참고!$B$31:$B$130=_xludf.MAXIFS(참고!$B$31:$B$130,참고!$A$31:$A$130,C910,참고!$B$31:$B$130,"&lt;="&amp;A910))*참고!$C$31:$C$130)/100,0)</f>
        <v>0</v>
      </c>
      <c r="J910" s="31" t="str">
        <f t="shared" si="43"/>
        <v/>
      </c>
      <c r="K910" s="43">
        <f>IF(B910="매도",IFERROR(SUMPRODUCT((참고!$A$31:$A$130=C910)*(참고!$B$31:$B$130&lt;=A910)*(참고!$B$31:$B$130=_xludf.MAXIFS(참고!$B$31:$B$130,참고!$A$31:$A$130,C910,참고!$B$31:$B$130,"&lt;="&amp;A910))*참고!$D$31:$D$130)/100,0),0)</f>
        <v>0</v>
      </c>
      <c r="L910" s="31" t="str">
        <f t="shared" si="44"/>
        <v/>
      </c>
      <c r="M910" s="39"/>
    </row>
    <row r="911" spans="1:13" ht="18" customHeight="1" x14ac:dyDescent="0.45">
      <c r="A911" s="37"/>
      <c r="B911" s="29"/>
      <c r="C911" s="29"/>
      <c r="D911" s="28"/>
      <c r="E911" s="30" t="str">
        <f>IFERROR(VLOOKUP(D911,KRX종목마스터!$A:$B,2,FALSE),"")</f>
        <v/>
      </c>
      <c r="F911" s="42"/>
      <c r="G911" s="42"/>
      <c r="H911" s="31" t="str">
        <f t="shared" si="42"/>
        <v/>
      </c>
      <c r="I911" s="43">
        <f ca="1">IFERROR(SUMPRODUCT((참고!$A$31:$A$130=C911)*(참고!$B$31:$B$130&lt;=A911)*(참고!$B$31:$B$130=_xludf.MAXIFS(참고!$B$31:$B$130,참고!$A$31:$A$130,C911,참고!$B$31:$B$130,"&lt;="&amp;A911))*참고!$C$31:$C$130)/100,0)</f>
        <v>0</v>
      </c>
      <c r="J911" s="31" t="str">
        <f t="shared" si="43"/>
        <v/>
      </c>
      <c r="K911" s="43">
        <f>IF(B911="매도",IFERROR(SUMPRODUCT((참고!$A$31:$A$130=C911)*(참고!$B$31:$B$130&lt;=A911)*(참고!$B$31:$B$130=_xludf.MAXIFS(참고!$B$31:$B$130,참고!$A$31:$A$130,C911,참고!$B$31:$B$130,"&lt;="&amp;A911))*참고!$D$31:$D$130)/100,0),0)</f>
        <v>0</v>
      </c>
      <c r="L911" s="31" t="str">
        <f t="shared" si="44"/>
        <v/>
      </c>
      <c r="M911" s="39"/>
    </row>
    <row r="912" spans="1:13" ht="18" customHeight="1" x14ac:dyDescent="0.45">
      <c r="A912" s="37"/>
      <c r="B912" s="29"/>
      <c r="C912" s="29"/>
      <c r="D912" s="28"/>
      <c r="E912" s="30" t="str">
        <f>IFERROR(VLOOKUP(D912,KRX종목마스터!$A:$B,2,FALSE),"")</f>
        <v/>
      </c>
      <c r="F912" s="42"/>
      <c r="G912" s="42"/>
      <c r="H912" s="31" t="str">
        <f t="shared" si="42"/>
        <v/>
      </c>
      <c r="I912" s="43">
        <f ca="1">IFERROR(SUMPRODUCT((참고!$A$31:$A$130=C912)*(참고!$B$31:$B$130&lt;=A912)*(참고!$B$31:$B$130=_xludf.MAXIFS(참고!$B$31:$B$130,참고!$A$31:$A$130,C912,참고!$B$31:$B$130,"&lt;="&amp;A912))*참고!$C$31:$C$130)/100,0)</f>
        <v>0</v>
      </c>
      <c r="J912" s="31" t="str">
        <f t="shared" si="43"/>
        <v/>
      </c>
      <c r="K912" s="43">
        <f>IF(B912="매도",IFERROR(SUMPRODUCT((참고!$A$31:$A$130=C912)*(참고!$B$31:$B$130&lt;=A912)*(참고!$B$31:$B$130=_xludf.MAXIFS(참고!$B$31:$B$130,참고!$A$31:$A$130,C912,참고!$B$31:$B$130,"&lt;="&amp;A912))*참고!$D$31:$D$130)/100,0),0)</f>
        <v>0</v>
      </c>
      <c r="L912" s="31" t="str">
        <f t="shared" si="44"/>
        <v/>
      </c>
      <c r="M912" s="39"/>
    </row>
    <row r="913" spans="1:13" ht="18" customHeight="1" x14ac:dyDescent="0.45">
      <c r="A913" s="37"/>
      <c r="B913" s="29"/>
      <c r="C913" s="29"/>
      <c r="D913" s="28"/>
      <c r="E913" s="30" t="str">
        <f>IFERROR(VLOOKUP(D913,KRX종목마스터!$A:$B,2,FALSE),"")</f>
        <v/>
      </c>
      <c r="F913" s="42"/>
      <c r="G913" s="42"/>
      <c r="H913" s="31" t="str">
        <f t="shared" si="42"/>
        <v/>
      </c>
      <c r="I913" s="43">
        <f ca="1">IFERROR(SUMPRODUCT((참고!$A$31:$A$130=C913)*(참고!$B$31:$B$130&lt;=A913)*(참고!$B$31:$B$130=_xludf.MAXIFS(참고!$B$31:$B$130,참고!$A$31:$A$130,C913,참고!$B$31:$B$130,"&lt;="&amp;A913))*참고!$C$31:$C$130)/100,0)</f>
        <v>0</v>
      </c>
      <c r="J913" s="31" t="str">
        <f t="shared" si="43"/>
        <v/>
      </c>
      <c r="K913" s="43">
        <f>IF(B913="매도",IFERROR(SUMPRODUCT((참고!$A$31:$A$130=C913)*(참고!$B$31:$B$130&lt;=A913)*(참고!$B$31:$B$130=_xludf.MAXIFS(참고!$B$31:$B$130,참고!$A$31:$A$130,C913,참고!$B$31:$B$130,"&lt;="&amp;A913))*참고!$D$31:$D$130)/100,0),0)</f>
        <v>0</v>
      </c>
      <c r="L913" s="31" t="str">
        <f t="shared" si="44"/>
        <v/>
      </c>
      <c r="M913" s="39"/>
    </row>
    <row r="914" spans="1:13" ht="18" customHeight="1" x14ac:dyDescent="0.45">
      <c r="A914" s="37"/>
      <c r="B914" s="29"/>
      <c r="C914" s="29"/>
      <c r="D914" s="28"/>
      <c r="E914" s="30" t="str">
        <f>IFERROR(VLOOKUP(D914,KRX종목마스터!$A:$B,2,FALSE),"")</f>
        <v/>
      </c>
      <c r="F914" s="42"/>
      <c r="G914" s="42"/>
      <c r="H914" s="31" t="str">
        <f t="shared" si="42"/>
        <v/>
      </c>
      <c r="I914" s="43">
        <f ca="1">IFERROR(SUMPRODUCT((참고!$A$31:$A$130=C914)*(참고!$B$31:$B$130&lt;=A914)*(참고!$B$31:$B$130=_xludf.MAXIFS(참고!$B$31:$B$130,참고!$A$31:$A$130,C914,참고!$B$31:$B$130,"&lt;="&amp;A914))*참고!$C$31:$C$130)/100,0)</f>
        <v>0</v>
      </c>
      <c r="J914" s="31" t="str">
        <f t="shared" si="43"/>
        <v/>
      </c>
      <c r="K914" s="43">
        <f>IF(B914="매도",IFERROR(SUMPRODUCT((참고!$A$31:$A$130=C914)*(참고!$B$31:$B$130&lt;=A914)*(참고!$B$31:$B$130=_xludf.MAXIFS(참고!$B$31:$B$130,참고!$A$31:$A$130,C914,참고!$B$31:$B$130,"&lt;="&amp;A914))*참고!$D$31:$D$130)/100,0),0)</f>
        <v>0</v>
      </c>
      <c r="L914" s="31" t="str">
        <f t="shared" si="44"/>
        <v/>
      </c>
      <c r="M914" s="39"/>
    </row>
    <row r="915" spans="1:13" ht="18" customHeight="1" x14ac:dyDescent="0.45">
      <c r="A915" s="37"/>
      <c r="B915" s="29"/>
      <c r="C915" s="29"/>
      <c r="D915" s="28"/>
      <c r="E915" s="30" t="str">
        <f>IFERROR(VLOOKUP(D915,KRX종목마스터!$A:$B,2,FALSE),"")</f>
        <v/>
      </c>
      <c r="F915" s="42"/>
      <c r="G915" s="42"/>
      <c r="H915" s="31" t="str">
        <f t="shared" si="42"/>
        <v/>
      </c>
      <c r="I915" s="43">
        <f ca="1">IFERROR(SUMPRODUCT((참고!$A$31:$A$130=C915)*(참고!$B$31:$B$130&lt;=A915)*(참고!$B$31:$B$130=_xludf.MAXIFS(참고!$B$31:$B$130,참고!$A$31:$A$130,C915,참고!$B$31:$B$130,"&lt;="&amp;A915))*참고!$C$31:$C$130)/100,0)</f>
        <v>0</v>
      </c>
      <c r="J915" s="31" t="str">
        <f t="shared" si="43"/>
        <v/>
      </c>
      <c r="K915" s="43">
        <f>IF(B915="매도",IFERROR(SUMPRODUCT((참고!$A$31:$A$130=C915)*(참고!$B$31:$B$130&lt;=A915)*(참고!$B$31:$B$130=_xludf.MAXIFS(참고!$B$31:$B$130,참고!$A$31:$A$130,C915,참고!$B$31:$B$130,"&lt;="&amp;A915))*참고!$D$31:$D$130)/100,0),0)</f>
        <v>0</v>
      </c>
      <c r="L915" s="31" t="str">
        <f t="shared" si="44"/>
        <v/>
      </c>
      <c r="M915" s="39"/>
    </row>
    <row r="916" spans="1:13" ht="18" customHeight="1" x14ac:dyDescent="0.45">
      <c r="A916" s="37"/>
      <c r="B916" s="29"/>
      <c r="C916" s="29"/>
      <c r="D916" s="28"/>
      <c r="E916" s="30" t="str">
        <f>IFERROR(VLOOKUP(D916,KRX종목마스터!$A:$B,2,FALSE),"")</f>
        <v/>
      </c>
      <c r="F916" s="42"/>
      <c r="G916" s="42"/>
      <c r="H916" s="31" t="str">
        <f t="shared" si="42"/>
        <v/>
      </c>
      <c r="I916" s="43">
        <f ca="1">IFERROR(SUMPRODUCT((참고!$A$31:$A$130=C916)*(참고!$B$31:$B$130&lt;=A916)*(참고!$B$31:$B$130=_xludf.MAXIFS(참고!$B$31:$B$130,참고!$A$31:$A$130,C916,참고!$B$31:$B$130,"&lt;="&amp;A916))*참고!$C$31:$C$130)/100,0)</f>
        <v>0</v>
      </c>
      <c r="J916" s="31" t="str">
        <f t="shared" si="43"/>
        <v/>
      </c>
      <c r="K916" s="43">
        <f>IF(B916="매도",IFERROR(SUMPRODUCT((참고!$A$31:$A$130=C916)*(참고!$B$31:$B$130&lt;=A916)*(참고!$B$31:$B$130=_xludf.MAXIFS(참고!$B$31:$B$130,참고!$A$31:$A$130,C916,참고!$B$31:$B$130,"&lt;="&amp;A916))*참고!$D$31:$D$130)/100,0),0)</f>
        <v>0</v>
      </c>
      <c r="L916" s="31" t="str">
        <f t="shared" si="44"/>
        <v/>
      </c>
      <c r="M916" s="39"/>
    </row>
    <row r="917" spans="1:13" ht="18" customHeight="1" x14ac:dyDescent="0.45">
      <c r="A917" s="37"/>
      <c r="B917" s="29"/>
      <c r="C917" s="29"/>
      <c r="D917" s="28"/>
      <c r="E917" s="30" t="str">
        <f>IFERROR(VLOOKUP(D917,KRX종목마스터!$A:$B,2,FALSE),"")</f>
        <v/>
      </c>
      <c r="F917" s="42"/>
      <c r="G917" s="42"/>
      <c r="H917" s="31" t="str">
        <f t="shared" si="42"/>
        <v/>
      </c>
      <c r="I917" s="43">
        <f ca="1">IFERROR(SUMPRODUCT((참고!$A$31:$A$130=C917)*(참고!$B$31:$B$130&lt;=A917)*(참고!$B$31:$B$130=_xludf.MAXIFS(참고!$B$31:$B$130,참고!$A$31:$A$130,C917,참고!$B$31:$B$130,"&lt;="&amp;A917))*참고!$C$31:$C$130)/100,0)</f>
        <v>0</v>
      </c>
      <c r="J917" s="31" t="str">
        <f t="shared" si="43"/>
        <v/>
      </c>
      <c r="K917" s="43">
        <f>IF(B917="매도",IFERROR(SUMPRODUCT((참고!$A$31:$A$130=C917)*(참고!$B$31:$B$130&lt;=A917)*(참고!$B$31:$B$130=_xludf.MAXIFS(참고!$B$31:$B$130,참고!$A$31:$A$130,C917,참고!$B$31:$B$130,"&lt;="&amp;A917))*참고!$D$31:$D$130)/100,0),0)</f>
        <v>0</v>
      </c>
      <c r="L917" s="31" t="str">
        <f t="shared" si="44"/>
        <v/>
      </c>
      <c r="M917" s="39"/>
    </row>
    <row r="918" spans="1:13" ht="18" customHeight="1" x14ac:dyDescent="0.45">
      <c r="A918" s="37"/>
      <c r="B918" s="29"/>
      <c r="C918" s="29"/>
      <c r="D918" s="28"/>
      <c r="E918" s="30" t="str">
        <f>IFERROR(VLOOKUP(D918,KRX종목마스터!$A:$B,2,FALSE),"")</f>
        <v/>
      </c>
      <c r="F918" s="42"/>
      <c r="G918" s="42"/>
      <c r="H918" s="31" t="str">
        <f t="shared" si="42"/>
        <v/>
      </c>
      <c r="I918" s="43">
        <f ca="1">IFERROR(SUMPRODUCT((참고!$A$31:$A$130=C918)*(참고!$B$31:$B$130&lt;=A918)*(참고!$B$31:$B$130=_xludf.MAXIFS(참고!$B$31:$B$130,참고!$A$31:$A$130,C918,참고!$B$31:$B$130,"&lt;="&amp;A918))*참고!$C$31:$C$130)/100,0)</f>
        <v>0</v>
      </c>
      <c r="J918" s="31" t="str">
        <f t="shared" si="43"/>
        <v/>
      </c>
      <c r="K918" s="43">
        <f>IF(B918="매도",IFERROR(SUMPRODUCT((참고!$A$31:$A$130=C918)*(참고!$B$31:$B$130&lt;=A918)*(참고!$B$31:$B$130=_xludf.MAXIFS(참고!$B$31:$B$130,참고!$A$31:$A$130,C918,참고!$B$31:$B$130,"&lt;="&amp;A918))*참고!$D$31:$D$130)/100,0),0)</f>
        <v>0</v>
      </c>
      <c r="L918" s="31" t="str">
        <f t="shared" si="44"/>
        <v/>
      </c>
      <c r="M918" s="39"/>
    </row>
    <row r="919" spans="1:13" ht="18" customHeight="1" x14ac:dyDescent="0.45">
      <c r="A919" s="37"/>
      <c r="B919" s="29"/>
      <c r="C919" s="29"/>
      <c r="D919" s="28"/>
      <c r="E919" s="30" t="str">
        <f>IFERROR(VLOOKUP(D919,KRX종목마스터!$A:$B,2,FALSE),"")</f>
        <v/>
      </c>
      <c r="F919" s="42"/>
      <c r="G919" s="42"/>
      <c r="H919" s="31" t="str">
        <f t="shared" si="42"/>
        <v/>
      </c>
      <c r="I919" s="43">
        <f ca="1">IFERROR(SUMPRODUCT((참고!$A$31:$A$130=C919)*(참고!$B$31:$B$130&lt;=A919)*(참고!$B$31:$B$130=_xludf.MAXIFS(참고!$B$31:$B$130,참고!$A$31:$A$130,C919,참고!$B$31:$B$130,"&lt;="&amp;A919))*참고!$C$31:$C$130)/100,0)</f>
        <v>0</v>
      </c>
      <c r="J919" s="31" t="str">
        <f t="shared" si="43"/>
        <v/>
      </c>
      <c r="K919" s="43">
        <f>IF(B919="매도",IFERROR(SUMPRODUCT((참고!$A$31:$A$130=C919)*(참고!$B$31:$B$130&lt;=A919)*(참고!$B$31:$B$130=_xludf.MAXIFS(참고!$B$31:$B$130,참고!$A$31:$A$130,C919,참고!$B$31:$B$130,"&lt;="&amp;A919))*참고!$D$31:$D$130)/100,0),0)</f>
        <v>0</v>
      </c>
      <c r="L919" s="31" t="str">
        <f t="shared" si="44"/>
        <v/>
      </c>
      <c r="M919" s="39"/>
    </row>
    <row r="920" spans="1:13" ht="18" customHeight="1" x14ac:dyDescent="0.45">
      <c r="A920" s="37"/>
      <c r="B920" s="29"/>
      <c r="C920" s="29"/>
      <c r="D920" s="28"/>
      <c r="E920" s="30" t="str">
        <f>IFERROR(VLOOKUP(D920,KRX종목마스터!$A:$B,2,FALSE),"")</f>
        <v/>
      </c>
      <c r="F920" s="42"/>
      <c r="G920" s="42"/>
      <c r="H920" s="31" t="str">
        <f t="shared" si="42"/>
        <v/>
      </c>
      <c r="I920" s="43">
        <f ca="1">IFERROR(SUMPRODUCT((참고!$A$31:$A$130=C920)*(참고!$B$31:$B$130&lt;=A920)*(참고!$B$31:$B$130=_xludf.MAXIFS(참고!$B$31:$B$130,참고!$A$31:$A$130,C920,참고!$B$31:$B$130,"&lt;="&amp;A920))*참고!$C$31:$C$130)/100,0)</f>
        <v>0</v>
      </c>
      <c r="J920" s="31" t="str">
        <f t="shared" si="43"/>
        <v/>
      </c>
      <c r="K920" s="43">
        <f>IF(B920="매도",IFERROR(SUMPRODUCT((참고!$A$31:$A$130=C920)*(참고!$B$31:$B$130&lt;=A920)*(참고!$B$31:$B$130=_xludf.MAXIFS(참고!$B$31:$B$130,참고!$A$31:$A$130,C920,참고!$B$31:$B$130,"&lt;="&amp;A920))*참고!$D$31:$D$130)/100,0),0)</f>
        <v>0</v>
      </c>
      <c r="L920" s="31" t="str">
        <f t="shared" si="44"/>
        <v/>
      </c>
      <c r="M920" s="39"/>
    </row>
    <row r="921" spans="1:13" ht="18" customHeight="1" x14ac:dyDescent="0.45">
      <c r="A921" s="37"/>
      <c r="B921" s="29"/>
      <c r="C921" s="29"/>
      <c r="D921" s="28"/>
      <c r="E921" s="30" t="str">
        <f>IFERROR(VLOOKUP(D921,KRX종목마스터!$A:$B,2,FALSE),"")</f>
        <v/>
      </c>
      <c r="F921" s="42"/>
      <c r="G921" s="42"/>
      <c r="H921" s="31" t="str">
        <f t="shared" si="42"/>
        <v/>
      </c>
      <c r="I921" s="43">
        <f ca="1">IFERROR(SUMPRODUCT((참고!$A$31:$A$130=C921)*(참고!$B$31:$B$130&lt;=A921)*(참고!$B$31:$B$130=_xludf.MAXIFS(참고!$B$31:$B$130,참고!$A$31:$A$130,C921,참고!$B$31:$B$130,"&lt;="&amp;A921))*참고!$C$31:$C$130)/100,0)</f>
        <v>0</v>
      </c>
      <c r="J921" s="31" t="str">
        <f t="shared" si="43"/>
        <v/>
      </c>
      <c r="K921" s="43">
        <f>IF(B921="매도",IFERROR(SUMPRODUCT((참고!$A$31:$A$130=C921)*(참고!$B$31:$B$130&lt;=A921)*(참고!$B$31:$B$130=_xludf.MAXIFS(참고!$B$31:$B$130,참고!$A$31:$A$130,C921,참고!$B$31:$B$130,"&lt;="&amp;A921))*참고!$D$31:$D$130)/100,0),0)</f>
        <v>0</v>
      </c>
      <c r="L921" s="31" t="str">
        <f t="shared" si="44"/>
        <v/>
      </c>
      <c r="M921" s="39"/>
    </row>
    <row r="922" spans="1:13" ht="18" customHeight="1" x14ac:dyDescent="0.45">
      <c r="A922" s="37"/>
      <c r="B922" s="29"/>
      <c r="C922" s="29"/>
      <c r="D922" s="28"/>
      <c r="E922" s="30" t="str">
        <f>IFERROR(VLOOKUP(D922,KRX종목마스터!$A:$B,2,FALSE),"")</f>
        <v/>
      </c>
      <c r="F922" s="42"/>
      <c r="G922" s="42"/>
      <c r="H922" s="31" t="str">
        <f t="shared" si="42"/>
        <v/>
      </c>
      <c r="I922" s="43">
        <f ca="1">IFERROR(SUMPRODUCT((참고!$A$31:$A$130=C922)*(참고!$B$31:$B$130&lt;=A922)*(참고!$B$31:$B$130=_xludf.MAXIFS(참고!$B$31:$B$130,참고!$A$31:$A$130,C922,참고!$B$31:$B$130,"&lt;="&amp;A922))*참고!$C$31:$C$130)/100,0)</f>
        <v>0</v>
      </c>
      <c r="J922" s="31" t="str">
        <f t="shared" si="43"/>
        <v/>
      </c>
      <c r="K922" s="43">
        <f>IF(B922="매도",IFERROR(SUMPRODUCT((참고!$A$31:$A$130=C922)*(참고!$B$31:$B$130&lt;=A922)*(참고!$B$31:$B$130=_xludf.MAXIFS(참고!$B$31:$B$130,참고!$A$31:$A$130,C922,참고!$B$31:$B$130,"&lt;="&amp;A922))*참고!$D$31:$D$130)/100,0),0)</f>
        <v>0</v>
      </c>
      <c r="L922" s="31" t="str">
        <f t="shared" si="44"/>
        <v/>
      </c>
      <c r="M922" s="39"/>
    </row>
    <row r="923" spans="1:13" ht="18" customHeight="1" x14ac:dyDescent="0.45">
      <c r="A923" s="37"/>
      <c r="B923" s="29"/>
      <c r="C923" s="29"/>
      <c r="D923" s="28"/>
      <c r="E923" s="30" t="str">
        <f>IFERROR(VLOOKUP(D923,KRX종목마스터!$A:$B,2,FALSE),"")</f>
        <v/>
      </c>
      <c r="F923" s="42"/>
      <c r="G923" s="42"/>
      <c r="H923" s="31" t="str">
        <f t="shared" si="42"/>
        <v/>
      </c>
      <c r="I923" s="43">
        <f ca="1">IFERROR(SUMPRODUCT((참고!$A$31:$A$130=C923)*(참고!$B$31:$B$130&lt;=A923)*(참고!$B$31:$B$130=_xludf.MAXIFS(참고!$B$31:$B$130,참고!$A$31:$A$130,C923,참고!$B$31:$B$130,"&lt;="&amp;A923))*참고!$C$31:$C$130)/100,0)</f>
        <v>0</v>
      </c>
      <c r="J923" s="31" t="str">
        <f t="shared" si="43"/>
        <v/>
      </c>
      <c r="K923" s="43">
        <f>IF(B923="매도",IFERROR(SUMPRODUCT((참고!$A$31:$A$130=C923)*(참고!$B$31:$B$130&lt;=A923)*(참고!$B$31:$B$130=_xludf.MAXIFS(참고!$B$31:$B$130,참고!$A$31:$A$130,C923,참고!$B$31:$B$130,"&lt;="&amp;A923))*참고!$D$31:$D$130)/100,0),0)</f>
        <v>0</v>
      </c>
      <c r="L923" s="31" t="str">
        <f t="shared" si="44"/>
        <v/>
      </c>
      <c r="M923" s="39"/>
    </row>
    <row r="924" spans="1:13" ht="18" customHeight="1" x14ac:dyDescent="0.45">
      <c r="A924" s="37"/>
      <c r="B924" s="29"/>
      <c r="C924" s="29"/>
      <c r="D924" s="28"/>
      <c r="E924" s="30" t="str">
        <f>IFERROR(VLOOKUP(D924,KRX종목마스터!$A:$B,2,FALSE),"")</f>
        <v/>
      </c>
      <c r="F924" s="42"/>
      <c r="G924" s="42"/>
      <c r="H924" s="31" t="str">
        <f t="shared" si="42"/>
        <v/>
      </c>
      <c r="I924" s="43">
        <f ca="1">IFERROR(SUMPRODUCT((참고!$A$31:$A$130=C924)*(참고!$B$31:$B$130&lt;=A924)*(참고!$B$31:$B$130=_xludf.MAXIFS(참고!$B$31:$B$130,참고!$A$31:$A$130,C924,참고!$B$31:$B$130,"&lt;="&amp;A924))*참고!$C$31:$C$130)/100,0)</f>
        <v>0</v>
      </c>
      <c r="J924" s="31" t="str">
        <f t="shared" si="43"/>
        <v/>
      </c>
      <c r="K924" s="43">
        <f>IF(B924="매도",IFERROR(SUMPRODUCT((참고!$A$31:$A$130=C924)*(참고!$B$31:$B$130&lt;=A924)*(참고!$B$31:$B$130=_xludf.MAXIFS(참고!$B$31:$B$130,참고!$A$31:$A$130,C924,참고!$B$31:$B$130,"&lt;="&amp;A924))*참고!$D$31:$D$130)/100,0),0)</f>
        <v>0</v>
      </c>
      <c r="L924" s="31" t="str">
        <f t="shared" si="44"/>
        <v/>
      </c>
      <c r="M924" s="39"/>
    </row>
    <row r="925" spans="1:13" ht="18" customHeight="1" x14ac:dyDescent="0.45">
      <c r="A925" s="37"/>
      <c r="B925" s="29"/>
      <c r="C925" s="29"/>
      <c r="D925" s="28"/>
      <c r="E925" s="30" t="str">
        <f>IFERROR(VLOOKUP(D925,KRX종목마스터!$A:$B,2,FALSE),"")</f>
        <v/>
      </c>
      <c r="F925" s="42"/>
      <c r="G925" s="42"/>
      <c r="H925" s="31" t="str">
        <f t="shared" si="42"/>
        <v/>
      </c>
      <c r="I925" s="43">
        <f ca="1">IFERROR(SUMPRODUCT((참고!$A$31:$A$130=C925)*(참고!$B$31:$B$130&lt;=A925)*(참고!$B$31:$B$130=_xludf.MAXIFS(참고!$B$31:$B$130,참고!$A$31:$A$130,C925,참고!$B$31:$B$130,"&lt;="&amp;A925))*참고!$C$31:$C$130)/100,0)</f>
        <v>0</v>
      </c>
      <c r="J925" s="31" t="str">
        <f t="shared" si="43"/>
        <v/>
      </c>
      <c r="K925" s="43">
        <f>IF(B925="매도",IFERROR(SUMPRODUCT((참고!$A$31:$A$130=C925)*(참고!$B$31:$B$130&lt;=A925)*(참고!$B$31:$B$130=_xludf.MAXIFS(참고!$B$31:$B$130,참고!$A$31:$A$130,C925,참고!$B$31:$B$130,"&lt;="&amp;A925))*참고!$D$31:$D$130)/100,0),0)</f>
        <v>0</v>
      </c>
      <c r="L925" s="31" t="str">
        <f t="shared" si="44"/>
        <v/>
      </c>
      <c r="M925" s="39"/>
    </row>
    <row r="926" spans="1:13" ht="18" customHeight="1" x14ac:dyDescent="0.45">
      <c r="A926" s="37"/>
      <c r="B926" s="29"/>
      <c r="C926" s="29"/>
      <c r="D926" s="28"/>
      <c r="E926" s="30" t="str">
        <f>IFERROR(VLOOKUP(D926,KRX종목마스터!$A:$B,2,FALSE),"")</f>
        <v/>
      </c>
      <c r="F926" s="42"/>
      <c r="G926" s="42"/>
      <c r="H926" s="31" t="str">
        <f t="shared" si="42"/>
        <v/>
      </c>
      <c r="I926" s="43">
        <f ca="1">IFERROR(SUMPRODUCT((참고!$A$31:$A$130=C926)*(참고!$B$31:$B$130&lt;=A926)*(참고!$B$31:$B$130=_xludf.MAXIFS(참고!$B$31:$B$130,참고!$A$31:$A$130,C926,참고!$B$31:$B$130,"&lt;="&amp;A926))*참고!$C$31:$C$130)/100,0)</f>
        <v>0</v>
      </c>
      <c r="J926" s="31" t="str">
        <f t="shared" si="43"/>
        <v/>
      </c>
      <c r="K926" s="43">
        <f>IF(B926="매도",IFERROR(SUMPRODUCT((참고!$A$31:$A$130=C926)*(참고!$B$31:$B$130&lt;=A926)*(참고!$B$31:$B$130=_xludf.MAXIFS(참고!$B$31:$B$130,참고!$A$31:$A$130,C926,참고!$B$31:$B$130,"&lt;="&amp;A926))*참고!$D$31:$D$130)/100,0),0)</f>
        <v>0</v>
      </c>
      <c r="L926" s="31" t="str">
        <f t="shared" si="44"/>
        <v/>
      </c>
      <c r="M926" s="39"/>
    </row>
    <row r="927" spans="1:13" ht="18" customHeight="1" x14ac:dyDescent="0.45">
      <c r="A927" s="37"/>
      <c r="B927" s="29"/>
      <c r="C927" s="29"/>
      <c r="D927" s="28"/>
      <c r="E927" s="30" t="str">
        <f>IFERROR(VLOOKUP(D927,KRX종목마스터!$A:$B,2,FALSE),"")</f>
        <v/>
      </c>
      <c r="F927" s="42"/>
      <c r="G927" s="42"/>
      <c r="H927" s="31" t="str">
        <f t="shared" si="42"/>
        <v/>
      </c>
      <c r="I927" s="43">
        <f ca="1">IFERROR(SUMPRODUCT((참고!$A$31:$A$130=C927)*(참고!$B$31:$B$130&lt;=A927)*(참고!$B$31:$B$130=_xludf.MAXIFS(참고!$B$31:$B$130,참고!$A$31:$A$130,C927,참고!$B$31:$B$130,"&lt;="&amp;A927))*참고!$C$31:$C$130)/100,0)</f>
        <v>0</v>
      </c>
      <c r="J927" s="31" t="str">
        <f t="shared" si="43"/>
        <v/>
      </c>
      <c r="K927" s="43">
        <f>IF(B927="매도",IFERROR(SUMPRODUCT((참고!$A$31:$A$130=C927)*(참고!$B$31:$B$130&lt;=A927)*(참고!$B$31:$B$130=_xludf.MAXIFS(참고!$B$31:$B$130,참고!$A$31:$A$130,C927,참고!$B$31:$B$130,"&lt;="&amp;A927))*참고!$D$31:$D$130)/100,0),0)</f>
        <v>0</v>
      </c>
      <c r="L927" s="31" t="str">
        <f t="shared" si="44"/>
        <v/>
      </c>
      <c r="M927" s="39"/>
    </row>
    <row r="928" spans="1:13" ht="18" customHeight="1" x14ac:dyDescent="0.45">
      <c r="A928" s="37"/>
      <c r="B928" s="29"/>
      <c r="C928" s="29"/>
      <c r="D928" s="28"/>
      <c r="E928" s="30" t="str">
        <f>IFERROR(VLOOKUP(D928,KRX종목마스터!$A:$B,2,FALSE),"")</f>
        <v/>
      </c>
      <c r="F928" s="42"/>
      <c r="G928" s="42"/>
      <c r="H928" s="31" t="str">
        <f t="shared" si="42"/>
        <v/>
      </c>
      <c r="I928" s="43">
        <f ca="1">IFERROR(SUMPRODUCT((참고!$A$31:$A$130=C928)*(참고!$B$31:$B$130&lt;=A928)*(참고!$B$31:$B$130=_xludf.MAXIFS(참고!$B$31:$B$130,참고!$A$31:$A$130,C928,참고!$B$31:$B$130,"&lt;="&amp;A928))*참고!$C$31:$C$130)/100,0)</f>
        <v>0</v>
      </c>
      <c r="J928" s="31" t="str">
        <f t="shared" si="43"/>
        <v/>
      </c>
      <c r="K928" s="43">
        <f>IF(B928="매도",IFERROR(SUMPRODUCT((참고!$A$31:$A$130=C928)*(참고!$B$31:$B$130&lt;=A928)*(참고!$B$31:$B$130=_xludf.MAXIFS(참고!$B$31:$B$130,참고!$A$31:$A$130,C928,참고!$B$31:$B$130,"&lt;="&amp;A928))*참고!$D$31:$D$130)/100,0),0)</f>
        <v>0</v>
      </c>
      <c r="L928" s="31" t="str">
        <f t="shared" si="44"/>
        <v/>
      </c>
      <c r="M928" s="39"/>
    </row>
    <row r="929" spans="1:13" ht="18" customHeight="1" x14ac:dyDescent="0.45">
      <c r="A929" s="37"/>
      <c r="B929" s="29"/>
      <c r="C929" s="29"/>
      <c r="D929" s="28"/>
      <c r="E929" s="30" t="str">
        <f>IFERROR(VLOOKUP(D929,KRX종목마스터!$A:$B,2,FALSE),"")</f>
        <v/>
      </c>
      <c r="F929" s="42"/>
      <c r="G929" s="42"/>
      <c r="H929" s="31" t="str">
        <f t="shared" si="42"/>
        <v/>
      </c>
      <c r="I929" s="43">
        <f ca="1">IFERROR(SUMPRODUCT((참고!$A$31:$A$130=C929)*(참고!$B$31:$B$130&lt;=A929)*(참고!$B$31:$B$130=_xludf.MAXIFS(참고!$B$31:$B$130,참고!$A$31:$A$130,C929,참고!$B$31:$B$130,"&lt;="&amp;A929))*참고!$C$31:$C$130)/100,0)</f>
        <v>0</v>
      </c>
      <c r="J929" s="31" t="str">
        <f t="shared" si="43"/>
        <v/>
      </c>
      <c r="K929" s="43">
        <f>IF(B929="매도",IFERROR(SUMPRODUCT((참고!$A$31:$A$130=C929)*(참고!$B$31:$B$130&lt;=A929)*(참고!$B$31:$B$130=_xludf.MAXIFS(참고!$B$31:$B$130,참고!$A$31:$A$130,C929,참고!$B$31:$B$130,"&lt;="&amp;A929))*참고!$D$31:$D$130)/100,0),0)</f>
        <v>0</v>
      </c>
      <c r="L929" s="31" t="str">
        <f t="shared" si="44"/>
        <v/>
      </c>
      <c r="M929" s="39"/>
    </row>
    <row r="930" spans="1:13" ht="18" customHeight="1" x14ac:dyDescent="0.45">
      <c r="A930" s="37"/>
      <c r="B930" s="29"/>
      <c r="C930" s="29"/>
      <c r="D930" s="28"/>
      <c r="E930" s="30" t="str">
        <f>IFERROR(VLOOKUP(D930,KRX종목마스터!$A:$B,2,FALSE),"")</f>
        <v/>
      </c>
      <c r="F930" s="42"/>
      <c r="G930" s="42"/>
      <c r="H930" s="31" t="str">
        <f t="shared" si="42"/>
        <v/>
      </c>
      <c r="I930" s="43">
        <f ca="1">IFERROR(SUMPRODUCT((참고!$A$31:$A$130=C930)*(참고!$B$31:$B$130&lt;=A930)*(참고!$B$31:$B$130=_xludf.MAXIFS(참고!$B$31:$B$130,참고!$A$31:$A$130,C930,참고!$B$31:$B$130,"&lt;="&amp;A930))*참고!$C$31:$C$130)/100,0)</f>
        <v>0</v>
      </c>
      <c r="J930" s="31" t="str">
        <f t="shared" si="43"/>
        <v/>
      </c>
      <c r="K930" s="43">
        <f>IF(B930="매도",IFERROR(SUMPRODUCT((참고!$A$31:$A$130=C930)*(참고!$B$31:$B$130&lt;=A930)*(참고!$B$31:$B$130=_xludf.MAXIFS(참고!$B$31:$B$130,참고!$A$31:$A$130,C930,참고!$B$31:$B$130,"&lt;="&amp;A930))*참고!$D$31:$D$130)/100,0),0)</f>
        <v>0</v>
      </c>
      <c r="L930" s="31" t="str">
        <f t="shared" si="44"/>
        <v/>
      </c>
      <c r="M930" s="39"/>
    </row>
    <row r="931" spans="1:13" ht="18" customHeight="1" x14ac:dyDescent="0.45">
      <c r="A931" s="37"/>
      <c r="B931" s="29"/>
      <c r="C931" s="29"/>
      <c r="D931" s="28"/>
      <c r="E931" s="30" t="str">
        <f>IFERROR(VLOOKUP(D931,KRX종목마스터!$A:$B,2,FALSE),"")</f>
        <v/>
      </c>
      <c r="F931" s="42"/>
      <c r="G931" s="42"/>
      <c r="H931" s="31" t="str">
        <f t="shared" si="42"/>
        <v/>
      </c>
      <c r="I931" s="43">
        <f ca="1">IFERROR(SUMPRODUCT((참고!$A$31:$A$130=C931)*(참고!$B$31:$B$130&lt;=A931)*(참고!$B$31:$B$130=_xludf.MAXIFS(참고!$B$31:$B$130,참고!$A$31:$A$130,C931,참고!$B$31:$B$130,"&lt;="&amp;A931))*참고!$C$31:$C$130)/100,0)</f>
        <v>0</v>
      </c>
      <c r="J931" s="31" t="str">
        <f t="shared" si="43"/>
        <v/>
      </c>
      <c r="K931" s="43">
        <f>IF(B931="매도",IFERROR(SUMPRODUCT((참고!$A$31:$A$130=C931)*(참고!$B$31:$B$130&lt;=A931)*(참고!$B$31:$B$130=_xludf.MAXIFS(참고!$B$31:$B$130,참고!$A$31:$A$130,C931,참고!$B$31:$B$130,"&lt;="&amp;A931))*참고!$D$31:$D$130)/100,0),0)</f>
        <v>0</v>
      </c>
      <c r="L931" s="31" t="str">
        <f t="shared" si="44"/>
        <v/>
      </c>
      <c r="M931" s="39"/>
    </row>
    <row r="932" spans="1:13" ht="18" customHeight="1" x14ac:dyDescent="0.45">
      <c r="A932" s="37"/>
      <c r="B932" s="29"/>
      <c r="C932" s="29"/>
      <c r="D932" s="28"/>
      <c r="E932" s="30" t="str">
        <f>IFERROR(VLOOKUP(D932,KRX종목마스터!$A:$B,2,FALSE),"")</f>
        <v/>
      </c>
      <c r="F932" s="42"/>
      <c r="G932" s="42"/>
      <c r="H932" s="31" t="str">
        <f t="shared" si="42"/>
        <v/>
      </c>
      <c r="I932" s="43">
        <f ca="1">IFERROR(SUMPRODUCT((참고!$A$31:$A$130=C932)*(참고!$B$31:$B$130&lt;=A932)*(참고!$B$31:$B$130=_xludf.MAXIFS(참고!$B$31:$B$130,참고!$A$31:$A$130,C932,참고!$B$31:$B$130,"&lt;="&amp;A932))*참고!$C$31:$C$130)/100,0)</f>
        <v>0</v>
      </c>
      <c r="J932" s="31" t="str">
        <f t="shared" si="43"/>
        <v/>
      </c>
      <c r="K932" s="43">
        <f>IF(B932="매도",IFERROR(SUMPRODUCT((참고!$A$31:$A$130=C932)*(참고!$B$31:$B$130&lt;=A932)*(참고!$B$31:$B$130=_xludf.MAXIFS(참고!$B$31:$B$130,참고!$A$31:$A$130,C932,참고!$B$31:$B$130,"&lt;="&amp;A932))*참고!$D$31:$D$130)/100,0),0)</f>
        <v>0</v>
      </c>
      <c r="L932" s="31" t="str">
        <f t="shared" si="44"/>
        <v/>
      </c>
      <c r="M932" s="39"/>
    </row>
    <row r="933" spans="1:13" ht="18" customHeight="1" x14ac:dyDescent="0.45">
      <c r="A933" s="37"/>
      <c r="B933" s="29"/>
      <c r="C933" s="29"/>
      <c r="D933" s="28"/>
      <c r="E933" s="30" t="str">
        <f>IFERROR(VLOOKUP(D933,KRX종목마스터!$A:$B,2,FALSE),"")</f>
        <v/>
      </c>
      <c r="F933" s="42"/>
      <c r="G933" s="42"/>
      <c r="H933" s="31" t="str">
        <f t="shared" si="42"/>
        <v/>
      </c>
      <c r="I933" s="43">
        <f ca="1">IFERROR(SUMPRODUCT((참고!$A$31:$A$130=C933)*(참고!$B$31:$B$130&lt;=A933)*(참고!$B$31:$B$130=_xludf.MAXIFS(참고!$B$31:$B$130,참고!$A$31:$A$130,C933,참고!$B$31:$B$130,"&lt;="&amp;A933))*참고!$C$31:$C$130)/100,0)</f>
        <v>0</v>
      </c>
      <c r="J933" s="31" t="str">
        <f t="shared" si="43"/>
        <v/>
      </c>
      <c r="K933" s="43">
        <f>IF(B933="매도",IFERROR(SUMPRODUCT((참고!$A$31:$A$130=C933)*(참고!$B$31:$B$130&lt;=A933)*(참고!$B$31:$B$130=_xludf.MAXIFS(참고!$B$31:$B$130,참고!$A$31:$A$130,C933,참고!$B$31:$B$130,"&lt;="&amp;A933))*참고!$D$31:$D$130)/100,0),0)</f>
        <v>0</v>
      </c>
      <c r="L933" s="31" t="str">
        <f t="shared" si="44"/>
        <v/>
      </c>
      <c r="M933" s="39"/>
    </row>
    <row r="934" spans="1:13" ht="18" customHeight="1" x14ac:dyDescent="0.45">
      <c r="A934" s="37"/>
      <c r="B934" s="29"/>
      <c r="C934" s="29"/>
      <c r="D934" s="28"/>
      <c r="E934" s="30" t="str">
        <f>IFERROR(VLOOKUP(D934,KRX종목마스터!$A:$B,2,FALSE),"")</f>
        <v/>
      </c>
      <c r="F934" s="42"/>
      <c r="G934" s="42"/>
      <c r="H934" s="31" t="str">
        <f t="shared" si="42"/>
        <v/>
      </c>
      <c r="I934" s="43">
        <f ca="1">IFERROR(SUMPRODUCT((참고!$A$31:$A$130=C934)*(참고!$B$31:$B$130&lt;=A934)*(참고!$B$31:$B$130=_xludf.MAXIFS(참고!$B$31:$B$130,참고!$A$31:$A$130,C934,참고!$B$31:$B$130,"&lt;="&amp;A934))*참고!$C$31:$C$130)/100,0)</f>
        <v>0</v>
      </c>
      <c r="J934" s="31" t="str">
        <f t="shared" si="43"/>
        <v/>
      </c>
      <c r="K934" s="43">
        <f>IF(B934="매도",IFERROR(SUMPRODUCT((참고!$A$31:$A$130=C934)*(참고!$B$31:$B$130&lt;=A934)*(참고!$B$31:$B$130=_xludf.MAXIFS(참고!$B$31:$B$130,참고!$A$31:$A$130,C934,참고!$B$31:$B$130,"&lt;="&amp;A934))*참고!$D$31:$D$130)/100,0),0)</f>
        <v>0</v>
      </c>
      <c r="L934" s="31" t="str">
        <f t="shared" si="44"/>
        <v/>
      </c>
      <c r="M934" s="39"/>
    </row>
    <row r="935" spans="1:13" ht="18" customHeight="1" x14ac:dyDescent="0.45">
      <c r="A935" s="37"/>
      <c r="B935" s="29"/>
      <c r="C935" s="29"/>
      <c r="D935" s="28"/>
      <c r="E935" s="30" t="str">
        <f>IFERROR(VLOOKUP(D935,KRX종목마스터!$A:$B,2,FALSE),"")</f>
        <v/>
      </c>
      <c r="F935" s="42"/>
      <c r="G935" s="42"/>
      <c r="H935" s="31" t="str">
        <f t="shared" si="42"/>
        <v/>
      </c>
      <c r="I935" s="43">
        <f ca="1">IFERROR(SUMPRODUCT((참고!$A$31:$A$130=C935)*(참고!$B$31:$B$130&lt;=A935)*(참고!$B$31:$B$130=_xludf.MAXIFS(참고!$B$31:$B$130,참고!$A$31:$A$130,C935,참고!$B$31:$B$130,"&lt;="&amp;A935))*참고!$C$31:$C$130)/100,0)</f>
        <v>0</v>
      </c>
      <c r="J935" s="31" t="str">
        <f t="shared" si="43"/>
        <v/>
      </c>
      <c r="K935" s="43">
        <f>IF(B935="매도",IFERROR(SUMPRODUCT((참고!$A$31:$A$130=C935)*(참고!$B$31:$B$130&lt;=A935)*(참고!$B$31:$B$130=_xludf.MAXIFS(참고!$B$31:$B$130,참고!$A$31:$A$130,C935,참고!$B$31:$B$130,"&lt;="&amp;A935))*참고!$D$31:$D$130)/100,0),0)</f>
        <v>0</v>
      </c>
      <c r="L935" s="31" t="str">
        <f t="shared" si="44"/>
        <v/>
      </c>
      <c r="M935" s="39"/>
    </row>
    <row r="936" spans="1:13" ht="18" customHeight="1" x14ac:dyDescent="0.45">
      <c r="A936" s="37"/>
      <c r="B936" s="29"/>
      <c r="C936" s="29"/>
      <c r="D936" s="28"/>
      <c r="E936" s="30" t="str">
        <f>IFERROR(VLOOKUP(D936,KRX종목마스터!$A:$B,2,FALSE),"")</f>
        <v/>
      </c>
      <c r="F936" s="42"/>
      <c r="G936" s="42"/>
      <c r="H936" s="31" t="str">
        <f t="shared" si="42"/>
        <v/>
      </c>
      <c r="I936" s="43">
        <f ca="1">IFERROR(SUMPRODUCT((참고!$A$31:$A$130=C936)*(참고!$B$31:$B$130&lt;=A936)*(참고!$B$31:$B$130=_xludf.MAXIFS(참고!$B$31:$B$130,참고!$A$31:$A$130,C936,참고!$B$31:$B$130,"&lt;="&amp;A936))*참고!$C$31:$C$130)/100,0)</f>
        <v>0</v>
      </c>
      <c r="J936" s="31" t="str">
        <f t="shared" si="43"/>
        <v/>
      </c>
      <c r="K936" s="43">
        <f>IF(B936="매도",IFERROR(SUMPRODUCT((참고!$A$31:$A$130=C936)*(참고!$B$31:$B$130&lt;=A936)*(참고!$B$31:$B$130=_xludf.MAXIFS(참고!$B$31:$B$130,참고!$A$31:$A$130,C936,참고!$B$31:$B$130,"&lt;="&amp;A936))*참고!$D$31:$D$130)/100,0),0)</f>
        <v>0</v>
      </c>
      <c r="L936" s="31" t="str">
        <f t="shared" si="44"/>
        <v/>
      </c>
      <c r="M936" s="39"/>
    </row>
    <row r="937" spans="1:13" ht="18" customHeight="1" x14ac:dyDescent="0.45">
      <c r="A937" s="37"/>
      <c r="B937" s="29"/>
      <c r="C937" s="29"/>
      <c r="D937" s="28"/>
      <c r="E937" s="30" t="str">
        <f>IFERROR(VLOOKUP(D937,KRX종목마스터!$A:$B,2,FALSE),"")</f>
        <v/>
      </c>
      <c r="F937" s="42"/>
      <c r="G937" s="42"/>
      <c r="H937" s="31" t="str">
        <f t="shared" si="42"/>
        <v/>
      </c>
      <c r="I937" s="43">
        <f ca="1">IFERROR(SUMPRODUCT((참고!$A$31:$A$130=C937)*(참고!$B$31:$B$130&lt;=A937)*(참고!$B$31:$B$130=_xludf.MAXIFS(참고!$B$31:$B$130,참고!$A$31:$A$130,C937,참고!$B$31:$B$130,"&lt;="&amp;A937))*참고!$C$31:$C$130)/100,0)</f>
        <v>0</v>
      </c>
      <c r="J937" s="31" t="str">
        <f t="shared" si="43"/>
        <v/>
      </c>
      <c r="K937" s="43">
        <f>IF(B937="매도",IFERROR(SUMPRODUCT((참고!$A$31:$A$130=C937)*(참고!$B$31:$B$130&lt;=A937)*(참고!$B$31:$B$130=_xludf.MAXIFS(참고!$B$31:$B$130,참고!$A$31:$A$130,C937,참고!$B$31:$B$130,"&lt;="&amp;A937))*참고!$D$31:$D$130)/100,0),0)</f>
        <v>0</v>
      </c>
      <c r="L937" s="31" t="str">
        <f t="shared" si="44"/>
        <v/>
      </c>
      <c r="M937" s="39"/>
    </row>
    <row r="938" spans="1:13" ht="18" customHeight="1" x14ac:dyDescent="0.45">
      <c r="A938" s="37"/>
      <c r="B938" s="29"/>
      <c r="C938" s="29"/>
      <c r="D938" s="28"/>
      <c r="E938" s="30" t="str">
        <f>IFERROR(VLOOKUP(D938,KRX종목마스터!$A:$B,2,FALSE),"")</f>
        <v/>
      </c>
      <c r="F938" s="42"/>
      <c r="G938" s="42"/>
      <c r="H938" s="31" t="str">
        <f t="shared" si="42"/>
        <v/>
      </c>
      <c r="I938" s="43">
        <f ca="1">IFERROR(SUMPRODUCT((참고!$A$31:$A$130=C938)*(참고!$B$31:$B$130&lt;=A938)*(참고!$B$31:$B$130=_xludf.MAXIFS(참고!$B$31:$B$130,참고!$A$31:$A$130,C938,참고!$B$31:$B$130,"&lt;="&amp;A938))*참고!$C$31:$C$130)/100,0)</f>
        <v>0</v>
      </c>
      <c r="J938" s="31" t="str">
        <f t="shared" si="43"/>
        <v/>
      </c>
      <c r="K938" s="43">
        <f>IF(B938="매도",IFERROR(SUMPRODUCT((참고!$A$31:$A$130=C938)*(참고!$B$31:$B$130&lt;=A938)*(참고!$B$31:$B$130=_xludf.MAXIFS(참고!$B$31:$B$130,참고!$A$31:$A$130,C938,참고!$B$31:$B$130,"&lt;="&amp;A938))*참고!$D$31:$D$130)/100,0),0)</f>
        <v>0</v>
      </c>
      <c r="L938" s="31" t="str">
        <f t="shared" si="44"/>
        <v/>
      </c>
      <c r="M938" s="39"/>
    </row>
    <row r="939" spans="1:13" ht="18" customHeight="1" x14ac:dyDescent="0.45">
      <c r="A939" s="37"/>
      <c r="B939" s="29"/>
      <c r="C939" s="29"/>
      <c r="D939" s="28"/>
      <c r="E939" s="30" t="str">
        <f>IFERROR(VLOOKUP(D939,KRX종목마스터!$A:$B,2,FALSE),"")</f>
        <v/>
      </c>
      <c r="F939" s="42"/>
      <c r="G939" s="42"/>
      <c r="H939" s="31" t="str">
        <f t="shared" si="42"/>
        <v/>
      </c>
      <c r="I939" s="43">
        <f ca="1">IFERROR(SUMPRODUCT((참고!$A$31:$A$130=C939)*(참고!$B$31:$B$130&lt;=A939)*(참고!$B$31:$B$130=_xludf.MAXIFS(참고!$B$31:$B$130,참고!$A$31:$A$130,C939,참고!$B$31:$B$130,"&lt;="&amp;A939))*참고!$C$31:$C$130)/100,0)</f>
        <v>0</v>
      </c>
      <c r="J939" s="31" t="str">
        <f t="shared" si="43"/>
        <v/>
      </c>
      <c r="K939" s="43">
        <f>IF(B939="매도",IFERROR(SUMPRODUCT((참고!$A$31:$A$130=C939)*(참고!$B$31:$B$130&lt;=A939)*(참고!$B$31:$B$130=_xludf.MAXIFS(참고!$B$31:$B$130,참고!$A$31:$A$130,C939,참고!$B$31:$B$130,"&lt;="&amp;A939))*참고!$D$31:$D$130)/100,0),0)</f>
        <v>0</v>
      </c>
      <c r="L939" s="31" t="str">
        <f t="shared" si="44"/>
        <v/>
      </c>
      <c r="M939" s="39"/>
    </row>
    <row r="940" spans="1:13" ht="18" customHeight="1" x14ac:dyDescent="0.45">
      <c r="A940" s="37"/>
      <c r="B940" s="29"/>
      <c r="C940" s="29"/>
      <c r="D940" s="28"/>
      <c r="E940" s="30" t="str">
        <f>IFERROR(VLOOKUP(D940,KRX종목마스터!$A:$B,2,FALSE),"")</f>
        <v/>
      </c>
      <c r="F940" s="42"/>
      <c r="G940" s="42"/>
      <c r="H940" s="31" t="str">
        <f t="shared" si="42"/>
        <v/>
      </c>
      <c r="I940" s="43">
        <f ca="1">IFERROR(SUMPRODUCT((참고!$A$31:$A$130=C940)*(참고!$B$31:$B$130&lt;=A940)*(참고!$B$31:$B$130=_xludf.MAXIFS(참고!$B$31:$B$130,참고!$A$31:$A$130,C940,참고!$B$31:$B$130,"&lt;="&amp;A940))*참고!$C$31:$C$130)/100,0)</f>
        <v>0</v>
      </c>
      <c r="J940" s="31" t="str">
        <f t="shared" si="43"/>
        <v/>
      </c>
      <c r="K940" s="43">
        <f>IF(B940="매도",IFERROR(SUMPRODUCT((참고!$A$31:$A$130=C940)*(참고!$B$31:$B$130&lt;=A940)*(참고!$B$31:$B$130=_xludf.MAXIFS(참고!$B$31:$B$130,참고!$A$31:$A$130,C940,참고!$B$31:$B$130,"&lt;="&amp;A940))*참고!$D$31:$D$130)/100,0),0)</f>
        <v>0</v>
      </c>
      <c r="L940" s="31" t="str">
        <f t="shared" si="44"/>
        <v/>
      </c>
      <c r="M940" s="39"/>
    </row>
    <row r="941" spans="1:13" ht="18" customHeight="1" x14ac:dyDescent="0.45">
      <c r="A941" s="37"/>
      <c r="B941" s="29"/>
      <c r="C941" s="29"/>
      <c r="D941" s="28"/>
      <c r="E941" s="30" t="str">
        <f>IFERROR(VLOOKUP(D941,KRX종목마스터!$A:$B,2,FALSE),"")</f>
        <v/>
      </c>
      <c r="F941" s="42"/>
      <c r="G941" s="42"/>
      <c r="H941" s="31" t="str">
        <f t="shared" si="42"/>
        <v/>
      </c>
      <c r="I941" s="43">
        <f ca="1">IFERROR(SUMPRODUCT((참고!$A$31:$A$130=C941)*(참고!$B$31:$B$130&lt;=A941)*(참고!$B$31:$B$130=_xludf.MAXIFS(참고!$B$31:$B$130,참고!$A$31:$A$130,C941,참고!$B$31:$B$130,"&lt;="&amp;A941))*참고!$C$31:$C$130)/100,0)</f>
        <v>0</v>
      </c>
      <c r="J941" s="31" t="str">
        <f t="shared" si="43"/>
        <v/>
      </c>
      <c r="K941" s="43">
        <f>IF(B941="매도",IFERROR(SUMPRODUCT((참고!$A$31:$A$130=C941)*(참고!$B$31:$B$130&lt;=A941)*(참고!$B$31:$B$130=_xludf.MAXIFS(참고!$B$31:$B$130,참고!$A$31:$A$130,C941,참고!$B$31:$B$130,"&lt;="&amp;A941))*참고!$D$31:$D$130)/100,0),0)</f>
        <v>0</v>
      </c>
      <c r="L941" s="31" t="str">
        <f t="shared" si="44"/>
        <v/>
      </c>
      <c r="M941" s="39"/>
    </row>
    <row r="942" spans="1:13" ht="18" customHeight="1" x14ac:dyDescent="0.45">
      <c r="A942" s="37"/>
      <c r="B942" s="29"/>
      <c r="C942" s="29"/>
      <c r="D942" s="28"/>
      <c r="E942" s="30" t="str">
        <f>IFERROR(VLOOKUP(D942,KRX종목마스터!$A:$B,2,FALSE),"")</f>
        <v/>
      </c>
      <c r="F942" s="42"/>
      <c r="G942" s="42"/>
      <c r="H942" s="31" t="str">
        <f t="shared" si="42"/>
        <v/>
      </c>
      <c r="I942" s="43">
        <f ca="1">IFERROR(SUMPRODUCT((참고!$A$31:$A$130=C942)*(참고!$B$31:$B$130&lt;=A942)*(참고!$B$31:$B$130=_xludf.MAXIFS(참고!$B$31:$B$130,참고!$A$31:$A$130,C942,참고!$B$31:$B$130,"&lt;="&amp;A942))*참고!$C$31:$C$130)/100,0)</f>
        <v>0</v>
      </c>
      <c r="J942" s="31" t="str">
        <f t="shared" si="43"/>
        <v/>
      </c>
      <c r="K942" s="43">
        <f>IF(B942="매도",IFERROR(SUMPRODUCT((참고!$A$31:$A$130=C942)*(참고!$B$31:$B$130&lt;=A942)*(참고!$B$31:$B$130=_xludf.MAXIFS(참고!$B$31:$B$130,참고!$A$31:$A$130,C942,참고!$B$31:$B$130,"&lt;="&amp;A942))*참고!$D$31:$D$130)/100,0),0)</f>
        <v>0</v>
      </c>
      <c r="L942" s="31" t="str">
        <f t="shared" si="44"/>
        <v/>
      </c>
      <c r="M942" s="39"/>
    </row>
    <row r="943" spans="1:13" ht="18" customHeight="1" x14ac:dyDescent="0.45">
      <c r="A943" s="37"/>
      <c r="B943" s="29"/>
      <c r="C943" s="29"/>
      <c r="D943" s="28"/>
      <c r="E943" s="30" t="str">
        <f>IFERROR(VLOOKUP(D943,KRX종목마스터!$A:$B,2,FALSE),"")</f>
        <v/>
      </c>
      <c r="F943" s="42"/>
      <c r="G943" s="42"/>
      <c r="H943" s="31" t="str">
        <f t="shared" si="42"/>
        <v/>
      </c>
      <c r="I943" s="43">
        <f ca="1">IFERROR(SUMPRODUCT((참고!$A$31:$A$130=C943)*(참고!$B$31:$B$130&lt;=A943)*(참고!$B$31:$B$130=_xludf.MAXIFS(참고!$B$31:$B$130,참고!$A$31:$A$130,C943,참고!$B$31:$B$130,"&lt;="&amp;A943))*참고!$C$31:$C$130)/100,0)</f>
        <v>0</v>
      </c>
      <c r="J943" s="31" t="str">
        <f t="shared" si="43"/>
        <v/>
      </c>
      <c r="K943" s="43">
        <f>IF(B943="매도",IFERROR(SUMPRODUCT((참고!$A$31:$A$130=C943)*(참고!$B$31:$B$130&lt;=A943)*(참고!$B$31:$B$130=_xludf.MAXIFS(참고!$B$31:$B$130,참고!$A$31:$A$130,C943,참고!$B$31:$B$130,"&lt;="&amp;A943))*참고!$D$31:$D$130)/100,0),0)</f>
        <v>0</v>
      </c>
      <c r="L943" s="31" t="str">
        <f t="shared" si="44"/>
        <v/>
      </c>
      <c r="M943" s="39"/>
    </row>
    <row r="944" spans="1:13" ht="18" customHeight="1" x14ac:dyDescent="0.45">
      <c r="A944" s="37"/>
      <c r="B944" s="29"/>
      <c r="C944" s="29"/>
      <c r="D944" s="28"/>
      <c r="E944" s="30" t="str">
        <f>IFERROR(VLOOKUP(D944,KRX종목마스터!$A:$B,2,FALSE),"")</f>
        <v/>
      </c>
      <c r="F944" s="42"/>
      <c r="G944" s="42"/>
      <c r="H944" s="31" t="str">
        <f t="shared" si="42"/>
        <v/>
      </c>
      <c r="I944" s="43">
        <f ca="1">IFERROR(SUMPRODUCT((참고!$A$31:$A$130=C944)*(참고!$B$31:$B$130&lt;=A944)*(참고!$B$31:$B$130=_xludf.MAXIFS(참고!$B$31:$B$130,참고!$A$31:$A$130,C944,참고!$B$31:$B$130,"&lt;="&amp;A944))*참고!$C$31:$C$130)/100,0)</f>
        <v>0</v>
      </c>
      <c r="J944" s="31" t="str">
        <f t="shared" si="43"/>
        <v/>
      </c>
      <c r="K944" s="43">
        <f>IF(B944="매도",IFERROR(SUMPRODUCT((참고!$A$31:$A$130=C944)*(참고!$B$31:$B$130&lt;=A944)*(참고!$B$31:$B$130=_xludf.MAXIFS(참고!$B$31:$B$130,참고!$A$31:$A$130,C944,참고!$B$31:$B$130,"&lt;="&amp;A944))*참고!$D$31:$D$130)/100,0),0)</f>
        <v>0</v>
      </c>
      <c r="L944" s="31" t="str">
        <f t="shared" si="44"/>
        <v/>
      </c>
      <c r="M944" s="39"/>
    </row>
    <row r="945" spans="1:13" ht="18" customHeight="1" x14ac:dyDescent="0.45">
      <c r="A945" s="37"/>
      <c r="B945" s="29"/>
      <c r="C945" s="29"/>
      <c r="D945" s="28"/>
      <c r="E945" s="30" t="str">
        <f>IFERROR(VLOOKUP(D945,KRX종목마스터!$A:$B,2,FALSE),"")</f>
        <v/>
      </c>
      <c r="F945" s="42"/>
      <c r="G945" s="42"/>
      <c r="H945" s="31" t="str">
        <f t="shared" si="42"/>
        <v/>
      </c>
      <c r="I945" s="43">
        <f ca="1">IFERROR(SUMPRODUCT((참고!$A$31:$A$130=C945)*(참고!$B$31:$B$130&lt;=A945)*(참고!$B$31:$B$130=_xludf.MAXIFS(참고!$B$31:$B$130,참고!$A$31:$A$130,C945,참고!$B$31:$B$130,"&lt;="&amp;A945))*참고!$C$31:$C$130)/100,0)</f>
        <v>0</v>
      </c>
      <c r="J945" s="31" t="str">
        <f t="shared" si="43"/>
        <v/>
      </c>
      <c r="K945" s="43">
        <f>IF(B945="매도",IFERROR(SUMPRODUCT((참고!$A$31:$A$130=C945)*(참고!$B$31:$B$130&lt;=A945)*(참고!$B$31:$B$130=_xludf.MAXIFS(참고!$B$31:$B$130,참고!$A$31:$A$130,C945,참고!$B$31:$B$130,"&lt;="&amp;A945))*참고!$D$31:$D$130)/100,0),0)</f>
        <v>0</v>
      </c>
      <c r="L945" s="31" t="str">
        <f t="shared" si="44"/>
        <v/>
      </c>
      <c r="M945" s="39"/>
    </row>
    <row r="946" spans="1:13" ht="18" customHeight="1" x14ac:dyDescent="0.45">
      <c r="A946" s="37"/>
      <c r="B946" s="29"/>
      <c r="C946" s="29"/>
      <c r="D946" s="28"/>
      <c r="E946" s="30" t="str">
        <f>IFERROR(VLOOKUP(D946,KRX종목마스터!$A:$B,2,FALSE),"")</f>
        <v/>
      </c>
      <c r="F946" s="42"/>
      <c r="G946" s="42"/>
      <c r="H946" s="31" t="str">
        <f t="shared" si="42"/>
        <v/>
      </c>
      <c r="I946" s="43">
        <f ca="1">IFERROR(SUMPRODUCT((참고!$A$31:$A$130=C946)*(참고!$B$31:$B$130&lt;=A946)*(참고!$B$31:$B$130=_xludf.MAXIFS(참고!$B$31:$B$130,참고!$A$31:$A$130,C946,참고!$B$31:$B$130,"&lt;="&amp;A946))*참고!$C$31:$C$130)/100,0)</f>
        <v>0</v>
      </c>
      <c r="J946" s="31" t="str">
        <f t="shared" si="43"/>
        <v/>
      </c>
      <c r="K946" s="43">
        <f>IF(B946="매도",IFERROR(SUMPRODUCT((참고!$A$31:$A$130=C946)*(참고!$B$31:$B$130&lt;=A946)*(참고!$B$31:$B$130=_xludf.MAXIFS(참고!$B$31:$B$130,참고!$A$31:$A$130,C946,참고!$B$31:$B$130,"&lt;="&amp;A946))*참고!$D$31:$D$130)/100,0),0)</f>
        <v>0</v>
      </c>
      <c r="L946" s="31" t="str">
        <f t="shared" si="44"/>
        <v/>
      </c>
      <c r="M946" s="39"/>
    </row>
    <row r="947" spans="1:13" ht="18" customHeight="1" x14ac:dyDescent="0.45">
      <c r="A947" s="37"/>
      <c r="B947" s="29"/>
      <c r="C947" s="29"/>
      <c r="D947" s="28"/>
      <c r="E947" s="30" t="str">
        <f>IFERROR(VLOOKUP(D947,KRX종목마스터!$A:$B,2,FALSE),"")</f>
        <v/>
      </c>
      <c r="F947" s="42"/>
      <c r="G947" s="42"/>
      <c r="H947" s="31" t="str">
        <f t="shared" si="42"/>
        <v/>
      </c>
      <c r="I947" s="43">
        <f ca="1">IFERROR(SUMPRODUCT((참고!$A$31:$A$130=C947)*(참고!$B$31:$B$130&lt;=A947)*(참고!$B$31:$B$130=_xludf.MAXIFS(참고!$B$31:$B$130,참고!$A$31:$A$130,C947,참고!$B$31:$B$130,"&lt;="&amp;A947))*참고!$C$31:$C$130)/100,0)</f>
        <v>0</v>
      </c>
      <c r="J947" s="31" t="str">
        <f t="shared" si="43"/>
        <v/>
      </c>
      <c r="K947" s="43">
        <f>IF(B947="매도",IFERROR(SUMPRODUCT((참고!$A$31:$A$130=C947)*(참고!$B$31:$B$130&lt;=A947)*(참고!$B$31:$B$130=_xludf.MAXIFS(참고!$B$31:$B$130,참고!$A$31:$A$130,C947,참고!$B$31:$B$130,"&lt;="&amp;A947))*참고!$D$31:$D$130)/100,0),0)</f>
        <v>0</v>
      </c>
      <c r="L947" s="31" t="str">
        <f t="shared" si="44"/>
        <v/>
      </c>
      <c r="M947" s="39"/>
    </row>
    <row r="948" spans="1:13" ht="18" customHeight="1" x14ac:dyDescent="0.45">
      <c r="A948" s="37"/>
      <c r="B948" s="29"/>
      <c r="C948" s="29"/>
      <c r="D948" s="28"/>
      <c r="E948" s="30" t="str">
        <f>IFERROR(VLOOKUP(D948,KRX종목마스터!$A:$B,2,FALSE),"")</f>
        <v/>
      </c>
      <c r="F948" s="42"/>
      <c r="G948" s="42"/>
      <c r="H948" s="31" t="str">
        <f t="shared" si="42"/>
        <v/>
      </c>
      <c r="I948" s="43">
        <f ca="1">IFERROR(SUMPRODUCT((참고!$A$31:$A$130=C948)*(참고!$B$31:$B$130&lt;=A948)*(참고!$B$31:$B$130=_xludf.MAXIFS(참고!$B$31:$B$130,참고!$A$31:$A$130,C948,참고!$B$31:$B$130,"&lt;="&amp;A948))*참고!$C$31:$C$130)/100,0)</f>
        <v>0</v>
      </c>
      <c r="J948" s="31" t="str">
        <f t="shared" si="43"/>
        <v/>
      </c>
      <c r="K948" s="43">
        <f>IF(B948="매도",IFERROR(SUMPRODUCT((참고!$A$31:$A$130=C948)*(참고!$B$31:$B$130&lt;=A948)*(참고!$B$31:$B$130=_xludf.MAXIFS(참고!$B$31:$B$130,참고!$A$31:$A$130,C948,참고!$B$31:$B$130,"&lt;="&amp;A948))*참고!$D$31:$D$130)/100,0),0)</f>
        <v>0</v>
      </c>
      <c r="L948" s="31" t="str">
        <f t="shared" si="44"/>
        <v/>
      </c>
      <c r="M948" s="39"/>
    </row>
    <row r="949" spans="1:13" ht="18" customHeight="1" x14ac:dyDescent="0.45">
      <c r="A949" s="37"/>
      <c r="B949" s="29"/>
      <c r="C949" s="29"/>
      <c r="D949" s="28"/>
      <c r="E949" s="30" t="str">
        <f>IFERROR(VLOOKUP(D949,KRX종목마스터!$A:$B,2,FALSE),"")</f>
        <v/>
      </c>
      <c r="F949" s="42"/>
      <c r="G949" s="42"/>
      <c r="H949" s="31" t="str">
        <f t="shared" si="42"/>
        <v/>
      </c>
      <c r="I949" s="43">
        <f ca="1">IFERROR(SUMPRODUCT((참고!$A$31:$A$130=C949)*(참고!$B$31:$B$130&lt;=A949)*(참고!$B$31:$B$130=_xludf.MAXIFS(참고!$B$31:$B$130,참고!$A$31:$A$130,C949,참고!$B$31:$B$130,"&lt;="&amp;A949))*참고!$C$31:$C$130)/100,0)</f>
        <v>0</v>
      </c>
      <c r="J949" s="31" t="str">
        <f t="shared" si="43"/>
        <v/>
      </c>
      <c r="K949" s="43">
        <f>IF(B949="매도",IFERROR(SUMPRODUCT((참고!$A$31:$A$130=C949)*(참고!$B$31:$B$130&lt;=A949)*(참고!$B$31:$B$130=_xludf.MAXIFS(참고!$B$31:$B$130,참고!$A$31:$A$130,C949,참고!$B$31:$B$130,"&lt;="&amp;A949))*참고!$D$31:$D$130)/100,0),0)</f>
        <v>0</v>
      </c>
      <c r="L949" s="31" t="str">
        <f t="shared" si="44"/>
        <v/>
      </c>
      <c r="M949" s="39"/>
    </row>
    <row r="950" spans="1:13" ht="18" customHeight="1" x14ac:dyDescent="0.45">
      <c r="A950" s="37"/>
      <c r="B950" s="29"/>
      <c r="C950" s="29"/>
      <c r="D950" s="28"/>
      <c r="E950" s="30" t="str">
        <f>IFERROR(VLOOKUP(D950,KRX종목마스터!$A:$B,2,FALSE),"")</f>
        <v/>
      </c>
      <c r="F950" s="42"/>
      <c r="G950" s="42"/>
      <c r="H950" s="31" t="str">
        <f t="shared" si="42"/>
        <v/>
      </c>
      <c r="I950" s="43">
        <f ca="1">IFERROR(SUMPRODUCT((참고!$A$31:$A$130=C950)*(참고!$B$31:$B$130&lt;=A950)*(참고!$B$31:$B$130=_xludf.MAXIFS(참고!$B$31:$B$130,참고!$A$31:$A$130,C950,참고!$B$31:$B$130,"&lt;="&amp;A950))*참고!$C$31:$C$130)/100,0)</f>
        <v>0</v>
      </c>
      <c r="J950" s="31" t="str">
        <f t="shared" si="43"/>
        <v/>
      </c>
      <c r="K950" s="43">
        <f>IF(B950="매도",IFERROR(SUMPRODUCT((참고!$A$31:$A$130=C950)*(참고!$B$31:$B$130&lt;=A950)*(참고!$B$31:$B$130=_xludf.MAXIFS(참고!$B$31:$B$130,참고!$A$31:$A$130,C950,참고!$B$31:$B$130,"&lt;="&amp;A950))*참고!$D$31:$D$130)/100,0),0)</f>
        <v>0</v>
      </c>
      <c r="L950" s="31" t="str">
        <f t="shared" si="44"/>
        <v/>
      </c>
      <c r="M950" s="39"/>
    </row>
    <row r="951" spans="1:13" ht="18" customHeight="1" x14ac:dyDescent="0.45">
      <c r="A951" s="37"/>
      <c r="B951" s="29"/>
      <c r="C951" s="29"/>
      <c r="D951" s="28"/>
      <c r="E951" s="30" t="str">
        <f>IFERROR(VLOOKUP(D951,KRX종목마스터!$A:$B,2,FALSE),"")</f>
        <v/>
      </c>
      <c r="F951" s="42"/>
      <c r="G951" s="42"/>
      <c r="H951" s="31" t="str">
        <f t="shared" si="42"/>
        <v/>
      </c>
      <c r="I951" s="43">
        <f ca="1">IFERROR(SUMPRODUCT((참고!$A$31:$A$130=C951)*(참고!$B$31:$B$130&lt;=A951)*(참고!$B$31:$B$130=_xludf.MAXIFS(참고!$B$31:$B$130,참고!$A$31:$A$130,C951,참고!$B$31:$B$130,"&lt;="&amp;A951))*참고!$C$31:$C$130)/100,0)</f>
        <v>0</v>
      </c>
      <c r="J951" s="31" t="str">
        <f t="shared" si="43"/>
        <v/>
      </c>
      <c r="K951" s="43">
        <f>IF(B951="매도",IFERROR(SUMPRODUCT((참고!$A$31:$A$130=C951)*(참고!$B$31:$B$130&lt;=A951)*(참고!$B$31:$B$130=_xludf.MAXIFS(참고!$B$31:$B$130,참고!$A$31:$A$130,C951,참고!$B$31:$B$130,"&lt;="&amp;A951))*참고!$D$31:$D$130)/100,0),0)</f>
        <v>0</v>
      </c>
      <c r="L951" s="31" t="str">
        <f t="shared" si="44"/>
        <v/>
      </c>
      <c r="M951" s="39"/>
    </row>
    <row r="952" spans="1:13" ht="18" customHeight="1" x14ac:dyDescent="0.45">
      <c r="A952" s="37"/>
      <c r="B952" s="29"/>
      <c r="C952" s="29"/>
      <c r="D952" s="28"/>
      <c r="E952" s="30" t="str">
        <f>IFERROR(VLOOKUP(D952,KRX종목마스터!$A:$B,2,FALSE),"")</f>
        <v/>
      </c>
      <c r="F952" s="42"/>
      <c r="G952" s="42"/>
      <c r="H952" s="31" t="str">
        <f t="shared" si="42"/>
        <v/>
      </c>
      <c r="I952" s="43">
        <f ca="1">IFERROR(SUMPRODUCT((참고!$A$31:$A$130=C952)*(참고!$B$31:$B$130&lt;=A952)*(참고!$B$31:$B$130=_xludf.MAXIFS(참고!$B$31:$B$130,참고!$A$31:$A$130,C952,참고!$B$31:$B$130,"&lt;="&amp;A952))*참고!$C$31:$C$130)/100,0)</f>
        <v>0</v>
      </c>
      <c r="J952" s="31" t="str">
        <f t="shared" si="43"/>
        <v/>
      </c>
      <c r="K952" s="43">
        <f>IF(B952="매도",IFERROR(SUMPRODUCT((참고!$A$31:$A$130=C952)*(참고!$B$31:$B$130&lt;=A952)*(참고!$B$31:$B$130=_xludf.MAXIFS(참고!$B$31:$B$130,참고!$A$31:$A$130,C952,참고!$B$31:$B$130,"&lt;="&amp;A952))*참고!$D$31:$D$130)/100,0),0)</f>
        <v>0</v>
      </c>
      <c r="L952" s="31" t="str">
        <f t="shared" si="44"/>
        <v/>
      </c>
      <c r="M952" s="39"/>
    </row>
    <row r="953" spans="1:13" ht="18" customHeight="1" x14ac:dyDescent="0.45">
      <c r="A953" s="37"/>
      <c r="B953" s="29"/>
      <c r="C953" s="29"/>
      <c r="D953" s="28"/>
      <c r="E953" s="30" t="str">
        <f>IFERROR(VLOOKUP(D953,KRX종목마스터!$A:$B,2,FALSE),"")</f>
        <v/>
      </c>
      <c r="F953" s="42"/>
      <c r="G953" s="42"/>
      <c r="H953" s="31" t="str">
        <f t="shared" si="42"/>
        <v/>
      </c>
      <c r="I953" s="43">
        <f ca="1">IFERROR(SUMPRODUCT((참고!$A$31:$A$130=C953)*(참고!$B$31:$B$130&lt;=A953)*(참고!$B$31:$B$130=_xludf.MAXIFS(참고!$B$31:$B$130,참고!$A$31:$A$130,C953,참고!$B$31:$B$130,"&lt;="&amp;A953))*참고!$C$31:$C$130)/100,0)</f>
        <v>0</v>
      </c>
      <c r="J953" s="31" t="str">
        <f t="shared" si="43"/>
        <v/>
      </c>
      <c r="K953" s="43">
        <f>IF(B953="매도",IFERROR(SUMPRODUCT((참고!$A$31:$A$130=C953)*(참고!$B$31:$B$130&lt;=A953)*(참고!$B$31:$B$130=_xludf.MAXIFS(참고!$B$31:$B$130,참고!$A$31:$A$130,C953,참고!$B$31:$B$130,"&lt;="&amp;A953))*참고!$D$31:$D$130)/100,0),0)</f>
        <v>0</v>
      </c>
      <c r="L953" s="31" t="str">
        <f t="shared" si="44"/>
        <v/>
      </c>
      <c r="M953" s="39"/>
    </row>
    <row r="954" spans="1:13" ht="18" customHeight="1" x14ac:dyDescent="0.45">
      <c r="A954" s="37"/>
      <c r="B954" s="29"/>
      <c r="C954" s="29"/>
      <c r="D954" s="28"/>
      <c r="E954" s="30" t="str">
        <f>IFERROR(VLOOKUP(D954,KRX종목마스터!$A:$B,2,FALSE),"")</f>
        <v/>
      </c>
      <c r="F954" s="42"/>
      <c r="G954" s="42"/>
      <c r="H954" s="31" t="str">
        <f t="shared" si="42"/>
        <v/>
      </c>
      <c r="I954" s="43">
        <f ca="1">IFERROR(SUMPRODUCT((참고!$A$31:$A$130=C954)*(참고!$B$31:$B$130&lt;=A954)*(참고!$B$31:$B$130=_xludf.MAXIFS(참고!$B$31:$B$130,참고!$A$31:$A$130,C954,참고!$B$31:$B$130,"&lt;="&amp;A954))*참고!$C$31:$C$130)/100,0)</f>
        <v>0</v>
      </c>
      <c r="J954" s="31" t="str">
        <f t="shared" si="43"/>
        <v/>
      </c>
      <c r="K954" s="43">
        <f>IF(B954="매도",IFERROR(SUMPRODUCT((참고!$A$31:$A$130=C954)*(참고!$B$31:$B$130&lt;=A954)*(참고!$B$31:$B$130=_xludf.MAXIFS(참고!$B$31:$B$130,참고!$A$31:$A$130,C954,참고!$B$31:$B$130,"&lt;="&amp;A954))*참고!$D$31:$D$130)/100,0),0)</f>
        <v>0</v>
      </c>
      <c r="L954" s="31" t="str">
        <f t="shared" si="44"/>
        <v/>
      </c>
      <c r="M954" s="39"/>
    </row>
    <row r="955" spans="1:13" ht="18" customHeight="1" x14ac:dyDescent="0.45">
      <c r="A955" s="37"/>
      <c r="B955" s="29"/>
      <c r="C955" s="29"/>
      <c r="D955" s="28"/>
      <c r="E955" s="30" t="str">
        <f>IFERROR(VLOOKUP(D955,KRX종목마스터!$A:$B,2,FALSE),"")</f>
        <v/>
      </c>
      <c r="F955" s="42"/>
      <c r="G955" s="42"/>
      <c r="H955" s="31" t="str">
        <f t="shared" si="42"/>
        <v/>
      </c>
      <c r="I955" s="43">
        <f ca="1">IFERROR(SUMPRODUCT((참고!$A$31:$A$130=C955)*(참고!$B$31:$B$130&lt;=A955)*(참고!$B$31:$B$130=_xludf.MAXIFS(참고!$B$31:$B$130,참고!$A$31:$A$130,C955,참고!$B$31:$B$130,"&lt;="&amp;A955))*참고!$C$31:$C$130)/100,0)</f>
        <v>0</v>
      </c>
      <c r="J955" s="31" t="str">
        <f t="shared" si="43"/>
        <v/>
      </c>
      <c r="K955" s="43">
        <f>IF(B955="매도",IFERROR(SUMPRODUCT((참고!$A$31:$A$130=C955)*(참고!$B$31:$B$130&lt;=A955)*(참고!$B$31:$B$130=_xludf.MAXIFS(참고!$B$31:$B$130,참고!$A$31:$A$130,C955,참고!$B$31:$B$130,"&lt;="&amp;A955))*참고!$D$31:$D$130)/100,0),0)</f>
        <v>0</v>
      </c>
      <c r="L955" s="31" t="str">
        <f t="shared" si="44"/>
        <v/>
      </c>
      <c r="M955" s="39"/>
    </row>
    <row r="956" spans="1:13" ht="18" customHeight="1" x14ac:dyDescent="0.45">
      <c r="A956" s="37"/>
      <c r="B956" s="29"/>
      <c r="C956" s="29"/>
      <c r="D956" s="28"/>
      <c r="E956" s="30" t="str">
        <f>IFERROR(VLOOKUP(D956,KRX종목마스터!$A:$B,2,FALSE),"")</f>
        <v/>
      </c>
      <c r="F956" s="42"/>
      <c r="G956" s="42"/>
      <c r="H956" s="31" t="str">
        <f t="shared" si="42"/>
        <v/>
      </c>
      <c r="I956" s="43">
        <f ca="1">IFERROR(SUMPRODUCT((참고!$A$31:$A$130=C956)*(참고!$B$31:$B$130&lt;=A956)*(참고!$B$31:$B$130=_xludf.MAXIFS(참고!$B$31:$B$130,참고!$A$31:$A$130,C956,참고!$B$31:$B$130,"&lt;="&amp;A956))*참고!$C$31:$C$130)/100,0)</f>
        <v>0</v>
      </c>
      <c r="J956" s="31" t="str">
        <f t="shared" si="43"/>
        <v/>
      </c>
      <c r="K956" s="43">
        <f>IF(B956="매도",IFERROR(SUMPRODUCT((참고!$A$31:$A$130=C956)*(참고!$B$31:$B$130&lt;=A956)*(참고!$B$31:$B$130=_xludf.MAXIFS(참고!$B$31:$B$130,참고!$A$31:$A$130,C956,참고!$B$31:$B$130,"&lt;="&amp;A956))*참고!$D$31:$D$130)/100,0),0)</f>
        <v>0</v>
      </c>
      <c r="L956" s="31" t="str">
        <f t="shared" si="44"/>
        <v/>
      </c>
      <c r="M956" s="39"/>
    </row>
    <row r="957" spans="1:13" ht="18" customHeight="1" x14ac:dyDescent="0.45">
      <c r="A957" s="37"/>
      <c r="B957" s="29"/>
      <c r="C957" s="29"/>
      <c r="D957" s="28"/>
      <c r="E957" s="30" t="str">
        <f>IFERROR(VLOOKUP(D957,KRX종목마스터!$A:$B,2,FALSE),"")</f>
        <v/>
      </c>
      <c r="F957" s="42"/>
      <c r="G957" s="42"/>
      <c r="H957" s="31" t="str">
        <f t="shared" si="42"/>
        <v/>
      </c>
      <c r="I957" s="43">
        <f ca="1">IFERROR(SUMPRODUCT((참고!$A$31:$A$130=C957)*(참고!$B$31:$B$130&lt;=A957)*(참고!$B$31:$B$130=_xludf.MAXIFS(참고!$B$31:$B$130,참고!$A$31:$A$130,C957,참고!$B$31:$B$130,"&lt;="&amp;A957))*참고!$C$31:$C$130)/100,0)</f>
        <v>0</v>
      </c>
      <c r="J957" s="31" t="str">
        <f t="shared" si="43"/>
        <v/>
      </c>
      <c r="K957" s="43">
        <f>IF(B957="매도",IFERROR(SUMPRODUCT((참고!$A$31:$A$130=C957)*(참고!$B$31:$B$130&lt;=A957)*(참고!$B$31:$B$130=_xludf.MAXIFS(참고!$B$31:$B$130,참고!$A$31:$A$130,C957,참고!$B$31:$B$130,"&lt;="&amp;A957))*참고!$D$31:$D$130)/100,0),0)</f>
        <v>0</v>
      </c>
      <c r="L957" s="31" t="str">
        <f t="shared" si="44"/>
        <v/>
      </c>
      <c r="M957" s="39"/>
    </row>
    <row r="958" spans="1:13" ht="18" customHeight="1" x14ac:dyDescent="0.45">
      <c r="A958" s="37"/>
      <c r="B958" s="29"/>
      <c r="C958" s="29"/>
      <c r="D958" s="28"/>
      <c r="E958" s="30" t="str">
        <f>IFERROR(VLOOKUP(D958,KRX종목마스터!$A:$B,2,FALSE),"")</f>
        <v/>
      </c>
      <c r="F958" s="42"/>
      <c r="G958" s="42"/>
      <c r="H958" s="31" t="str">
        <f t="shared" si="42"/>
        <v/>
      </c>
      <c r="I958" s="43">
        <f ca="1">IFERROR(SUMPRODUCT((참고!$A$31:$A$130=C958)*(참고!$B$31:$B$130&lt;=A958)*(참고!$B$31:$B$130=_xludf.MAXIFS(참고!$B$31:$B$130,참고!$A$31:$A$130,C958,참고!$B$31:$B$130,"&lt;="&amp;A958))*참고!$C$31:$C$130)/100,0)</f>
        <v>0</v>
      </c>
      <c r="J958" s="31" t="str">
        <f t="shared" si="43"/>
        <v/>
      </c>
      <c r="K958" s="43">
        <f>IF(B958="매도",IFERROR(SUMPRODUCT((참고!$A$31:$A$130=C958)*(참고!$B$31:$B$130&lt;=A958)*(참고!$B$31:$B$130=_xludf.MAXIFS(참고!$B$31:$B$130,참고!$A$31:$A$130,C958,참고!$B$31:$B$130,"&lt;="&amp;A958))*참고!$D$31:$D$130)/100,0),0)</f>
        <v>0</v>
      </c>
      <c r="L958" s="31" t="str">
        <f t="shared" si="44"/>
        <v/>
      </c>
      <c r="M958" s="39"/>
    </row>
    <row r="959" spans="1:13" ht="18" customHeight="1" x14ac:dyDescent="0.45">
      <c r="A959" s="37"/>
      <c r="B959" s="29"/>
      <c r="C959" s="29"/>
      <c r="D959" s="28"/>
      <c r="E959" s="30" t="str">
        <f>IFERROR(VLOOKUP(D959,KRX종목마스터!$A:$B,2,FALSE),"")</f>
        <v/>
      </c>
      <c r="F959" s="42"/>
      <c r="G959" s="42"/>
      <c r="H959" s="31" t="str">
        <f t="shared" si="42"/>
        <v/>
      </c>
      <c r="I959" s="43">
        <f ca="1">IFERROR(SUMPRODUCT((참고!$A$31:$A$130=C959)*(참고!$B$31:$B$130&lt;=A959)*(참고!$B$31:$B$130=_xludf.MAXIFS(참고!$B$31:$B$130,참고!$A$31:$A$130,C959,참고!$B$31:$B$130,"&lt;="&amp;A959))*참고!$C$31:$C$130)/100,0)</f>
        <v>0</v>
      </c>
      <c r="J959" s="31" t="str">
        <f t="shared" si="43"/>
        <v/>
      </c>
      <c r="K959" s="43">
        <f>IF(B959="매도",IFERROR(SUMPRODUCT((참고!$A$31:$A$130=C959)*(참고!$B$31:$B$130&lt;=A959)*(참고!$B$31:$B$130=_xludf.MAXIFS(참고!$B$31:$B$130,참고!$A$31:$A$130,C959,참고!$B$31:$B$130,"&lt;="&amp;A959))*참고!$D$31:$D$130)/100,0),0)</f>
        <v>0</v>
      </c>
      <c r="L959" s="31" t="str">
        <f t="shared" si="44"/>
        <v/>
      </c>
      <c r="M959" s="39"/>
    </row>
    <row r="960" spans="1:13" ht="18" customHeight="1" x14ac:dyDescent="0.45">
      <c r="A960" s="37"/>
      <c r="B960" s="29"/>
      <c r="C960" s="29"/>
      <c r="D960" s="28"/>
      <c r="E960" s="30" t="str">
        <f>IFERROR(VLOOKUP(D960,KRX종목마스터!$A:$B,2,FALSE),"")</f>
        <v/>
      </c>
      <c r="F960" s="42"/>
      <c r="G960" s="42"/>
      <c r="H960" s="31" t="str">
        <f t="shared" si="42"/>
        <v/>
      </c>
      <c r="I960" s="43">
        <f ca="1">IFERROR(SUMPRODUCT((참고!$A$31:$A$130=C960)*(참고!$B$31:$B$130&lt;=A960)*(참고!$B$31:$B$130=_xludf.MAXIFS(참고!$B$31:$B$130,참고!$A$31:$A$130,C960,참고!$B$31:$B$130,"&lt;="&amp;A960))*참고!$C$31:$C$130)/100,0)</f>
        <v>0</v>
      </c>
      <c r="J960" s="31" t="str">
        <f t="shared" si="43"/>
        <v/>
      </c>
      <c r="K960" s="43">
        <f>IF(B960="매도",IFERROR(SUMPRODUCT((참고!$A$31:$A$130=C960)*(참고!$B$31:$B$130&lt;=A960)*(참고!$B$31:$B$130=_xludf.MAXIFS(참고!$B$31:$B$130,참고!$A$31:$A$130,C960,참고!$B$31:$B$130,"&lt;="&amp;A960))*참고!$D$31:$D$130)/100,0),0)</f>
        <v>0</v>
      </c>
      <c r="L960" s="31" t="str">
        <f t="shared" si="44"/>
        <v/>
      </c>
      <c r="M960" s="39"/>
    </row>
    <row r="961" spans="1:13" ht="18" customHeight="1" x14ac:dyDescent="0.45">
      <c r="A961" s="37"/>
      <c r="B961" s="29"/>
      <c r="C961" s="29"/>
      <c r="D961" s="28"/>
      <c r="E961" s="30" t="str">
        <f>IFERROR(VLOOKUP(D961,KRX종목마스터!$A:$B,2,FALSE),"")</f>
        <v/>
      </c>
      <c r="F961" s="42"/>
      <c r="G961" s="42"/>
      <c r="H961" s="31" t="str">
        <f t="shared" si="42"/>
        <v/>
      </c>
      <c r="I961" s="43">
        <f ca="1">IFERROR(SUMPRODUCT((참고!$A$31:$A$130=C961)*(참고!$B$31:$B$130&lt;=A961)*(참고!$B$31:$B$130=_xludf.MAXIFS(참고!$B$31:$B$130,참고!$A$31:$A$130,C961,참고!$B$31:$B$130,"&lt;="&amp;A961))*참고!$C$31:$C$130)/100,0)</f>
        <v>0</v>
      </c>
      <c r="J961" s="31" t="str">
        <f t="shared" si="43"/>
        <v/>
      </c>
      <c r="K961" s="43">
        <f>IF(B961="매도",IFERROR(SUMPRODUCT((참고!$A$31:$A$130=C961)*(참고!$B$31:$B$130&lt;=A961)*(참고!$B$31:$B$130=_xludf.MAXIFS(참고!$B$31:$B$130,참고!$A$31:$A$130,C961,참고!$B$31:$B$130,"&lt;="&amp;A961))*참고!$D$31:$D$130)/100,0),0)</f>
        <v>0</v>
      </c>
      <c r="L961" s="31" t="str">
        <f t="shared" si="44"/>
        <v/>
      </c>
      <c r="M961" s="39"/>
    </row>
    <row r="962" spans="1:13" ht="18" customHeight="1" x14ac:dyDescent="0.45">
      <c r="A962" s="37"/>
      <c r="B962" s="29"/>
      <c r="C962" s="29"/>
      <c r="D962" s="28"/>
      <c r="E962" s="30" t="str">
        <f>IFERROR(VLOOKUP(D962,KRX종목마스터!$A:$B,2,FALSE),"")</f>
        <v/>
      </c>
      <c r="F962" s="42"/>
      <c r="G962" s="42"/>
      <c r="H962" s="31" t="str">
        <f t="shared" si="42"/>
        <v/>
      </c>
      <c r="I962" s="43">
        <f ca="1">IFERROR(SUMPRODUCT((참고!$A$31:$A$130=C962)*(참고!$B$31:$B$130&lt;=A962)*(참고!$B$31:$B$130=_xludf.MAXIFS(참고!$B$31:$B$130,참고!$A$31:$A$130,C962,참고!$B$31:$B$130,"&lt;="&amp;A962))*참고!$C$31:$C$130)/100,0)</f>
        <v>0</v>
      </c>
      <c r="J962" s="31" t="str">
        <f t="shared" si="43"/>
        <v/>
      </c>
      <c r="K962" s="43">
        <f>IF(B962="매도",IFERROR(SUMPRODUCT((참고!$A$31:$A$130=C962)*(참고!$B$31:$B$130&lt;=A962)*(참고!$B$31:$B$130=_xludf.MAXIFS(참고!$B$31:$B$130,참고!$A$31:$A$130,C962,참고!$B$31:$B$130,"&lt;="&amp;A962))*참고!$D$31:$D$130)/100,0),0)</f>
        <v>0</v>
      </c>
      <c r="L962" s="31" t="str">
        <f t="shared" si="44"/>
        <v/>
      </c>
      <c r="M962" s="39"/>
    </row>
    <row r="963" spans="1:13" ht="18" customHeight="1" x14ac:dyDescent="0.45">
      <c r="A963" s="37"/>
      <c r="B963" s="29"/>
      <c r="C963" s="29"/>
      <c r="D963" s="28"/>
      <c r="E963" s="30" t="str">
        <f>IFERROR(VLOOKUP(D963,KRX종목마스터!$A:$B,2,FALSE),"")</f>
        <v/>
      </c>
      <c r="F963" s="42"/>
      <c r="G963" s="42"/>
      <c r="H963" s="31" t="str">
        <f t="shared" si="42"/>
        <v/>
      </c>
      <c r="I963" s="43">
        <f ca="1">IFERROR(SUMPRODUCT((참고!$A$31:$A$130=C963)*(참고!$B$31:$B$130&lt;=A963)*(참고!$B$31:$B$130=_xludf.MAXIFS(참고!$B$31:$B$130,참고!$A$31:$A$130,C963,참고!$B$31:$B$130,"&lt;="&amp;A963))*참고!$C$31:$C$130)/100,0)</f>
        <v>0</v>
      </c>
      <c r="J963" s="31" t="str">
        <f t="shared" si="43"/>
        <v/>
      </c>
      <c r="K963" s="43">
        <f>IF(B963="매도",IFERROR(SUMPRODUCT((참고!$A$31:$A$130=C963)*(참고!$B$31:$B$130&lt;=A963)*(참고!$B$31:$B$130=_xludf.MAXIFS(참고!$B$31:$B$130,참고!$A$31:$A$130,C963,참고!$B$31:$B$130,"&lt;="&amp;A963))*참고!$D$31:$D$130)/100,0),0)</f>
        <v>0</v>
      </c>
      <c r="L963" s="31" t="str">
        <f t="shared" si="44"/>
        <v/>
      </c>
      <c r="M963" s="39"/>
    </row>
    <row r="964" spans="1:13" ht="18" customHeight="1" x14ac:dyDescent="0.45">
      <c r="A964" s="37"/>
      <c r="B964" s="29"/>
      <c r="C964" s="29"/>
      <c r="D964" s="28"/>
      <c r="E964" s="30" t="str">
        <f>IFERROR(VLOOKUP(D964,KRX종목마스터!$A:$B,2,FALSE),"")</f>
        <v/>
      </c>
      <c r="F964" s="42"/>
      <c r="G964" s="42"/>
      <c r="H964" s="31" t="str">
        <f t="shared" si="42"/>
        <v/>
      </c>
      <c r="I964" s="43">
        <f ca="1">IFERROR(SUMPRODUCT((참고!$A$31:$A$130=C964)*(참고!$B$31:$B$130&lt;=A964)*(참고!$B$31:$B$130=_xludf.MAXIFS(참고!$B$31:$B$130,참고!$A$31:$A$130,C964,참고!$B$31:$B$130,"&lt;="&amp;A964))*참고!$C$31:$C$130)/100,0)</f>
        <v>0</v>
      </c>
      <c r="J964" s="31" t="str">
        <f t="shared" si="43"/>
        <v/>
      </c>
      <c r="K964" s="43">
        <f>IF(B964="매도",IFERROR(SUMPRODUCT((참고!$A$31:$A$130=C964)*(참고!$B$31:$B$130&lt;=A964)*(참고!$B$31:$B$130=_xludf.MAXIFS(참고!$B$31:$B$130,참고!$A$31:$A$130,C964,참고!$B$31:$B$130,"&lt;="&amp;A964))*참고!$D$31:$D$130)/100,0),0)</f>
        <v>0</v>
      </c>
      <c r="L964" s="31" t="str">
        <f t="shared" si="44"/>
        <v/>
      </c>
      <c r="M964" s="39"/>
    </row>
    <row r="965" spans="1:13" ht="18" customHeight="1" x14ac:dyDescent="0.45">
      <c r="A965" s="37"/>
      <c r="B965" s="29"/>
      <c r="C965" s="29"/>
      <c r="D965" s="28"/>
      <c r="E965" s="30" t="str">
        <f>IFERROR(VLOOKUP(D965,KRX종목마스터!$A:$B,2,FALSE),"")</f>
        <v/>
      </c>
      <c r="F965" s="42"/>
      <c r="G965" s="42"/>
      <c r="H965" s="31" t="str">
        <f t="shared" ref="H965:H1028" si="45">IF(AND(F965&lt;&gt;"",G965&lt;&gt;""),F965*G965,"")</f>
        <v/>
      </c>
      <c r="I965" s="43">
        <f ca="1">IFERROR(SUMPRODUCT((참고!$A$31:$A$130=C965)*(참고!$B$31:$B$130&lt;=A965)*(참고!$B$31:$B$130=_xludf.MAXIFS(참고!$B$31:$B$130,참고!$A$31:$A$130,C965,참고!$B$31:$B$130,"&lt;="&amp;A965))*참고!$C$31:$C$130)/100,0)</f>
        <v>0</v>
      </c>
      <c r="J965" s="31" t="str">
        <f t="shared" ref="J965:J1028" si="46">IF(H965="","",ROUND(H965*I965,0))</f>
        <v/>
      </c>
      <c r="K965" s="43">
        <f>IF(B965="매도",IFERROR(SUMPRODUCT((참고!$A$31:$A$130=C965)*(참고!$B$31:$B$130&lt;=A965)*(참고!$B$31:$B$130=_xludf.MAXIFS(참고!$B$31:$B$130,참고!$A$31:$A$130,C965,참고!$B$31:$B$130,"&lt;="&amp;A965))*참고!$D$31:$D$130)/100,0),0)</f>
        <v>0</v>
      </c>
      <c r="L965" s="31" t="str">
        <f t="shared" ref="L965:L1028" si="47">IF(H965="","",ROUND(H965*K965,0))</f>
        <v/>
      </c>
      <c r="M965" s="39"/>
    </row>
    <row r="966" spans="1:13" ht="18" customHeight="1" x14ac:dyDescent="0.45">
      <c r="A966" s="37"/>
      <c r="B966" s="29"/>
      <c r="C966" s="29"/>
      <c r="D966" s="28"/>
      <c r="E966" s="30" t="str">
        <f>IFERROR(VLOOKUP(D966,KRX종목마스터!$A:$B,2,FALSE),"")</f>
        <v/>
      </c>
      <c r="F966" s="42"/>
      <c r="G966" s="42"/>
      <c r="H966" s="31" t="str">
        <f t="shared" si="45"/>
        <v/>
      </c>
      <c r="I966" s="43">
        <f ca="1">IFERROR(SUMPRODUCT((참고!$A$31:$A$130=C966)*(참고!$B$31:$B$130&lt;=A966)*(참고!$B$31:$B$130=_xludf.MAXIFS(참고!$B$31:$B$130,참고!$A$31:$A$130,C966,참고!$B$31:$B$130,"&lt;="&amp;A966))*참고!$C$31:$C$130)/100,0)</f>
        <v>0</v>
      </c>
      <c r="J966" s="31" t="str">
        <f t="shared" si="46"/>
        <v/>
      </c>
      <c r="K966" s="43">
        <f>IF(B966="매도",IFERROR(SUMPRODUCT((참고!$A$31:$A$130=C966)*(참고!$B$31:$B$130&lt;=A966)*(참고!$B$31:$B$130=_xludf.MAXIFS(참고!$B$31:$B$130,참고!$A$31:$A$130,C966,참고!$B$31:$B$130,"&lt;="&amp;A966))*참고!$D$31:$D$130)/100,0),0)</f>
        <v>0</v>
      </c>
      <c r="L966" s="31" t="str">
        <f t="shared" si="47"/>
        <v/>
      </c>
      <c r="M966" s="39"/>
    </row>
    <row r="967" spans="1:13" ht="18" customHeight="1" x14ac:dyDescent="0.45">
      <c r="A967" s="37"/>
      <c r="B967" s="29"/>
      <c r="C967" s="29"/>
      <c r="D967" s="28"/>
      <c r="E967" s="30" t="str">
        <f>IFERROR(VLOOKUP(D967,KRX종목마스터!$A:$B,2,FALSE),"")</f>
        <v/>
      </c>
      <c r="F967" s="42"/>
      <c r="G967" s="42"/>
      <c r="H967" s="31" t="str">
        <f t="shared" si="45"/>
        <v/>
      </c>
      <c r="I967" s="43">
        <f ca="1">IFERROR(SUMPRODUCT((참고!$A$31:$A$130=C967)*(참고!$B$31:$B$130&lt;=A967)*(참고!$B$31:$B$130=_xludf.MAXIFS(참고!$B$31:$B$130,참고!$A$31:$A$130,C967,참고!$B$31:$B$130,"&lt;="&amp;A967))*참고!$C$31:$C$130)/100,0)</f>
        <v>0</v>
      </c>
      <c r="J967" s="31" t="str">
        <f t="shared" si="46"/>
        <v/>
      </c>
      <c r="K967" s="43">
        <f>IF(B967="매도",IFERROR(SUMPRODUCT((참고!$A$31:$A$130=C967)*(참고!$B$31:$B$130&lt;=A967)*(참고!$B$31:$B$130=_xludf.MAXIFS(참고!$B$31:$B$130,참고!$A$31:$A$130,C967,참고!$B$31:$B$130,"&lt;="&amp;A967))*참고!$D$31:$D$130)/100,0),0)</f>
        <v>0</v>
      </c>
      <c r="L967" s="31" t="str">
        <f t="shared" si="47"/>
        <v/>
      </c>
      <c r="M967" s="39"/>
    </row>
    <row r="968" spans="1:13" ht="18" customHeight="1" x14ac:dyDescent="0.45">
      <c r="A968" s="37"/>
      <c r="B968" s="29"/>
      <c r="C968" s="29"/>
      <c r="D968" s="28"/>
      <c r="E968" s="30" t="str">
        <f>IFERROR(VLOOKUP(D968,KRX종목마스터!$A:$B,2,FALSE),"")</f>
        <v/>
      </c>
      <c r="F968" s="42"/>
      <c r="G968" s="42"/>
      <c r="H968" s="31" t="str">
        <f t="shared" si="45"/>
        <v/>
      </c>
      <c r="I968" s="43">
        <f ca="1">IFERROR(SUMPRODUCT((참고!$A$31:$A$130=C968)*(참고!$B$31:$B$130&lt;=A968)*(참고!$B$31:$B$130=_xludf.MAXIFS(참고!$B$31:$B$130,참고!$A$31:$A$130,C968,참고!$B$31:$B$130,"&lt;="&amp;A968))*참고!$C$31:$C$130)/100,0)</f>
        <v>0</v>
      </c>
      <c r="J968" s="31" t="str">
        <f t="shared" si="46"/>
        <v/>
      </c>
      <c r="K968" s="43">
        <f>IF(B968="매도",IFERROR(SUMPRODUCT((참고!$A$31:$A$130=C968)*(참고!$B$31:$B$130&lt;=A968)*(참고!$B$31:$B$130=_xludf.MAXIFS(참고!$B$31:$B$130,참고!$A$31:$A$130,C968,참고!$B$31:$B$130,"&lt;="&amp;A968))*참고!$D$31:$D$130)/100,0),0)</f>
        <v>0</v>
      </c>
      <c r="L968" s="31" t="str">
        <f t="shared" si="47"/>
        <v/>
      </c>
      <c r="M968" s="39"/>
    </row>
    <row r="969" spans="1:13" ht="18" customHeight="1" x14ac:dyDescent="0.45">
      <c r="A969" s="37"/>
      <c r="B969" s="29"/>
      <c r="C969" s="29"/>
      <c r="D969" s="28"/>
      <c r="E969" s="30" t="str">
        <f>IFERROR(VLOOKUP(D969,KRX종목마스터!$A:$B,2,FALSE),"")</f>
        <v/>
      </c>
      <c r="F969" s="42"/>
      <c r="G969" s="42"/>
      <c r="H969" s="31" t="str">
        <f t="shared" si="45"/>
        <v/>
      </c>
      <c r="I969" s="43">
        <f ca="1">IFERROR(SUMPRODUCT((참고!$A$31:$A$130=C969)*(참고!$B$31:$B$130&lt;=A969)*(참고!$B$31:$B$130=_xludf.MAXIFS(참고!$B$31:$B$130,참고!$A$31:$A$130,C969,참고!$B$31:$B$130,"&lt;="&amp;A969))*참고!$C$31:$C$130)/100,0)</f>
        <v>0</v>
      </c>
      <c r="J969" s="31" t="str">
        <f t="shared" si="46"/>
        <v/>
      </c>
      <c r="K969" s="43">
        <f>IF(B969="매도",IFERROR(SUMPRODUCT((참고!$A$31:$A$130=C969)*(참고!$B$31:$B$130&lt;=A969)*(참고!$B$31:$B$130=_xludf.MAXIFS(참고!$B$31:$B$130,참고!$A$31:$A$130,C969,참고!$B$31:$B$130,"&lt;="&amp;A969))*참고!$D$31:$D$130)/100,0),0)</f>
        <v>0</v>
      </c>
      <c r="L969" s="31" t="str">
        <f t="shared" si="47"/>
        <v/>
      </c>
      <c r="M969" s="39"/>
    </row>
    <row r="970" spans="1:13" ht="18" customHeight="1" x14ac:dyDescent="0.45">
      <c r="A970" s="37"/>
      <c r="B970" s="29"/>
      <c r="C970" s="29"/>
      <c r="D970" s="28"/>
      <c r="E970" s="30" t="str">
        <f>IFERROR(VLOOKUP(D970,KRX종목마스터!$A:$B,2,FALSE),"")</f>
        <v/>
      </c>
      <c r="F970" s="42"/>
      <c r="G970" s="42"/>
      <c r="H970" s="31" t="str">
        <f t="shared" si="45"/>
        <v/>
      </c>
      <c r="I970" s="43">
        <f ca="1">IFERROR(SUMPRODUCT((참고!$A$31:$A$130=C970)*(참고!$B$31:$B$130&lt;=A970)*(참고!$B$31:$B$130=_xludf.MAXIFS(참고!$B$31:$B$130,참고!$A$31:$A$130,C970,참고!$B$31:$B$130,"&lt;="&amp;A970))*참고!$C$31:$C$130)/100,0)</f>
        <v>0</v>
      </c>
      <c r="J970" s="31" t="str">
        <f t="shared" si="46"/>
        <v/>
      </c>
      <c r="K970" s="43">
        <f>IF(B970="매도",IFERROR(SUMPRODUCT((참고!$A$31:$A$130=C970)*(참고!$B$31:$B$130&lt;=A970)*(참고!$B$31:$B$130=_xludf.MAXIFS(참고!$B$31:$B$130,참고!$A$31:$A$130,C970,참고!$B$31:$B$130,"&lt;="&amp;A970))*참고!$D$31:$D$130)/100,0),0)</f>
        <v>0</v>
      </c>
      <c r="L970" s="31" t="str">
        <f t="shared" si="47"/>
        <v/>
      </c>
      <c r="M970" s="39"/>
    </row>
    <row r="971" spans="1:13" ht="18" customHeight="1" x14ac:dyDescent="0.45">
      <c r="A971" s="37"/>
      <c r="B971" s="29"/>
      <c r="C971" s="29"/>
      <c r="D971" s="28"/>
      <c r="E971" s="30" t="str">
        <f>IFERROR(VLOOKUP(D971,KRX종목마스터!$A:$B,2,FALSE),"")</f>
        <v/>
      </c>
      <c r="F971" s="42"/>
      <c r="G971" s="42"/>
      <c r="H971" s="31" t="str">
        <f t="shared" si="45"/>
        <v/>
      </c>
      <c r="I971" s="43">
        <f ca="1">IFERROR(SUMPRODUCT((참고!$A$31:$A$130=C971)*(참고!$B$31:$B$130&lt;=A971)*(참고!$B$31:$B$130=_xludf.MAXIFS(참고!$B$31:$B$130,참고!$A$31:$A$130,C971,참고!$B$31:$B$130,"&lt;="&amp;A971))*참고!$C$31:$C$130)/100,0)</f>
        <v>0</v>
      </c>
      <c r="J971" s="31" t="str">
        <f t="shared" si="46"/>
        <v/>
      </c>
      <c r="K971" s="43">
        <f>IF(B971="매도",IFERROR(SUMPRODUCT((참고!$A$31:$A$130=C971)*(참고!$B$31:$B$130&lt;=A971)*(참고!$B$31:$B$130=_xludf.MAXIFS(참고!$B$31:$B$130,참고!$A$31:$A$130,C971,참고!$B$31:$B$130,"&lt;="&amp;A971))*참고!$D$31:$D$130)/100,0),0)</f>
        <v>0</v>
      </c>
      <c r="L971" s="31" t="str">
        <f t="shared" si="47"/>
        <v/>
      </c>
      <c r="M971" s="39"/>
    </row>
    <row r="972" spans="1:13" ht="18" customHeight="1" x14ac:dyDescent="0.45">
      <c r="A972" s="37"/>
      <c r="B972" s="29"/>
      <c r="C972" s="29"/>
      <c r="D972" s="28"/>
      <c r="E972" s="30" t="str">
        <f>IFERROR(VLOOKUP(D972,KRX종목마스터!$A:$B,2,FALSE),"")</f>
        <v/>
      </c>
      <c r="F972" s="42"/>
      <c r="G972" s="42"/>
      <c r="H972" s="31" t="str">
        <f t="shared" si="45"/>
        <v/>
      </c>
      <c r="I972" s="43">
        <f ca="1">IFERROR(SUMPRODUCT((참고!$A$31:$A$130=C972)*(참고!$B$31:$B$130&lt;=A972)*(참고!$B$31:$B$130=_xludf.MAXIFS(참고!$B$31:$B$130,참고!$A$31:$A$130,C972,참고!$B$31:$B$130,"&lt;="&amp;A972))*참고!$C$31:$C$130)/100,0)</f>
        <v>0</v>
      </c>
      <c r="J972" s="31" t="str">
        <f t="shared" si="46"/>
        <v/>
      </c>
      <c r="K972" s="43">
        <f>IF(B972="매도",IFERROR(SUMPRODUCT((참고!$A$31:$A$130=C972)*(참고!$B$31:$B$130&lt;=A972)*(참고!$B$31:$B$130=_xludf.MAXIFS(참고!$B$31:$B$130,참고!$A$31:$A$130,C972,참고!$B$31:$B$130,"&lt;="&amp;A972))*참고!$D$31:$D$130)/100,0),0)</f>
        <v>0</v>
      </c>
      <c r="L972" s="31" t="str">
        <f t="shared" si="47"/>
        <v/>
      </c>
      <c r="M972" s="39"/>
    </row>
    <row r="973" spans="1:13" ht="18" customHeight="1" x14ac:dyDescent="0.45">
      <c r="A973" s="37"/>
      <c r="B973" s="29"/>
      <c r="C973" s="29"/>
      <c r="D973" s="28"/>
      <c r="E973" s="30" t="str">
        <f>IFERROR(VLOOKUP(D973,KRX종목마스터!$A:$B,2,FALSE),"")</f>
        <v/>
      </c>
      <c r="F973" s="42"/>
      <c r="G973" s="42"/>
      <c r="H973" s="31" t="str">
        <f t="shared" si="45"/>
        <v/>
      </c>
      <c r="I973" s="43">
        <f ca="1">IFERROR(SUMPRODUCT((참고!$A$31:$A$130=C973)*(참고!$B$31:$B$130&lt;=A973)*(참고!$B$31:$B$130=_xludf.MAXIFS(참고!$B$31:$B$130,참고!$A$31:$A$130,C973,참고!$B$31:$B$130,"&lt;="&amp;A973))*참고!$C$31:$C$130)/100,0)</f>
        <v>0</v>
      </c>
      <c r="J973" s="31" t="str">
        <f t="shared" si="46"/>
        <v/>
      </c>
      <c r="K973" s="43">
        <f>IF(B973="매도",IFERROR(SUMPRODUCT((참고!$A$31:$A$130=C973)*(참고!$B$31:$B$130&lt;=A973)*(참고!$B$31:$B$130=_xludf.MAXIFS(참고!$B$31:$B$130,참고!$A$31:$A$130,C973,참고!$B$31:$B$130,"&lt;="&amp;A973))*참고!$D$31:$D$130)/100,0),0)</f>
        <v>0</v>
      </c>
      <c r="L973" s="31" t="str">
        <f t="shared" si="47"/>
        <v/>
      </c>
      <c r="M973" s="39"/>
    </row>
    <row r="974" spans="1:13" ht="18" customHeight="1" x14ac:dyDescent="0.45">
      <c r="A974" s="37"/>
      <c r="B974" s="29"/>
      <c r="C974" s="29"/>
      <c r="D974" s="28"/>
      <c r="E974" s="30" t="str">
        <f>IFERROR(VLOOKUP(D974,KRX종목마스터!$A:$B,2,FALSE),"")</f>
        <v/>
      </c>
      <c r="F974" s="42"/>
      <c r="G974" s="42"/>
      <c r="H974" s="31" t="str">
        <f t="shared" si="45"/>
        <v/>
      </c>
      <c r="I974" s="43">
        <f ca="1">IFERROR(SUMPRODUCT((참고!$A$31:$A$130=C974)*(참고!$B$31:$B$130&lt;=A974)*(참고!$B$31:$B$130=_xludf.MAXIFS(참고!$B$31:$B$130,참고!$A$31:$A$130,C974,참고!$B$31:$B$130,"&lt;="&amp;A974))*참고!$C$31:$C$130)/100,0)</f>
        <v>0</v>
      </c>
      <c r="J974" s="31" t="str">
        <f t="shared" si="46"/>
        <v/>
      </c>
      <c r="K974" s="43">
        <f>IF(B974="매도",IFERROR(SUMPRODUCT((참고!$A$31:$A$130=C974)*(참고!$B$31:$B$130&lt;=A974)*(참고!$B$31:$B$130=_xludf.MAXIFS(참고!$B$31:$B$130,참고!$A$31:$A$130,C974,참고!$B$31:$B$130,"&lt;="&amp;A974))*참고!$D$31:$D$130)/100,0),0)</f>
        <v>0</v>
      </c>
      <c r="L974" s="31" t="str">
        <f t="shared" si="47"/>
        <v/>
      </c>
      <c r="M974" s="39"/>
    </row>
    <row r="975" spans="1:13" ht="18" customHeight="1" x14ac:dyDescent="0.45">
      <c r="A975" s="37"/>
      <c r="B975" s="29"/>
      <c r="C975" s="29"/>
      <c r="D975" s="28"/>
      <c r="E975" s="30" t="str">
        <f>IFERROR(VLOOKUP(D975,KRX종목마스터!$A:$B,2,FALSE),"")</f>
        <v/>
      </c>
      <c r="F975" s="42"/>
      <c r="G975" s="42"/>
      <c r="H975" s="31" t="str">
        <f t="shared" si="45"/>
        <v/>
      </c>
      <c r="I975" s="43">
        <f ca="1">IFERROR(SUMPRODUCT((참고!$A$31:$A$130=C975)*(참고!$B$31:$B$130&lt;=A975)*(참고!$B$31:$B$130=_xludf.MAXIFS(참고!$B$31:$B$130,참고!$A$31:$A$130,C975,참고!$B$31:$B$130,"&lt;="&amp;A975))*참고!$C$31:$C$130)/100,0)</f>
        <v>0</v>
      </c>
      <c r="J975" s="31" t="str">
        <f t="shared" si="46"/>
        <v/>
      </c>
      <c r="K975" s="43">
        <f>IF(B975="매도",IFERROR(SUMPRODUCT((참고!$A$31:$A$130=C975)*(참고!$B$31:$B$130&lt;=A975)*(참고!$B$31:$B$130=_xludf.MAXIFS(참고!$B$31:$B$130,참고!$A$31:$A$130,C975,참고!$B$31:$B$130,"&lt;="&amp;A975))*참고!$D$31:$D$130)/100,0),0)</f>
        <v>0</v>
      </c>
      <c r="L975" s="31" t="str">
        <f t="shared" si="47"/>
        <v/>
      </c>
      <c r="M975" s="39"/>
    </row>
    <row r="976" spans="1:13" ht="18" customHeight="1" x14ac:dyDescent="0.45">
      <c r="A976" s="37"/>
      <c r="B976" s="29"/>
      <c r="C976" s="29"/>
      <c r="D976" s="28"/>
      <c r="E976" s="30" t="str">
        <f>IFERROR(VLOOKUP(D976,KRX종목마스터!$A:$B,2,FALSE),"")</f>
        <v/>
      </c>
      <c r="F976" s="42"/>
      <c r="G976" s="42"/>
      <c r="H976" s="31" t="str">
        <f t="shared" si="45"/>
        <v/>
      </c>
      <c r="I976" s="43">
        <f ca="1">IFERROR(SUMPRODUCT((참고!$A$31:$A$130=C976)*(참고!$B$31:$B$130&lt;=A976)*(참고!$B$31:$B$130=_xludf.MAXIFS(참고!$B$31:$B$130,참고!$A$31:$A$130,C976,참고!$B$31:$B$130,"&lt;="&amp;A976))*참고!$C$31:$C$130)/100,0)</f>
        <v>0</v>
      </c>
      <c r="J976" s="31" t="str">
        <f t="shared" si="46"/>
        <v/>
      </c>
      <c r="K976" s="43">
        <f>IF(B976="매도",IFERROR(SUMPRODUCT((참고!$A$31:$A$130=C976)*(참고!$B$31:$B$130&lt;=A976)*(참고!$B$31:$B$130=_xludf.MAXIFS(참고!$B$31:$B$130,참고!$A$31:$A$130,C976,참고!$B$31:$B$130,"&lt;="&amp;A976))*참고!$D$31:$D$130)/100,0),0)</f>
        <v>0</v>
      </c>
      <c r="L976" s="31" t="str">
        <f t="shared" si="47"/>
        <v/>
      </c>
      <c r="M976" s="39"/>
    </row>
    <row r="977" spans="1:13" ht="18" customHeight="1" x14ac:dyDescent="0.45">
      <c r="A977" s="37"/>
      <c r="B977" s="29"/>
      <c r="C977" s="29"/>
      <c r="D977" s="28"/>
      <c r="E977" s="30" t="str">
        <f>IFERROR(VLOOKUP(D977,KRX종목마스터!$A:$B,2,FALSE),"")</f>
        <v/>
      </c>
      <c r="F977" s="42"/>
      <c r="G977" s="42"/>
      <c r="H977" s="31" t="str">
        <f t="shared" si="45"/>
        <v/>
      </c>
      <c r="I977" s="43">
        <f ca="1">IFERROR(SUMPRODUCT((참고!$A$31:$A$130=C977)*(참고!$B$31:$B$130&lt;=A977)*(참고!$B$31:$B$130=_xludf.MAXIFS(참고!$B$31:$B$130,참고!$A$31:$A$130,C977,참고!$B$31:$B$130,"&lt;="&amp;A977))*참고!$C$31:$C$130)/100,0)</f>
        <v>0</v>
      </c>
      <c r="J977" s="31" t="str">
        <f t="shared" si="46"/>
        <v/>
      </c>
      <c r="K977" s="43">
        <f>IF(B977="매도",IFERROR(SUMPRODUCT((참고!$A$31:$A$130=C977)*(참고!$B$31:$B$130&lt;=A977)*(참고!$B$31:$B$130=_xludf.MAXIFS(참고!$B$31:$B$130,참고!$A$31:$A$130,C977,참고!$B$31:$B$130,"&lt;="&amp;A977))*참고!$D$31:$D$130)/100,0),0)</f>
        <v>0</v>
      </c>
      <c r="L977" s="31" t="str">
        <f t="shared" si="47"/>
        <v/>
      </c>
      <c r="M977" s="39"/>
    </row>
    <row r="978" spans="1:13" ht="18" customHeight="1" x14ac:dyDescent="0.45">
      <c r="A978" s="37"/>
      <c r="B978" s="29"/>
      <c r="C978" s="29"/>
      <c r="D978" s="28"/>
      <c r="E978" s="30" t="str">
        <f>IFERROR(VLOOKUP(D978,KRX종목마스터!$A:$B,2,FALSE),"")</f>
        <v/>
      </c>
      <c r="F978" s="42"/>
      <c r="G978" s="42"/>
      <c r="H978" s="31" t="str">
        <f t="shared" si="45"/>
        <v/>
      </c>
      <c r="I978" s="43">
        <f ca="1">IFERROR(SUMPRODUCT((참고!$A$31:$A$130=C978)*(참고!$B$31:$B$130&lt;=A978)*(참고!$B$31:$B$130=_xludf.MAXIFS(참고!$B$31:$B$130,참고!$A$31:$A$130,C978,참고!$B$31:$B$130,"&lt;="&amp;A978))*참고!$C$31:$C$130)/100,0)</f>
        <v>0</v>
      </c>
      <c r="J978" s="31" t="str">
        <f t="shared" si="46"/>
        <v/>
      </c>
      <c r="K978" s="43">
        <f>IF(B978="매도",IFERROR(SUMPRODUCT((참고!$A$31:$A$130=C978)*(참고!$B$31:$B$130&lt;=A978)*(참고!$B$31:$B$130=_xludf.MAXIFS(참고!$B$31:$B$130,참고!$A$31:$A$130,C978,참고!$B$31:$B$130,"&lt;="&amp;A978))*참고!$D$31:$D$130)/100,0),0)</f>
        <v>0</v>
      </c>
      <c r="L978" s="31" t="str">
        <f t="shared" si="47"/>
        <v/>
      </c>
      <c r="M978" s="39"/>
    </row>
    <row r="979" spans="1:13" ht="18" customHeight="1" x14ac:dyDescent="0.45">
      <c r="A979" s="37"/>
      <c r="B979" s="29"/>
      <c r="C979" s="29"/>
      <c r="D979" s="28"/>
      <c r="E979" s="30" t="str">
        <f>IFERROR(VLOOKUP(D979,KRX종목마스터!$A:$B,2,FALSE),"")</f>
        <v/>
      </c>
      <c r="F979" s="42"/>
      <c r="G979" s="42"/>
      <c r="H979" s="31" t="str">
        <f t="shared" si="45"/>
        <v/>
      </c>
      <c r="I979" s="43">
        <f ca="1">IFERROR(SUMPRODUCT((참고!$A$31:$A$130=C979)*(참고!$B$31:$B$130&lt;=A979)*(참고!$B$31:$B$130=_xludf.MAXIFS(참고!$B$31:$B$130,참고!$A$31:$A$130,C979,참고!$B$31:$B$130,"&lt;="&amp;A979))*참고!$C$31:$C$130)/100,0)</f>
        <v>0</v>
      </c>
      <c r="J979" s="31" t="str">
        <f t="shared" si="46"/>
        <v/>
      </c>
      <c r="K979" s="43">
        <f>IF(B979="매도",IFERROR(SUMPRODUCT((참고!$A$31:$A$130=C979)*(참고!$B$31:$B$130&lt;=A979)*(참고!$B$31:$B$130=_xludf.MAXIFS(참고!$B$31:$B$130,참고!$A$31:$A$130,C979,참고!$B$31:$B$130,"&lt;="&amp;A979))*참고!$D$31:$D$130)/100,0),0)</f>
        <v>0</v>
      </c>
      <c r="L979" s="31" t="str">
        <f t="shared" si="47"/>
        <v/>
      </c>
      <c r="M979" s="39"/>
    </row>
    <row r="980" spans="1:13" ht="18" customHeight="1" x14ac:dyDescent="0.45">
      <c r="A980" s="37"/>
      <c r="B980" s="29"/>
      <c r="C980" s="29"/>
      <c r="D980" s="28"/>
      <c r="E980" s="30" t="str">
        <f>IFERROR(VLOOKUP(D980,KRX종목마스터!$A:$B,2,FALSE),"")</f>
        <v/>
      </c>
      <c r="F980" s="42"/>
      <c r="G980" s="42"/>
      <c r="H980" s="31" t="str">
        <f t="shared" si="45"/>
        <v/>
      </c>
      <c r="I980" s="43">
        <f ca="1">IFERROR(SUMPRODUCT((참고!$A$31:$A$130=C980)*(참고!$B$31:$B$130&lt;=A980)*(참고!$B$31:$B$130=_xludf.MAXIFS(참고!$B$31:$B$130,참고!$A$31:$A$130,C980,참고!$B$31:$B$130,"&lt;="&amp;A980))*참고!$C$31:$C$130)/100,0)</f>
        <v>0</v>
      </c>
      <c r="J980" s="31" t="str">
        <f t="shared" si="46"/>
        <v/>
      </c>
      <c r="K980" s="43">
        <f>IF(B980="매도",IFERROR(SUMPRODUCT((참고!$A$31:$A$130=C980)*(참고!$B$31:$B$130&lt;=A980)*(참고!$B$31:$B$130=_xludf.MAXIFS(참고!$B$31:$B$130,참고!$A$31:$A$130,C980,참고!$B$31:$B$130,"&lt;="&amp;A980))*참고!$D$31:$D$130)/100,0),0)</f>
        <v>0</v>
      </c>
      <c r="L980" s="31" t="str">
        <f t="shared" si="47"/>
        <v/>
      </c>
      <c r="M980" s="39"/>
    </row>
    <row r="981" spans="1:13" ht="18" customHeight="1" x14ac:dyDescent="0.45">
      <c r="A981" s="37"/>
      <c r="B981" s="29"/>
      <c r="C981" s="29"/>
      <c r="D981" s="28"/>
      <c r="E981" s="30" t="str">
        <f>IFERROR(VLOOKUP(D981,KRX종목마스터!$A:$B,2,FALSE),"")</f>
        <v/>
      </c>
      <c r="F981" s="42"/>
      <c r="G981" s="42"/>
      <c r="H981" s="31" t="str">
        <f t="shared" si="45"/>
        <v/>
      </c>
      <c r="I981" s="43">
        <f ca="1">IFERROR(SUMPRODUCT((참고!$A$31:$A$130=C981)*(참고!$B$31:$B$130&lt;=A981)*(참고!$B$31:$B$130=_xludf.MAXIFS(참고!$B$31:$B$130,참고!$A$31:$A$130,C981,참고!$B$31:$B$130,"&lt;="&amp;A981))*참고!$C$31:$C$130)/100,0)</f>
        <v>0</v>
      </c>
      <c r="J981" s="31" t="str">
        <f t="shared" si="46"/>
        <v/>
      </c>
      <c r="K981" s="43">
        <f>IF(B981="매도",IFERROR(SUMPRODUCT((참고!$A$31:$A$130=C981)*(참고!$B$31:$B$130&lt;=A981)*(참고!$B$31:$B$130=_xludf.MAXIFS(참고!$B$31:$B$130,참고!$A$31:$A$130,C981,참고!$B$31:$B$130,"&lt;="&amp;A981))*참고!$D$31:$D$130)/100,0),0)</f>
        <v>0</v>
      </c>
      <c r="L981" s="31" t="str">
        <f t="shared" si="47"/>
        <v/>
      </c>
      <c r="M981" s="39"/>
    </row>
    <row r="982" spans="1:13" ht="18" customHeight="1" x14ac:dyDescent="0.45">
      <c r="A982" s="37"/>
      <c r="B982" s="29"/>
      <c r="C982" s="29"/>
      <c r="D982" s="28"/>
      <c r="E982" s="30" t="str">
        <f>IFERROR(VLOOKUP(D982,KRX종목마스터!$A:$B,2,FALSE),"")</f>
        <v/>
      </c>
      <c r="F982" s="42"/>
      <c r="G982" s="42"/>
      <c r="H982" s="31" t="str">
        <f t="shared" si="45"/>
        <v/>
      </c>
      <c r="I982" s="43">
        <f ca="1">IFERROR(SUMPRODUCT((참고!$A$31:$A$130=C982)*(참고!$B$31:$B$130&lt;=A982)*(참고!$B$31:$B$130=_xludf.MAXIFS(참고!$B$31:$B$130,참고!$A$31:$A$130,C982,참고!$B$31:$B$130,"&lt;="&amp;A982))*참고!$C$31:$C$130)/100,0)</f>
        <v>0</v>
      </c>
      <c r="J982" s="31" t="str">
        <f t="shared" si="46"/>
        <v/>
      </c>
      <c r="K982" s="43">
        <f>IF(B982="매도",IFERROR(SUMPRODUCT((참고!$A$31:$A$130=C982)*(참고!$B$31:$B$130&lt;=A982)*(참고!$B$31:$B$130=_xludf.MAXIFS(참고!$B$31:$B$130,참고!$A$31:$A$130,C982,참고!$B$31:$B$130,"&lt;="&amp;A982))*참고!$D$31:$D$130)/100,0),0)</f>
        <v>0</v>
      </c>
      <c r="L982" s="31" t="str">
        <f t="shared" si="47"/>
        <v/>
      </c>
      <c r="M982" s="39"/>
    </row>
    <row r="983" spans="1:13" ht="18" customHeight="1" x14ac:dyDescent="0.45">
      <c r="A983" s="37"/>
      <c r="B983" s="29"/>
      <c r="C983" s="29"/>
      <c r="D983" s="28"/>
      <c r="E983" s="30" t="str">
        <f>IFERROR(VLOOKUP(D983,KRX종목마스터!$A:$B,2,FALSE),"")</f>
        <v/>
      </c>
      <c r="F983" s="42"/>
      <c r="G983" s="42"/>
      <c r="H983" s="31" t="str">
        <f t="shared" si="45"/>
        <v/>
      </c>
      <c r="I983" s="43">
        <f ca="1">IFERROR(SUMPRODUCT((참고!$A$31:$A$130=C983)*(참고!$B$31:$B$130&lt;=A983)*(참고!$B$31:$B$130=_xludf.MAXIFS(참고!$B$31:$B$130,참고!$A$31:$A$130,C983,참고!$B$31:$B$130,"&lt;="&amp;A983))*참고!$C$31:$C$130)/100,0)</f>
        <v>0</v>
      </c>
      <c r="J983" s="31" t="str">
        <f t="shared" si="46"/>
        <v/>
      </c>
      <c r="K983" s="43">
        <f>IF(B983="매도",IFERROR(SUMPRODUCT((참고!$A$31:$A$130=C983)*(참고!$B$31:$B$130&lt;=A983)*(참고!$B$31:$B$130=_xludf.MAXIFS(참고!$B$31:$B$130,참고!$A$31:$A$130,C983,참고!$B$31:$B$130,"&lt;="&amp;A983))*참고!$D$31:$D$130)/100,0),0)</f>
        <v>0</v>
      </c>
      <c r="L983" s="31" t="str">
        <f t="shared" si="47"/>
        <v/>
      </c>
      <c r="M983" s="39"/>
    </row>
    <row r="984" spans="1:13" ht="18" customHeight="1" x14ac:dyDescent="0.45">
      <c r="A984" s="37"/>
      <c r="B984" s="29"/>
      <c r="C984" s="29"/>
      <c r="D984" s="28"/>
      <c r="E984" s="30" t="str">
        <f>IFERROR(VLOOKUP(D984,KRX종목마스터!$A:$B,2,FALSE),"")</f>
        <v/>
      </c>
      <c r="F984" s="42"/>
      <c r="G984" s="42"/>
      <c r="H984" s="31" t="str">
        <f t="shared" si="45"/>
        <v/>
      </c>
      <c r="I984" s="43">
        <f ca="1">IFERROR(SUMPRODUCT((참고!$A$31:$A$130=C984)*(참고!$B$31:$B$130&lt;=A984)*(참고!$B$31:$B$130=_xludf.MAXIFS(참고!$B$31:$B$130,참고!$A$31:$A$130,C984,참고!$B$31:$B$130,"&lt;="&amp;A984))*참고!$C$31:$C$130)/100,0)</f>
        <v>0</v>
      </c>
      <c r="J984" s="31" t="str">
        <f t="shared" si="46"/>
        <v/>
      </c>
      <c r="K984" s="43">
        <f>IF(B984="매도",IFERROR(SUMPRODUCT((참고!$A$31:$A$130=C984)*(참고!$B$31:$B$130&lt;=A984)*(참고!$B$31:$B$130=_xludf.MAXIFS(참고!$B$31:$B$130,참고!$A$31:$A$130,C984,참고!$B$31:$B$130,"&lt;="&amp;A984))*참고!$D$31:$D$130)/100,0),0)</f>
        <v>0</v>
      </c>
      <c r="L984" s="31" t="str">
        <f t="shared" si="47"/>
        <v/>
      </c>
      <c r="M984" s="39"/>
    </row>
    <row r="985" spans="1:13" ht="18" customHeight="1" x14ac:dyDescent="0.45">
      <c r="A985" s="37"/>
      <c r="B985" s="29"/>
      <c r="C985" s="29"/>
      <c r="D985" s="28"/>
      <c r="E985" s="30" t="str">
        <f>IFERROR(VLOOKUP(D985,KRX종목마스터!$A:$B,2,FALSE),"")</f>
        <v/>
      </c>
      <c r="F985" s="42"/>
      <c r="G985" s="42"/>
      <c r="H985" s="31" t="str">
        <f t="shared" si="45"/>
        <v/>
      </c>
      <c r="I985" s="43">
        <f ca="1">IFERROR(SUMPRODUCT((참고!$A$31:$A$130=C985)*(참고!$B$31:$B$130&lt;=A985)*(참고!$B$31:$B$130=_xludf.MAXIFS(참고!$B$31:$B$130,참고!$A$31:$A$130,C985,참고!$B$31:$B$130,"&lt;="&amp;A985))*참고!$C$31:$C$130)/100,0)</f>
        <v>0</v>
      </c>
      <c r="J985" s="31" t="str">
        <f t="shared" si="46"/>
        <v/>
      </c>
      <c r="K985" s="43">
        <f>IF(B985="매도",IFERROR(SUMPRODUCT((참고!$A$31:$A$130=C985)*(참고!$B$31:$B$130&lt;=A985)*(참고!$B$31:$B$130=_xludf.MAXIFS(참고!$B$31:$B$130,참고!$A$31:$A$130,C985,참고!$B$31:$B$130,"&lt;="&amp;A985))*참고!$D$31:$D$130)/100,0),0)</f>
        <v>0</v>
      </c>
      <c r="L985" s="31" t="str">
        <f t="shared" si="47"/>
        <v/>
      </c>
      <c r="M985" s="39"/>
    </row>
    <row r="986" spans="1:13" ht="18" customHeight="1" x14ac:dyDescent="0.45">
      <c r="A986" s="37"/>
      <c r="B986" s="29"/>
      <c r="C986" s="29"/>
      <c r="D986" s="28"/>
      <c r="E986" s="30" t="str">
        <f>IFERROR(VLOOKUP(D986,KRX종목마스터!$A:$B,2,FALSE),"")</f>
        <v/>
      </c>
      <c r="F986" s="42"/>
      <c r="G986" s="42"/>
      <c r="H986" s="31" t="str">
        <f t="shared" si="45"/>
        <v/>
      </c>
      <c r="I986" s="43">
        <f ca="1">IFERROR(SUMPRODUCT((참고!$A$31:$A$130=C986)*(참고!$B$31:$B$130&lt;=A986)*(참고!$B$31:$B$130=_xludf.MAXIFS(참고!$B$31:$B$130,참고!$A$31:$A$130,C986,참고!$B$31:$B$130,"&lt;="&amp;A986))*참고!$C$31:$C$130)/100,0)</f>
        <v>0</v>
      </c>
      <c r="J986" s="31" t="str">
        <f t="shared" si="46"/>
        <v/>
      </c>
      <c r="K986" s="43">
        <f>IF(B986="매도",IFERROR(SUMPRODUCT((참고!$A$31:$A$130=C986)*(참고!$B$31:$B$130&lt;=A986)*(참고!$B$31:$B$130=_xludf.MAXIFS(참고!$B$31:$B$130,참고!$A$31:$A$130,C986,참고!$B$31:$B$130,"&lt;="&amp;A986))*참고!$D$31:$D$130)/100,0),0)</f>
        <v>0</v>
      </c>
      <c r="L986" s="31" t="str">
        <f t="shared" si="47"/>
        <v/>
      </c>
      <c r="M986" s="39"/>
    </row>
    <row r="987" spans="1:13" ht="18" customHeight="1" x14ac:dyDescent="0.45">
      <c r="A987" s="37"/>
      <c r="B987" s="29"/>
      <c r="C987" s="29"/>
      <c r="D987" s="28"/>
      <c r="E987" s="30" t="str">
        <f>IFERROR(VLOOKUP(D987,KRX종목마스터!$A:$B,2,FALSE),"")</f>
        <v/>
      </c>
      <c r="F987" s="42"/>
      <c r="G987" s="42"/>
      <c r="H987" s="31" t="str">
        <f t="shared" si="45"/>
        <v/>
      </c>
      <c r="I987" s="43">
        <f ca="1">IFERROR(SUMPRODUCT((참고!$A$31:$A$130=C987)*(참고!$B$31:$B$130&lt;=A987)*(참고!$B$31:$B$130=_xludf.MAXIFS(참고!$B$31:$B$130,참고!$A$31:$A$130,C987,참고!$B$31:$B$130,"&lt;="&amp;A987))*참고!$C$31:$C$130)/100,0)</f>
        <v>0</v>
      </c>
      <c r="J987" s="31" t="str">
        <f t="shared" si="46"/>
        <v/>
      </c>
      <c r="K987" s="43">
        <f>IF(B987="매도",IFERROR(SUMPRODUCT((참고!$A$31:$A$130=C987)*(참고!$B$31:$B$130&lt;=A987)*(참고!$B$31:$B$130=_xludf.MAXIFS(참고!$B$31:$B$130,참고!$A$31:$A$130,C987,참고!$B$31:$B$130,"&lt;="&amp;A987))*참고!$D$31:$D$130)/100,0),0)</f>
        <v>0</v>
      </c>
      <c r="L987" s="31" t="str">
        <f t="shared" si="47"/>
        <v/>
      </c>
      <c r="M987" s="39"/>
    </row>
    <row r="988" spans="1:13" ht="18" customHeight="1" x14ac:dyDescent="0.45">
      <c r="A988" s="37"/>
      <c r="B988" s="29"/>
      <c r="C988" s="29"/>
      <c r="D988" s="28"/>
      <c r="E988" s="30" t="str">
        <f>IFERROR(VLOOKUP(D988,KRX종목마스터!$A:$B,2,FALSE),"")</f>
        <v/>
      </c>
      <c r="F988" s="42"/>
      <c r="G988" s="42"/>
      <c r="H988" s="31" t="str">
        <f t="shared" si="45"/>
        <v/>
      </c>
      <c r="I988" s="43">
        <f ca="1">IFERROR(SUMPRODUCT((참고!$A$31:$A$130=C988)*(참고!$B$31:$B$130&lt;=A988)*(참고!$B$31:$B$130=_xludf.MAXIFS(참고!$B$31:$B$130,참고!$A$31:$A$130,C988,참고!$B$31:$B$130,"&lt;="&amp;A988))*참고!$C$31:$C$130)/100,0)</f>
        <v>0</v>
      </c>
      <c r="J988" s="31" t="str">
        <f t="shared" si="46"/>
        <v/>
      </c>
      <c r="K988" s="43">
        <f>IF(B988="매도",IFERROR(SUMPRODUCT((참고!$A$31:$A$130=C988)*(참고!$B$31:$B$130&lt;=A988)*(참고!$B$31:$B$130=_xludf.MAXIFS(참고!$B$31:$B$130,참고!$A$31:$A$130,C988,참고!$B$31:$B$130,"&lt;="&amp;A988))*참고!$D$31:$D$130)/100,0),0)</f>
        <v>0</v>
      </c>
      <c r="L988" s="31" t="str">
        <f t="shared" si="47"/>
        <v/>
      </c>
      <c r="M988" s="39"/>
    </row>
    <row r="989" spans="1:13" ht="18" customHeight="1" x14ac:dyDescent="0.45">
      <c r="A989" s="37"/>
      <c r="B989" s="29"/>
      <c r="C989" s="29"/>
      <c r="D989" s="28"/>
      <c r="E989" s="30" t="str">
        <f>IFERROR(VLOOKUP(D989,KRX종목마스터!$A:$B,2,FALSE),"")</f>
        <v/>
      </c>
      <c r="F989" s="42"/>
      <c r="G989" s="42"/>
      <c r="H989" s="31" t="str">
        <f t="shared" si="45"/>
        <v/>
      </c>
      <c r="I989" s="43">
        <f ca="1">IFERROR(SUMPRODUCT((참고!$A$31:$A$130=C989)*(참고!$B$31:$B$130&lt;=A989)*(참고!$B$31:$B$130=_xludf.MAXIFS(참고!$B$31:$B$130,참고!$A$31:$A$130,C989,참고!$B$31:$B$130,"&lt;="&amp;A989))*참고!$C$31:$C$130)/100,0)</f>
        <v>0</v>
      </c>
      <c r="J989" s="31" t="str">
        <f t="shared" si="46"/>
        <v/>
      </c>
      <c r="K989" s="43">
        <f>IF(B989="매도",IFERROR(SUMPRODUCT((참고!$A$31:$A$130=C989)*(참고!$B$31:$B$130&lt;=A989)*(참고!$B$31:$B$130=_xludf.MAXIFS(참고!$B$31:$B$130,참고!$A$31:$A$130,C989,참고!$B$31:$B$130,"&lt;="&amp;A989))*참고!$D$31:$D$130)/100,0),0)</f>
        <v>0</v>
      </c>
      <c r="L989" s="31" t="str">
        <f t="shared" si="47"/>
        <v/>
      </c>
      <c r="M989" s="39"/>
    </row>
    <row r="990" spans="1:13" ht="18" customHeight="1" x14ac:dyDescent="0.45">
      <c r="A990" s="37"/>
      <c r="B990" s="29"/>
      <c r="C990" s="29"/>
      <c r="D990" s="28"/>
      <c r="E990" s="30" t="str">
        <f>IFERROR(VLOOKUP(D990,KRX종목마스터!$A:$B,2,FALSE),"")</f>
        <v/>
      </c>
      <c r="F990" s="42"/>
      <c r="G990" s="42"/>
      <c r="H990" s="31" t="str">
        <f t="shared" si="45"/>
        <v/>
      </c>
      <c r="I990" s="43">
        <f ca="1">IFERROR(SUMPRODUCT((참고!$A$31:$A$130=C990)*(참고!$B$31:$B$130&lt;=A990)*(참고!$B$31:$B$130=_xludf.MAXIFS(참고!$B$31:$B$130,참고!$A$31:$A$130,C990,참고!$B$31:$B$130,"&lt;="&amp;A990))*참고!$C$31:$C$130)/100,0)</f>
        <v>0</v>
      </c>
      <c r="J990" s="31" t="str">
        <f t="shared" si="46"/>
        <v/>
      </c>
      <c r="K990" s="43">
        <f>IF(B990="매도",IFERROR(SUMPRODUCT((참고!$A$31:$A$130=C990)*(참고!$B$31:$B$130&lt;=A990)*(참고!$B$31:$B$130=_xludf.MAXIFS(참고!$B$31:$B$130,참고!$A$31:$A$130,C990,참고!$B$31:$B$130,"&lt;="&amp;A990))*참고!$D$31:$D$130)/100,0),0)</f>
        <v>0</v>
      </c>
      <c r="L990" s="31" t="str">
        <f t="shared" si="47"/>
        <v/>
      </c>
      <c r="M990" s="39"/>
    </row>
    <row r="991" spans="1:13" ht="18" customHeight="1" x14ac:dyDescent="0.45">
      <c r="A991" s="37"/>
      <c r="B991" s="29"/>
      <c r="C991" s="29"/>
      <c r="D991" s="28"/>
      <c r="E991" s="30" t="str">
        <f>IFERROR(VLOOKUP(D991,KRX종목마스터!$A:$B,2,FALSE),"")</f>
        <v/>
      </c>
      <c r="F991" s="42"/>
      <c r="G991" s="42"/>
      <c r="H991" s="31" t="str">
        <f t="shared" si="45"/>
        <v/>
      </c>
      <c r="I991" s="43">
        <f ca="1">IFERROR(SUMPRODUCT((참고!$A$31:$A$130=C991)*(참고!$B$31:$B$130&lt;=A991)*(참고!$B$31:$B$130=_xludf.MAXIFS(참고!$B$31:$B$130,참고!$A$31:$A$130,C991,참고!$B$31:$B$130,"&lt;="&amp;A991))*참고!$C$31:$C$130)/100,0)</f>
        <v>0</v>
      </c>
      <c r="J991" s="31" t="str">
        <f t="shared" si="46"/>
        <v/>
      </c>
      <c r="K991" s="43">
        <f>IF(B991="매도",IFERROR(SUMPRODUCT((참고!$A$31:$A$130=C991)*(참고!$B$31:$B$130&lt;=A991)*(참고!$B$31:$B$130=_xludf.MAXIFS(참고!$B$31:$B$130,참고!$A$31:$A$130,C991,참고!$B$31:$B$130,"&lt;="&amp;A991))*참고!$D$31:$D$130)/100,0),0)</f>
        <v>0</v>
      </c>
      <c r="L991" s="31" t="str">
        <f t="shared" si="47"/>
        <v/>
      </c>
      <c r="M991" s="39"/>
    </row>
    <row r="992" spans="1:13" ht="18" customHeight="1" x14ac:dyDescent="0.45">
      <c r="A992" s="37"/>
      <c r="B992" s="29"/>
      <c r="C992" s="29"/>
      <c r="D992" s="28"/>
      <c r="E992" s="30" t="str">
        <f>IFERROR(VLOOKUP(D992,KRX종목마스터!$A:$B,2,FALSE),"")</f>
        <v/>
      </c>
      <c r="F992" s="42"/>
      <c r="G992" s="42"/>
      <c r="H992" s="31" t="str">
        <f t="shared" si="45"/>
        <v/>
      </c>
      <c r="I992" s="43">
        <f ca="1">IFERROR(SUMPRODUCT((참고!$A$31:$A$130=C992)*(참고!$B$31:$B$130&lt;=A992)*(참고!$B$31:$B$130=_xludf.MAXIFS(참고!$B$31:$B$130,참고!$A$31:$A$130,C992,참고!$B$31:$B$130,"&lt;="&amp;A992))*참고!$C$31:$C$130)/100,0)</f>
        <v>0</v>
      </c>
      <c r="J992" s="31" t="str">
        <f t="shared" si="46"/>
        <v/>
      </c>
      <c r="K992" s="43">
        <f>IF(B992="매도",IFERROR(SUMPRODUCT((참고!$A$31:$A$130=C992)*(참고!$B$31:$B$130&lt;=A992)*(참고!$B$31:$B$130=_xludf.MAXIFS(참고!$B$31:$B$130,참고!$A$31:$A$130,C992,참고!$B$31:$B$130,"&lt;="&amp;A992))*참고!$D$31:$D$130)/100,0),0)</f>
        <v>0</v>
      </c>
      <c r="L992" s="31" t="str">
        <f t="shared" si="47"/>
        <v/>
      </c>
      <c r="M992" s="39"/>
    </row>
    <row r="993" spans="1:13" ht="18" customHeight="1" x14ac:dyDescent="0.45">
      <c r="A993" s="37"/>
      <c r="B993" s="29"/>
      <c r="C993" s="29"/>
      <c r="D993" s="28"/>
      <c r="E993" s="30" t="str">
        <f>IFERROR(VLOOKUP(D993,KRX종목마스터!$A:$B,2,FALSE),"")</f>
        <v/>
      </c>
      <c r="F993" s="42"/>
      <c r="G993" s="42"/>
      <c r="H993" s="31" t="str">
        <f t="shared" si="45"/>
        <v/>
      </c>
      <c r="I993" s="43">
        <f ca="1">IFERROR(SUMPRODUCT((참고!$A$31:$A$130=C993)*(참고!$B$31:$B$130&lt;=A993)*(참고!$B$31:$B$130=_xludf.MAXIFS(참고!$B$31:$B$130,참고!$A$31:$A$130,C993,참고!$B$31:$B$130,"&lt;="&amp;A993))*참고!$C$31:$C$130)/100,0)</f>
        <v>0</v>
      </c>
      <c r="J993" s="31" t="str">
        <f t="shared" si="46"/>
        <v/>
      </c>
      <c r="K993" s="43">
        <f>IF(B993="매도",IFERROR(SUMPRODUCT((참고!$A$31:$A$130=C993)*(참고!$B$31:$B$130&lt;=A993)*(참고!$B$31:$B$130=_xludf.MAXIFS(참고!$B$31:$B$130,참고!$A$31:$A$130,C993,참고!$B$31:$B$130,"&lt;="&amp;A993))*참고!$D$31:$D$130)/100,0),0)</f>
        <v>0</v>
      </c>
      <c r="L993" s="31" t="str">
        <f t="shared" si="47"/>
        <v/>
      </c>
      <c r="M993" s="39"/>
    </row>
    <row r="994" spans="1:13" ht="18" customHeight="1" x14ac:dyDescent="0.45">
      <c r="A994" s="37"/>
      <c r="B994" s="29"/>
      <c r="C994" s="29"/>
      <c r="D994" s="28"/>
      <c r="E994" s="30" t="str">
        <f>IFERROR(VLOOKUP(D994,KRX종목마스터!$A:$B,2,FALSE),"")</f>
        <v/>
      </c>
      <c r="F994" s="42"/>
      <c r="G994" s="42"/>
      <c r="H994" s="31" t="str">
        <f t="shared" si="45"/>
        <v/>
      </c>
      <c r="I994" s="43">
        <f ca="1">IFERROR(SUMPRODUCT((참고!$A$31:$A$130=C994)*(참고!$B$31:$B$130&lt;=A994)*(참고!$B$31:$B$130=_xludf.MAXIFS(참고!$B$31:$B$130,참고!$A$31:$A$130,C994,참고!$B$31:$B$130,"&lt;="&amp;A994))*참고!$C$31:$C$130)/100,0)</f>
        <v>0</v>
      </c>
      <c r="J994" s="31" t="str">
        <f t="shared" si="46"/>
        <v/>
      </c>
      <c r="K994" s="43">
        <f>IF(B994="매도",IFERROR(SUMPRODUCT((참고!$A$31:$A$130=C994)*(참고!$B$31:$B$130&lt;=A994)*(참고!$B$31:$B$130=_xludf.MAXIFS(참고!$B$31:$B$130,참고!$A$31:$A$130,C994,참고!$B$31:$B$130,"&lt;="&amp;A994))*참고!$D$31:$D$130)/100,0),0)</f>
        <v>0</v>
      </c>
      <c r="L994" s="31" t="str">
        <f t="shared" si="47"/>
        <v/>
      </c>
      <c r="M994" s="39"/>
    </row>
    <row r="995" spans="1:13" ht="18" customHeight="1" x14ac:dyDescent="0.45">
      <c r="A995" s="37"/>
      <c r="B995" s="29"/>
      <c r="C995" s="29"/>
      <c r="D995" s="28"/>
      <c r="E995" s="30" t="str">
        <f>IFERROR(VLOOKUP(D995,KRX종목마스터!$A:$B,2,FALSE),"")</f>
        <v/>
      </c>
      <c r="F995" s="42"/>
      <c r="G995" s="42"/>
      <c r="H995" s="31" t="str">
        <f t="shared" si="45"/>
        <v/>
      </c>
      <c r="I995" s="43">
        <f ca="1">IFERROR(SUMPRODUCT((참고!$A$31:$A$130=C995)*(참고!$B$31:$B$130&lt;=A995)*(참고!$B$31:$B$130=_xludf.MAXIFS(참고!$B$31:$B$130,참고!$A$31:$A$130,C995,참고!$B$31:$B$130,"&lt;="&amp;A995))*참고!$C$31:$C$130)/100,0)</f>
        <v>0</v>
      </c>
      <c r="J995" s="31" t="str">
        <f t="shared" si="46"/>
        <v/>
      </c>
      <c r="K995" s="43">
        <f>IF(B995="매도",IFERROR(SUMPRODUCT((참고!$A$31:$A$130=C995)*(참고!$B$31:$B$130&lt;=A995)*(참고!$B$31:$B$130=_xludf.MAXIFS(참고!$B$31:$B$130,참고!$A$31:$A$130,C995,참고!$B$31:$B$130,"&lt;="&amp;A995))*참고!$D$31:$D$130)/100,0),0)</f>
        <v>0</v>
      </c>
      <c r="L995" s="31" t="str">
        <f t="shared" si="47"/>
        <v/>
      </c>
      <c r="M995" s="39"/>
    </row>
    <row r="996" spans="1:13" ht="18" customHeight="1" x14ac:dyDescent="0.45">
      <c r="A996" s="37"/>
      <c r="B996" s="29"/>
      <c r="C996" s="29"/>
      <c r="D996" s="28"/>
      <c r="E996" s="30" t="str">
        <f>IFERROR(VLOOKUP(D996,KRX종목마스터!$A:$B,2,FALSE),"")</f>
        <v/>
      </c>
      <c r="F996" s="42"/>
      <c r="G996" s="42"/>
      <c r="H996" s="31" t="str">
        <f t="shared" si="45"/>
        <v/>
      </c>
      <c r="I996" s="43">
        <f ca="1">IFERROR(SUMPRODUCT((참고!$A$31:$A$130=C996)*(참고!$B$31:$B$130&lt;=A996)*(참고!$B$31:$B$130=_xludf.MAXIFS(참고!$B$31:$B$130,참고!$A$31:$A$130,C996,참고!$B$31:$B$130,"&lt;="&amp;A996))*참고!$C$31:$C$130)/100,0)</f>
        <v>0</v>
      </c>
      <c r="J996" s="31" t="str">
        <f t="shared" si="46"/>
        <v/>
      </c>
      <c r="K996" s="43">
        <f>IF(B996="매도",IFERROR(SUMPRODUCT((참고!$A$31:$A$130=C996)*(참고!$B$31:$B$130&lt;=A996)*(참고!$B$31:$B$130=_xludf.MAXIFS(참고!$B$31:$B$130,참고!$A$31:$A$130,C996,참고!$B$31:$B$130,"&lt;="&amp;A996))*참고!$D$31:$D$130)/100,0),0)</f>
        <v>0</v>
      </c>
      <c r="L996" s="31" t="str">
        <f t="shared" si="47"/>
        <v/>
      </c>
      <c r="M996" s="39"/>
    </row>
    <row r="997" spans="1:13" ht="18" customHeight="1" x14ac:dyDescent="0.45">
      <c r="A997" s="37"/>
      <c r="B997" s="29"/>
      <c r="C997" s="29"/>
      <c r="D997" s="28"/>
      <c r="E997" s="30" t="str">
        <f>IFERROR(VLOOKUP(D997,KRX종목마스터!$A:$B,2,FALSE),"")</f>
        <v/>
      </c>
      <c r="F997" s="42"/>
      <c r="G997" s="42"/>
      <c r="H997" s="31" t="str">
        <f t="shared" si="45"/>
        <v/>
      </c>
      <c r="I997" s="43">
        <f ca="1">IFERROR(SUMPRODUCT((참고!$A$31:$A$130=C997)*(참고!$B$31:$B$130&lt;=A997)*(참고!$B$31:$B$130=_xludf.MAXIFS(참고!$B$31:$B$130,참고!$A$31:$A$130,C997,참고!$B$31:$B$130,"&lt;="&amp;A997))*참고!$C$31:$C$130)/100,0)</f>
        <v>0</v>
      </c>
      <c r="J997" s="31" t="str">
        <f t="shared" si="46"/>
        <v/>
      </c>
      <c r="K997" s="43">
        <f>IF(B997="매도",IFERROR(SUMPRODUCT((참고!$A$31:$A$130=C997)*(참고!$B$31:$B$130&lt;=A997)*(참고!$B$31:$B$130=_xludf.MAXIFS(참고!$B$31:$B$130,참고!$A$31:$A$130,C997,참고!$B$31:$B$130,"&lt;="&amp;A997))*참고!$D$31:$D$130)/100,0),0)</f>
        <v>0</v>
      </c>
      <c r="L997" s="31" t="str">
        <f t="shared" si="47"/>
        <v/>
      </c>
      <c r="M997" s="39"/>
    </row>
    <row r="998" spans="1:13" ht="18" customHeight="1" x14ac:dyDescent="0.45">
      <c r="A998" s="37"/>
      <c r="B998" s="29"/>
      <c r="C998" s="29"/>
      <c r="D998" s="28"/>
      <c r="E998" s="30" t="str">
        <f>IFERROR(VLOOKUP(D998,KRX종목마스터!$A:$B,2,FALSE),"")</f>
        <v/>
      </c>
      <c r="F998" s="42"/>
      <c r="G998" s="42"/>
      <c r="H998" s="31" t="str">
        <f t="shared" si="45"/>
        <v/>
      </c>
      <c r="I998" s="43">
        <f ca="1">IFERROR(SUMPRODUCT((참고!$A$31:$A$130=C998)*(참고!$B$31:$B$130&lt;=A998)*(참고!$B$31:$B$130=_xludf.MAXIFS(참고!$B$31:$B$130,참고!$A$31:$A$130,C998,참고!$B$31:$B$130,"&lt;="&amp;A998))*참고!$C$31:$C$130)/100,0)</f>
        <v>0</v>
      </c>
      <c r="J998" s="31" t="str">
        <f t="shared" si="46"/>
        <v/>
      </c>
      <c r="K998" s="43">
        <f>IF(B998="매도",IFERROR(SUMPRODUCT((참고!$A$31:$A$130=C998)*(참고!$B$31:$B$130&lt;=A998)*(참고!$B$31:$B$130=_xludf.MAXIFS(참고!$B$31:$B$130,참고!$A$31:$A$130,C998,참고!$B$31:$B$130,"&lt;="&amp;A998))*참고!$D$31:$D$130)/100,0),0)</f>
        <v>0</v>
      </c>
      <c r="L998" s="31" t="str">
        <f t="shared" si="47"/>
        <v/>
      </c>
      <c r="M998" s="39"/>
    </row>
    <row r="999" spans="1:13" ht="18" customHeight="1" x14ac:dyDescent="0.45">
      <c r="A999" s="37"/>
      <c r="B999" s="29"/>
      <c r="C999" s="29"/>
      <c r="D999" s="28"/>
      <c r="E999" s="30" t="str">
        <f>IFERROR(VLOOKUP(D999,KRX종목마스터!$A:$B,2,FALSE),"")</f>
        <v/>
      </c>
      <c r="F999" s="42"/>
      <c r="G999" s="42"/>
      <c r="H999" s="31" t="str">
        <f t="shared" si="45"/>
        <v/>
      </c>
      <c r="I999" s="43">
        <f ca="1">IFERROR(SUMPRODUCT((참고!$A$31:$A$130=C999)*(참고!$B$31:$B$130&lt;=A999)*(참고!$B$31:$B$130=_xludf.MAXIFS(참고!$B$31:$B$130,참고!$A$31:$A$130,C999,참고!$B$31:$B$130,"&lt;="&amp;A999))*참고!$C$31:$C$130)/100,0)</f>
        <v>0</v>
      </c>
      <c r="J999" s="31" t="str">
        <f t="shared" si="46"/>
        <v/>
      </c>
      <c r="K999" s="43">
        <f>IF(B999="매도",IFERROR(SUMPRODUCT((참고!$A$31:$A$130=C999)*(참고!$B$31:$B$130&lt;=A999)*(참고!$B$31:$B$130=_xludf.MAXIFS(참고!$B$31:$B$130,참고!$A$31:$A$130,C999,참고!$B$31:$B$130,"&lt;="&amp;A999))*참고!$D$31:$D$130)/100,0),0)</f>
        <v>0</v>
      </c>
      <c r="L999" s="31" t="str">
        <f t="shared" si="47"/>
        <v/>
      </c>
      <c r="M999" s="39"/>
    </row>
    <row r="1000" spans="1:13" ht="18" customHeight="1" x14ac:dyDescent="0.45">
      <c r="A1000" s="37"/>
      <c r="B1000" s="29"/>
      <c r="C1000" s="29"/>
      <c r="D1000" s="28"/>
      <c r="E1000" s="30" t="str">
        <f>IFERROR(VLOOKUP(D1000,KRX종목마스터!$A:$B,2,FALSE),"")</f>
        <v/>
      </c>
      <c r="F1000" s="42"/>
      <c r="G1000" s="42"/>
      <c r="H1000" s="31" t="str">
        <f t="shared" si="45"/>
        <v/>
      </c>
      <c r="I1000" s="43">
        <f ca="1">IFERROR(SUMPRODUCT((참고!$A$31:$A$130=C1000)*(참고!$B$31:$B$130&lt;=A1000)*(참고!$B$31:$B$130=_xludf.MAXIFS(참고!$B$31:$B$130,참고!$A$31:$A$130,C1000,참고!$B$31:$B$130,"&lt;="&amp;A1000))*참고!$C$31:$C$130)/100,0)</f>
        <v>0</v>
      </c>
      <c r="J1000" s="31" t="str">
        <f t="shared" si="46"/>
        <v/>
      </c>
      <c r="K1000" s="43">
        <f>IF(B1000="매도",IFERROR(SUMPRODUCT((참고!$A$31:$A$130=C1000)*(참고!$B$31:$B$130&lt;=A1000)*(참고!$B$31:$B$130=_xludf.MAXIFS(참고!$B$31:$B$130,참고!$A$31:$A$130,C1000,참고!$B$31:$B$130,"&lt;="&amp;A1000))*참고!$D$31:$D$130)/100,0),0)</f>
        <v>0</v>
      </c>
      <c r="L1000" s="31" t="str">
        <f t="shared" si="47"/>
        <v/>
      </c>
      <c r="M1000" s="39"/>
    </row>
    <row r="1001" spans="1:13" ht="18" customHeight="1" x14ac:dyDescent="0.45">
      <c r="A1001" s="37"/>
      <c r="B1001" s="29"/>
      <c r="C1001" s="29"/>
      <c r="D1001" s="28"/>
      <c r="E1001" s="30" t="str">
        <f>IFERROR(VLOOKUP(D1001,KRX종목마스터!$A:$B,2,FALSE),"")</f>
        <v/>
      </c>
      <c r="F1001" s="42"/>
      <c r="G1001" s="42"/>
      <c r="H1001" s="31" t="str">
        <f t="shared" si="45"/>
        <v/>
      </c>
      <c r="I1001" s="43">
        <f ca="1">IFERROR(SUMPRODUCT((참고!$A$31:$A$130=C1001)*(참고!$B$31:$B$130&lt;=A1001)*(참고!$B$31:$B$130=_xludf.MAXIFS(참고!$B$31:$B$130,참고!$A$31:$A$130,C1001,참고!$B$31:$B$130,"&lt;="&amp;A1001))*참고!$C$31:$C$130)/100,0)</f>
        <v>0</v>
      </c>
      <c r="J1001" s="31" t="str">
        <f t="shared" si="46"/>
        <v/>
      </c>
      <c r="K1001" s="43">
        <f>IF(B1001="매도",IFERROR(SUMPRODUCT((참고!$A$31:$A$130=C1001)*(참고!$B$31:$B$130&lt;=A1001)*(참고!$B$31:$B$130=_xludf.MAXIFS(참고!$B$31:$B$130,참고!$A$31:$A$130,C1001,참고!$B$31:$B$130,"&lt;="&amp;A1001))*참고!$D$31:$D$130)/100,0),0)</f>
        <v>0</v>
      </c>
      <c r="L1001" s="31" t="str">
        <f t="shared" si="47"/>
        <v/>
      </c>
      <c r="M1001" s="39"/>
    </row>
    <row r="1002" spans="1:13" ht="18" customHeight="1" x14ac:dyDescent="0.45">
      <c r="A1002" s="37"/>
      <c r="B1002" s="29"/>
      <c r="C1002" s="29"/>
      <c r="D1002" s="28"/>
      <c r="E1002" s="30" t="str">
        <f>IFERROR(VLOOKUP(D1002,KRX종목마스터!$A:$B,2,FALSE),"")</f>
        <v/>
      </c>
      <c r="F1002" s="42"/>
      <c r="G1002" s="42"/>
      <c r="H1002" s="31" t="str">
        <f t="shared" si="45"/>
        <v/>
      </c>
      <c r="I1002" s="43">
        <f ca="1">IFERROR(SUMPRODUCT((참고!$A$31:$A$130=C1002)*(참고!$B$31:$B$130&lt;=A1002)*(참고!$B$31:$B$130=_xludf.MAXIFS(참고!$B$31:$B$130,참고!$A$31:$A$130,C1002,참고!$B$31:$B$130,"&lt;="&amp;A1002))*참고!$C$31:$C$130)/100,0)</f>
        <v>0</v>
      </c>
      <c r="J1002" s="31" t="str">
        <f t="shared" si="46"/>
        <v/>
      </c>
      <c r="K1002" s="43">
        <f>IF(B1002="매도",IFERROR(SUMPRODUCT((참고!$A$31:$A$130=C1002)*(참고!$B$31:$B$130&lt;=A1002)*(참고!$B$31:$B$130=_xludf.MAXIFS(참고!$B$31:$B$130,참고!$A$31:$A$130,C1002,참고!$B$31:$B$130,"&lt;="&amp;A1002))*참고!$D$31:$D$130)/100,0),0)</f>
        <v>0</v>
      </c>
      <c r="L1002" s="31" t="str">
        <f t="shared" si="47"/>
        <v/>
      </c>
      <c r="M1002" s="39"/>
    </row>
    <row r="1003" spans="1:13" ht="18" customHeight="1" x14ac:dyDescent="0.45">
      <c r="A1003" s="37"/>
      <c r="B1003" s="29"/>
      <c r="C1003" s="29"/>
      <c r="D1003" s="28"/>
      <c r="E1003" s="30" t="str">
        <f>IFERROR(VLOOKUP(D1003,KRX종목마스터!$A:$B,2,FALSE),"")</f>
        <v/>
      </c>
      <c r="F1003" s="42"/>
      <c r="G1003" s="42"/>
      <c r="H1003" s="31" t="str">
        <f t="shared" si="45"/>
        <v/>
      </c>
      <c r="I1003" s="43">
        <f ca="1">IFERROR(SUMPRODUCT((참고!$A$31:$A$130=C1003)*(참고!$B$31:$B$130&lt;=A1003)*(참고!$B$31:$B$130=_xludf.MAXIFS(참고!$B$31:$B$130,참고!$A$31:$A$130,C1003,참고!$B$31:$B$130,"&lt;="&amp;A1003))*참고!$C$31:$C$130)/100,0)</f>
        <v>0</v>
      </c>
      <c r="J1003" s="31" t="str">
        <f t="shared" si="46"/>
        <v/>
      </c>
      <c r="K1003" s="43">
        <f>IF(B1003="매도",IFERROR(SUMPRODUCT((참고!$A$31:$A$130=C1003)*(참고!$B$31:$B$130&lt;=A1003)*(참고!$B$31:$B$130=_xludf.MAXIFS(참고!$B$31:$B$130,참고!$A$31:$A$130,C1003,참고!$B$31:$B$130,"&lt;="&amp;A1003))*참고!$D$31:$D$130)/100,0),0)</f>
        <v>0</v>
      </c>
      <c r="L1003" s="31" t="str">
        <f t="shared" si="47"/>
        <v/>
      </c>
      <c r="M1003" s="39"/>
    </row>
    <row r="1004" spans="1:13" ht="18" customHeight="1" x14ac:dyDescent="0.45">
      <c r="A1004" s="37"/>
      <c r="B1004" s="29"/>
      <c r="C1004" s="29"/>
      <c r="D1004" s="28"/>
      <c r="E1004" s="30" t="str">
        <f>IFERROR(VLOOKUP(D1004,KRX종목마스터!$A:$B,2,FALSE),"")</f>
        <v/>
      </c>
      <c r="F1004" s="42"/>
      <c r="G1004" s="42"/>
      <c r="H1004" s="31" t="str">
        <f t="shared" si="45"/>
        <v/>
      </c>
      <c r="I1004" s="43">
        <f ca="1">IFERROR(SUMPRODUCT((참고!$A$31:$A$130=C1004)*(참고!$B$31:$B$130&lt;=A1004)*(참고!$B$31:$B$130=_xludf.MAXIFS(참고!$B$31:$B$130,참고!$A$31:$A$130,C1004,참고!$B$31:$B$130,"&lt;="&amp;A1004))*참고!$C$31:$C$130)/100,0)</f>
        <v>0</v>
      </c>
      <c r="J1004" s="31" t="str">
        <f t="shared" si="46"/>
        <v/>
      </c>
      <c r="K1004" s="43">
        <f>IF(B1004="매도",IFERROR(SUMPRODUCT((참고!$A$31:$A$130=C1004)*(참고!$B$31:$B$130&lt;=A1004)*(참고!$B$31:$B$130=_xludf.MAXIFS(참고!$B$31:$B$130,참고!$A$31:$A$130,C1004,참고!$B$31:$B$130,"&lt;="&amp;A1004))*참고!$D$31:$D$130)/100,0),0)</f>
        <v>0</v>
      </c>
      <c r="L1004" s="31" t="str">
        <f t="shared" si="47"/>
        <v/>
      </c>
      <c r="M1004" s="39"/>
    </row>
    <row r="1005" spans="1:13" ht="18" customHeight="1" x14ac:dyDescent="0.45">
      <c r="A1005" s="37"/>
      <c r="B1005" s="29"/>
      <c r="C1005" s="29"/>
      <c r="D1005" s="28"/>
      <c r="E1005" s="30" t="str">
        <f>IFERROR(VLOOKUP(D1005,KRX종목마스터!$A:$B,2,FALSE),"")</f>
        <v/>
      </c>
      <c r="F1005" s="42"/>
      <c r="G1005" s="42"/>
      <c r="H1005" s="31" t="str">
        <f t="shared" si="45"/>
        <v/>
      </c>
      <c r="I1005" s="43">
        <f ca="1">IFERROR(SUMPRODUCT((참고!$A$31:$A$130=C1005)*(참고!$B$31:$B$130&lt;=A1005)*(참고!$B$31:$B$130=_xludf.MAXIFS(참고!$B$31:$B$130,참고!$A$31:$A$130,C1005,참고!$B$31:$B$130,"&lt;="&amp;A1005))*참고!$C$31:$C$130)/100,0)</f>
        <v>0</v>
      </c>
      <c r="J1005" s="31" t="str">
        <f t="shared" si="46"/>
        <v/>
      </c>
      <c r="K1005" s="43">
        <f>IF(B1005="매도",IFERROR(SUMPRODUCT((참고!$A$31:$A$130=C1005)*(참고!$B$31:$B$130&lt;=A1005)*(참고!$B$31:$B$130=_xludf.MAXIFS(참고!$B$31:$B$130,참고!$A$31:$A$130,C1005,참고!$B$31:$B$130,"&lt;="&amp;A1005))*참고!$D$31:$D$130)/100,0),0)</f>
        <v>0</v>
      </c>
      <c r="L1005" s="31" t="str">
        <f t="shared" si="47"/>
        <v/>
      </c>
      <c r="M1005" s="39"/>
    </row>
    <row r="1006" spans="1:13" ht="18" customHeight="1" x14ac:dyDescent="0.45">
      <c r="A1006" s="37"/>
      <c r="B1006" s="29"/>
      <c r="C1006" s="29"/>
      <c r="D1006" s="28"/>
      <c r="E1006" s="30" t="str">
        <f>IFERROR(VLOOKUP(D1006,KRX종목마스터!$A:$B,2,FALSE),"")</f>
        <v/>
      </c>
      <c r="F1006" s="42"/>
      <c r="G1006" s="42"/>
      <c r="H1006" s="31" t="str">
        <f t="shared" si="45"/>
        <v/>
      </c>
      <c r="I1006" s="43">
        <f ca="1">IFERROR(SUMPRODUCT((참고!$A$31:$A$130=C1006)*(참고!$B$31:$B$130&lt;=A1006)*(참고!$B$31:$B$130=_xludf.MAXIFS(참고!$B$31:$B$130,참고!$A$31:$A$130,C1006,참고!$B$31:$B$130,"&lt;="&amp;A1006))*참고!$C$31:$C$130)/100,0)</f>
        <v>0</v>
      </c>
      <c r="J1006" s="31" t="str">
        <f t="shared" si="46"/>
        <v/>
      </c>
      <c r="K1006" s="43">
        <f>IF(B1006="매도",IFERROR(SUMPRODUCT((참고!$A$31:$A$130=C1006)*(참고!$B$31:$B$130&lt;=A1006)*(참고!$B$31:$B$130=_xludf.MAXIFS(참고!$B$31:$B$130,참고!$A$31:$A$130,C1006,참고!$B$31:$B$130,"&lt;="&amp;A1006))*참고!$D$31:$D$130)/100,0),0)</f>
        <v>0</v>
      </c>
      <c r="L1006" s="31" t="str">
        <f t="shared" si="47"/>
        <v/>
      </c>
      <c r="M1006" s="39"/>
    </row>
    <row r="1007" spans="1:13" ht="18" customHeight="1" x14ac:dyDescent="0.45">
      <c r="A1007" s="37"/>
      <c r="B1007" s="29"/>
      <c r="C1007" s="29"/>
      <c r="D1007" s="28"/>
      <c r="E1007" s="30" t="str">
        <f>IFERROR(VLOOKUP(D1007,KRX종목마스터!$A:$B,2,FALSE),"")</f>
        <v/>
      </c>
      <c r="F1007" s="42"/>
      <c r="G1007" s="42"/>
      <c r="H1007" s="31" t="str">
        <f t="shared" si="45"/>
        <v/>
      </c>
      <c r="I1007" s="43">
        <f ca="1">IFERROR(SUMPRODUCT((참고!$A$31:$A$130=C1007)*(참고!$B$31:$B$130&lt;=A1007)*(참고!$B$31:$B$130=_xludf.MAXIFS(참고!$B$31:$B$130,참고!$A$31:$A$130,C1007,참고!$B$31:$B$130,"&lt;="&amp;A1007))*참고!$C$31:$C$130)/100,0)</f>
        <v>0</v>
      </c>
      <c r="J1007" s="31" t="str">
        <f t="shared" si="46"/>
        <v/>
      </c>
      <c r="K1007" s="43">
        <f>IF(B1007="매도",IFERROR(SUMPRODUCT((참고!$A$31:$A$130=C1007)*(참고!$B$31:$B$130&lt;=A1007)*(참고!$B$31:$B$130=_xludf.MAXIFS(참고!$B$31:$B$130,참고!$A$31:$A$130,C1007,참고!$B$31:$B$130,"&lt;="&amp;A1007))*참고!$D$31:$D$130)/100,0),0)</f>
        <v>0</v>
      </c>
      <c r="L1007" s="31" t="str">
        <f t="shared" si="47"/>
        <v/>
      </c>
      <c r="M1007" s="39"/>
    </row>
    <row r="1008" spans="1:13" ht="18" customHeight="1" x14ac:dyDescent="0.45">
      <c r="A1008" s="37"/>
      <c r="B1008" s="29"/>
      <c r="C1008" s="29"/>
      <c r="D1008" s="28"/>
      <c r="E1008" s="30" t="str">
        <f>IFERROR(VLOOKUP(D1008,KRX종목마스터!$A:$B,2,FALSE),"")</f>
        <v/>
      </c>
      <c r="F1008" s="42"/>
      <c r="G1008" s="42"/>
      <c r="H1008" s="31" t="str">
        <f t="shared" si="45"/>
        <v/>
      </c>
      <c r="I1008" s="43">
        <f ca="1">IFERROR(SUMPRODUCT((참고!$A$31:$A$130=C1008)*(참고!$B$31:$B$130&lt;=A1008)*(참고!$B$31:$B$130=_xludf.MAXIFS(참고!$B$31:$B$130,참고!$A$31:$A$130,C1008,참고!$B$31:$B$130,"&lt;="&amp;A1008))*참고!$C$31:$C$130)/100,0)</f>
        <v>0</v>
      </c>
      <c r="J1008" s="31" t="str">
        <f t="shared" si="46"/>
        <v/>
      </c>
      <c r="K1008" s="43">
        <f>IF(B1008="매도",IFERROR(SUMPRODUCT((참고!$A$31:$A$130=C1008)*(참고!$B$31:$B$130&lt;=A1008)*(참고!$B$31:$B$130=_xludf.MAXIFS(참고!$B$31:$B$130,참고!$A$31:$A$130,C1008,참고!$B$31:$B$130,"&lt;="&amp;A1008))*참고!$D$31:$D$130)/100,0),0)</f>
        <v>0</v>
      </c>
      <c r="L1008" s="31" t="str">
        <f t="shared" si="47"/>
        <v/>
      </c>
      <c r="M1008" s="39"/>
    </row>
    <row r="1009" spans="1:13" ht="18" customHeight="1" x14ac:dyDescent="0.45">
      <c r="A1009" s="37"/>
      <c r="B1009" s="29"/>
      <c r="C1009" s="29"/>
      <c r="D1009" s="28"/>
      <c r="E1009" s="30" t="str">
        <f>IFERROR(VLOOKUP(D1009,KRX종목마스터!$A:$B,2,FALSE),"")</f>
        <v/>
      </c>
      <c r="F1009" s="42"/>
      <c r="G1009" s="42"/>
      <c r="H1009" s="31" t="str">
        <f t="shared" si="45"/>
        <v/>
      </c>
      <c r="I1009" s="43">
        <f ca="1">IFERROR(SUMPRODUCT((참고!$A$31:$A$130=C1009)*(참고!$B$31:$B$130&lt;=A1009)*(참고!$B$31:$B$130=_xludf.MAXIFS(참고!$B$31:$B$130,참고!$A$31:$A$130,C1009,참고!$B$31:$B$130,"&lt;="&amp;A1009))*참고!$C$31:$C$130)/100,0)</f>
        <v>0</v>
      </c>
      <c r="J1009" s="31" t="str">
        <f t="shared" si="46"/>
        <v/>
      </c>
      <c r="K1009" s="43">
        <f>IF(B1009="매도",IFERROR(SUMPRODUCT((참고!$A$31:$A$130=C1009)*(참고!$B$31:$B$130&lt;=A1009)*(참고!$B$31:$B$130=_xludf.MAXIFS(참고!$B$31:$B$130,참고!$A$31:$A$130,C1009,참고!$B$31:$B$130,"&lt;="&amp;A1009))*참고!$D$31:$D$130)/100,0),0)</f>
        <v>0</v>
      </c>
      <c r="L1009" s="31" t="str">
        <f t="shared" si="47"/>
        <v/>
      </c>
      <c r="M1009" s="39"/>
    </row>
    <row r="1010" spans="1:13" ht="18" customHeight="1" x14ac:dyDescent="0.45">
      <c r="A1010" s="37"/>
      <c r="B1010" s="29"/>
      <c r="C1010" s="29"/>
      <c r="D1010" s="28"/>
      <c r="E1010" s="30" t="str">
        <f>IFERROR(VLOOKUP(D1010,KRX종목마스터!$A:$B,2,FALSE),"")</f>
        <v/>
      </c>
      <c r="F1010" s="42"/>
      <c r="G1010" s="42"/>
      <c r="H1010" s="31" t="str">
        <f t="shared" si="45"/>
        <v/>
      </c>
      <c r="I1010" s="43">
        <f ca="1">IFERROR(SUMPRODUCT((참고!$A$31:$A$130=C1010)*(참고!$B$31:$B$130&lt;=A1010)*(참고!$B$31:$B$130=_xludf.MAXIFS(참고!$B$31:$B$130,참고!$A$31:$A$130,C1010,참고!$B$31:$B$130,"&lt;="&amp;A1010))*참고!$C$31:$C$130)/100,0)</f>
        <v>0</v>
      </c>
      <c r="J1010" s="31" t="str">
        <f t="shared" si="46"/>
        <v/>
      </c>
      <c r="K1010" s="43">
        <f>IF(B1010="매도",IFERROR(SUMPRODUCT((참고!$A$31:$A$130=C1010)*(참고!$B$31:$B$130&lt;=A1010)*(참고!$B$31:$B$130=_xludf.MAXIFS(참고!$B$31:$B$130,참고!$A$31:$A$130,C1010,참고!$B$31:$B$130,"&lt;="&amp;A1010))*참고!$D$31:$D$130)/100,0),0)</f>
        <v>0</v>
      </c>
      <c r="L1010" s="31" t="str">
        <f t="shared" si="47"/>
        <v/>
      </c>
      <c r="M1010" s="39"/>
    </row>
    <row r="1011" spans="1:13" ht="18" customHeight="1" x14ac:dyDescent="0.45">
      <c r="A1011" s="37"/>
      <c r="B1011" s="29"/>
      <c r="C1011" s="29"/>
      <c r="D1011" s="28"/>
      <c r="E1011" s="30" t="str">
        <f>IFERROR(VLOOKUP(D1011,KRX종목마스터!$A:$B,2,FALSE),"")</f>
        <v/>
      </c>
      <c r="F1011" s="42"/>
      <c r="G1011" s="42"/>
      <c r="H1011" s="31" t="str">
        <f t="shared" si="45"/>
        <v/>
      </c>
      <c r="I1011" s="43">
        <f ca="1">IFERROR(SUMPRODUCT((참고!$A$31:$A$130=C1011)*(참고!$B$31:$B$130&lt;=A1011)*(참고!$B$31:$B$130=_xludf.MAXIFS(참고!$B$31:$B$130,참고!$A$31:$A$130,C1011,참고!$B$31:$B$130,"&lt;="&amp;A1011))*참고!$C$31:$C$130)/100,0)</f>
        <v>0</v>
      </c>
      <c r="J1011" s="31" t="str">
        <f t="shared" si="46"/>
        <v/>
      </c>
      <c r="K1011" s="43">
        <f>IF(B1011="매도",IFERROR(SUMPRODUCT((참고!$A$31:$A$130=C1011)*(참고!$B$31:$B$130&lt;=A1011)*(참고!$B$31:$B$130=_xludf.MAXIFS(참고!$B$31:$B$130,참고!$A$31:$A$130,C1011,참고!$B$31:$B$130,"&lt;="&amp;A1011))*참고!$D$31:$D$130)/100,0),0)</f>
        <v>0</v>
      </c>
      <c r="L1011" s="31" t="str">
        <f t="shared" si="47"/>
        <v/>
      </c>
      <c r="M1011" s="39"/>
    </row>
    <row r="1012" spans="1:13" ht="18" customHeight="1" x14ac:dyDescent="0.45">
      <c r="A1012" s="37"/>
      <c r="B1012" s="29"/>
      <c r="C1012" s="29"/>
      <c r="D1012" s="28"/>
      <c r="E1012" s="30" t="str">
        <f>IFERROR(VLOOKUP(D1012,KRX종목마스터!$A:$B,2,FALSE),"")</f>
        <v/>
      </c>
      <c r="F1012" s="42"/>
      <c r="G1012" s="42"/>
      <c r="H1012" s="31" t="str">
        <f t="shared" si="45"/>
        <v/>
      </c>
      <c r="I1012" s="43">
        <f ca="1">IFERROR(SUMPRODUCT((참고!$A$31:$A$130=C1012)*(참고!$B$31:$B$130&lt;=A1012)*(참고!$B$31:$B$130=_xludf.MAXIFS(참고!$B$31:$B$130,참고!$A$31:$A$130,C1012,참고!$B$31:$B$130,"&lt;="&amp;A1012))*참고!$C$31:$C$130)/100,0)</f>
        <v>0</v>
      </c>
      <c r="J1012" s="31" t="str">
        <f t="shared" si="46"/>
        <v/>
      </c>
      <c r="K1012" s="43">
        <f>IF(B1012="매도",IFERROR(SUMPRODUCT((참고!$A$31:$A$130=C1012)*(참고!$B$31:$B$130&lt;=A1012)*(참고!$B$31:$B$130=_xludf.MAXIFS(참고!$B$31:$B$130,참고!$A$31:$A$130,C1012,참고!$B$31:$B$130,"&lt;="&amp;A1012))*참고!$D$31:$D$130)/100,0),0)</f>
        <v>0</v>
      </c>
      <c r="L1012" s="31" t="str">
        <f t="shared" si="47"/>
        <v/>
      </c>
      <c r="M1012" s="39"/>
    </row>
    <row r="1013" spans="1:13" ht="18" customHeight="1" x14ac:dyDescent="0.45">
      <c r="A1013" s="37"/>
      <c r="B1013" s="29"/>
      <c r="C1013" s="29"/>
      <c r="D1013" s="28"/>
      <c r="E1013" s="30" t="str">
        <f>IFERROR(VLOOKUP(D1013,KRX종목마스터!$A:$B,2,FALSE),"")</f>
        <v/>
      </c>
      <c r="F1013" s="42"/>
      <c r="G1013" s="42"/>
      <c r="H1013" s="31" t="str">
        <f t="shared" si="45"/>
        <v/>
      </c>
      <c r="I1013" s="43">
        <f ca="1">IFERROR(SUMPRODUCT((참고!$A$31:$A$130=C1013)*(참고!$B$31:$B$130&lt;=A1013)*(참고!$B$31:$B$130=_xludf.MAXIFS(참고!$B$31:$B$130,참고!$A$31:$A$130,C1013,참고!$B$31:$B$130,"&lt;="&amp;A1013))*참고!$C$31:$C$130)/100,0)</f>
        <v>0</v>
      </c>
      <c r="J1013" s="31" t="str">
        <f t="shared" si="46"/>
        <v/>
      </c>
      <c r="K1013" s="43">
        <f>IF(B1013="매도",IFERROR(SUMPRODUCT((참고!$A$31:$A$130=C1013)*(참고!$B$31:$B$130&lt;=A1013)*(참고!$B$31:$B$130=_xludf.MAXIFS(참고!$B$31:$B$130,참고!$A$31:$A$130,C1013,참고!$B$31:$B$130,"&lt;="&amp;A1013))*참고!$D$31:$D$130)/100,0),0)</f>
        <v>0</v>
      </c>
      <c r="L1013" s="31" t="str">
        <f t="shared" si="47"/>
        <v/>
      </c>
      <c r="M1013" s="39"/>
    </row>
    <row r="1014" spans="1:13" ht="18" customHeight="1" x14ac:dyDescent="0.45">
      <c r="A1014" s="37"/>
      <c r="B1014" s="29"/>
      <c r="C1014" s="29"/>
      <c r="D1014" s="28"/>
      <c r="E1014" s="30" t="str">
        <f>IFERROR(VLOOKUP(D1014,KRX종목마스터!$A:$B,2,FALSE),"")</f>
        <v/>
      </c>
      <c r="F1014" s="42"/>
      <c r="G1014" s="42"/>
      <c r="H1014" s="31" t="str">
        <f t="shared" si="45"/>
        <v/>
      </c>
      <c r="I1014" s="43">
        <f ca="1">IFERROR(SUMPRODUCT((참고!$A$31:$A$130=C1014)*(참고!$B$31:$B$130&lt;=A1014)*(참고!$B$31:$B$130=_xludf.MAXIFS(참고!$B$31:$B$130,참고!$A$31:$A$130,C1014,참고!$B$31:$B$130,"&lt;="&amp;A1014))*참고!$C$31:$C$130)/100,0)</f>
        <v>0</v>
      </c>
      <c r="J1014" s="31" t="str">
        <f t="shared" si="46"/>
        <v/>
      </c>
      <c r="K1014" s="43">
        <f>IF(B1014="매도",IFERROR(SUMPRODUCT((참고!$A$31:$A$130=C1014)*(참고!$B$31:$B$130&lt;=A1014)*(참고!$B$31:$B$130=_xludf.MAXIFS(참고!$B$31:$B$130,참고!$A$31:$A$130,C1014,참고!$B$31:$B$130,"&lt;="&amp;A1014))*참고!$D$31:$D$130)/100,0),0)</f>
        <v>0</v>
      </c>
      <c r="L1014" s="31" t="str">
        <f t="shared" si="47"/>
        <v/>
      </c>
      <c r="M1014" s="39"/>
    </row>
    <row r="1015" spans="1:13" ht="18" customHeight="1" x14ac:dyDescent="0.45">
      <c r="A1015" s="37"/>
      <c r="B1015" s="29"/>
      <c r="C1015" s="29"/>
      <c r="D1015" s="28"/>
      <c r="E1015" s="30" t="str">
        <f>IFERROR(VLOOKUP(D1015,KRX종목마스터!$A:$B,2,FALSE),"")</f>
        <v/>
      </c>
      <c r="F1015" s="42"/>
      <c r="G1015" s="42"/>
      <c r="H1015" s="31" t="str">
        <f t="shared" si="45"/>
        <v/>
      </c>
      <c r="I1015" s="43">
        <f ca="1">IFERROR(SUMPRODUCT((참고!$A$31:$A$130=C1015)*(참고!$B$31:$B$130&lt;=A1015)*(참고!$B$31:$B$130=_xludf.MAXIFS(참고!$B$31:$B$130,참고!$A$31:$A$130,C1015,참고!$B$31:$B$130,"&lt;="&amp;A1015))*참고!$C$31:$C$130)/100,0)</f>
        <v>0</v>
      </c>
      <c r="J1015" s="31" t="str">
        <f t="shared" si="46"/>
        <v/>
      </c>
      <c r="K1015" s="43">
        <f>IF(B1015="매도",IFERROR(SUMPRODUCT((참고!$A$31:$A$130=C1015)*(참고!$B$31:$B$130&lt;=A1015)*(참고!$B$31:$B$130=_xludf.MAXIFS(참고!$B$31:$B$130,참고!$A$31:$A$130,C1015,참고!$B$31:$B$130,"&lt;="&amp;A1015))*참고!$D$31:$D$130)/100,0),0)</f>
        <v>0</v>
      </c>
      <c r="L1015" s="31" t="str">
        <f t="shared" si="47"/>
        <v/>
      </c>
      <c r="M1015" s="39"/>
    </row>
    <row r="1016" spans="1:13" ht="18" customHeight="1" x14ac:dyDescent="0.45">
      <c r="A1016" s="37"/>
      <c r="B1016" s="29"/>
      <c r="C1016" s="29"/>
      <c r="D1016" s="28"/>
      <c r="E1016" s="30" t="str">
        <f>IFERROR(VLOOKUP(D1016,KRX종목마스터!$A:$B,2,FALSE),"")</f>
        <v/>
      </c>
      <c r="F1016" s="42"/>
      <c r="G1016" s="42"/>
      <c r="H1016" s="31" t="str">
        <f t="shared" si="45"/>
        <v/>
      </c>
      <c r="I1016" s="43">
        <f ca="1">IFERROR(SUMPRODUCT((참고!$A$31:$A$130=C1016)*(참고!$B$31:$B$130&lt;=A1016)*(참고!$B$31:$B$130=_xludf.MAXIFS(참고!$B$31:$B$130,참고!$A$31:$A$130,C1016,참고!$B$31:$B$130,"&lt;="&amp;A1016))*참고!$C$31:$C$130)/100,0)</f>
        <v>0</v>
      </c>
      <c r="J1016" s="31" t="str">
        <f t="shared" si="46"/>
        <v/>
      </c>
      <c r="K1016" s="43">
        <f>IF(B1016="매도",IFERROR(SUMPRODUCT((참고!$A$31:$A$130=C1016)*(참고!$B$31:$B$130&lt;=A1016)*(참고!$B$31:$B$130=_xludf.MAXIFS(참고!$B$31:$B$130,참고!$A$31:$A$130,C1016,참고!$B$31:$B$130,"&lt;="&amp;A1016))*참고!$D$31:$D$130)/100,0),0)</f>
        <v>0</v>
      </c>
      <c r="L1016" s="31" t="str">
        <f t="shared" si="47"/>
        <v/>
      </c>
      <c r="M1016" s="39"/>
    </row>
    <row r="1017" spans="1:13" ht="18" customHeight="1" x14ac:dyDescent="0.45">
      <c r="A1017" s="37"/>
      <c r="B1017" s="29"/>
      <c r="C1017" s="29"/>
      <c r="D1017" s="28"/>
      <c r="E1017" s="30" t="str">
        <f>IFERROR(VLOOKUP(D1017,KRX종목마스터!$A:$B,2,FALSE),"")</f>
        <v/>
      </c>
      <c r="F1017" s="42"/>
      <c r="G1017" s="42"/>
      <c r="H1017" s="31" t="str">
        <f t="shared" si="45"/>
        <v/>
      </c>
      <c r="I1017" s="43">
        <f ca="1">IFERROR(SUMPRODUCT((참고!$A$31:$A$130=C1017)*(참고!$B$31:$B$130&lt;=A1017)*(참고!$B$31:$B$130=_xludf.MAXIFS(참고!$B$31:$B$130,참고!$A$31:$A$130,C1017,참고!$B$31:$B$130,"&lt;="&amp;A1017))*참고!$C$31:$C$130)/100,0)</f>
        <v>0</v>
      </c>
      <c r="J1017" s="31" t="str">
        <f t="shared" si="46"/>
        <v/>
      </c>
      <c r="K1017" s="43">
        <f>IF(B1017="매도",IFERROR(SUMPRODUCT((참고!$A$31:$A$130=C1017)*(참고!$B$31:$B$130&lt;=A1017)*(참고!$B$31:$B$130=_xludf.MAXIFS(참고!$B$31:$B$130,참고!$A$31:$A$130,C1017,참고!$B$31:$B$130,"&lt;="&amp;A1017))*참고!$D$31:$D$130)/100,0),0)</f>
        <v>0</v>
      </c>
      <c r="L1017" s="31" t="str">
        <f t="shared" si="47"/>
        <v/>
      </c>
      <c r="M1017" s="39"/>
    </row>
    <row r="1018" spans="1:13" ht="18" customHeight="1" x14ac:dyDescent="0.45">
      <c r="A1018" s="37"/>
      <c r="B1018" s="29"/>
      <c r="C1018" s="29"/>
      <c r="D1018" s="28"/>
      <c r="E1018" s="30" t="str">
        <f>IFERROR(VLOOKUP(D1018,KRX종목마스터!$A:$B,2,FALSE),"")</f>
        <v/>
      </c>
      <c r="F1018" s="42"/>
      <c r="G1018" s="42"/>
      <c r="H1018" s="31" t="str">
        <f t="shared" si="45"/>
        <v/>
      </c>
      <c r="I1018" s="43">
        <f ca="1">IFERROR(SUMPRODUCT((참고!$A$31:$A$130=C1018)*(참고!$B$31:$B$130&lt;=A1018)*(참고!$B$31:$B$130=_xludf.MAXIFS(참고!$B$31:$B$130,참고!$A$31:$A$130,C1018,참고!$B$31:$B$130,"&lt;="&amp;A1018))*참고!$C$31:$C$130)/100,0)</f>
        <v>0</v>
      </c>
      <c r="J1018" s="31" t="str">
        <f t="shared" si="46"/>
        <v/>
      </c>
      <c r="K1018" s="43">
        <f>IF(B1018="매도",IFERROR(SUMPRODUCT((참고!$A$31:$A$130=C1018)*(참고!$B$31:$B$130&lt;=A1018)*(참고!$B$31:$B$130=_xludf.MAXIFS(참고!$B$31:$B$130,참고!$A$31:$A$130,C1018,참고!$B$31:$B$130,"&lt;="&amp;A1018))*참고!$D$31:$D$130)/100,0),0)</f>
        <v>0</v>
      </c>
      <c r="L1018" s="31" t="str">
        <f t="shared" si="47"/>
        <v/>
      </c>
      <c r="M1018" s="39"/>
    </row>
    <row r="1019" spans="1:13" ht="18" customHeight="1" x14ac:dyDescent="0.45">
      <c r="A1019" s="37"/>
      <c r="B1019" s="29"/>
      <c r="C1019" s="29"/>
      <c r="D1019" s="28"/>
      <c r="E1019" s="30" t="str">
        <f>IFERROR(VLOOKUP(D1019,KRX종목마스터!$A:$B,2,FALSE),"")</f>
        <v/>
      </c>
      <c r="F1019" s="42"/>
      <c r="G1019" s="42"/>
      <c r="H1019" s="31" t="str">
        <f t="shared" si="45"/>
        <v/>
      </c>
      <c r="I1019" s="43">
        <f ca="1">IFERROR(SUMPRODUCT((참고!$A$31:$A$130=C1019)*(참고!$B$31:$B$130&lt;=A1019)*(참고!$B$31:$B$130=_xludf.MAXIFS(참고!$B$31:$B$130,참고!$A$31:$A$130,C1019,참고!$B$31:$B$130,"&lt;="&amp;A1019))*참고!$C$31:$C$130)/100,0)</f>
        <v>0</v>
      </c>
      <c r="J1019" s="31" t="str">
        <f t="shared" si="46"/>
        <v/>
      </c>
      <c r="K1019" s="43">
        <f>IF(B1019="매도",IFERROR(SUMPRODUCT((참고!$A$31:$A$130=C1019)*(참고!$B$31:$B$130&lt;=A1019)*(참고!$B$31:$B$130=_xludf.MAXIFS(참고!$B$31:$B$130,참고!$A$31:$A$130,C1019,참고!$B$31:$B$130,"&lt;="&amp;A1019))*참고!$D$31:$D$130)/100,0),0)</f>
        <v>0</v>
      </c>
      <c r="L1019" s="31" t="str">
        <f t="shared" si="47"/>
        <v/>
      </c>
      <c r="M1019" s="39"/>
    </row>
    <row r="1020" spans="1:13" ht="18" customHeight="1" x14ac:dyDescent="0.45">
      <c r="A1020" s="37"/>
      <c r="B1020" s="29"/>
      <c r="C1020" s="29"/>
      <c r="D1020" s="28"/>
      <c r="E1020" s="30" t="str">
        <f>IFERROR(VLOOKUP(D1020,KRX종목마스터!$A:$B,2,FALSE),"")</f>
        <v/>
      </c>
      <c r="F1020" s="42"/>
      <c r="G1020" s="42"/>
      <c r="H1020" s="31" t="str">
        <f t="shared" si="45"/>
        <v/>
      </c>
      <c r="I1020" s="43">
        <f ca="1">IFERROR(SUMPRODUCT((참고!$A$31:$A$130=C1020)*(참고!$B$31:$B$130&lt;=A1020)*(참고!$B$31:$B$130=_xludf.MAXIFS(참고!$B$31:$B$130,참고!$A$31:$A$130,C1020,참고!$B$31:$B$130,"&lt;="&amp;A1020))*참고!$C$31:$C$130)/100,0)</f>
        <v>0</v>
      </c>
      <c r="J1020" s="31" t="str">
        <f t="shared" si="46"/>
        <v/>
      </c>
      <c r="K1020" s="43">
        <f>IF(B1020="매도",IFERROR(SUMPRODUCT((참고!$A$31:$A$130=C1020)*(참고!$B$31:$B$130&lt;=A1020)*(참고!$B$31:$B$130=_xludf.MAXIFS(참고!$B$31:$B$130,참고!$A$31:$A$130,C1020,참고!$B$31:$B$130,"&lt;="&amp;A1020))*참고!$D$31:$D$130)/100,0),0)</f>
        <v>0</v>
      </c>
      <c r="L1020" s="31" t="str">
        <f t="shared" si="47"/>
        <v/>
      </c>
      <c r="M1020" s="39"/>
    </row>
    <row r="1021" spans="1:13" ht="18" customHeight="1" x14ac:dyDescent="0.45">
      <c r="A1021" s="37"/>
      <c r="B1021" s="29"/>
      <c r="C1021" s="29"/>
      <c r="D1021" s="28"/>
      <c r="E1021" s="30" t="str">
        <f>IFERROR(VLOOKUP(D1021,KRX종목마스터!$A:$B,2,FALSE),"")</f>
        <v/>
      </c>
      <c r="F1021" s="42"/>
      <c r="G1021" s="42"/>
      <c r="H1021" s="31" t="str">
        <f t="shared" si="45"/>
        <v/>
      </c>
      <c r="I1021" s="43">
        <f ca="1">IFERROR(SUMPRODUCT((참고!$A$31:$A$130=C1021)*(참고!$B$31:$B$130&lt;=A1021)*(참고!$B$31:$B$130=_xludf.MAXIFS(참고!$B$31:$B$130,참고!$A$31:$A$130,C1021,참고!$B$31:$B$130,"&lt;="&amp;A1021))*참고!$C$31:$C$130)/100,0)</f>
        <v>0</v>
      </c>
      <c r="J1021" s="31" t="str">
        <f t="shared" si="46"/>
        <v/>
      </c>
      <c r="K1021" s="43">
        <f>IF(B1021="매도",IFERROR(SUMPRODUCT((참고!$A$31:$A$130=C1021)*(참고!$B$31:$B$130&lt;=A1021)*(참고!$B$31:$B$130=_xludf.MAXIFS(참고!$B$31:$B$130,참고!$A$31:$A$130,C1021,참고!$B$31:$B$130,"&lt;="&amp;A1021))*참고!$D$31:$D$130)/100,0),0)</f>
        <v>0</v>
      </c>
      <c r="L1021" s="31" t="str">
        <f t="shared" si="47"/>
        <v/>
      </c>
      <c r="M1021" s="39"/>
    </row>
    <row r="1022" spans="1:13" ht="18" customHeight="1" x14ac:dyDescent="0.45">
      <c r="A1022" s="37"/>
      <c r="B1022" s="29"/>
      <c r="C1022" s="29"/>
      <c r="D1022" s="28"/>
      <c r="E1022" s="30" t="str">
        <f>IFERROR(VLOOKUP(D1022,KRX종목마스터!$A:$B,2,FALSE),"")</f>
        <v/>
      </c>
      <c r="F1022" s="42"/>
      <c r="G1022" s="42"/>
      <c r="H1022" s="31" t="str">
        <f t="shared" si="45"/>
        <v/>
      </c>
      <c r="I1022" s="43">
        <f ca="1">IFERROR(SUMPRODUCT((참고!$A$31:$A$130=C1022)*(참고!$B$31:$B$130&lt;=A1022)*(참고!$B$31:$B$130=_xludf.MAXIFS(참고!$B$31:$B$130,참고!$A$31:$A$130,C1022,참고!$B$31:$B$130,"&lt;="&amp;A1022))*참고!$C$31:$C$130)/100,0)</f>
        <v>0</v>
      </c>
      <c r="J1022" s="31" t="str">
        <f t="shared" si="46"/>
        <v/>
      </c>
      <c r="K1022" s="43">
        <f>IF(B1022="매도",IFERROR(SUMPRODUCT((참고!$A$31:$A$130=C1022)*(참고!$B$31:$B$130&lt;=A1022)*(참고!$B$31:$B$130=_xludf.MAXIFS(참고!$B$31:$B$130,참고!$A$31:$A$130,C1022,참고!$B$31:$B$130,"&lt;="&amp;A1022))*참고!$D$31:$D$130)/100,0),0)</f>
        <v>0</v>
      </c>
      <c r="L1022" s="31" t="str">
        <f t="shared" si="47"/>
        <v/>
      </c>
      <c r="M1022" s="39"/>
    </row>
    <row r="1023" spans="1:13" ht="18" customHeight="1" x14ac:dyDescent="0.45">
      <c r="A1023" s="37"/>
      <c r="B1023" s="29"/>
      <c r="C1023" s="29"/>
      <c r="D1023" s="28"/>
      <c r="E1023" s="30" t="str">
        <f>IFERROR(VLOOKUP(D1023,KRX종목마스터!$A:$B,2,FALSE),"")</f>
        <v/>
      </c>
      <c r="F1023" s="42"/>
      <c r="G1023" s="42"/>
      <c r="H1023" s="31" t="str">
        <f t="shared" si="45"/>
        <v/>
      </c>
      <c r="I1023" s="43">
        <f ca="1">IFERROR(SUMPRODUCT((참고!$A$31:$A$130=C1023)*(참고!$B$31:$B$130&lt;=A1023)*(참고!$B$31:$B$130=_xludf.MAXIFS(참고!$B$31:$B$130,참고!$A$31:$A$130,C1023,참고!$B$31:$B$130,"&lt;="&amp;A1023))*참고!$C$31:$C$130)/100,0)</f>
        <v>0</v>
      </c>
      <c r="J1023" s="31" t="str">
        <f t="shared" si="46"/>
        <v/>
      </c>
      <c r="K1023" s="43">
        <f>IF(B1023="매도",IFERROR(SUMPRODUCT((참고!$A$31:$A$130=C1023)*(참고!$B$31:$B$130&lt;=A1023)*(참고!$B$31:$B$130=_xludf.MAXIFS(참고!$B$31:$B$130,참고!$A$31:$A$130,C1023,참고!$B$31:$B$130,"&lt;="&amp;A1023))*참고!$D$31:$D$130)/100,0),0)</f>
        <v>0</v>
      </c>
      <c r="L1023" s="31" t="str">
        <f t="shared" si="47"/>
        <v/>
      </c>
      <c r="M1023" s="39"/>
    </row>
    <row r="1024" spans="1:13" ht="18" customHeight="1" x14ac:dyDescent="0.45">
      <c r="A1024" s="37"/>
      <c r="B1024" s="29"/>
      <c r="C1024" s="29"/>
      <c r="D1024" s="28"/>
      <c r="E1024" s="30" t="str">
        <f>IFERROR(VLOOKUP(D1024,KRX종목마스터!$A:$B,2,FALSE),"")</f>
        <v/>
      </c>
      <c r="F1024" s="42"/>
      <c r="G1024" s="42"/>
      <c r="H1024" s="31" t="str">
        <f t="shared" si="45"/>
        <v/>
      </c>
      <c r="I1024" s="43">
        <f ca="1">IFERROR(SUMPRODUCT((참고!$A$31:$A$130=C1024)*(참고!$B$31:$B$130&lt;=A1024)*(참고!$B$31:$B$130=_xludf.MAXIFS(참고!$B$31:$B$130,참고!$A$31:$A$130,C1024,참고!$B$31:$B$130,"&lt;="&amp;A1024))*참고!$C$31:$C$130)/100,0)</f>
        <v>0</v>
      </c>
      <c r="J1024" s="31" t="str">
        <f t="shared" si="46"/>
        <v/>
      </c>
      <c r="K1024" s="43">
        <f>IF(B1024="매도",IFERROR(SUMPRODUCT((참고!$A$31:$A$130=C1024)*(참고!$B$31:$B$130&lt;=A1024)*(참고!$B$31:$B$130=_xludf.MAXIFS(참고!$B$31:$B$130,참고!$A$31:$A$130,C1024,참고!$B$31:$B$130,"&lt;="&amp;A1024))*참고!$D$31:$D$130)/100,0),0)</f>
        <v>0</v>
      </c>
      <c r="L1024" s="31" t="str">
        <f t="shared" si="47"/>
        <v/>
      </c>
      <c r="M1024" s="39"/>
    </row>
    <row r="1025" spans="1:13" ht="18" customHeight="1" x14ac:dyDescent="0.45">
      <c r="A1025" s="37"/>
      <c r="B1025" s="29"/>
      <c r="C1025" s="29"/>
      <c r="D1025" s="28"/>
      <c r="E1025" s="30" t="str">
        <f>IFERROR(VLOOKUP(D1025,KRX종목마스터!$A:$B,2,FALSE),"")</f>
        <v/>
      </c>
      <c r="F1025" s="42"/>
      <c r="G1025" s="42"/>
      <c r="H1025" s="31" t="str">
        <f t="shared" si="45"/>
        <v/>
      </c>
      <c r="I1025" s="43">
        <f ca="1">IFERROR(SUMPRODUCT((참고!$A$31:$A$130=C1025)*(참고!$B$31:$B$130&lt;=A1025)*(참고!$B$31:$B$130=_xludf.MAXIFS(참고!$B$31:$B$130,참고!$A$31:$A$130,C1025,참고!$B$31:$B$130,"&lt;="&amp;A1025))*참고!$C$31:$C$130)/100,0)</f>
        <v>0</v>
      </c>
      <c r="J1025" s="31" t="str">
        <f t="shared" si="46"/>
        <v/>
      </c>
      <c r="K1025" s="43">
        <f>IF(B1025="매도",IFERROR(SUMPRODUCT((참고!$A$31:$A$130=C1025)*(참고!$B$31:$B$130&lt;=A1025)*(참고!$B$31:$B$130=_xludf.MAXIFS(참고!$B$31:$B$130,참고!$A$31:$A$130,C1025,참고!$B$31:$B$130,"&lt;="&amp;A1025))*참고!$D$31:$D$130)/100,0),0)</f>
        <v>0</v>
      </c>
      <c r="L1025" s="31" t="str">
        <f t="shared" si="47"/>
        <v/>
      </c>
      <c r="M1025" s="39"/>
    </row>
    <row r="1026" spans="1:13" ht="18" customHeight="1" x14ac:dyDescent="0.45">
      <c r="A1026" s="37"/>
      <c r="B1026" s="29"/>
      <c r="C1026" s="29"/>
      <c r="D1026" s="28"/>
      <c r="E1026" s="30" t="str">
        <f>IFERROR(VLOOKUP(D1026,KRX종목마스터!$A:$B,2,FALSE),"")</f>
        <v/>
      </c>
      <c r="F1026" s="42"/>
      <c r="G1026" s="42"/>
      <c r="H1026" s="31" t="str">
        <f t="shared" si="45"/>
        <v/>
      </c>
      <c r="I1026" s="43">
        <f ca="1">IFERROR(SUMPRODUCT((참고!$A$31:$A$130=C1026)*(참고!$B$31:$B$130&lt;=A1026)*(참고!$B$31:$B$130=_xludf.MAXIFS(참고!$B$31:$B$130,참고!$A$31:$A$130,C1026,참고!$B$31:$B$130,"&lt;="&amp;A1026))*참고!$C$31:$C$130)/100,0)</f>
        <v>0</v>
      </c>
      <c r="J1026" s="31" t="str">
        <f t="shared" si="46"/>
        <v/>
      </c>
      <c r="K1026" s="43">
        <f>IF(B1026="매도",IFERROR(SUMPRODUCT((참고!$A$31:$A$130=C1026)*(참고!$B$31:$B$130&lt;=A1026)*(참고!$B$31:$B$130=_xludf.MAXIFS(참고!$B$31:$B$130,참고!$A$31:$A$130,C1026,참고!$B$31:$B$130,"&lt;="&amp;A1026))*참고!$D$31:$D$130)/100,0),0)</f>
        <v>0</v>
      </c>
      <c r="L1026" s="31" t="str">
        <f t="shared" si="47"/>
        <v/>
      </c>
      <c r="M1026" s="39"/>
    </row>
    <row r="1027" spans="1:13" ht="18" customHeight="1" x14ac:dyDescent="0.45">
      <c r="A1027" s="37"/>
      <c r="B1027" s="29"/>
      <c r="C1027" s="29"/>
      <c r="D1027" s="28"/>
      <c r="E1027" s="30" t="str">
        <f>IFERROR(VLOOKUP(D1027,KRX종목마스터!$A:$B,2,FALSE),"")</f>
        <v/>
      </c>
      <c r="F1027" s="42"/>
      <c r="G1027" s="42"/>
      <c r="H1027" s="31" t="str">
        <f t="shared" si="45"/>
        <v/>
      </c>
      <c r="I1027" s="43">
        <f ca="1">IFERROR(SUMPRODUCT((참고!$A$31:$A$130=C1027)*(참고!$B$31:$B$130&lt;=A1027)*(참고!$B$31:$B$130=_xludf.MAXIFS(참고!$B$31:$B$130,참고!$A$31:$A$130,C1027,참고!$B$31:$B$130,"&lt;="&amp;A1027))*참고!$C$31:$C$130)/100,0)</f>
        <v>0</v>
      </c>
      <c r="J1027" s="31" t="str">
        <f t="shared" si="46"/>
        <v/>
      </c>
      <c r="K1027" s="43">
        <f>IF(B1027="매도",IFERROR(SUMPRODUCT((참고!$A$31:$A$130=C1027)*(참고!$B$31:$B$130&lt;=A1027)*(참고!$B$31:$B$130=_xludf.MAXIFS(참고!$B$31:$B$130,참고!$A$31:$A$130,C1027,참고!$B$31:$B$130,"&lt;="&amp;A1027))*참고!$D$31:$D$130)/100,0),0)</f>
        <v>0</v>
      </c>
      <c r="L1027" s="31" t="str">
        <f t="shared" si="47"/>
        <v/>
      </c>
      <c r="M1027" s="39"/>
    </row>
    <row r="1028" spans="1:13" ht="18" customHeight="1" x14ac:dyDescent="0.45">
      <c r="A1028" s="37"/>
      <c r="B1028" s="29"/>
      <c r="C1028" s="29"/>
      <c r="D1028" s="28"/>
      <c r="E1028" s="30" t="str">
        <f>IFERROR(VLOOKUP(D1028,KRX종목마스터!$A:$B,2,FALSE),"")</f>
        <v/>
      </c>
      <c r="F1028" s="42"/>
      <c r="G1028" s="42"/>
      <c r="H1028" s="31" t="str">
        <f t="shared" si="45"/>
        <v/>
      </c>
      <c r="I1028" s="43">
        <f ca="1">IFERROR(SUMPRODUCT((참고!$A$31:$A$130=C1028)*(참고!$B$31:$B$130&lt;=A1028)*(참고!$B$31:$B$130=_xludf.MAXIFS(참고!$B$31:$B$130,참고!$A$31:$A$130,C1028,참고!$B$31:$B$130,"&lt;="&amp;A1028))*참고!$C$31:$C$130)/100,0)</f>
        <v>0</v>
      </c>
      <c r="J1028" s="31" t="str">
        <f t="shared" si="46"/>
        <v/>
      </c>
      <c r="K1028" s="43">
        <f>IF(B1028="매도",IFERROR(SUMPRODUCT((참고!$A$31:$A$130=C1028)*(참고!$B$31:$B$130&lt;=A1028)*(참고!$B$31:$B$130=_xludf.MAXIFS(참고!$B$31:$B$130,참고!$A$31:$A$130,C1028,참고!$B$31:$B$130,"&lt;="&amp;A1028))*참고!$D$31:$D$130)/100,0),0)</f>
        <v>0</v>
      </c>
      <c r="L1028" s="31" t="str">
        <f t="shared" si="47"/>
        <v/>
      </c>
      <c r="M1028" s="39"/>
    </row>
    <row r="1029" spans="1:13" ht="18" customHeight="1" x14ac:dyDescent="0.45">
      <c r="A1029" s="37"/>
      <c r="B1029" s="29"/>
      <c r="C1029" s="29"/>
      <c r="D1029" s="28"/>
      <c r="E1029" s="30" t="str">
        <f>IFERROR(VLOOKUP(D1029,KRX종목마스터!$A:$B,2,FALSE),"")</f>
        <v/>
      </c>
      <c r="F1029" s="42"/>
      <c r="G1029" s="42"/>
      <c r="H1029" s="31" t="str">
        <f t="shared" ref="H1029:H1092" si="48">IF(AND(F1029&lt;&gt;"",G1029&lt;&gt;""),F1029*G1029,"")</f>
        <v/>
      </c>
      <c r="I1029" s="43">
        <f ca="1">IFERROR(SUMPRODUCT((참고!$A$31:$A$130=C1029)*(참고!$B$31:$B$130&lt;=A1029)*(참고!$B$31:$B$130=_xludf.MAXIFS(참고!$B$31:$B$130,참고!$A$31:$A$130,C1029,참고!$B$31:$B$130,"&lt;="&amp;A1029))*참고!$C$31:$C$130)/100,0)</f>
        <v>0</v>
      </c>
      <c r="J1029" s="31" t="str">
        <f t="shared" ref="J1029:J1092" si="49">IF(H1029="","",ROUND(H1029*I1029,0))</f>
        <v/>
      </c>
      <c r="K1029" s="43">
        <f>IF(B1029="매도",IFERROR(SUMPRODUCT((참고!$A$31:$A$130=C1029)*(참고!$B$31:$B$130&lt;=A1029)*(참고!$B$31:$B$130=_xludf.MAXIFS(참고!$B$31:$B$130,참고!$A$31:$A$130,C1029,참고!$B$31:$B$130,"&lt;="&amp;A1029))*참고!$D$31:$D$130)/100,0),0)</f>
        <v>0</v>
      </c>
      <c r="L1029" s="31" t="str">
        <f t="shared" ref="L1029:L1092" si="50">IF(H1029="","",ROUND(H1029*K1029,0))</f>
        <v/>
      </c>
      <c r="M1029" s="39"/>
    </row>
    <row r="1030" spans="1:13" ht="18" customHeight="1" x14ac:dyDescent="0.45">
      <c r="A1030" s="37"/>
      <c r="B1030" s="29"/>
      <c r="C1030" s="29"/>
      <c r="D1030" s="28"/>
      <c r="E1030" s="30" t="str">
        <f>IFERROR(VLOOKUP(D1030,KRX종목마스터!$A:$B,2,FALSE),"")</f>
        <v/>
      </c>
      <c r="F1030" s="42"/>
      <c r="G1030" s="42"/>
      <c r="H1030" s="31" t="str">
        <f t="shared" si="48"/>
        <v/>
      </c>
      <c r="I1030" s="43">
        <f ca="1">IFERROR(SUMPRODUCT((참고!$A$31:$A$130=C1030)*(참고!$B$31:$B$130&lt;=A1030)*(참고!$B$31:$B$130=_xludf.MAXIFS(참고!$B$31:$B$130,참고!$A$31:$A$130,C1030,참고!$B$31:$B$130,"&lt;="&amp;A1030))*참고!$C$31:$C$130)/100,0)</f>
        <v>0</v>
      </c>
      <c r="J1030" s="31" t="str">
        <f t="shared" si="49"/>
        <v/>
      </c>
      <c r="K1030" s="43">
        <f>IF(B1030="매도",IFERROR(SUMPRODUCT((참고!$A$31:$A$130=C1030)*(참고!$B$31:$B$130&lt;=A1030)*(참고!$B$31:$B$130=_xludf.MAXIFS(참고!$B$31:$B$130,참고!$A$31:$A$130,C1030,참고!$B$31:$B$130,"&lt;="&amp;A1030))*참고!$D$31:$D$130)/100,0),0)</f>
        <v>0</v>
      </c>
      <c r="L1030" s="31" t="str">
        <f t="shared" si="50"/>
        <v/>
      </c>
      <c r="M1030" s="39"/>
    </row>
    <row r="1031" spans="1:13" ht="18" customHeight="1" x14ac:dyDescent="0.45">
      <c r="A1031" s="37"/>
      <c r="B1031" s="29"/>
      <c r="C1031" s="29"/>
      <c r="D1031" s="28"/>
      <c r="E1031" s="30" t="str">
        <f>IFERROR(VLOOKUP(D1031,KRX종목마스터!$A:$B,2,FALSE),"")</f>
        <v/>
      </c>
      <c r="F1031" s="42"/>
      <c r="G1031" s="42"/>
      <c r="H1031" s="31" t="str">
        <f t="shared" si="48"/>
        <v/>
      </c>
      <c r="I1031" s="43">
        <f ca="1">IFERROR(SUMPRODUCT((참고!$A$31:$A$130=C1031)*(참고!$B$31:$B$130&lt;=A1031)*(참고!$B$31:$B$130=_xludf.MAXIFS(참고!$B$31:$B$130,참고!$A$31:$A$130,C1031,참고!$B$31:$B$130,"&lt;="&amp;A1031))*참고!$C$31:$C$130)/100,0)</f>
        <v>0</v>
      </c>
      <c r="J1031" s="31" t="str">
        <f t="shared" si="49"/>
        <v/>
      </c>
      <c r="K1031" s="43">
        <f>IF(B1031="매도",IFERROR(SUMPRODUCT((참고!$A$31:$A$130=C1031)*(참고!$B$31:$B$130&lt;=A1031)*(참고!$B$31:$B$130=_xludf.MAXIFS(참고!$B$31:$B$130,참고!$A$31:$A$130,C1031,참고!$B$31:$B$130,"&lt;="&amp;A1031))*참고!$D$31:$D$130)/100,0),0)</f>
        <v>0</v>
      </c>
      <c r="L1031" s="31" t="str">
        <f t="shared" si="50"/>
        <v/>
      </c>
      <c r="M1031" s="39"/>
    </row>
    <row r="1032" spans="1:13" ht="18" customHeight="1" x14ac:dyDescent="0.45">
      <c r="A1032" s="37"/>
      <c r="B1032" s="29"/>
      <c r="C1032" s="29"/>
      <c r="D1032" s="28"/>
      <c r="E1032" s="30" t="str">
        <f>IFERROR(VLOOKUP(D1032,KRX종목마스터!$A:$B,2,FALSE),"")</f>
        <v/>
      </c>
      <c r="F1032" s="42"/>
      <c r="G1032" s="42"/>
      <c r="H1032" s="31" t="str">
        <f t="shared" si="48"/>
        <v/>
      </c>
      <c r="I1032" s="43">
        <f ca="1">IFERROR(SUMPRODUCT((참고!$A$31:$A$130=C1032)*(참고!$B$31:$B$130&lt;=A1032)*(참고!$B$31:$B$130=_xludf.MAXIFS(참고!$B$31:$B$130,참고!$A$31:$A$130,C1032,참고!$B$31:$B$130,"&lt;="&amp;A1032))*참고!$C$31:$C$130)/100,0)</f>
        <v>0</v>
      </c>
      <c r="J1032" s="31" t="str">
        <f t="shared" si="49"/>
        <v/>
      </c>
      <c r="K1032" s="43">
        <f>IF(B1032="매도",IFERROR(SUMPRODUCT((참고!$A$31:$A$130=C1032)*(참고!$B$31:$B$130&lt;=A1032)*(참고!$B$31:$B$130=_xludf.MAXIFS(참고!$B$31:$B$130,참고!$A$31:$A$130,C1032,참고!$B$31:$B$130,"&lt;="&amp;A1032))*참고!$D$31:$D$130)/100,0),0)</f>
        <v>0</v>
      </c>
      <c r="L1032" s="31" t="str">
        <f t="shared" si="50"/>
        <v/>
      </c>
      <c r="M1032" s="39"/>
    </row>
    <row r="1033" spans="1:13" ht="18" customHeight="1" x14ac:dyDescent="0.45">
      <c r="A1033" s="37"/>
      <c r="B1033" s="29"/>
      <c r="C1033" s="29"/>
      <c r="D1033" s="28"/>
      <c r="E1033" s="30" t="str">
        <f>IFERROR(VLOOKUP(D1033,KRX종목마스터!$A:$B,2,FALSE),"")</f>
        <v/>
      </c>
      <c r="F1033" s="42"/>
      <c r="G1033" s="42"/>
      <c r="H1033" s="31" t="str">
        <f t="shared" si="48"/>
        <v/>
      </c>
      <c r="I1033" s="43">
        <f ca="1">IFERROR(SUMPRODUCT((참고!$A$31:$A$130=C1033)*(참고!$B$31:$B$130&lt;=A1033)*(참고!$B$31:$B$130=_xludf.MAXIFS(참고!$B$31:$B$130,참고!$A$31:$A$130,C1033,참고!$B$31:$B$130,"&lt;="&amp;A1033))*참고!$C$31:$C$130)/100,0)</f>
        <v>0</v>
      </c>
      <c r="J1033" s="31" t="str">
        <f t="shared" si="49"/>
        <v/>
      </c>
      <c r="K1033" s="43">
        <f>IF(B1033="매도",IFERROR(SUMPRODUCT((참고!$A$31:$A$130=C1033)*(참고!$B$31:$B$130&lt;=A1033)*(참고!$B$31:$B$130=_xludf.MAXIFS(참고!$B$31:$B$130,참고!$A$31:$A$130,C1033,참고!$B$31:$B$130,"&lt;="&amp;A1033))*참고!$D$31:$D$130)/100,0),0)</f>
        <v>0</v>
      </c>
      <c r="L1033" s="31" t="str">
        <f t="shared" si="50"/>
        <v/>
      </c>
      <c r="M1033" s="39"/>
    </row>
    <row r="1034" spans="1:13" ht="18" customHeight="1" x14ac:dyDescent="0.45">
      <c r="A1034" s="37"/>
      <c r="B1034" s="29"/>
      <c r="C1034" s="29"/>
      <c r="D1034" s="28"/>
      <c r="E1034" s="30" t="str">
        <f>IFERROR(VLOOKUP(D1034,KRX종목마스터!$A:$B,2,FALSE),"")</f>
        <v/>
      </c>
      <c r="F1034" s="42"/>
      <c r="G1034" s="42"/>
      <c r="H1034" s="31" t="str">
        <f t="shared" si="48"/>
        <v/>
      </c>
      <c r="I1034" s="43">
        <f ca="1">IFERROR(SUMPRODUCT((참고!$A$31:$A$130=C1034)*(참고!$B$31:$B$130&lt;=A1034)*(참고!$B$31:$B$130=_xludf.MAXIFS(참고!$B$31:$B$130,참고!$A$31:$A$130,C1034,참고!$B$31:$B$130,"&lt;="&amp;A1034))*참고!$C$31:$C$130)/100,0)</f>
        <v>0</v>
      </c>
      <c r="J1034" s="31" t="str">
        <f t="shared" si="49"/>
        <v/>
      </c>
      <c r="K1034" s="43">
        <f>IF(B1034="매도",IFERROR(SUMPRODUCT((참고!$A$31:$A$130=C1034)*(참고!$B$31:$B$130&lt;=A1034)*(참고!$B$31:$B$130=_xludf.MAXIFS(참고!$B$31:$B$130,참고!$A$31:$A$130,C1034,참고!$B$31:$B$130,"&lt;="&amp;A1034))*참고!$D$31:$D$130)/100,0),0)</f>
        <v>0</v>
      </c>
      <c r="L1034" s="31" t="str">
        <f t="shared" si="50"/>
        <v/>
      </c>
      <c r="M1034" s="39"/>
    </row>
    <row r="1035" spans="1:13" ht="18" customHeight="1" x14ac:dyDescent="0.45">
      <c r="A1035" s="37"/>
      <c r="B1035" s="29"/>
      <c r="C1035" s="29"/>
      <c r="D1035" s="28"/>
      <c r="E1035" s="30" t="str">
        <f>IFERROR(VLOOKUP(D1035,KRX종목마스터!$A:$B,2,FALSE),"")</f>
        <v/>
      </c>
      <c r="F1035" s="42"/>
      <c r="G1035" s="42"/>
      <c r="H1035" s="31" t="str">
        <f t="shared" si="48"/>
        <v/>
      </c>
      <c r="I1035" s="43">
        <f ca="1">IFERROR(SUMPRODUCT((참고!$A$31:$A$130=C1035)*(참고!$B$31:$B$130&lt;=A1035)*(참고!$B$31:$B$130=_xludf.MAXIFS(참고!$B$31:$B$130,참고!$A$31:$A$130,C1035,참고!$B$31:$B$130,"&lt;="&amp;A1035))*참고!$C$31:$C$130)/100,0)</f>
        <v>0</v>
      </c>
      <c r="J1035" s="31" t="str">
        <f t="shared" si="49"/>
        <v/>
      </c>
      <c r="K1035" s="43">
        <f>IF(B1035="매도",IFERROR(SUMPRODUCT((참고!$A$31:$A$130=C1035)*(참고!$B$31:$B$130&lt;=A1035)*(참고!$B$31:$B$130=_xludf.MAXIFS(참고!$B$31:$B$130,참고!$A$31:$A$130,C1035,참고!$B$31:$B$130,"&lt;="&amp;A1035))*참고!$D$31:$D$130)/100,0),0)</f>
        <v>0</v>
      </c>
      <c r="L1035" s="31" t="str">
        <f t="shared" si="50"/>
        <v/>
      </c>
      <c r="M1035" s="39"/>
    </row>
    <row r="1036" spans="1:13" ht="18" customHeight="1" x14ac:dyDescent="0.45">
      <c r="A1036" s="37"/>
      <c r="B1036" s="29"/>
      <c r="C1036" s="29"/>
      <c r="D1036" s="28"/>
      <c r="E1036" s="30" t="str">
        <f>IFERROR(VLOOKUP(D1036,KRX종목마스터!$A:$B,2,FALSE),"")</f>
        <v/>
      </c>
      <c r="F1036" s="42"/>
      <c r="G1036" s="42"/>
      <c r="H1036" s="31" t="str">
        <f t="shared" si="48"/>
        <v/>
      </c>
      <c r="I1036" s="43">
        <f ca="1">IFERROR(SUMPRODUCT((참고!$A$31:$A$130=C1036)*(참고!$B$31:$B$130&lt;=A1036)*(참고!$B$31:$B$130=_xludf.MAXIFS(참고!$B$31:$B$130,참고!$A$31:$A$130,C1036,참고!$B$31:$B$130,"&lt;="&amp;A1036))*참고!$C$31:$C$130)/100,0)</f>
        <v>0</v>
      </c>
      <c r="J1036" s="31" t="str">
        <f t="shared" si="49"/>
        <v/>
      </c>
      <c r="K1036" s="43">
        <f>IF(B1036="매도",IFERROR(SUMPRODUCT((참고!$A$31:$A$130=C1036)*(참고!$B$31:$B$130&lt;=A1036)*(참고!$B$31:$B$130=_xludf.MAXIFS(참고!$B$31:$B$130,참고!$A$31:$A$130,C1036,참고!$B$31:$B$130,"&lt;="&amp;A1036))*참고!$D$31:$D$130)/100,0),0)</f>
        <v>0</v>
      </c>
      <c r="L1036" s="31" t="str">
        <f t="shared" si="50"/>
        <v/>
      </c>
      <c r="M1036" s="39"/>
    </row>
    <row r="1037" spans="1:13" ht="18" customHeight="1" x14ac:dyDescent="0.45">
      <c r="A1037" s="37"/>
      <c r="B1037" s="29"/>
      <c r="C1037" s="29"/>
      <c r="D1037" s="28"/>
      <c r="E1037" s="30" t="str">
        <f>IFERROR(VLOOKUP(D1037,KRX종목마스터!$A:$B,2,FALSE),"")</f>
        <v/>
      </c>
      <c r="F1037" s="42"/>
      <c r="G1037" s="42"/>
      <c r="H1037" s="31" t="str">
        <f t="shared" si="48"/>
        <v/>
      </c>
      <c r="I1037" s="43">
        <f ca="1">IFERROR(SUMPRODUCT((참고!$A$31:$A$130=C1037)*(참고!$B$31:$B$130&lt;=A1037)*(참고!$B$31:$B$130=_xludf.MAXIFS(참고!$B$31:$B$130,참고!$A$31:$A$130,C1037,참고!$B$31:$B$130,"&lt;="&amp;A1037))*참고!$C$31:$C$130)/100,0)</f>
        <v>0</v>
      </c>
      <c r="J1037" s="31" t="str">
        <f t="shared" si="49"/>
        <v/>
      </c>
      <c r="K1037" s="43">
        <f>IF(B1037="매도",IFERROR(SUMPRODUCT((참고!$A$31:$A$130=C1037)*(참고!$B$31:$B$130&lt;=A1037)*(참고!$B$31:$B$130=_xludf.MAXIFS(참고!$B$31:$B$130,참고!$A$31:$A$130,C1037,참고!$B$31:$B$130,"&lt;="&amp;A1037))*참고!$D$31:$D$130)/100,0),0)</f>
        <v>0</v>
      </c>
      <c r="L1037" s="31" t="str">
        <f t="shared" si="50"/>
        <v/>
      </c>
      <c r="M1037" s="39"/>
    </row>
    <row r="1038" spans="1:13" ht="18" customHeight="1" x14ac:dyDescent="0.45">
      <c r="A1038" s="37"/>
      <c r="B1038" s="29"/>
      <c r="C1038" s="29"/>
      <c r="D1038" s="28"/>
      <c r="E1038" s="30" t="str">
        <f>IFERROR(VLOOKUP(D1038,KRX종목마스터!$A:$B,2,FALSE),"")</f>
        <v/>
      </c>
      <c r="F1038" s="42"/>
      <c r="G1038" s="42"/>
      <c r="H1038" s="31" t="str">
        <f t="shared" si="48"/>
        <v/>
      </c>
      <c r="I1038" s="43">
        <f ca="1">IFERROR(SUMPRODUCT((참고!$A$31:$A$130=C1038)*(참고!$B$31:$B$130&lt;=A1038)*(참고!$B$31:$B$130=_xludf.MAXIFS(참고!$B$31:$B$130,참고!$A$31:$A$130,C1038,참고!$B$31:$B$130,"&lt;="&amp;A1038))*참고!$C$31:$C$130)/100,0)</f>
        <v>0</v>
      </c>
      <c r="J1038" s="31" t="str">
        <f t="shared" si="49"/>
        <v/>
      </c>
      <c r="K1038" s="43">
        <f>IF(B1038="매도",IFERROR(SUMPRODUCT((참고!$A$31:$A$130=C1038)*(참고!$B$31:$B$130&lt;=A1038)*(참고!$B$31:$B$130=_xludf.MAXIFS(참고!$B$31:$B$130,참고!$A$31:$A$130,C1038,참고!$B$31:$B$130,"&lt;="&amp;A1038))*참고!$D$31:$D$130)/100,0),0)</f>
        <v>0</v>
      </c>
      <c r="L1038" s="31" t="str">
        <f t="shared" si="50"/>
        <v/>
      </c>
      <c r="M1038" s="39"/>
    </row>
    <row r="1039" spans="1:13" ht="18" customHeight="1" x14ac:dyDescent="0.45">
      <c r="A1039" s="37"/>
      <c r="B1039" s="29"/>
      <c r="C1039" s="29"/>
      <c r="D1039" s="28"/>
      <c r="E1039" s="30" t="str">
        <f>IFERROR(VLOOKUP(D1039,KRX종목마스터!$A:$B,2,FALSE),"")</f>
        <v/>
      </c>
      <c r="F1039" s="42"/>
      <c r="G1039" s="42"/>
      <c r="H1039" s="31" t="str">
        <f t="shared" si="48"/>
        <v/>
      </c>
      <c r="I1039" s="43">
        <f ca="1">IFERROR(SUMPRODUCT((참고!$A$31:$A$130=C1039)*(참고!$B$31:$B$130&lt;=A1039)*(참고!$B$31:$B$130=_xludf.MAXIFS(참고!$B$31:$B$130,참고!$A$31:$A$130,C1039,참고!$B$31:$B$130,"&lt;="&amp;A1039))*참고!$C$31:$C$130)/100,0)</f>
        <v>0</v>
      </c>
      <c r="J1039" s="31" t="str">
        <f t="shared" si="49"/>
        <v/>
      </c>
      <c r="K1039" s="43">
        <f>IF(B1039="매도",IFERROR(SUMPRODUCT((참고!$A$31:$A$130=C1039)*(참고!$B$31:$B$130&lt;=A1039)*(참고!$B$31:$B$130=_xludf.MAXIFS(참고!$B$31:$B$130,참고!$A$31:$A$130,C1039,참고!$B$31:$B$130,"&lt;="&amp;A1039))*참고!$D$31:$D$130)/100,0),0)</f>
        <v>0</v>
      </c>
      <c r="L1039" s="31" t="str">
        <f t="shared" si="50"/>
        <v/>
      </c>
      <c r="M1039" s="39"/>
    </row>
    <row r="1040" spans="1:13" ht="18" customHeight="1" x14ac:dyDescent="0.45">
      <c r="A1040" s="37"/>
      <c r="B1040" s="29"/>
      <c r="C1040" s="29"/>
      <c r="D1040" s="28"/>
      <c r="E1040" s="30" t="str">
        <f>IFERROR(VLOOKUP(D1040,KRX종목마스터!$A:$B,2,FALSE),"")</f>
        <v/>
      </c>
      <c r="F1040" s="42"/>
      <c r="G1040" s="42"/>
      <c r="H1040" s="31" t="str">
        <f t="shared" si="48"/>
        <v/>
      </c>
      <c r="I1040" s="43">
        <f ca="1">IFERROR(SUMPRODUCT((참고!$A$31:$A$130=C1040)*(참고!$B$31:$B$130&lt;=A1040)*(참고!$B$31:$B$130=_xludf.MAXIFS(참고!$B$31:$B$130,참고!$A$31:$A$130,C1040,참고!$B$31:$B$130,"&lt;="&amp;A1040))*참고!$C$31:$C$130)/100,0)</f>
        <v>0</v>
      </c>
      <c r="J1040" s="31" t="str">
        <f t="shared" si="49"/>
        <v/>
      </c>
      <c r="K1040" s="43">
        <f>IF(B1040="매도",IFERROR(SUMPRODUCT((참고!$A$31:$A$130=C1040)*(참고!$B$31:$B$130&lt;=A1040)*(참고!$B$31:$B$130=_xludf.MAXIFS(참고!$B$31:$B$130,참고!$A$31:$A$130,C1040,참고!$B$31:$B$130,"&lt;="&amp;A1040))*참고!$D$31:$D$130)/100,0),0)</f>
        <v>0</v>
      </c>
      <c r="L1040" s="31" t="str">
        <f t="shared" si="50"/>
        <v/>
      </c>
      <c r="M1040" s="39"/>
    </row>
    <row r="1041" spans="1:13" ht="18" customHeight="1" x14ac:dyDescent="0.45">
      <c r="A1041" s="37"/>
      <c r="B1041" s="29"/>
      <c r="C1041" s="29"/>
      <c r="D1041" s="28"/>
      <c r="E1041" s="30" t="str">
        <f>IFERROR(VLOOKUP(D1041,KRX종목마스터!$A:$B,2,FALSE),"")</f>
        <v/>
      </c>
      <c r="F1041" s="42"/>
      <c r="G1041" s="42"/>
      <c r="H1041" s="31" t="str">
        <f t="shared" si="48"/>
        <v/>
      </c>
      <c r="I1041" s="43">
        <f ca="1">IFERROR(SUMPRODUCT((참고!$A$31:$A$130=C1041)*(참고!$B$31:$B$130&lt;=A1041)*(참고!$B$31:$B$130=_xludf.MAXIFS(참고!$B$31:$B$130,참고!$A$31:$A$130,C1041,참고!$B$31:$B$130,"&lt;="&amp;A1041))*참고!$C$31:$C$130)/100,0)</f>
        <v>0</v>
      </c>
      <c r="J1041" s="31" t="str">
        <f t="shared" si="49"/>
        <v/>
      </c>
      <c r="K1041" s="43">
        <f>IF(B1041="매도",IFERROR(SUMPRODUCT((참고!$A$31:$A$130=C1041)*(참고!$B$31:$B$130&lt;=A1041)*(참고!$B$31:$B$130=_xludf.MAXIFS(참고!$B$31:$B$130,참고!$A$31:$A$130,C1041,참고!$B$31:$B$130,"&lt;="&amp;A1041))*참고!$D$31:$D$130)/100,0),0)</f>
        <v>0</v>
      </c>
      <c r="L1041" s="31" t="str">
        <f t="shared" si="50"/>
        <v/>
      </c>
      <c r="M1041" s="39"/>
    </row>
    <row r="1042" spans="1:13" ht="18" customHeight="1" x14ac:dyDescent="0.45">
      <c r="A1042" s="37"/>
      <c r="B1042" s="29"/>
      <c r="C1042" s="29"/>
      <c r="D1042" s="28"/>
      <c r="E1042" s="30" t="str">
        <f>IFERROR(VLOOKUP(D1042,KRX종목마스터!$A:$B,2,FALSE),"")</f>
        <v/>
      </c>
      <c r="F1042" s="42"/>
      <c r="G1042" s="42"/>
      <c r="H1042" s="31" t="str">
        <f t="shared" si="48"/>
        <v/>
      </c>
      <c r="I1042" s="43">
        <f ca="1">IFERROR(SUMPRODUCT((참고!$A$31:$A$130=C1042)*(참고!$B$31:$B$130&lt;=A1042)*(참고!$B$31:$B$130=_xludf.MAXIFS(참고!$B$31:$B$130,참고!$A$31:$A$130,C1042,참고!$B$31:$B$130,"&lt;="&amp;A1042))*참고!$C$31:$C$130)/100,0)</f>
        <v>0</v>
      </c>
      <c r="J1042" s="31" t="str">
        <f t="shared" si="49"/>
        <v/>
      </c>
      <c r="K1042" s="43">
        <f>IF(B1042="매도",IFERROR(SUMPRODUCT((참고!$A$31:$A$130=C1042)*(참고!$B$31:$B$130&lt;=A1042)*(참고!$B$31:$B$130=_xludf.MAXIFS(참고!$B$31:$B$130,참고!$A$31:$A$130,C1042,참고!$B$31:$B$130,"&lt;="&amp;A1042))*참고!$D$31:$D$130)/100,0),0)</f>
        <v>0</v>
      </c>
      <c r="L1042" s="31" t="str">
        <f t="shared" si="50"/>
        <v/>
      </c>
      <c r="M1042" s="39"/>
    </row>
    <row r="1043" spans="1:13" ht="18" customHeight="1" x14ac:dyDescent="0.45">
      <c r="A1043" s="37"/>
      <c r="B1043" s="29"/>
      <c r="C1043" s="29"/>
      <c r="D1043" s="28"/>
      <c r="E1043" s="30" t="str">
        <f>IFERROR(VLOOKUP(D1043,KRX종목마스터!$A:$B,2,FALSE),"")</f>
        <v/>
      </c>
      <c r="F1043" s="42"/>
      <c r="G1043" s="42"/>
      <c r="H1043" s="31" t="str">
        <f t="shared" si="48"/>
        <v/>
      </c>
      <c r="I1043" s="43">
        <f ca="1">IFERROR(SUMPRODUCT((참고!$A$31:$A$130=C1043)*(참고!$B$31:$B$130&lt;=A1043)*(참고!$B$31:$B$130=_xludf.MAXIFS(참고!$B$31:$B$130,참고!$A$31:$A$130,C1043,참고!$B$31:$B$130,"&lt;="&amp;A1043))*참고!$C$31:$C$130)/100,0)</f>
        <v>0</v>
      </c>
      <c r="J1043" s="31" t="str">
        <f t="shared" si="49"/>
        <v/>
      </c>
      <c r="K1043" s="43">
        <f>IF(B1043="매도",IFERROR(SUMPRODUCT((참고!$A$31:$A$130=C1043)*(참고!$B$31:$B$130&lt;=A1043)*(참고!$B$31:$B$130=_xludf.MAXIFS(참고!$B$31:$B$130,참고!$A$31:$A$130,C1043,참고!$B$31:$B$130,"&lt;="&amp;A1043))*참고!$D$31:$D$130)/100,0),0)</f>
        <v>0</v>
      </c>
      <c r="L1043" s="31" t="str">
        <f t="shared" si="50"/>
        <v/>
      </c>
      <c r="M1043" s="39"/>
    </row>
    <row r="1044" spans="1:13" ht="18" customHeight="1" x14ac:dyDescent="0.45">
      <c r="A1044" s="37"/>
      <c r="B1044" s="29"/>
      <c r="C1044" s="29"/>
      <c r="D1044" s="28"/>
      <c r="E1044" s="30" t="str">
        <f>IFERROR(VLOOKUP(D1044,KRX종목마스터!$A:$B,2,FALSE),"")</f>
        <v/>
      </c>
      <c r="F1044" s="42"/>
      <c r="G1044" s="42"/>
      <c r="H1044" s="31" t="str">
        <f t="shared" si="48"/>
        <v/>
      </c>
      <c r="I1044" s="43">
        <f ca="1">IFERROR(SUMPRODUCT((참고!$A$31:$A$130=C1044)*(참고!$B$31:$B$130&lt;=A1044)*(참고!$B$31:$B$130=_xludf.MAXIFS(참고!$B$31:$B$130,참고!$A$31:$A$130,C1044,참고!$B$31:$B$130,"&lt;="&amp;A1044))*참고!$C$31:$C$130)/100,0)</f>
        <v>0</v>
      </c>
      <c r="J1044" s="31" t="str">
        <f t="shared" si="49"/>
        <v/>
      </c>
      <c r="K1044" s="43">
        <f>IF(B1044="매도",IFERROR(SUMPRODUCT((참고!$A$31:$A$130=C1044)*(참고!$B$31:$B$130&lt;=A1044)*(참고!$B$31:$B$130=_xludf.MAXIFS(참고!$B$31:$B$130,참고!$A$31:$A$130,C1044,참고!$B$31:$B$130,"&lt;="&amp;A1044))*참고!$D$31:$D$130)/100,0),0)</f>
        <v>0</v>
      </c>
      <c r="L1044" s="31" t="str">
        <f t="shared" si="50"/>
        <v/>
      </c>
      <c r="M1044" s="39"/>
    </row>
    <row r="1045" spans="1:13" ht="18" customHeight="1" x14ac:dyDescent="0.45">
      <c r="A1045" s="37"/>
      <c r="B1045" s="29"/>
      <c r="C1045" s="29"/>
      <c r="D1045" s="28"/>
      <c r="E1045" s="30" t="str">
        <f>IFERROR(VLOOKUP(D1045,KRX종목마스터!$A:$B,2,FALSE),"")</f>
        <v/>
      </c>
      <c r="F1045" s="42"/>
      <c r="G1045" s="42"/>
      <c r="H1045" s="31" t="str">
        <f t="shared" si="48"/>
        <v/>
      </c>
      <c r="I1045" s="43">
        <f ca="1">IFERROR(SUMPRODUCT((참고!$A$31:$A$130=C1045)*(참고!$B$31:$B$130&lt;=A1045)*(참고!$B$31:$B$130=_xludf.MAXIFS(참고!$B$31:$B$130,참고!$A$31:$A$130,C1045,참고!$B$31:$B$130,"&lt;="&amp;A1045))*참고!$C$31:$C$130)/100,0)</f>
        <v>0</v>
      </c>
      <c r="J1045" s="31" t="str">
        <f t="shared" si="49"/>
        <v/>
      </c>
      <c r="K1045" s="43">
        <f>IF(B1045="매도",IFERROR(SUMPRODUCT((참고!$A$31:$A$130=C1045)*(참고!$B$31:$B$130&lt;=A1045)*(참고!$B$31:$B$130=_xludf.MAXIFS(참고!$B$31:$B$130,참고!$A$31:$A$130,C1045,참고!$B$31:$B$130,"&lt;="&amp;A1045))*참고!$D$31:$D$130)/100,0),0)</f>
        <v>0</v>
      </c>
      <c r="L1045" s="31" t="str">
        <f t="shared" si="50"/>
        <v/>
      </c>
      <c r="M1045" s="39"/>
    </row>
    <row r="1046" spans="1:13" ht="18" customHeight="1" x14ac:dyDescent="0.45">
      <c r="A1046" s="37"/>
      <c r="B1046" s="29"/>
      <c r="C1046" s="29"/>
      <c r="D1046" s="28"/>
      <c r="E1046" s="30" t="str">
        <f>IFERROR(VLOOKUP(D1046,KRX종목마스터!$A:$B,2,FALSE),"")</f>
        <v/>
      </c>
      <c r="F1046" s="42"/>
      <c r="G1046" s="42"/>
      <c r="H1046" s="31" t="str">
        <f t="shared" si="48"/>
        <v/>
      </c>
      <c r="I1046" s="43">
        <f ca="1">IFERROR(SUMPRODUCT((참고!$A$31:$A$130=C1046)*(참고!$B$31:$B$130&lt;=A1046)*(참고!$B$31:$B$130=_xludf.MAXIFS(참고!$B$31:$B$130,참고!$A$31:$A$130,C1046,참고!$B$31:$B$130,"&lt;="&amp;A1046))*참고!$C$31:$C$130)/100,0)</f>
        <v>0</v>
      </c>
      <c r="J1046" s="31" t="str">
        <f t="shared" si="49"/>
        <v/>
      </c>
      <c r="K1046" s="43">
        <f>IF(B1046="매도",IFERROR(SUMPRODUCT((참고!$A$31:$A$130=C1046)*(참고!$B$31:$B$130&lt;=A1046)*(참고!$B$31:$B$130=_xludf.MAXIFS(참고!$B$31:$B$130,참고!$A$31:$A$130,C1046,참고!$B$31:$B$130,"&lt;="&amp;A1046))*참고!$D$31:$D$130)/100,0),0)</f>
        <v>0</v>
      </c>
      <c r="L1046" s="31" t="str">
        <f t="shared" si="50"/>
        <v/>
      </c>
      <c r="M1046" s="39"/>
    </row>
    <row r="1047" spans="1:13" ht="18" customHeight="1" x14ac:dyDescent="0.45">
      <c r="A1047" s="37"/>
      <c r="B1047" s="29"/>
      <c r="C1047" s="29"/>
      <c r="D1047" s="28"/>
      <c r="E1047" s="30" t="str">
        <f>IFERROR(VLOOKUP(D1047,KRX종목마스터!$A:$B,2,FALSE),"")</f>
        <v/>
      </c>
      <c r="F1047" s="42"/>
      <c r="G1047" s="42"/>
      <c r="H1047" s="31" t="str">
        <f t="shared" si="48"/>
        <v/>
      </c>
      <c r="I1047" s="43">
        <f ca="1">IFERROR(SUMPRODUCT((참고!$A$31:$A$130=C1047)*(참고!$B$31:$B$130&lt;=A1047)*(참고!$B$31:$B$130=_xludf.MAXIFS(참고!$B$31:$B$130,참고!$A$31:$A$130,C1047,참고!$B$31:$B$130,"&lt;="&amp;A1047))*참고!$C$31:$C$130)/100,0)</f>
        <v>0</v>
      </c>
      <c r="J1047" s="31" t="str">
        <f t="shared" si="49"/>
        <v/>
      </c>
      <c r="K1047" s="43">
        <f>IF(B1047="매도",IFERROR(SUMPRODUCT((참고!$A$31:$A$130=C1047)*(참고!$B$31:$B$130&lt;=A1047)*(참고!$B$31:$B$130=_xludf.MAXIFS(참고!$B$31:$B$130,참고!$A$31:$A$130,C1047,참고!$B$31:$B$130,"&lt;="&amp;A1047))*참고!$D$31:$D$130)/100,0),0)</f>
        <v>0</v>
      </c>
      <c r="L1047" s="31" t="str">
        <f t="shared" si="50"/>
        <v/>
      </c>
      <c r="M1047" s="39"/>
    </row>
    <row r="1048" spans="1:13" ht="18" customHeight="1" x14ac:dyDescent="0.45">
      <c r="A1048" s="37"/>
      <c r="B1048" s="29"/>
      <c r="C1048" s="29"/>
      <c r="D1048" s="28"/>
      <c r="E1048" s="30" t="str">
        <f>IFERROR(VLOOKUP(D1048,KRX종목마스터!$A:$B,2,FALSE),"")</f>
        <v/>
      </c>
      <c r="F1048" s="42"/>
      <c r="G1048" s="42"/>
      <c r="H1048" s="31" t="str">
        <f t="shared" si="48"/>
        <v/>
      </c>
      <c r="I1048" s="43">
        <f ca="1">IFERROR(SUMPRODUCT((참고!$A$31:$A$130=C1048)*(참고!$B$31:$B$130&lt;=A1048)*(참고!$B$31:$B$130=_xludf.MAXIFS(참고!$B$31:$B$130,참고!$A$31:$A$130,C1048,참고!$B$31:$B$130,"&lt;="&amp;A1048))*참고!$C$31:$C$130)/100,0)</f>
        <v>0</v>
      </c>
      <c r="J1048" s="31" t="str">
        <f t="shared" si="49"/>
        <v/>
      </c>
      <c r="K1048" s="43">
        <f>IF(B1048="매도",IFERROR(SUMPRODUCT((참고!$A$31:$A$130=C1048)*(참고!$B$31:$B$130&lt;=A1048)*(참고!$B$31:$B$130=_xludf.MAXIFS(참고!$B$31:$B$130,참고!$A$31:$A$130,C1048,참고!$B$31:$B$130,"&lt;="&amp;A1048))*참고!$D$31:$D$130)/100,0),0)</f>
        <v>0</v>
      </c>
      <c r="L1048" s="31" t="str">
        <f t="shared" si="50"/>
        <v/>
      </c>
      <c r="M1048" s="39"/>
    </row>
    <row r="1049" spans="1:13" ht="18" customHeight="1" x14ac:dyDescent="0.45">
      <c r="A1049" s="37"/>
      <c r="B1049" s="29"/>
      <c r="C1049" s="29"/>
      <c r="D1049" s="28"/>
      <c r="E1049" s="30" t="str">
        <f>IFERROR(VLOOKUP(D1049,KRX종목마스터!$A:$B,2,FALSE),"")</f>
        <v/>
      </c>
      <c r="F1049" s="42"/>
      <c r="G1049" s="42"/>
      <c r="H1049" s="31" t="str">
        <f t="shared" si="48"/>
        <v/>
      </c>
      <c r="I1049" s="43">
        <f ca="1">IFERROR(SUMPRODUCT((참고!$A$31:$A$130=C1049)*(참고!$B$31:$B$130&lt;=A1049)*(참고!$B$31:$B$130=_xludf.MAXIFS(참고!$B$31:$B$130,참고!$A$31:$A$130,C1049,참고!$B$31:$B$130,"&lt;="&amp;A1049))*참고!$C$31:$C$130)/100,0)</f>
        <v>0</v>
      </c>
      <c r="J1049" s="31" t="str">
        <f t="shared" si="49"/>
        <v/>
      </c>
      <c r="K1049" s="43">
        <f>IF(B1049="매도",IFERROR(SUMPRODUCT((참고!$A$31:$A$130=C1049)*(참고!$B$31:$B$130&lt;=A1049)*(참고!$B$31:$B$130=_xludf.MAXIFS(참고!$B$31:$B$130,참고!$A$31:$A$130,C1049,참고!$B$31:$B$130,"&lt;="&amp;A1049))*참고!$D$31:$D$130)/100,0),0)</f>
        <v>0</v>
      </c>
      <c r="L1049" s="31" t="str">
        <f t="shared" si="50"/>
        <v/>
      </c>
      <c r="M1049" s="39"/>
    </row>
    <row r="1050" spans="1:13" ht="18" customHeight="1" x14ac:dyDescent="0.45">
      <c r="A1050" s="37"/>
      <c r="B1050" s="29"/>
      <c r="C1050" s="29"/>
      <c r="D1050" s="28"/>
      <c r="E1050" s="30" t="str">
        <f>IFERROR(VLOOKUP(D1050,KRX종목마스터!$A:$B,2,FALSE),"")</f>
        <v/>
      </c>
      <c r="F1050" s="42"/>
      <c r="G1050" s="42"/>
      <c r="H1050" s="31" t="str">
        <f t="shared" si="48"/>
        <v/>
      </c>
      <c r="I1050" s="43">
        <f ca="1">IFERROR(SUMPRODUCT((참고!$A$31:$A$130=C1050)*(참고!$B$31:$B$130&lt;=A1050)*(참고!$B$31:$B$130=_xludf.MAXIFS(참고!$B$31:$B$130,참고!$A$31:$A$130,C1050,참고!$B$31:$B$130,"&lt;="&amp;A1050))*참고!$C$31:$C$130)/100,0)</f>
        <v>0</v>
      </c>
      <c r="J1050" s="31" t="str">
        <f t="shared" si="49"/>
        <v/>
      </c>
      <c r="K1050" s="43">
        <f>IF(B1050="매도",IFERROR(SUMPRODUCT((참고!$A$31:$A$130=C1050)*(참고!$B$31:$B$130&lt;=A1050)*(참고!$B$31:$B$130=_xludf.MAXIFS(참고!$B$31:$B$130,참고!$A$31:$A$130,C1050,참고!$B$31:$B$130,"&lt;="&amp;A1050))*참고!$D$31:$D$130)/100,0),0)</f>
        <v>0</v>
      </c>
      <c r="L1050" s="31" t="str">
        <f t="shared" si="50"/>
        <v/>
      </c>
      <c r="M1050" s="39"/>
    </row>
    <row r="1051" spans="1:13" ht="18" customHeight="1" x14ac:dyDescent="0.45">
      <c r="A1051" s="37"/>
      <c r="B1051" s="29"/>
      <c r="C1051" s="29"/>
      <c r="D1051" s="28"/>
      <c r="E1051" s="30" t="str">
        <f>IFERROR(VLOOKUP(D1051,KRX종목마스터!$A:$B,2,FALSE),"")</f>
        <v/>
      </c>
      <c r="F1051" s="42"/>
      <c r="G1051" s="42"/>
      <c r="H1051" s="31" t="str">
        <f t="shared" si="48"/>
        <v/>
      </c>
      <c r="I1051" s="43">
        <f ca="1">IFERROR(SUMPRODUCT((참고!$A$31:$A$130=C1051)*(참고!$B$31:$B$130&lt;=A1051)*(참고!$B$31:$B$130=_xludf.MAXIFS(참고!$B$31:$B$130,참고!$A$31:$A$130,C1051,참고!$B$31:$B$130,"&lt;="&amp;A1051))*참고!$C$31:$C$130)/100,0)</f>
        <v>0</v>
      </c>
      <c r="J1051" s="31" t="str">
        <f t="shared" si="49"/>
        <v/>
      </c>
      <c r="K1051" s="43">
        <f>IF(B1051="매도",IFERROR(SUMPRODUCT((참고!$A$31:$A$130=C1051)*(참고!$B$31:$B$130&lt;=A1051)*(참고!$B$31:$B$130=_xludf.MAXIFS(참고!$B$31:$B$130,참고!$A$31:$A$130,C1051,참고!$B$31:$B$130,"&lt;="&amp;A1051))*참고!$D$31:$D$130)/100,0),0)</f>
        <v>0</v>
      </c>
      <c r="L1051" s="31" t="str">
        <f t="shared" si="50"/>
        <v/>
      </c>
      <c r="M1051" s="39"/>
    </row>
    <row r="1052" spans="1:13" ht="18" customHeight="1" x14ac:dyDescent="0.45">
      <c r="A1052" s="37"/>
      <c r="B1052" s="29"/>
      <c r="C1052" s="29"/>
      <c r="D1052" s="28"/>
      <c r="E1052" s="30" t="str">
        <f>IFERROR(VLOOKUP(D1052,KRX종목마스터!$A:$B,2,FALSE),"")</f>
        <v/>
      </c>
      <c r="F1052" s="42"/>
      <c r="G1052" s="42"/>
      <c r="H1052" s="31" t="str">
        <f t="shared" si="48"/>
        <v/>
      </c>
      <c r="I1052" s="43">
        <f ca="1">IFERROR(SUMPRODUCT((참고!$A$31:$A$130=C1052)*(참고!$B$31:$B$130&lt;=A1052)*(참고!$B$31:$B$130=_xludf.MAXIFS(참고!$B$31:$B$130,참고!$A$31:$A$130,C1052,참고!$B$31:$B$130,"&lt;="&amp;A1052))*참고!$C$31:$C$130)/100,0)</f>
        <v>0</v>
      </c>
      <c r="J1052" s="31" t="str">
        <f t="shared" si="49"/>
        <v/>
      </c>
      <c r="K1052" s="43">
        <f>IF(B1052="매도",IFERROR(SUMPRODUCT((참고!$A$31:$A$130=C1052)*(참고!$B$31:$B$130&lt;=A1052)*(참고!$B$31:$B$130=_xludf.MAXIFS(참고!$B$31:$B$130,참고!$A$31:$A$130,C1052,참고!$B$31:$B$130,"&lt;="&amp;A1052))*참고!$D$31:$D$130)/100,0),0)</f>
        <v>0</v>
      </c>
      <c r="L1052" s="31" t="str">
        <f t="shared" si="50"/>
        <v/>
      </c>
      <c r="M1052" s="39"/>
    </row>
    <row r="1053" spans="1:13" ht="18" customHeight="1" x14ac:dyDescent="0.45">
      <c r="A1053" s="37"/>
      <c r="B1053" s="29"/>
      <c r="C1053" s="29"/>
      <c r="D1053" s="28"/>
      <c r="E1053" s="30" t="str">
        <f>IFERROR(VLOOKUP(D1053,KRX종목마스터!$A:$B,2,FALSE),"")</f>
        <v/>
      </c>
      <c r="F1053" s="42"/>
      <c r="G1053" s="42"/>
      <c r="H1053" s="31" t="str">
        <f t="shared" si="48"/>
        <v/>
      </c>
      <c r="I1053" s="43">
        <f ca="1">IFERROR(SUMPRODUCT((참고!$A$31:$A$130=C1053)*(참고!$B$31:$B$130&lt;=A1053)*(참고!$B$31:$B$130=_xludf.MAXIFS(참고!$B$31:$B$130,참고!$A$31:$A$130,C1053,참고!$B$31:$B$130,"&lt;="&amp;A1053))*참고!$C$31:$C$130)/100,0)</f>
        <v>0</v>
      </c>
      <c r="J1053" s="31" t="str">
        <f t="shared" si="49"/>
        <v/>
      </c>
      <c r="K1053" s="43">
        <f>IF(B1053="매도",IFERROR(SUMPRODUCT((참고!$A$31:$A$130=C1053)*(참고!$B$31:$B$130&lt;=A1053)*(참고!$B$31:$B$130=_xludf.MAXIFS(참고!$B$31:$B$130,참고!$A$31:$A$130,C1053,참고!$B$31:$B$130,"&lt;="&amp;A1053))*참고!$D$31:$D$130)/100,0),0)</f>
        <v>0</v>
      </c>
      <c r="L1053" s="31" t="str">
        <f t="shared" si="50"/>
        <v/>
      </c>
      <c r="M1053" s="39"/>
    </row>
    <row r="1054" spans="1:13" ht="18" customHeight="1" x14ac:dyDescent="0.45">
      <c r="A1054" s="37"/>
      <c r="B1054" s="29"/>
      <c r="C1054" s="29"/>
      <c r="D1054" s="28"/>
      <c r="E1054" s="30" t="str">
        <f>IFERROR(VLOOKUP(D1054,KRX종목마스터!$A:$B,2,FALSE),"")</f>
        <v/>
      </c>
      <c r="F1054" s="42"/>
      <c r="G1054" s="42"/>
      <c r="H1054" s="31" t="str">
        <f t="shared" si="48"/>
        <v/>
      </c>
      <c r="I1054" s="43">
        <f ca="1">IFERROR(SUMPRODUCT((참고!$A$31:$A$130=C1054)*(참고!$B$31:$B$130&lt;=A1054)*(참고!$B$31:$B$130=_xludf.MAXIFS(참고!$B$31:$B$130,참고!$A$31:$A$130,C1054,참고!$B$31:$B$130,"&lt;="&amp;A1054))*참고!$C$31:$C$130)/100,0)</f>
        <v>0</v>
      </c>
      <c r="J1054" s="31" t="str">
        <f t="shared" si="49"/>
        <v/>
      </c>
      <c r="K1054" s="43">
        <f>IF(B1054="매도",IFERROR(SUMPRODUCT((참고!$A$31:$A$130=C1054)*(참고!$B$31:$B$130&lt;=A1054)*(참고!$B$31:$B$130=_xludf.MAXIFS(참고!$B$31:$B$130,참고!$A$31:$A$130,C1054,참고!$B$31:$B$130,"&lt;="&amp;A1054))*참고!$D$31:$D$130)/100,0),0)</f>
        <v>0</v>
      </c>
      <c r="L1054" s="31" t="str">
        <f t="shared" si="50"/>
        <v/>
      </c>
      <c r="M1054" s="39"/>
    </row>
    <row r="1055" spans="1:13" ht="18" customHeight="1" x14ac:dyDescent="0.45">
      <c r="A1055" s="37"/>
      <c r="B1055" s="29"/>
      <c r="C1055" s="29"/>
      <c r="D1055" s="28"/>
      <c r="E1055" s="30" t="str">
        <f>IFERROR(VLOOKUP(D1055,KRX종목마스터!$A:$B,2,FALSE),"")</f>
        <v/>
      </c>
      <c r="F1055" s="42"/>
      <c r="G1055" s="42"/>
      <c r="H1055" s="31" t="str">
        <f t="shared" si="48"/>
        <v/>
      </c>
      <c r="I1055" s="43">
        <f ca="1">IFERROR(SUMPRODUCT((참고!$A$31:$A$130=C1055)*(참고!$B$31:$B$130&lt;=A1055)*(참고!$B$31:$B$130=_xludf.MAXIFS(참고!$B$31:$B$130,참고!$A$31:$A$130,C1055,참고!$B$31:$B$130,"&lt;="&amp;A1055))*참고!$C$31:$C$130)/100,0)</f>
        <v>0</v>
      </c>
      <c r="J1055" s="31" t="str">
        <f t="shared" si="49"/>
        <v/>
      </c>
      <c r="K1055" s="43">
        <f>IF(B1055="매도",IFERROR(SUMPRODUCT((참고!$A$31:$A$130=C1055)*(참고!$B$31:$B$130&lt;=A1055)*(참고!$B$31:$B$130=_xludf.MAXIFS(참고!$B$31:$B$130,참고!$A$31:$A$130,C1055,참고!$B$31:$B$130,"&lt;="&amp;A1055))*참고!$D$31:$D$130)/100,0),0)</f>
        <v>0</v>
      </c>
      <c r="L1055" s="31" t="str">
        <f t="shared" si="50"/>
        <v/>
      </c>
      <c r="M1055" s="39"/>
    </row>
    <row r="1056" spans="1:13" ht="18" customHeight="1" x14ac:dyDescent="0.45">
      <c r="A1056" s="37"/>
      <c r="B1056" s="29"/>
      <c r="C1056" s="29"/>
      <c r="D1056" s="28"/>
      <c r="E1056" s="30" t="str">
        <f>IFERROR(VLOOKUP(D1056,KRX종목마스터!$A:$B,2,FALSE),"")</f>
        <v/>
      </c>
      <c r="F1056" s="42"/>
      <c r="G1056" s="42"/>
      <c r="H1056" s="31" t="str">
        <f t="shared" si="48"/>
        <v/>
      </c>
      <c r="I1056" s="43">
        <f ca="1">IFERROR(SUMPRODUCT((참고!$A$31:$A$130=C1056)*(참고!$B$31:$B$130&lt;=A1056)*(참고!$B$31:$B$130=_xludf.MAXIFS(참고!$B$31:$B$130,참고!$A$31:$A$130,C1056,참고!$B$31:$B$130,"&lt;="&amp;A1056))*참고!$C$31:$C$130)/100,0)</f>
        <v>0</v>
      </c>
      <c r="J1056" s="31" t="str">
        <f t="shared" si="49"/>
        <v/>
      </c>
      <c r="K1056" s="43">
        <f>IF(B1056="매도",IFERROR(SUMPRODUCT((참고!$A$31:$A$130=C1056)*(참고!$B$31:$B$130&lt;=A1056)*(참고!$B$31:$B$130=_xludf.MAXIFS(참고!$B$31:$B$130,참고!$A$31:$A$130,C1056,참고!$B$31:$B$130,"&lt;="&amp;A1056))*참고!$D$31:$D$130)/100,0),0)</f>
        <v>0</v>
      </c>
      <c r="L1056" s="31" t="str">
        <f t="shared" si="50"/>
        <v/>
      </c>
      <c r="M1056" s="39"/>
    </row>
    <row r="1057" spans="1:13" ht="18" customHeight="1" x14ac:dyDescent="0.45">
      <c r="A1057" s="37"/>
      <c r="B1057" s="29"/>
      <c r="C1057" s="29"/>
      <c r="D1057" s="28"/>
      <c r="E1057" s="30" t="str">
        <f>IFERROR(VLOOKUP(D1057,KRX종목마스터!$A:$B,2,FALSE),"")</f>
        <v/>
      </c>
      <c r="F1057" s="42"/>
      <c r="G1057" s="42"/>
      <c r="H1057" s="31" t="str">
        <f t="shared" si="48"/>
        <v/>
      </c>
      <c r="I1057" s="43">
        <f ca="1">IFERROR(SUMPRODUCT((참고!$A$31:$A$130=C1057)*(참고!$B$31:$B$130&lt;=A1057)*(참고!$B$31:$B$130=_xludf.MAXIFS(참고!$B$31:$B$130,참고!$A$31:$A$130,C1057,참고!$B$31:$B$130,"&lt;="&amp;A1057))*참고!$C$31:$C$130)/100,0)</f>
        <v>0</v>
      </c>
      <c r="J1057" s="31" t="str">
        <f t="shared" si="49"/>
        <v/>
      </c>
      <c r="K1057" s="43">
        <f>IF(B1057="매도",IFERROR(SUMPRODUCT((참고!$A$31:$A$130=C1057)*(참고!$B$31:$B$130&lt;=A1057)*(참고!$B$31:$B$130=_xludf.MAXIFS(참고!$B$31:$B$130,참고!$A$31:$A$130,C1057,참고!$B$31:$B$130,"&lt;="&amp;A1057))*참고!$D$31:$D$130)/100,0),0)</f>
        <v>0</v>
      </c>
      <c r="L1057" s="31" t="str">
        <f t="shared" si="50"/>
        <v/>
      </c>
      <c r="M1057" s="39"/>
    </row>
    <row r="1058" spans="1:13" ht="18" customHeight="1" x14ac:dyDescent="0.45">
      <c r="A1058" s="37"/>
      <c r="B1058" s="29"/>
      <c r="C1058" s="29"/>
      <c r="D1058" s="28"/>
      <c r="E1058" s="30" t="str">
        <f>IFERROR(VLOOKUP(D1058,KRX종목마스터!$A:$B,2,FALSE),"")</f>
        <v/>
      </c>
      <c r="F1058" s="42"/>
      <c r="G1058" s="42"/>
      <c r="H1058" s="31" t="str">
        <f t="shared" si="48"/>
        <v/>
      </c>
      <c r="I1058" s="43">
        <f ca="1">IFERROR(SUMPRODUCT((참고!$A$31:$A$130=C1058)*(참고!$B$31:$B$130&lt;=A1058)*(참고!$B$31:$B$130=_xludf.MAXIFS(참고!$B$31:$B$130,참고!$A$31:$A$130,C1058,참고!$B$31:$B$130,"&lt;="&amp;A1058))*참고!$C$31:$C$130)/100,0)</f>
        <v>0</v>
      </c>
      <c r="J1058" s="31" t="str">
        <f t="shared" si="49"/>
        <v/>
      </c>
      <c r="K1058" s="43">
        <f>IF(B1058="매도",IFERROR(SUMPRODUCT((참고!$A$31:$A$130=C1058)*(참고!$B$31:$B$130&lt;=A1058)*(참고!$B$31:$B$130=_xludf.MAXIFS(참고!$B$31:$B$130,참고!$A$31:$A$130,C1058,참고!$B$31:$B$130,"&lt;="&amp;A1058))*참고!$D$31:$D$130)/100,0),0)</f>
        <v>0</v>
      </c>
      <c r="L1058" s="31" t="str">
        <f t="shared" si="50"/>
        <v/>
      </c>
      <c r="M1058" s="39"/>
    </row>
    <row r="1059" spans="1:13" ht="18" customHeight="1" x14ac:dyDescent="0.45">
      <c r="A1059" s="37"/>
      <c r="B1059" s="29"/>
      <c r="C1059" s="29"/>
      <c r="D1059" s="28"/>
      <c r="E1059" s="30" t="str">
        <f>IFERROR(VLOOKUP(D1059,KRX종목마스터!$A:$B,2,FALSE),"")</f>
        <v/>
      </c>
      <c r="F1059" s="42"/>
      <c r="G1059" s="42"/>
      <c r="H1059" s="31" t="str">
        <f t="shared" si="48"/>
        <v/>
      </c>
      <c r="I1059" s="43">
        <f ca="1">IFERROR(SUMPRODUCT((참고!$A$31:$A$130=C1059)*(참고!$B$31:$B$130&lt;=A1059)*(참고!$B$31:$B$130=_xludf.MAXIFS(참고!$B$31:$B$130,참고!$A$31:$A$130,C1059,참고!$B$31:$B$130,"&lt;="&amp;A1059))*참고!$C$31:$C$130)/100,0)</f>
        <v>0</v>
      </c>
      <c r="J1059" s="31" t="str">
        <f t="shared" si="49"/>
        <v/>
      </c>
      <c r="K1059" s="43">
        <f>IF(B1059="매도",IFERROR(SUMPRODUCT((참고!$A$31:$A$130=C1059)*(참고!$B$31:$B$130&lt;=A1059)*(참고!$B$31:$B$130=_xludf.MAXIFS(참고!$B$31:$B$130,참고!$A$31:$A$130,C1059,참고!$B$31:$B$130,"&lt;="&amp;A1059))*참고!$D$31:$D$130)/100,0),0)</f>
        <v>0</v>
      </c>
      <c r="L1059" s="31" t="str">
        <f t="shared" si="50"/>
        <v/>
      </c>
      <c r="M1059" s="39"/>
    </row>
    <row r="1060" spans="1:13" ht="18" customHeight="1" x14ac:dyDescent="0.45">
      <c r="A1060" s="37"/>
      <c r="B1060" s="29"/>
      <c r="C1060" s="29"/>
      <c r="D1060" s="28"/>
      <c r="E1060" s="30" t="str">
        <f>IFERROR(VLOOKUP(D1060,KRX종목마스터!$A:$B,2,FALSE),"")</f>
        <v/>
      </c>
      <c r="F1060" s="42"/>
      <c r="G1060" s="42"/>
      <c r="H1060" s="31" t="str">
        <f t="shared" si="48"/>
        <v/>
      </c>
      <c r="I1060" s="43">
        <f ca="1">IFERROR(SUMPRODUCT((참고!$A$31:$A$130=C1060)*(참고!$B$31:$B$130&lt;=A1060)*(참고!$B$31:$B$130=_xludf.MAXIFS(참고!$B$31:$B$130,참고!$A$31:$A$130,C1060,참고!$B$31:$B$130,"&lt;="&amp;A1060))*참고!$C$31:$C$130)/100,0)</f>
        <v>0</v>
      </c>
      <c r="J1060" s="31" t="str">
        <f t="shared" si="49"/>
        <v/>
      </c>
      <c r="K1060" s="43">
        <f>IF(B1060="매도",IFERROR(SUMPRODUCT((참고!$A$31:$A$130=C1060)*(참고!$B$31:$B$130&lt;=A1060)*(참고!$B$31:$B$130=_xludf.MAXIFS(참고!$B$31:$B$130,참고!$A$31:$A$130,C1060,참고!$B$31:$B$130,"&lt;="&amp;A1060))*참고!$D$31:$D$130)/100,0),0)</f>
        <v>0</v>
      </c>
      <c r="L1060" s="31" t="str">
        <f t="shared" si="50"/>
        <v/>
      </c>
      <c r="M1060" s="39"/>
    </row>
    <row r="1061" spans="1:13" ht="18" customHeight="1" x14ac:dyDescent="0.45">
      <c r="A1061" s="37"/>
      <c r="B1061" s="29"/>
      <c r="C1061" s="29"/>
      <c r="D1061" s="28"/>
      <c r="E1061" s="30" t="str">
        <f>IFERROR(VLOOKUP(D1061,KRX종목마스터!$A:$B,2,FALSE),"")</f>
        <v/>
      </c>
      <c r="F1061" s="42"/>
      <c r="G1061" s="42"/>
      <c r="H1061" s="31" t="str">
        <f t="shared" si="48"/>
        <v/>
      </c>
      <c r="I1061" s="43">
        <f ca="1">IFERROR(SUMPRODUCT((참고!$A$31:$A$130=C1061)*(참고!$B$31:$B$130&lt;=A1061)*(참고!$B$31:$B$130=_xludf.MAXIFS(참고!$B$31:$B$130,참고!$A$31:$A$130,C1061,참고!$B$31:$B$130,"&lt;="&amp;A1061))*참고!$C$31:$C$130)/100,0)</f>
        <v>0</v>
      </c>
      <c r="J1061" s="31" t="str">
        <f t="shared" si="49"/>
        <v/>
      </c>
      <c r="K1061" s="43">
        <f>IF(B1061="매도",IFERROR(SUMPRODUCT((참고!$A$31:$A$130=C1061)*(참고!$B$31:$B$130&lt;=A1061)*(참고!$B$31:$B$130=_xludf.MAXIFS(참고!$B$31:$B$130,참고!$A$31:$A$130,C1061,참고!$B$31:$B$130,"&lt;="&amp;A1061))*참고!$D$31:$D$130)/100,0),0)</f>
        <v>0</v>
      </c>
      <c r="L1061" s="31" t="str">
        <f t="shared" si="50"/>
        <v/>
      </c>
      <c r="M1061" s="39"/>
    </row>
    <row r="1062" spans="1:13" ht="18" customHeight="1" x14ac:dyDescent="0.45">
      <c r="A1062" s="37"/>
      <c r="B1062" s="29"/>
      <c r="C1062" s="29"/>
      <c r="D1062" s="28"/>
      <c r="E1062" s="30" t="str">
        <f>IFERROR(VLOOKUP(D1062,KRX종목마스터!$A:$B,2,FALSE),"")</f>
        <v/>
      </c>
      <c r="F1062" s="42"/>
      <c r="G1062" s="42"/>
      <c r="H1062" s="31" t="str">
        <f t="shared" si="48"/>
        <v/>
      </c>
      <c r="I1062" s="43">
        <f ca="1">IFERROR(SUMPRODUCT((참고!$A$31:$A$130=C1062)*(참고!$B$31:$B$130&lt;=A1062)*(참고!$B$31:$B$130=_xludf.MAXIFS(참고!$B$31:$B$130,참고!$A$31:$A$130,C1062,참고!$B$31:$B$130,"&lt;="&amp;A1062))*참고!$C$31:$C$130)/100,0)</f>
        <v>0</v>
      </c>
      <c r="J1062" s="31" t="str">
        <f t="shared" si="49"/>
        <v/>
      </c>
      <c r="K1062" s="43">
        <f>IF(B1062="매도",IFERROR(SUMPRODUCT((참고!$A$31:$A$130=C1062)*(참고!$B$31:$B$130&lt;=A1062)*(참고!$B$31:$B$130=_xludf.MAXIFS(참고!$B$31:$B$130,참고!$A$31:$A$130,C1062,참고!$B$31:$B$130,"&lt;="&amp;A1062))*참고!$D$31:$D$130)/100,0),0)</f>
        <v>0</v>
      </c>
      <c r="L1062" s="31" t="str">
        <f t="shared" si="50"/>
        <v/>
      </c>
      <c r="M1062" s="39"/>
    </row>
    <row r="1063" spans="1:13" ht="18" customHeight="1" x14ac:dyDescent="0.45">
      <c r="A1063" s="37"/>
      <c r="B1063" s="29"/>
      <c r="C1063" s="29"/>
      <c r="D1063" s="28"/>
      <c r="E1063" s="30" t="str">
        <f>IFERROR(VLOOKUP(D1063,KRX종목마스터!$A:$B,2,FALSE),"")</f>
        <v/>
      </c>
      <c r="F1063" s="42"/>
      <c r="G1063" s="42"/>
      <c r="H1063" s="31" t="str">
        <f t="shared" si="48"/>
        <v/>
      </c>
      <c r="I1063" s="43">
        <f ca="1">IFERROR(SUMPRODUCT((참고!$A$31:$A$130=C1063)*(참고!$B$31:$B$130&lt;=A1063)*(참고!$B$31:$B$130=_xludf.MAXIFS(참고!$B$31:$B$130,참고!$A$31:$A$130,C1063,참고!$B$31:$B$130,"&lt;="&amp;A1063))*참고!$C$31:$C$130)/100,0)</f>
        <v>0</v>
      </c>
      <c r="J1063" s="31" t="str">
        <f t="shared" si="49"/>
        <v/>
      </c>
      <c r="K1063" s="43">
        <f>IF(B1063="매도",IFERROR(SUMPRODUCT((참고!$A$31:$A$130=C1063)*(참고!$B$31:$B$130&lt;=A1063)*(참고!$B$31:$B$130=_xludf.MAXIFS(참고!$B$31:$B$130,참고!$A$31:$A$130,C1063,참고!$B$31:$B$130,"&lt;="&amp;A1063))*참고!$D$31:$D$130)/100,0),0)</f>
        <v>0</v>
      </c>
      <c r="L1063" s="31" t="str">
        <f t="shared" si="50"/>
        <v/>
      </c>
      <c r="M1063" s="39"/>
    </row>
    <row r="1064" spans="1:13" ht="18" customHeight="1" x14ac:dyDescent="0.45">
      <c r="A1064" s="37"/>
      <c r="B1064" s="29"/>
      <c r="C1064" s="29"/>
      <c r="D1064" s="28"/>
      <c r="E1064" s="30" t="str">
        <f>IFERROR(VLOOKUP(D1064,KRX종목마스터!$A:$B,2,FALSE),"")</f>
        <v/>
      </c>
      <c r="F1064" s="42"/>
      <c r="G1064" s="42"/>
      <c r="H1064" s="31" t="str">
        <f t="shared" si="48"/>
        <v/>
      </c>
      <c r="I1064" s="43">
        <f ca="1">IFERROR(SUMPRODUCT((참고!$A$31:$A$130=C1064)*(참고!$B$31:$B$130&lt;=A1064)*(참고!$B$31:$B$130=_xludf.MAXIFS(참고!$B$31:$B$130,참고!$A$31:$A$130,C1064,참고!$B$31:$B$130,"&lt;="&amp;A1064))*참고!$C$31:$C$130)/100,0)</f>
        <v>0</v>
      </c>
      <c r="J1064" s="31" t="str">
        <f t="shared" si="49"/>
        <v/>
      </c>
      <c r="K1064" s="43">
        <f>IF(B1064="매도",IFERROR(SUMPRODUCT((참고!$A$31:$A$130=C1064)*(참고!$B$31:$B$130&lt;=A1064)*(참고!$B$31:$B$130=_xludf.MAXIFS(참고!$B$31:$B$130,참고!$A$31:$A$130,C1064,참고!$B$31:$B$130,"&lt;="&amp;A1064))*참고!$D$31:$D$130)/100,0),0)</f>
        <v>0</v>
      </c>
      <c r="L1064" s="31" t="str">
        <f t="shared" si="50"/>
        <v/>
      </c>
      <c r="M1064" s="39"/>
    </row>
    <row r="1065" spans="1:13" ht="18" customHeight="1" x14ac:dyDescent="0.45">
      <c r="A1065" s="37"/>
      <c r="B1065" s="29"/>
      <c r="C1065" s="29"/>
      <c r="D1065" s="28"/>
      <c r="E1065" s="30" t="str">
        <f>IFERROR(VLOOKUP(D1065,KRX종목마스터!$A:$B,2,FALSE),"")</f>
        <v/>
      </c>
      <c r="F1065" s="42"/>
      <c r="G1065" s="42"/>
      <c r="H1065" s="31" t="str">
        <f t="shared" si="48"/>
        <v/>
      </c>
      <c r="I1065" s="43">
        <f ca="1">IFERROR(SUMPRODUCT((참고!$A$31:$A$130=C1065)*(참고!$B$31:$B$130&lt;=A1065)*(참고!$B$31:$B$130=_xludf.MAXIFS(참고!$B$31:$B$130,참고!$A$31:$A$130,C1065,참고!$B$31:$B$130,"&lt;="&amp;A1065))*참고!$C$31:$C$130)/100,0)</f>
        <v>0</v>
      </c>
      <c r="J1065" s="31" t="str">
        <f t="shared" si="49"/>
        <v/>
      </c>
      <c r="K1065" s="43">
        <f>IF(B1065="매도",IFERROR(SUMPRODUCT((참고!$A$31:$A$130=C1065)*(참고!$B$31:$B$130&lt;=A1065)*(참고!$B$31:$B$130=_xludf.MAXIFS(참고!$B$31:$B$130,참고!$A$31:$A$130,C1065,참고!$B$31:$B$130,"&lt;="&amp;A1065))*참고!$D$31:$D$130)/100,0),0)</f>
        <v>0</v>
      </c>
      <c r="L1065" s="31" t="str">
        <f t="shared" si="50"/>
        <v/>
      </c>
      <c r="M1065" s="39"/>
    </row>
    <row r="1066" spans="1:13" ht="18" customHeight="1" x14ac:dyDescent="0.45">
      <c r="A1066" s="37"/>
      <c r="B1066" s="29"/>
      <c r="C1066" s="29"/>
      <c r="D1066" s="28"/>
      <c r="E1066" s="30" t="str">
        <f>IFERROR(VLOOKUP(D1066,KRX종목마스터!$A:$B,2,FALSE),"")</f>
        <v/>
      </c>
      <c r="F1066" s="42"/>
      <c r="G1066" s="42"/>
      <c r="H1066" s="31" t="str">
        <f t="shared" si="48"/>
        <v/>
      </c>
      <c r="I1066" s="43">
        <f ca="1">IFERROR(SUMPRODUCT((참고!$A$31:$A$130=C1066)*(참고!$B$31:$B$130&lt;=A1066)*(참고!$B$31:$B$130=_xludf.MAXIFS(참고!$B$31:$B$130,참고!$A$31:$A$130,C1066,참고!$B$31:$B$130,"&lt;="&amp;A1066))*참고!$C$31:$C$130)/100,0)</f>
        <v>0</v>
      </c>
      <c r="J1066" s="31" t="str">
        <f t="shared" si="49"/>
        <v/>
      </c>
      <c r="K1066" s="43">
        <f>IF(B1066="매도",IFERROR(SUMPRODUCT((참고!$A$31:$A$130=C1066)*(참고!$B$31:$B$130&lt;=A1066)*(참고!$B$31:$B$130=_xludf.MAXIFS(참고!$B$31:$B$130,참고!$A$31:$A$130,C1066,참고!$B$31:$B$130,"&lt;="&amp;A1066))*참고!$D$31:$D$130)/100,0),0)</f>
        <v>0</v>
      </c>
      <c r="L1066" s="31" t="str">
        <f t="shared" si="50"/>
        <v/>
      </c>
      <c r="M1066" s="39"/>
    </row>
    <row r="1067" spans="1:13" ht="18" customHeight="1" x14ac:dyDescent="0.45">
      <c r="A1067" s="37"/>
      <c r="B1067" s="29"/>
      <c r="C1067" s="29"/>
      <c r="D1067" s="28"/>
      <c r="E1067" s="30" t="str">
        <f>IFERROR(VLOOKUP(D1067,KRX종목마스터!$A:$B,2,FALSE),"")</f>
        <v/>
      </c>
      <c r="F1067" s="42"/>
      <c r="G1067" s="42"/>
      <c r="H1067" s="31" t="str">
        <f t="shared" si="48"/>
        <v/>
      </c>
      <c r="I1067" s="43">
        <f ca="1">IFERROR(SUMPRODUCT((참고!$A$31:$A$130=C1067)*(참고!$B$31:$B$130&lt;=A1067)*(참고!$B$31:$B$130=_xludf.MAXIFS(참고!$B$31:$B$130,참고!$A$31:$A$130,C1067,참고!$B$31:$B$130,"&lt;="&amp;A1067))*참고!$C$31:$C$130)/100,0)</f>
        <v>0</v>
      </c>
      <c r="J1067" s="31" t="str">
        <f t="shared" si="49"/>
        <v/>
      </c>
      <c r="K1067" s="43">
        <f>IF(B1067="매도",IFERROR(SUMPRODUCT((참고!$A$31:$A$130=C1067)*(참고!$B$31:$B$130&lt;=A1067)*(참고!$B$31:$B$130=_xludf.MAXIFS(참고!$B$31:$B$130,참고!$A$31:$A$130,C1067,참고!$B$31:$B$130,"&lt;="&amp;A1067))*참고!$D$31:$D$130)/100,0),0)</f>
        <v>0</v>
      </c>
      <c r="L1067" s="31" t="str">
        <f t="shared" si="50"/>
        <v/>
      </c>
      <c r="M1067" s="39"/>
    </row>
    <row r="1068" spans="1:13" ht="18" customHeight="1" x14ac:dyDescent="0.45">
      <c r="A1068" s="37"/>
      <c r="B1068" s="29"/>
      <c r="C1068" s="29"/>
      <c r="D1068" s="28"/>
      <c r="E1068" s="30" t="str">
        <f>IFERROR(VLOOKUP(D1068,KRX종목마스터!$A:$B,2,FALSE),"")</f>
        <v/>
      </c>
      <c r="F1068" s="42"/>
      <c r="G1068" s="42"/>
      <c r="H1068" s="31" t="str">
        <f t="shared" si="48"/>
        <v/>
      </c>
      <c r="I1068" s="43">
        <f ca="1">IFERROR(SUMPRODUCT((참고!$A$31:$A$130=C1068)*(참고!$B$31:$B$130&lt;=A1068)*(참고!$B$31:$B$130=_xludf.MAXIFS(참고!$B$31:$B$130,참고!$A$31:$A$130,C1068,참고!$B$31:$B$130,"&lt;="&amp;A1068))*참고!$C$31:$C$130)/100,0)</f>
        <v>0</v>
      </c>
      <c r="J1068" s="31" t="str">
        <f t="shared" si="49"/>
        <v/>
      </c>
      <c r="K1068" s="43">
        <f>IF(B1068="매도",IFERROR(SUMPRODUCT((참고!$A$31:$A$130=C1068)*(참고!$B$31:$B$130&lt;=A1068)*(참고!$B$31:$B$130=_xludf.MAXIFS(참고!$B$31:$B$130,참고!$A$31:$A$130,C1068,참고!$B$31:$B$130,"&lt;="&amp;A1068))*참고!$D$31:$D$130)/100,0),0)</f>
        <v>0</v>
      </c>
      <c r="L1068" s="31" t="str">
        <f t="shared" si="50"/>
        <v/>
      </c>
      <c r="M1068" s="39"/>
    </row>
    <row r="1069" spans="1:13" ht="18" customHeight="1" x14ac:dyDescent="0.45">
      <c r="A1069" s="37"/>
      <c r="B1069" s="29"/>
      <c r="C1069" s="29"/>
      <c r="D1069" s="28"/>
      <c r="E1069" s="30" t="str">
        <f>IFERROR(VLOOKUP(D1069,KRX종목마스터!$A:$B,2,FALSE),"")</f>
        <v/>
      </c>
      <c r="F1069" s="42"/>
      <c r="G1069" s="42"/>
      <c r="H1069" s="31" t="str">
        <f t="shared" si="48"/>
        <v/>
      </c>
      <c r="I1069" s="43">
        <f ca="1">IFERROR(SUMPRODUCT((참고!$A$31:$A$130=C1069)*(참고!$B$31:$B$130&lt;=A1069)*(참고!$B$31:$B$130=_xludf.MAXIFS(참고!$B$31:$B$130,참고!$A$31:$A$130,C1069,참고!$B$31:$B$130,"&lt;="&amp;A1069))*참고!$C$31:$C$130)/100,0)</f>
        <v>0</v>
      </c>
      <c r="J1069" s="31" t="str">
        <f t="shared" si="49"/>
        <v/>
      </c>
      <c r="K1069" s="43">
        <f>IF(B1069="매도",IFERROR(SUMPRODUCT((참고!$A$31:$A$130=C1069)*(참고!$B$31:$B$130&lt;=A1069)*(참고!$B$31:$B$130=_xludf.MAXIFS(참고!$B$31:$B$130,참고!$A$31:$A$130,C1069,참고!$B$31:$B$130,"&lt;="&amp;A1069))*참고!$D$31:$D$130)/100,0),0)</f>
        <v>0</v>
      </c>
      <c r="L1069" s="31" t="str">
        <f t="shared" si="50"/>
        <v/>
      </c>
      <c r="M1069" s="39"/>
    </row>
    <row r="1070" spans="1:13" ht="18" customHeight="1" x14ac:dyDescent="0.45">
      <c r="A1070" s="37"/>
      <c r="B1070" s="29"/>
      <c r="C1070" s="29"/>
      <c r="D1070" s="28"/>
      <c r="E1070" s="30" t="str">
        <f>IFERROR(VLOOKUP(D1070,KRX종목마스터!$A:$B,2,FALSE),"")</f>
        <v/>
      </c>
      <c r="F1070" s="42"/>
      <c r="G1070" s="42"/>
      <c r="H1070" s="31" t="str">
        <f t="shared" si="48"/>
        <v/>
      </c>
      <c r="I1070" s="43">
        <f ca="1">IFERROR(SUMPRODUCT((참고!$A$31:$A$130=C1070)*(참고!$B$31:$B$130&lt;=A1070)*(참고!$B$31:$B$130=_xludf.MAXIFS(참고!$B$31:$B$130,참고!$A$31:$A$130,C1070,참고!$B$31:$B$130,"&lt;="&amp;A1070))*참고!$C$31:$C$130)/100,0)</f>
        <v>0</v>
      </c>
      <c r="J1070" s="31" t="str">
        <f t="shared" si="49"/>
        <v/>
      </c>
      <c r="K1070" s="43">
        <f>IF(B1070="매도",IFERROR(SUMPRODUCT((참고!$A$31:$A$130=C1070)*(참고!$B$31:$B$130&lt;=A1070)*(참고!$B$31:$B$130=_xludf.MAXIFS(참고!$B$31:$B$130,참고!$A$31:$A$130,C1070,참고!$B$31:$B$130,"&lt;="&amp;A1070))*참고!$D$31:$D$130)/100,0),0)</f>
        <v>0</v>
      </c>
      <c r="L1070" s="31" t="str">
        <f t="shared" si="50"/>
        <v/>
      </c>
      <c r="M1070" s="39"/>
    </row>
    <row r="1071" spans="1:13" ht="18" customHeight="1" x14ac:dyDescent="0.45">
      <c r="A1071" s="37"/>
      <c r="B1071" s="29"/>
      <c r="C1071" s="29"/>
      <c r="D1071" s="28"/>
      <c r="E1071" s="30" t="str">
        <f>IFERROR(VLOOKUP(D1071,KRX종목마스터!$A:$B,2,FALSE),"")</f>
        <v/>
      </c>
      <c r="F1071" s="42"/>
      <c r="G1071" s="42"/>
      <c r="H1071" s="31" t="str">
        <f t="shared" si="48"/>
        <v/>
      </c>
      <c r="I1071" s="43">
        <f ca="1">IFERROR(SUMPRODUCT((참고!$A$31:$A$130=C1071)*(참고!$B$31:$B$130&lt;=A1071)*(참고!$B$31:$B$130=_xludf.MAXIFS(참고!$B$31:$B$130,참고!$A$31:$A$130,C1071,참고!$B$31:$B$130,"&lt;="&amp;A1071))*참고!$C$31:$C$130)/100,0)</f>
        <v>0</v>
      </c>
      <c r="J1071" s="31" t="str">
        <f t="shared" si="49"/>
        <v/>
      </c>
      <c r="K1071" s="43">
        <f>IF(B1071="매도",IFERROR(SUMPRODUCT((참고!$A$31:$A$130=C1071)*(참고!$B$31:$B$130&lt;=A1071)*(참고!$B$31:$B$130=_xludf.MAXIFS(참고!$B$31:$B$130,참고!$A$31:$A$130,C1071,참고!$B$31:$B$130,"&lt;="&amp;A1071))*참고!$D$31:$D$130)/100,0),0)</f>
        <v>0</v>
      </c>
      <c r="L1071" s="31" t="str">
        <f t="shared" si="50"/>
        <v/>
      </c>
      <c r="M1071" s="39"/>
    </row>
    <row r="1072" spans="1:13" ht="18" customHeight="1" x14ac:dyDescent="0.45">
      <c r="A1072" s="37"/>
      <c r="B1072" s="29"/>
      <c r="C1072" s="29"/>
      <c r="D1072" s="28"/>
      <c r="E1072" s="30" t="str">
        <f>IFERROR(VLOOKUP(D1072,KRX종목마스터!$A:$B,2,FALSE),"")</f>
        <v/>
      </c>
      <c r="F1072" s="42"/>
      <c r="G1072" s="42"/>
      <c r="H1072" s="31" t="str">
        <f t="shared" si="48"/>
        <v/>
      </c>
      <c r="I1072" s="43">
        <f ca="1">IFERROR(SUMPRODUCT((참고!$A$31:$A$130=C1072)*(참고!$B$31:$B$130&lt;=A1072)*(참고!$B$31:$B$130=_xludf.MAXIFS(참고!$B$31:$B$130,참고!$A$31:$A$130,C1072,참고!$B$31:$B$130,"&lt;="&amp;A1072))*참고!$C$31:$C$130)/100,0)</f>
        <v>0</v>
      </c>
      <c r="J1072" s="31" t="str">
        <f t="shared" si="49"/>
        <v/>
      </c>
      <c r="K1072" s="43">
        <f>IF(B1072="매도",IFERROR(SUMPRODUCT((참고!$A$31:$A$130=C1072)*(참고!$B$31:$B$130&lt;=A1072)*(참고!$B$31:$B$130=_xludf.MAXIFS(참고!$B$31:$B$130,참고!$A$31:$A$130,C1072,참고!$B$31:$B$130,"&lt;="&amp;A1072))*참고!$D$31:$D$130)/100,0),0)</f>
        <v>0</v>
      </c>
      <c r="L1072" s="31" t="str">
        <f t="shared" si="50"/>
        <v/>
      </c>
      <c r="M1072" s="39"/>
    </row>
    <row r="1073" spans="1:13" ht="18" customHeight="1" x14ac:dyDescent="0.45">
      <c r="A1073" s="37"/>
      <c r="B1073" s="29"/>
      <c r="C1073" s="29"/>
      <c r="D1073" s="28"/>
      <c r="E1073" s="30" t="str">
        <f>IFERROR(VLOOKUP(D1073,KRX종목마스터!$A:$B,2,FALSE),"")</f>
        <v/>
      </c>
      <c r="F1073" s="42"/>
      <c r="G1073" s="42"/>
      <c r="H1073" s="31" t="str">
        <f t="shared" si="48"/>
        <v/>
      </c>
      <c r="I1073" s="43">
        <f ca="1">IFERROR(SUMPRODUCT((참고!$A$31:$A$130=C1073)*(참고!$B$31:$B$130&lt;=A1073)*(참고!$B$31:$B$130=_xludf.MAXIFS(참고!$B$31:$B$130,참고!$A$31:$A$130,C1073,참고!$B$31:$B$130,"&lt;="&amp;A1073))*참고!$C$31:$C$130)/100,0)</f>
        <v>0</v>
      </c>
      <c r="J1073" s="31" t="str">
        <f t="shared" si="49"/>
        <v/>
      </c>
      <c r="K1073" s="43">
        <f>IF(B1073="매도",IFERROR(SUMPRODUCT((참고!$A$31:$A$130=C1073)*(참고!$B$31:$B$130&lt;=A1073)*(참고!$B$31:$B$130=_xludf.MAXIFS(참고!$B$31:$B$130,참고!$A$31:$A$130,C1073,참고!$B$31:$B$130,"&lt;="&amp;A1073))*참고!$D$31:$D$130)/100,0),0)</f>
        <v>0</v>
      </c>
      <c r="L1073" s="31" t="str">
        <f t="shared" si="50"/>
        <v/>
      </c>
      <c r="M1073" s="39"/>
    </row>
    <row r="1074" spans="1:13" ht="18" customHeight="1" x14ac:dyDescent="0.45">
      <c r="A1074" s="37"/>
      <c r="B1074" s="29"/>
      <c r="C1074" s="29"/>
      <c r="D1074" s="28"/>
      <c r="E1074" s="30" t="str">
        <f>IFERROR(VLOOKUP(D1074,KRX종목마스터!$A:$B,2,FALSE),"")</f>
        <v/>
      </c>
      <c r="F1074" s="42"/>
      <c r="G1074" s="42"/>
      <c r="H1074" s="31" t="str">
        <f t="shared" si="48"/>
        <v/>
      </c>
      <c r="I1074" s="43">
        <f ca="1">IFERROR(SUMPRODUCT((참고!$A$31:$A$130=C1074)*(참고!$B$31:$B$130&lt;=A1074)*(참고!$B$31:$B$130=_xludf.MAXIFS(참고!$B$31:$B$130,참고!$A$31:$A$130,C1074,참고!$B$31:$B$130,"&lt;="&amp;A1074))*참고!$C$31:$C$130)/100,0)</f>
        <v>0</v>
      </c>
      <c r="J1074" s="31" t="str">
        <f t="shared" si="49"/>
        <v/>
      </c>
      <c r="K1074" s="43">
        <f>IF(B1074="매도",IFERROR(SUMPRODUCT((참고!$A$31:$A$130=C1074)*(참고!$B$31:$B$130&lt;=A1074)*(참고!$B$31:$B$130=_xludf.MAXIFS(참고!$B$31:$B$130,참고!$A$31:$A$130,C1074,참고!$B$31:$B$130,"&lt;="&amp;A1074))*참고!$D$31:$D$130)/100,0),0)</f>
        <v>0</v>
      </c>
      <c r="L1074" s="31" t="str">
        <f t="shared" si="50"/>
        <v/>
      </c>
      <c r="M1074" s="39"/>
    </row>
    <row r="1075" spans="1:13" ht="18" customHeight="1" x14ac:dyDescent="0.45">
      <c r="A1075" s="37"/>
      <c r="B1075" s="29"/>
      <c r="C1075" s="29"/>
      <c r="D1075" s="28"/>
      <c r="E1075" s="30" t="str">
        <f>IFERROR(VLOOKUP(D1075,KRX종목마스터!$A:$B,2,FALSE),"")</f>
        <v/>
      </c>
      <c r="F1075" s="42"/>
      <c r="G1075" s="42"/>
      <c r="H1075" s="31" t="str">
        <f t="shared" si="48"/>
        <v/>
      </c>
      <c r="I1075" s="43">
        <f ca="1">IFERROR(SUMPRODUCT((참고!$A$31:$A$130=C1075)*(참고!$B$31:$B$130&lt;=A1075)*(참고!$B$31:$B$130=_xludf.MAXIFS(참고!$B$31:$B$130,참고!$A$31:$A$130,C1075,참고!$B$31:$B$130,"&lt;="&amp;A1075))*참고!$C$31:$C$130)/100,0)</f>
        <v>0</v>
      </c>
      <c r="J1075" s="31" t="str">
        <f t="shared" si="49"/>
        <v/>
      </c>
      <c r="K1075" s="43">
        <f>IF(B1075="매도",IFERROR(SUMPRODUCT((참고!$A$31:$A$130=C1075)*(참고!$B$31:$B$130&lt;=A1075)*(참고!$B$31:$B$130=_xludf.MAXIFS(참고!$B$31:$B$130,참고!$A$31:$A$130,C1075,참고!$B$31:$B$130,"&lt;="&amp;A1075))*참고!$D$31:$D$130)/100,0),0)</f>
        <v>0</v>
      </c>
      <c r="L1075" s="31" t="str">
        <f t="shared" si="50"/>
        <v/>
      </c>
      <c r="M1075" s="39"/>
    </row>
    <row r="1076" spans="1:13" ht="18" customHeight="1" x14ac:dyDescent="0.45">
      <c r="A1076" s="37"/>
      <c r="B1076" s="29"/>
      <c r="C1076" s="29"/>
      <c r="D1076" s="28"/>
      <c r="E1076" s="30" t="str">
        <f>IFERROR(VLOOKUP(D1076,KRX종목마스터!$A:$B,2,FALSE),"")</f>
        <v/>
      </c>
      <c r="F1076" s="42"/>
      <c r="G1076" s="42"/>
      <c r="H1076" s="31" t="str">
        <f t="shared" si="48"/>
        <v/>
      </c>
      <c r="I1076" s="43">
        <f ca="1">IFERROR(SUMPRODUCT((참고!$A$31:$A$130=C1076)*(참고!$B$31:$B$130&lt;=A1076)*(참고!$B$31:$B$130=_xludf.MAXIFS(참고!$B$31:$B$130,참고!$A$31:$A$130,C1076,참고!$B$31:$B$130,"&lt;="&amp;A1076))*참고!$C$31:$C$130)/100,0)</f>
        <v>0</v>
      </c>
      <c r="J1076" s="31" t="str">
        <f t="shared" si="49"/>
        <v/>
      </c>
      <c r="K1076" s="43">
        <f>IF(B1076="매도",IFERROR(SUMPRODUCT((참고!$A$31:$A$130=C1076)*(참고!$B$31:$B$130&lt;=A1076)*(참고!$B$31:$B$130=_xludf.MAXIFS(참고!$B$31:$B$130,참고!$A$31:$A$130,C1076,참고!$B$31:$B$130,"&lt;="&amp;A1076))*참고!$D$31:$D$130)/100,0),0)</f>
        <v>0</v>
      </c>
      <c r="L1076" s="31" t="str">
        <f t="shared" si="50"/>
        <v/>
      </c>
      <c r="M1076" s="39"/>
    </row>
    <row r="1077" spans="1:13" ht="18" customHeight="1" x14ac:dyDescent="0.45">
      <c r="A1077" s="37"/>
      <c r="B1077" s="29"/>
      <c r="C1077" s="29"/>
      <c r="D1077" s="28"/>
      <c r="E1077" s="30" t="str">
        <f>IFERROR(VLOOKUP(D1077,KRX종목마스터!$A:$B,2,FALSE),"")</f>
        <v/>
      </c>
      <c r="F1077" s="42"/>
      <c r="G1077" s="42"/>
      <c r="H1077" s="31" t="str">
        <f t="shared" si="48"/>
        <v/>
      </c>
      <c r="I1077" s="43">
        <f ca="1">IFERROR(SUMPRODUCT((참고!$A$31:$A$130=C1077)*(참고!$B$31:$B$130&lt;=A1077)*(참고!$B$31:$B$130=_xludf.MAXIFS(참고!$B$31:$B$130,참고!$A$31:$A$130,C1077,참고!$B$31:$B$130,"&lt;="&amp;A1077))*참고!$C$31:$C$130)/100,0)</f>
        <v>0</v>
      </c>
      <c r="J1077" s="31" t="str">
        <f t="shared" si="49"/>
        <v/>
      </c>
      <c r="K1077" s="43">
        <f>IF(B1077="매도",IFERROR(SUMPRODUCT((참고!$A$31:$A$130=C1077)*(참고!$B$31:$B$130&lt;=A1077)*(참고!$B$31:$B$130=_xludf.MAXIFS(참고!$B$31:$B$130,참고!$A$31:$A$130,C1077,참고!$B$31:$B$130,"&lt;="&amp;A1077))*참고!$D$31:$D$130)/100,0),0)</f>
        <v>0</v>
      </c>
      <c r="L1077" s="31" t="str">
        <f t="shared" si="50"/>
        <v/>
      </c>
      <c r="M1077" s="39"/>
    </row>
    <row r="1078" spans="1:13" ht="18" customHeight="1" x14ac:dyDescent="0.45">
      <c r="A1078" s="37"/>
      <c r="B1078" s="29"/>
      <c r="C1078" s="29"/>
      <c r="D1078" s="28"/>
      <c r="E1078" s="30" t="str">
        <f>IFERROR(VLOOKUP(D1078,KRX종목마스터!$A:$B,2,FALSE),"")</f>
        <v/>
      </c>
      <c r="F1078" s="42"/>
      <c r="G1078" s="42"/>
      <c r="H1078" s="31" t="str">
        <f t="shared" si="48"/>
        <v/>
      </c>
      <c r="I1078" s="43">
        <f ca="1">IFERROR(SUMPRODUCT((참고!$A$31:$A$130=C1078)*(참고!$B$31:$B$130&lt;=A1078)*(참고!$B$31:$B$130=_xludf.MAXIFS(참고!$B$31:$B$130,참고!$A$31:$A$130,C1078,참고!$B$31:$B$130,"&lt;="&amp;A1078))*참고!$C$31:$C$130)/100,0)</f>
        <v>0</v>
      </c>
      <c r="J1078" s="31" t="str">
        <f t="shared" si="49"/>
        <v/>
      </c>
      <c r="K1078" s="43">
        <f>IF(B1078="매도",IFERROR(SUMPRODUCT((참고!$A$31:$A$130=C1078)*(참고!$B$31:$B$130&lt;=A1078)*(참고!$B$31:$B$130=_xludf.MAXIFS(참고!$B$31:$B$130,참고!$A$31:$A$130,C1078,참고!$B$31:$B$130,"&lt;="&amp;A1078))*참고!$D$31:$D$130)/100,0),0)</f>
        <v>0</v>
      </c>
      <c r="L1078" s="31" t="str">
        <f t="shared" si="50"/>
        <v/>
      </c>
      <c r="M1078" s="39"/>
    </row>
    <row r="1079" spans="1:13" ht="18" customHeight="1" x14ac:dyDescent="0.45">
      <c r="A1079" s="37"/>
      <c r="B1079" s="29"/>
      <c r="C1079" s="29"/>
      <c r="D1079" s="28"/>
      <c r="E1079" s="30" t="str">
        <f>IFERROR(VLOOKUP(D1079,KRX종목마스터!$A:$B,2,FALSE),"")</f>
        <v/>
      </c>
      <c r="F1079" s="42"/>
      <c r="G1079" s="42"/>
      <c r="H1079" s="31" t="str">
        <f t="shared" si="48"/>
        <v/>
      </c>
      <c r="I1079" s="43">
        <f ca="1">IFERROR(SUMPRODUCT((참고!$A$31:$A$130=C1079)*(참고!$B$31:$B$130&lt;=A1079)*(참고!$B$31:$B$130=_xludf.MAXIFS(참고!$B$31:$B$130,참고!$A$31:$A$130,C1079,참고!$B$31:$B$130,"&lt;="&amp;A1079))*참고!$C$31:$C$130)/100,0)</f>
        <v>0</v>
      </c>
      <c r="J1079" s="31" t="str">
        <f t="shared" si="49"/>
        <v/>
      </c>
      <c r="K1079" s="43">
        <f>IF(B1079="매도",IFERROR(SUMPRODUCT((참고!$A$31:$A$130=C1079)*(참고!$B$31:$B$130&lt;=A1079)*(참고!$B$31:$B$130=_xludf.MAXIFS(참고!$B$31:$B$130,참고!$A$31:$A$130,C1079,참고!$B$31:$B$130,"&lt;="&amp;A1079))*참고!$D$31:$D$130)/100,0),0)</f>
        <v>0</v>
      </c>
      <c r="L1079" s="31" t="str">
        <f t="shared" si="50"/>
        <v/>
      </c>
      <c r="M1079" s="39"/>
    </row>
    <row r="1080" spans="1:13" ht="18" customHeight="1" x14ac:dyDescent="0.45">
      <c r="A1080" s="37"/>
      <c r="B1080" s="29"/>
      <c r="C1080" s="29"/>
      <c r="D1080" s="28"/>
      <c r="E1080" s="30" t="str">
        <f>IFERROR(VLOOKUP(D1080,KRX종목마스터!$A:$B,2,FALSE),"")</f>
        <v/>
      </c>
      <c r="F1080" s="42"/>
      <c r="G1080" s="42"/>
      <c r="H1080" s="31" t="str">
        <f t="shared" si="48"/>
        <v/>
      </c>
      <c r="I1080" s="43">
        <f ca="1">IFERROR(SUMPRODUCT((참고!$A$31:$A$130=C1080)*(참고!$B$31:$B$130&lt;=A1080)*(참고!$B$31:$B$130=_xludf.MAXIFS(참고!$B$31:$B$130,참고!$A$31:$A$130,C1080,참고!$B$31:$B$130,"&lt;="&amp;A1080))*참고!$C$31:$C$130)/100,0)</f>
        <v>0</v>
      </c>
      <c r="J1080" s="31" t="str">
        <f t="shared" si="49"/>
        <v/>
      </c>
      <c r="K1080" s="43">
        <f>IF(B1080="매도",IFERROR(SUMPRODUCT((참고!$A$31:$A$130=C1080)*(참고!$B$31:$B$130&lt;=A1080)*(참고!$B$31:$B$130=_xludf.MAXIFS(참고!$B$31:$B$130,참고!$A$31:$A$130,C1080,참고!$B$31:$B$130,"&lt;="&amp;A1080))*참고!$D$31:$D$130)/100,0),0)</f>
        <v>0</v>
      </c>
      <c r="L1080" s="31" t="str">
        <f t="shared" si="50"/>
        <v/>
      </c>
      <c r="M1080" s="39"/>
    </row>
    <row r="1081" spans="1:13" ht="18" customHeight="1" x14ac:dyDescent="0.45">
      <c r="A1081" s="37"/>
      <c r="B1081" s="29"/>
      <c r="C1081" s="29"/>
      <c r="D1081" s="28"/>
      <c r="E1081" s="30" t="str">
        <f>IFERROR(VLOOKUP(D1081,KRX종목마스터!$A:$B,2,FALSE),"")</f>
        <v/>
      </c>
      <c r="F1081" s="42"/>
      <c r="G1081" s="42"/>
      <c r="H1081" s="31" t="str">
        <f t="shared" si="48"/>
        <v/>
      </c>
      <c r="I1081" s="43">
        <f ca="1">IFERROR(SUMPRODUCT((참고!$A$31:$A$130=C1081)*(참고!$B$31:$B$130&lt;=A1081)*(참고!$B$31:$B$130=_xludf.MAXIFS(참고!$B$31:$B$130,참고!$A$31:$A$130,C1081,참고!$B$31:$B$130,"&lt;="&amp;A1081))*참고!$C$31:$C$130)/100,0)</f>
        <v>0</v>
      </c>
      <c r="J1081" s="31" t="str">
        <f t="shared" si="49"/>
        <v/>
      </c>
      <c r="K1081" s="43">
        <f>IF(B1081="매도",IFERROR(SUMPRODUCT((참고!$A$31:$A$130=C1081)*(참고!$B$31:$B$130&lt;=A1081)*(참고!$B$31:$B$130=_xludf.MAXIFS(참고!$B$31:$B$130,참고!$A$31:$A$130,C1081,참고!$B$31:$B$130,"&lt;="&amp;A1081))*참고!$D$31:$D$130)/100,0),0)</f>
        <v>0</v>
      </c>
      <c r="L1081" s="31" t="str">
        <f t="shared" si="50"/>
        <v/>
      </c>
      <c r="M1081" s="39"/>
    </row>
    <row r="1082" spans="1:13" ht="18" customHeight="1" x14ac:dyDescent="0.45">
      <c r="A1082" s="37"/>
      <c r="B1082" s="29"/>
      <c r="C1082" s="29"/>
      <c r="D1082" s="28"/>
      <c r="E1082" s="30" t="str">
        <f>IFERROR(VLOOKUP(D1082,KRX종목마스터!$A:$B,2,FALSE),"")</f>
        <v/>
      </c>
      <c r="F1082" s="42"/>
      <c r="G1082" s="42"/>
      <c r="H1082" s="31" t="str">
        <f t="shared" si="48"/>
        <v/>
      </c>
      <c r="I1082" s="43">
        <f ca="1">IFERROR(SUMPRODUCT((참고!$A$31:$A$130=C1082)*(참고!$B$31:$B$130&lt;=A1082)*(참고!$B$31:$B$130=_xludf.MAXIFS(참고!$B$31:$B$130,참고!$A$31:$A$130,C1082,참고!$B$31:$B$130,"&lt;="&amp;A1082))*참고!$C$31:$C$130)/100,0)</f>
        <v>0</v>
      </c>
      <c r="J1082" s="31" t="str">
        <f t="shared" si="49"/>
        <v/>
      </c>
      <c r="K1082" s="43">
        <f>IF(B1082="매도",IFERROR(SUMPRODUCT((참고!$A$31:$A$130=C1082)*(참고!$B$31:$B$130&lt;=A1082)*(참고!$B$31:$B$130=_xludf.MAXIFS(참고!$B$31:$B$130,참고!$A$31:$A$130,C1082,참고!$B$31:$B$130,"&lt;="&amp;A1082))*참고!$D$31:$D$130)/100,0),0)</f>
        <v>0</v>
      </c>
      <c r="L1082" s="31" t="str">
        <f t="shared" si="50"/>
        <v/>
      </c>
      <c r="M1082" s="39"/>
    </row>
    <row r="1083" spans="1:13" ht="18" customHeight="1" x14ac:dyDescent="0.45">
      <c r="A1083" s="37"/>
      <c r="B1083" s="29"/>
      <c r="C1083" s="29"/>
      <c r="D1083" s="28"/>
      <c r="E1083" s="30" t="str">
        <f>IFERROR(VLOOKUP(D1083,KRX종목마스터!$A:$B,2,FALSE),"")</f>
        <v/>
      </c>
      <c r="F1083" s="42"/>
      <c r="G1083" s="42"/>
      <c r="H1083" s="31" t="str">
        <f t="shared" si="48"/>
        <v/>
      </c>
      <c r="I1083" s="43">
        <f ca="1">IFERROR(SUMPRODUCT((참고!$A$31:$A$130=C1083)*(참고!$B$31:$B$130&lt;=A1083)*(참고!$B$31:$B$130=_xludf.MAXIFS(참고!$B$31:$B$130,참고!$A$31:$A$130,C1083,참고!$B$31:$B$130,"&lt;="&amp;A1083))*참고!$C$31:$C$130)/100,0)</f>
        <v>0</v>
      </c>
      <c r="J1083" s="31" t="str">
        <f t="shared" si="49"/>
        <v/>
      </c>
      <c r="K1083" s="43">
        <f>IF(B1083="매도",IFERROR(SUMPRODUCT((참고!$A$31:$A$130=C1083)*(참고!$B$31:$B$130&lt;=A1083)*(참고!$B$31:$B$130=_xludf.MAXIFS(참고!$B$31:$B$130,참고!$A$31:$A$130,C1083,참고!$B$31:$B$130,"&lt;="&amp;A1083))*참고!$D$31:$D$130)/100,0),0)</f>
        <v>0</v>
      </c>
      <c r="L1083" s="31" t="str">
        <f t="shared" si="50"/>
        <v/>
      </c>
      <c r="M1083" s="39"/>
    </row>
    <row r="1084" spans="1:13" ht="18" customHeight="1" x14ac:dyDescent="0.45">
      <c r="A1084" s="37"/>
      <c r="B1084" s="29"/>
      <c r="C1084" s="29"/>
      <c r="D1084" s="28"/>
      <c r="E1084" s="30" t="str">
        <f>IFERROR(VLOOKUP(D1084,KRX종목마스터!$A:$B,2,FALSE),"")</f>
        <v/>
      </c>
      <c r="F1084" s="42"/>
      <c r="G1084" s="42"/>
      <c r="H1084" s="31" t="str">
        <f t="shared" si="48"/>
        <v/>
      </c>
      <c r="I1084" s="43">
        <f ca="1">IFERROR(SUMPRODUCT((참고!$A$31:$A$130=C1084)*(참고!$B$31:$B$130&lt;=A1084)*(참고!$B$31:$B$130=_xludf.MAXIFS(참고!$B$31:$B$130,참고!$A$31:$A$130,C1084,참고!$B$31:$B$130,"&lt;="&amp;A1084))*참고!$C$31:$C$130)/100,0)</f>
        <v>0</v>
      </c>
      <c r="J1084" s="31" t="str">
        <f t="shared" si="49"/>
        <v/>
      </c>
      <c r="K1084" s="43">
        <f>IF(B1084="매도",IFERROR(SUMPRODUCT((참고!$A$31:$A$130=C1084)*(참고!$B$31:$B$130&lt;=A1084)*(참고!$B$31:$B$130=_xludf.MAXIFS(참고!$B$31:$B$130,참고!$A$31:$A$130,C1084,참고!$B$31:$B$130,"&lt;="&amp;A1084))*참고!$D$31:$D$130)/100,0),0)</f>
        <v>0</v>
      </c>
      <c r="L1084" s="31" t="str">
        <f t="shared" si="50"/>
        <v/>
      </c>
      <c r="M1084" s="39"/>
    </row>
    <row r="1085" spans="1:13" ht="18" customHeight="1" x14ac:dyDescent="0.45">
      <c r="A1085" s="37"/>
      <c r="B1085" s="29"/>
      <c r="C1085" s="29"/>
      <c r="D1085" s="28"/>
      <c r="E1085" s="30" t="str">
        <f>IFERROR(VLOOKUP(D1085,KRX종목마스터!$A:$B,2,FALSE),"")</f>
        <v/>
      </c>
      <c r="F1085" s="42"/>
      <c r="G1085" s="42"/>
      <c r="H1085" s="31" t="str">
        <f t="shared" si="48"/>
        <v/>
      </c>
      <c r="I1085" s="43">
        <f ca="1">IFERROR(SUMPRODUCT((참고!$A$31:$A$130=C1085)*(참고!$B$31:$B$130&lt;=A1085)*(참고!$B$31:$B$130=_xludf.MAXIFS(참고!$B$31:$B$130,참고!$A$31:$A$130,C1085,참고!$B$31:$B$130,"&lt;="&amp;A1085))*참고!$C$31:$C$130)/100,0)</f>
        <v>0</v>
      </c>
      <c r="J1085" s="31" t="str">
        <f t="shared" si="49"/>
        <v/>
      </c>
      <c r="K1085" s="43">
        <f>IF(B1085="매도",IFERROR(SUMPRODUCT((참고!$A$31:$A$130=C1085)*(참고!$B$31:$B$130&lt;=A1085)*(참고!$B$31:$B$130=_xludf.MAXIFS(참고!$B$31:$B$130,참고!$A$31:$A$130,C1085,참고!$B$31:$B$130,"&lt;="&amp;A1085))*참고!$D$31:$D$130)/100,0),0)</f>
        <v>0</v>
      </c>
      <c r="L1085" s="31" t="str">
        <f t="shared" si="50"/>
        <v/>
      </c>
      <c r="M1085" s="39"/>
    </row>
    <row r="1086" spans="1:13" ht="18" customHeight="1" x14ac:dyDescent="0.45">
      <c r="A1086" s="37"/>
      <c r="B1086" s="29"/>
      <c r="C1086" s="29"/>
      <c r="D1086" s="28"/>
      <c r="E1086" s="30" t="str">
        <f>IFERROR(VLOOKUP(D1086,KRX종목마스터!$A:$B,2,FALSE),"")</f>
        <v/>
      </c>
      <c r="F1086" s="42"/>
      <c r="G1086" s="42"/>
      <c r="H1086" s="31" t="str">
        <f t="shared" si="48"/>
        <v/>
      </c>
      <c r="I1086" s="43">
        <f ca="1">IFERROR(SUMPRODUCT((참고!$A$31:$A$130=C1086)*(참고!$B$31:$B$130&lt;=A1086)*(참고!$B$31:$B$130=_xludf.MAXIFS(참고!$B$31:$B$130,참고!$A$31:$A$130,C1086,참고!$B$31:$B$130,"&lt;="&amp;A1086))*참고!$C$31:$C$130)/100,0)</f>
        <v>0</v>
      </c>
      <c r="J1086" s="31" t="str">
        <f t="shared" si="49"/>
        <v/>
      </c>
      <c r="K1086" s="43">
        <f>IF(B1086="매도",IFERROR(SUMPRODUCT((참고!$A$31:$A$130=C1086)*(참고!$B$31:$B$130&lt;=A1086)*(참고!$B$31:$B$130=_xludf.MAXIFS(참고!$B$31:$B$130,참고!$A$31:$A$130,C1086,참고!$B$31:$B$130,"&lt;="&amp;A1086))*참고!$D$31:$D$130)/100,0),0)</f>
        <v>0</v>
      </c>
      <c r="L1086" s="31" t="str">
        <f t="shared" si="50"/>
        <v/>
      </c>
      <c r="M1086" s="39"/>
    </row>
    <row r="1087" spans="1:13" ht="18" customHeight="1" x14ac:dyDescent="0.45">
      <c r="A1087" s="37"/>
      <c r="B1087" s="29"/>
      <c r="C1087" s="29"/>
      <c r="D1087" s="28"/>
      <c r="E1087" s="30" t="str">
        <f>IFERROR(VLOOKUP(D1087,KRX종목마스터!$A:$B,2,FALSE),"")</f>
        <v/>
      </c>
      <c r="F1087" s="42"/>
      <c r="G1087" s="42"/>
      <c r="H1087" s="31" t="str">
        <f t="shared" si="48"/>
        <v/>
      </c>
      <c r="I1087" s="43">
        <f ca="1">IFERROR(SUMPRODUCT((참고!$A$31:$A$130=C1087)*(참고!$B$31:$B$130&lt;=A1087)*(참고!$B$31:$B$130=_xludf.MAXIFS(참고!$B$31:$B$130,참고!$A$31:$A$130,C1087,참고!$B$31:$B$130,"&lt;="&amp;A1087))*참고!$C$31:$C$130)/100,0)</f>
        <v>0</v>
      </c>
      <c r="J1087" s="31" t="str">
        <f t="shared" si="49"/>
        <v/>
      </c>
      <c r="K1087" s="43">
        <f>IF(B1087="매도",IFERROR(SUMPRODUCT((참고!$A$31:$A$130=C1087)*(참고!$B$31:$B$130&lt;=A1087)*(참고!$B$31:$B$130=_xludf.MAXIFS(참고!$B$31:$B$130,참고!$A$31:$A$130,C1087,참고!$B$31:$B$130,"&lt;="&amp;A1087))*참고!$D$31:$D$130)/100,0),0)</f>
        <v>0</v>
      </c>
      <c r="L1087" s="31" t="str">
        <f t="shared" si="50"/>
        <v/>
      </c>
      <c r="M1087" s="39"/>
    </row>
    <row r="1088" spans="1:13" ht="18" customHeight="1" x14ac:dyDescent="0.45">
      <c r="A1088" s="37"/>
      <c r="B1088" s="29"/>
      <c r="C1088" s="29"/>
      <c r="D1088" s="28"/>
      <c r="E1088" s="30" t="str">
        <f>IFERROR(VLOOKUP(D1088,KRX종목마스터!$A:$B,2,FALSE),"")</f>
        <v/>
      </c>
      <c r="F1088" s="42"/>
      <c r="G1088" s="42"/>
      <c r="H1088" s="31" t="str">
        <f t="shared" si="48"/>
        <v/>
      </c>
      <c r="I1088" s="43">
        <f ca="1">IFERROR(SUMPRODUCT((참고!$A$31:$A$130=C1088)*(참고!$B$31:$B$130&lt;=A1088)*(참고!$B$31:$B$130=_xludf.MAXIFS(참고!$B$31:$B$130,참고!$A$31:$A$130,C1088,참고!$B$31:$B$130,"&lt;="&amp;A1088))*참고!$C$31:$C$130)/100,0)</f>
        <v>0</v>
      </c>
      <c r="J1088" s="31" t="str">
        <f t="shared" si="49"/>
        <v/>
      </c>
      <c r="K1088" s="43">
        <f>IF(B1088="매도",IFERROR(SUMPRODUCT((참고!$A$31:$A$130=C1088)*(참고!$B$31:$B$130&lt;=A1088)*(참고!$B$31:$B$130=_xludf.MAXIFS(참고!$B$31:$B$130,참고!$A$31:$A$130,C1088,참고!$B$31:$B$130,"&lt;="&amp;A1088))*참고!$D$31:$D$130)/100,0),0)</f>
        <v>0</v>
      </c>
      <c r="L1088" s="31" t="str">
        <f t="shared" si="50"/>
        <v/>
      </c>
      <c r="M1088" s="39"/>
    </row>
    <row r="1089" spans="1:13" ht="18" customHeight="1" x14ac:dyDescent="0.45">
      <c r="A1089" s="37"/>
      <c r="B1089" s="29"/>
      <c r="C1089" s="29"/>
      <c r="D1089" s="28"/>
      <c r="E1089" s="30" t="str">
        <f>IFERROR(VLOOKUP(D1089,KRX종목마스터!$A:$B,2,FALSE),"")</f>
        <v/>
      </c>
      <c r="F1089" s="42"/>
      <c r="G1089" s="42"/>
      <c r="H1089" s="31" t="str">
        <f t="shared" si="48"/>
        <v/>
      </c>
      <c r="I1089" s="43">
        <f ca="1">IFERROR(SUMPRODUCT((참고!$A$31:$A$130=C1089)*(참고!$B$31:$B$130&lt;=A1089)*(참고!$B$31:$B$130=_xludf.MAXIFS(참고!$B$31:$B$130,참고!$A$31:$A$130,C1089,참고!$B$31:$B$130,"&lt;="&amp;A1089))*참고!$C$31:$C$130)/100,0)</f>
        <v>0</v>
      </c>
      <c r="J1089" s="31" t="str">
        <f t="shared" si="49"/>
        <v/>
      </c>
      <c r="K1089" s="43">
        <f>IF(B1089="매도",IFERROR(SUMPRODUCT((참고!$A$31:$A$130=C1089)*(참고!$B$31:$B$130&lt;=A1089)*(참고!$B$31:$B$130=_xludf.MAXIFS(참고!$B$31:$B$130,참고!$A$31:$A$130,C1089,참고!$B$31:$B$130,"&lt;="&amp;A1089))*참고!$D$31:$D$130)/100,0),0)</f>
        <v>0</v>
      </c>
      <c r="L1089" s="31" t="str">
        <f t="shared" si="50"/>
        <v/>
      </c>
      <c r="M1089" s="39"/>
    </row>
    <row r="1090" spans="1:13" ht="18" customHeight="1" x14ac:dyDescent="0.45">
      <c r="A1090" s="37"/>
      <c r="B1090" s="29"/>
      <c r="C1090" s="29"/>
      <c r="D1090" s="28"/>
      <c r="E1090" s="30" t="str">
        <f>IFERROR(VLOOKUP(D1090,KRX종목마스터!$A:$B,2,FALSE),"")</f>
        <v/>
      </c>
      <c r="F1090" s="42"/>
      <c r="G1090" s="42"/>
      <c r="H1090" s="31" t="str">
        <f t="shared" si="48"/>
        <v/>
      </c>
      <c r="I1090" s="43">
        <f ca="1">IFERROR(SUMPRODUCT((참고!$A$31:$A$130=C1090)*(참고!$B$31:$B$130&lt;=A1090)*(참고!$B$31:$B$130=_xludf.MAXIFS(참고!$B$31:$B$130,참고!$A$31:$A$130,C1090,참고!$B$31:$B$130,"&lt;="&amp;A1090))*참고!$C$31:$C$130)/100,0)</f>
        <v>0</v>
      </c>
      <c r="J1090" s="31" t="str">
        <f t="shared" si="49"/>
        <v/>
      </c>
      <c r="K1090" s="43">
        <f>IF(B1090="매도",IFERROR(SUMPRODUCT((참고!$A$31:$A$130=C1090)*(참고!$B$31:$B$130&lt;=A1090)*(참고!$B$31:$B$130=_xludf.MAXIFS(참고!$B$31:$B$130,참고!$A$31:$A$130,C1090,참고!$B$31:$B$130,"&lt;="&amp;A1090))*참고!$D$31:$D$130)/100,0),0)</f>
        <v>0</v>
      </c>
      <c r="L1090" s="31" t="str">
        <f t="shared" si="50"/>
        <v/>
      </c>
      <c r="M1090" s="39"/>
    </row>
    <row r="1091" spans="1:13" ht="18" customHeight="1" x14ac:dyDescent="0.45">
      <c r="A1091" s="37"/>
      <c r="B1091" s="29"/>
      <c r="C1091" s="29"/>
      <c r="D1091" s="28"/>
      <c r="E1091" s="30" t="str">
        <f>IFERROR(VLOOKUP(D1091,KRX종목마스터!$A:$B,2,FALSE),"")</f>
        <v/>
      </c>
      <c r="F1091" s="42"/>
      <c r="G1091" s="42"/>
      <c r="H1091" s="31" t="str">
        <f t="shared" si="48"/>
        <v/>
      </c>
      <c r="I1091" s="43">
        <f ca="1">IFERROR(SUMPRODUCT((참고!$A$31:$A$130=C1091)*(참고!$B$31:$B$130&lt;=A1091)*(참고!$B$31:$B$130=_xludf.MAXIFS(참고!$B$31:$B$130,참고!$A$31:$A$130,C1091,참고!$B$31:$B$130,"&lt;="&amp;A1091))*참고!$C$31:$C$130)/100,0)</f>
        <v>0</v>
      </c>
      <c r="J1091" s="31" t="str">
        <f t="shared" si="49"/>
        <v/>
      </c>
      <c r="K1091" s="43">
        <f>IF(B1091="매도",IFERROR(SUMPRODUCT((참고!$A$31:$A$130=C1091)*(참고!$B$31:$B$130&lt;=A1091)*(참고!$B$31:$B$130=_xludf.MAXIFS(참고!$B$31:$B$130,참고!$A$31:$A$130,C1091,참고!$B$31:$B$130,"&lt;="&amp;A1091))*참고!$D$31:$D$130)/100,0),0)</f>
        <v>0</v>
      </c>
      <c r="L1091" s="31" t="str">
        <f t="shared" si="50"/>
        <v/>
      </c>
      <c r="M1091" s="39"/>
    </row>
    <row r="1092" spans="1:13" ht="18" customHeight="1" x14ac:dyDescent="0.45">
      <c r="A1092" s="37"/>
      <c r="B1092" s="29"/>
      <c r="C1092" s="29"/>
      <c r="D1092" s="28"/>
      <c r="E1092" s="30" t="str">
        <f>IFERROR(VLOOKUP(D1092,KRX종목마스터!$A:$B,2,FALSE),"")</f>
        <v/>
      </c>
      <c r="F1092" s="42"/>
      <c r="G1092" s="42"/>
      <c r="H1092" s="31" t="str">
        <f t="shared" si="48"/>
        <v/>
      </c>
      <c r="I1092" s="43">
        <f ca="1">IFERROR(SUMPRODUCT((참고!$A$31:$A$130=C1092)*(참고!$B$31:$B$130&lt;=A1092)*(참고!$B$31:$B$130=_xludf.MAXIFS(참고!$B$31:$B$130,참고!$A$31:$A$130,C1092,참고!$B$31:$B$130,"&lt;="&amp;A1092))*참고!$C$31:$C$130)/100,0)</f>
        <v>0</v>
      </c>
      <c r="J1092" s="31" t="str">
        <f t="shared" si="49"/>
        <v/>
      </c>
      <c r="K1092" s="43">
        <f>IF(B1092="매도",IFERROR(SUMPRODUCT((참고!$A$31:$A$130=C1092)*(참고!$B$31:$B$130&lt;=A1092)*(참고!$B$31:$B$130=_xludf.MAXIFS(참고!$B$31:$B$130,참고!$A$31:$A$130,C1092,참고!$B$31:$B$130,"&lt;="&amp;A1092))*참고!$D$31:$D$130)/100,0),0)</f>
        <v>0</v>
      </c>
      <c r="L1092" s="31" t="str">
        <f t="shared" si="50"/>
        <v/>
      </c>
      <c r="M1092" s="39"/>
    </row>
    <row r="1093" spans="1:13" ht="18" customHeight="1" x14ac:dyDescent="0.45">
      <c r="A1093" s="37"/>
      <c r="B1093" s="29"/>
      <c r="C1093" s="29"/>
      <c r="D1093" s="28"/>
      <c r="E1093" s="30" t="str">
        <f>IFERROR(VLOOKUP(D1093,KRX종목마스터!$A:$B,2,FALSE),"")</f>
        <v/>
      </c>
      <c r="F1093" s="42"/>
      <c r="G1093" s="42"/>
      <c r="H1093" s="31" t="str">
        <f t="shared" ref="H1093:H1156" si="51">IF(AND(F1093&lt;&gt;"",G1093&lt;&gt;""),F1093*G1093,"")</f>
        <v/>
      </c>
      <c r="I1093" s="43">
        <f ca="1">IFERROR(SUMPRODUCT((참고!$A$31:$A$130=C1093)*(참고!$B$31:$B$130&lt;=A1093)*(참고!$B$31:$B$130=_xludf.MAXIFS(참고!$B$31:$B$130,참고!$A$31:$A$130,C1093,참고!$B$31:$B$130,"&lt;="&amp;A1093))*참고!$C$31:$C$130)/100,0)</f>
        <v>0</v>
      </c>
      <c r="J1093" s="31" t="str">
        <f t="shared" ref="J1093:J1156" si="52">IF(H1093="","",ROUND(H1093*I1093,0))</f>
        <v/>
      </c>
      <c r="K1093" s="43">
        <f>IF(B1093="매도",IFERROR(SUMPRODUCT((참고!$A$31:$A$130=C1093)*(참고!$B$31:$B$130&lt;=A1093)*(참고!$B$31:$B$130=_xludf.MAXIFS(참고!$B$31:$B$130,참고!$A$31:$A$130,C1093,참고!$B$31:$B$130,"&lt;="&amp;A1093))*참고!$D$31:$D$130)/100,0),0)</f>
        <v>0</v>
      </c>
      <c r="L1093" s="31" t="str">
        <f t="shared" ref="L1093:L1156" si="53">IF(H1093="","",ROUND(H1093*K1093,0))</f>
        <v/>
      </c>
      <c r="M1093" s="39"/>
    </row>
    <row r="1094" spans="1:13" ht="18" customHeight="1" x14ac:dyDescent="0.45">
      <c r="A1094" s="37"/>
      <c r="B1094" s="29"/>
      <c r="C1094" s="29"/>
      <c r="D1094" s="28"/>
      <c r="E1094" s="30" t="str">
        <f>IFERROR(VLOOKUP(D1094,KRX종목마스터!$A:$B,2,FALSE),"")</f>
        <v/>
      </c>
      <c r="F1094" s="42"/>
      <c r="G1094" s="42"/>
      <c r="H1094" s="31" t="str">
        <f t="shared" si="51"/>
        <v/>
      </c>
      <c r="I1094" s="43">
        <f ca="1">IFERROR(SUMPRODUCT((참고!$A$31:$A$130=C1094)*(참고!$B$31:$B$130&lt;=A1094)*(참고!$B$31:$B$130=_xludf.MAXIFS(참고!$B$31:$B$130,참고!$A$31:$A$130,C1094,참고!$B$31:$B$130,"&lt;="&amp;A1094))*참고!$C$31:$C$130)/100,0)</f>
        <v>0</v>
      </c>
      <c r="J1094" s="31" t="str">
        <f t="shared" si="52"/>
        <v/>
      </c>
      <c r="K1094" s="43">
        <f>IF(B1094="매도",IFERROR(SUMPRODUCT((참고!$A$31:$A$130=C1094)*(참고!$B$31:$B$130&lt;=A1094)*(참고!$B$31:$B$130=_xludf.MAXIFS(참고!$B$31:$B$130,참고!$A$31:$A$130,C1094,참고!$B$31:$B$130,"&lt;="&amp;A1094))*참고!$D$31:$D$130)/100,0),0)</f>
        <v>0</v>
      </c>
      <c r="L1094" s="31" t="str">
        <f t="shared" si="53"/>
        <v/>
      </c>
      <c r="M1094" s="39"/>
    </row>
    <row r="1095" spans="1:13" ht="18" customHeight="1" x14ac:dyDescent="0.45">
      <c r="A1095" s="37"/>
      <c r="B1095" s="29"/>
      <c r="C1095" s="29"/>
      <c r="D1095" s="28"/>
      <c r="E1095" s="30" t="str">
        <f>IFERROR(VLOOKUP(D1095,KRX종목마스터!$A:$B,2,FALSE),"")</f>
        <v/>
      </c>
      <c r="F1095" s="42"/>
      <c r="G1095" s="42"/>
      <c r="H1095" s="31" t="str">
        <f t="shared" si="51"/>
        <v/>
      </c>
      <c r="I1095" s="43">
        <f ca="1">IFERROR(SUMPRODUCT((참고!$A$31:$A$130=C1095)*(참고!$B$31:$B$130&lt;=A1095)*(참고!$B$31:$B$130=_xludf.MAXIFS(참고!$B$31:$B$130,참고!$A$31:$A$130,C1095,참고!$B$31:$B$130,"&lt;="&amp;A1095))*참고!$C$31:$C$130)/100,0)</f>
        <v>0</v>
      </c>
      <c r="J1095" s="31" t="str">
        <f t="shared" si="52"/>
        <v/>
      </c>
      <c r="K1095" s="43">
        <f>IF(B1095="매도",IFERROR(SUMPRODUCT((참고!$A$31:$A$130=C1095)*(참고!$B$31:$B$130&lt;=A1095)*(참고!$B$31:$B$130=_xludf.MAXIFS(참고!$B$31:$B$130,참고!$A$31:$A$130,C1095,참고!$B$31:$B$130,"&lt;="&amp;A1095))*참고!$D$31:$D$130)/100,0),0)</f>
        <v>0</v>
      </c>
      <c r="L1095" s="31" t="str">
        <f t="shared" si="53"/>
        <v/>
      </c>
      <c r="M1095" s="39"/>
    </row>
    <row r="1096" spans="1:13" ht="18" customHeight="1" x14ac:dyDescent="0.45">
      <c r="A1096" s="37"/>
      <c r="B1096" s="29"/>
      <c r="C1096" s="29"/>
      <c r="D1096" s="28"/>
      <c r="E1096" s="30" t="str">
        <f>IFERROR(VLOOKUP(D1096,KRX종목마스터!$A:$B,2,FALSE),"")</f>
        <v/>
      </c>
      <c r="F1096" s="42"/>
      <c r="G1096" s="42"/>
      <c r="H1096" s="31" t="str">
        <f t="shared" si="51"/>
        <v/>
      </c>
      <c r="I1096" s="43">
        <f ca="1">IFERROR(SUMPRODUCT((참고!$A$31:$A$130=C1096)*(참고!$B$31:$B$130&lt;=A1096)*(참고!$B$31:$B$130=_xludf.MAXIFS(참고!$B$31:$B$130,참고!$A$31:$A$130,C1096,참고!$B$31:$B$130,"&lt;="&amp;A1096))*참고!$C$31:$C$130)/100,0)</f>
        <v>0</v>
      </c>
      <c r="J1096" s="31" t="str">
        <f t="shared" si="52"/>
        <v/>
      </c>
      <c r="K1096" s="43">
        <f>IF(B1096="매도",IFERROR(SUMPRODUCT((참고!$A$31:$A$130=C1096)*(참고!$B$31:$B$130&lt;=A1096)*(참고!$B$31:$B$130=_xludf.MAXIFS(참고!$B$31:$B$130,참고!$A$31:$A$130,C1096,참고!$B$31:$B$130,"&lt;="&amp;A1096))*참고!$D$31:$D$130)/100,0),0)</f>
        <v>0</v>
      </c>
      <c r="L1096" s="31" t="str">
        <f t="shared" si="53"/>
        <v/>
      </c>
      <c r="M1096" s="39"/>
    </row>
    <row r="1097" spans="1:13" ht="18" customHeight="1" x14ac:dyDescent="0.45">
      <c r="A1097" s="37"/>
      <c r="B1097" s="29"/>
      <c r="C1097" s="29"/>
      <c r="D1097" s="28"/>
      <c r="E1097" s="30" t="str">
        <f>IFERROR(VLOOKUP(D1097,KRX종목마스터!$A:$B,2,FALSE),"")</f>
        <v/>
      </c>
      <c r="F1097" s="42"/>
      <c r="G1097" s="42"/>
      <c r="H1097" s="31" t="str">
        <f t="shared" si="51"/>
        <v/>
      </c>
      <c r="I1097" s="43">
        <f ca="1">IFERROR(SUMPRODUCT((참고!$A$31:$A$130=C1097)*(참고!$B$31:$B$130&lt;=A1097)*(참고!$B$31:$B$130=_xludf.MAXIFS(참고!$B$31:$B$130,참고!$A$31:$A$130,C1097,참고!$B$31:$B$130,"&lt;="&amp;A1097))*참고!$C$31:$C$130)/100,0)</f>
        <v>0</v>
      </c>
      <c r="J1097" s="31" t="str">
        <f t="shared" si="52"/>
        <v/>
      </c>
      <c r="K1097" s="43">
        <f>IF(B1097="매도",IFERROR(SUMPRODUCT((참고!$A$31:$A$130=C1097)*(참고!$B$31:$B$130&lt;=A1097)*(참고!$B$31:$B$130=_xludf.MAXIFS(참고!$B$31:$B$130,참고!$A$31:$A$130,C1097,참고!$B$31:$B$130,"&lt;="&amp;A1097))*참고!$D$31:$D$130)/100,0),0)</f>
        <v>0</v>
      </c>
      <c r="L1097" s="31" t="str">
        <f t="shared" si="53"/>
        <v/>
      </c>
      <c r="M1097" s="39"/>
    </row>
    <row r="1098" spans="1:13" ht="18" customHeight="1" x14ac:dyDescent="0.45">
      <c r="A1098" s="37"/>
      <c r="B1098" s="29"/>
      <c r="C1098" s="29"/>
      <c r="D1098" s="28"/>
      <c r="E1098" s="30" t="str">
        <f>IFERROR(VLOOKUP(D1098,KRX종목마스터!$A:$B,2,FALSE),"")</f>
        <v/>
      </c>
      <c r="F1098" s="42"/>
      <c r="G1098" s="42"/>
      <c r="H1098" s="31" t="str">
        <f t="shared" si="51"/>
        <v/>
      </c>
      <c r="I1098" s="43">
        <f ca="1">IFERROR(SUMPRODUCT((참고!$A$31:$A$130=C1098)*(참고!$B$31:$B$130&lt;=A1098)*(참고!$B$31:$B$130=_xludf.MAXIFS(참고!$B$31:$B$130,참고!$A$31:$A$130,C1098,참고!$B$31:$B$130,"&lt;="&amp;A1098))*참고!$C$31:$C$130)/100,0)</f>
        <v>0</v>
      </c>
      <c r="J1098" s="31" t="str">
        <f t="shared" si="52"/>
        <v/>
      </c>
      <c r="K1098" s="43">
        <f>IF(B1098="매도",IFERROR(SUMPRODUCT((참고!$A$31:$A$130=C1098)*(참고!$B$31:$B$130&lt;=A1098)*(참고!$B$31:$B$130=_xludf.MAXIFS(참고!$B$31:$B$130,참고!$A$31:$A$130,C1098,참고!$B$31:$B$130,"&lt;="&amp;A1098))*참고!$D$31:$D$130)/100,0),0)</f>
        <v>0</v>
      </c>
      <c r="L1098" s="31" t="str">
        <f t="shared" si="53"/>
        <v/>
      </c>
      <c r="M1098" s="39"/>
    </row>
    <row r="1099" spans="1:13" ht="18" customHeight="1" x14ac:dyDescent="0.45">
      <c r="A1099" s="37"/>
      <c r="B1099" s="29"/>
      <c r="C1099" s="29"/>
      <c r="D1099" s="28"/>
      <c r="E1099" s="30" t="str">
        <f>IFERROR(VLOOKUP(D1099,KRX종목마스터!$A:$B,2,FALSE),"")</f>
        <v/>
      </c>
      <c r="F1099" s="42"/>
      <c r="G1099" s="42"/>
      <c r="H1099" s="31" t="str">
        <f t="shared" si="51"/>
        <v/>
      </c>
      <c r="I1099" s="43">
        <f ca="1">IFERROR(SUMPRODUCT((참고!$A$31:$A$130=C1099)*(참고!$B$31:$B$130&lt;=A1099)*(참고!$B$31:$B$130=_xludf.MAXIFS(참고!$B$31:$B$130,참고!$A$31:$A$130,C1099,참고!$B$31:$B$130,"&lt;="&amp;A1099))*참고!$C$31:$C$130)/100,0)</f>
        <v>0</v>
      </c>
      <c r="J1099" s="31" t="str">
        <f t="shared" si="52"/>
        <v/>
      </c>
      <c r="K1099" s="43">
        <f>IF(B1099="매도",IFERROR(SUMPRODUCT((참고!$A$31:$A$130=C1099)*(참고!$B$31:$B$130&lt;=A1099)*(참고!$B$31:$B$130=_xludf.MAXIFS(참고!$B$31:$B$130,참고!$A$31:$A$130,C1099,참고!$B$31:$B$130,"&lt;="&amp;A1099))*참고!$D$31:$D$130)/100,0),0)</f>
        <v>0</v>
      </c>
      <c r="L1099" s="31" t="str">
        <f t="shared" si="53"/>
        <v/>
      </c>
      <c r="M1099" s="39"/>
    </row>
    <row r="1100" spans="1:13" ht="18" customHeight="1" x14ac:dyDescent="0.45">
      <c r="A1100" s="37"/>
      <c r="B1100" s="29"/>
      <c r="C1100" s="29"/>
      <c r="D1100" s="28"/>
      <c r="E1100" s="30" t="str">
        <f>IFERROR(VLOOKUP(D1100,KRX종목마스터!$A:$B,2,FALSE),"")</f>
        <v/>
      </c>
      <c r="F1100" s="42"/>
      <c r="G1100" s="42"/>
      <c r="H1100" s="31" t="str">
        <f t="shared" si="51"/>
        <v/>
      </c>
      <c r="I1100" s="43">
        <f ca="1">IFERROR(SUMPRODUCT((참고!$A$31:$A$130=C1100)*(참고!$B$31:$B$130&lt;=A1100)*(참고!$B$31:$B$130=_xludf.MAXIFS(참고!$B$31:$B$130,참고!$A$31:$A$130,C1100,참고!$B$31:$B$130,"&lt;="&amp;A1100))*참고!$C$31:$C$130)/100,0)</f>
        <v>0</v>
      </c>
      <c r="J1100" s="31" t="str">
        <f t="shared" si="52"/>
        <v/>
      </c>
      <c r="K1100" s="43">
        <f>IF(B1100="매도",IFERROR(SUMPRODUCT((참고!$A$31:$A$130=C1100)*(참고!$B$31:$B$130&lt;=A1100)*(참고!$B$31:$B$130=_xludf.MAXIFS(참고!$B$31:$B$130,참고!$A$31:$A$130,C1100,참고!$B$31:$B$130,"&lt;="&amp;A1100))*참고!$D$31:$D$130)/100,0),0)</f>
        <v>0</v>
      </c>
      <c r="L1100" s="31" t="str">
        <f t="shared" si="53"/>
        <v/>
      </c>
      <c r="M1100" s="39"/>
    </row>
    <row r="1101" spans="1:13" ht="18" customHeight="1" x14ac:dyDescent="0.45">
      <c r="A1101" s="37"/>
      <c r="B1101" s="29"/>
      <c r="C1101" s="29"/>
      <c r="D1101" s="28"/>
      <c r="E1101" s="30" t="str">
        <f>IFERROR(VLOOKUP(D1101,KRX종목마스터!$A:$B,2,FALSE),"")</f>
        <v/>
      </c>
      <c r="F1101" s="42"/>
      <c r="G1101" s="42"/>
      <c r="H1101" s="31" t="str">
        <f t="shared" si="51"/>
        <v/>
      </c>
      <c r="I1101" s="43">
        <f ca="1">IFERROR(SUMPRODUCT((참고!$A$31:$A$130=C1101)*(참고!$B$31:$B$130&lt;=A1101)*(참고!$B$31:$B$130=_xludf.MAXIFS(참고!$B$31:$B$130,참고!$A$31:$A$130,C1101,참고!$B$31:$B$130,"&lt;="&amp;A1101))*참고!$C$31:$C$130)/100,0)</f>
        <v>0</v>
      </c>
      <c r="J1101" s="31" t="str">
        <f t="shared" si="52"/>
        <v/>
      </c>
      <c r="K1101" s="43">
        <f>IF(B1101="매도",IFERROR(SUMPRODUCT((참고!$A$31:$A$130=C1101)*(참고!$B$31:$B$130&lt;=A1101)*(참고!$B$31:$B$130=_xludf.MAXIFS(참고!$B$31:$B$130,참고!$A$31:$A$130,C1101,참고!$B$31:$B$130,"&lt;="&amp;A1101))*참고!$D$31:$D$130)/100,0),0)</f>
        <v>0</v>
      </c>
      <c r="L1101" s="31" t="str">
        <f t="shared" si="53"/>
        <v/>
      </c>
      <c r="M1101" s="39"/>
    </row>
    <row r="1102" spans="1:13" ht="18" customHeight="1" x14ac:dyDescent="0.45">
      <c r="A1102" s="37"/>
      <c r="B1102" s="29"/>
      <c r="C1102" s="29"/>
      <c r="D1102" s="28"/>
      <c r="E1102" s="30" t="str">
        <f>IFERROR(VLOOKUP(D1102,KRX종목마스터!$A:$B,2,FALSE),"")</f>
        <v/>
      </c>
      <c r="F1102" s="42"/>
      <c r="G1102" s="42"/>
      <c r="H1102" s="31" t="str">
        <f t="shared" si="51"/>
        <v/>
      </c>
      <c r="I1102" s="43">
        <f ca="1">IFERROR(SUMPRODUCT((참고!$A$31:$A$130=C1102)*(참고!$B$31:$B$130&lt;=A1102)*(참고!$B$31:$B$130=_xludf.MAXIFS(참고!$B$31:$B$130,참고!$A$31:$A$130,C1102,참고!$B$31:$B$130,"&lt;="&amp;A1102))*참고!$C$31:$C$130)/100,0)</f>
        <v>0</v>
      </c>
      <c r="J1102" s="31" t="str">
        <f t="shared" si="52"/>
        <v/>
      </c>
      <c r="K1102" s="43">
        <f>IF(B1102="매도",IFERROR(SUMPRODUCT((참고!$A$31:$A$130=C1102)*(참고!$B$31:$B$130&lt;=A1102)*(참고!$B$31:$B$130=_xludf.MAXIFS(참고!$B$31:$B$130,참고!$A$31:$A$130,C1102,참고!$B$31:$B$130,"&lt;="&amp;A1102))*참고!$D$31:$D$130)/100,0),0)</f>
        <v>0</v>
      </c>
      <c r="L1102" s="31" t="str">
        <f t="shared" si="53"/>
        <v/>
      </c>
      <c r="M1102" s="39"/>
    </row>
    <row r="1103" spans="1:13" ht="18" customHeight="1" x14ac:dyDescent="0.45">
      <c r="A1103" s="37"/>
      <c r="B1103" s="29"/>
      <c r="C1103" s="29"/>
      <c r="D1103" s="28"/>
      <c r="E1103" s="30" t="str">
        <f>IFERROR(VLOOKUP(D1103,KRX종목마스터!$A:$B,2,FALSE),"")</f>
        <v/>
      </c>
      <c r="F1103" s="42"/>
      <c r="G1103" s="42"/>
      <c r="H1103" s="31" t="str">
        <f t="shared" si="51"/>
        <v/>
      </c>
      <c r="I1103" s="43">
        <f ca="1">IFERROR(SUMPRODUCT((참고!$A$31:$A$130=C1103)*(참고!$B$31:$B$130&lt;=A1103)*(참고!$B$31:$B$130=_xludf.MAXIFS(참고!$B$31:$B$130,참고!$A$31:$A$130,C1103,참고!$B$31:$B$130,"&lt;="&amp;A1103))*참고!$C$31:$C$130)/100,0)</f>
        <v>0</v>
      </c>
      <c r="J1103" s="31" t="str">
        <f t="shared" si="52"/>
        <v/>
      </c>
      <c r="K1103" s="43">
        <f>IF(B1103="매도",IFERROR(SUMPRODUCT((참고!$A$31:$A$130=C1103)*(참고!$B$31:$B$130&lt;=A1103)*(참고!$B$31:$B$130=_xludf.MAXIFS(참고!$B$31:$B$130,참고!$A$31:$A$130,C1103,참고!$B$31:$B$130,"&lt;="&amp;A1103))*참고!$D$31:$D$130)/100,0),0)</f>
        <v>0</v>
      </c>
      <c r="L1103" s="31" t="str">
        <f t="shared" si="53"/>
        <v/>
      </c>
      <c r="M1103" s="39"/>
    </row>
    <row r="1104" spans="1:13" ht="18" customHeight="1" x14ac:dyDescent="0.45">
      <c r="A1104" s="37"/>
      <c r="B1104" s="29"/>
      <c r="C1104" s="29"/>
      <c r="D1104" s="28"/>
      <c r="E1104" s="30" t="str">
        <f>IFERROR(VLOOKUP(D1104,KRX종목마스터!$A:$B,2,FALSE),"")</f>
        <v/>
      </c>
      <c r="F1104" s="42"/>
      <c r="G1104" s="42"/>
      <c r="H1104" s="31" t="str">
        <f t="shared" si="51"/>
        <v/>
      </c>
      <c r="I1104" s="43">
        <f ca="1">IFERROR(SUMPRODUCT((참고!$A$31:$A$130=C1104)*(참고!$B$31:$B$130&lt;=A1104)*(참고!$B$31:$B$130=_xludf.MAXIFS(참고!$B$31:$B$130,참고!$A$31:$A$130,C1104,참고!$B$31:$B$130,"&lt;="&amp;A1104))*참고!$C$31:$C$130)/100,0)</f>
        <v>0</v>
      </c>
      <c r="J1104" s="31" t="str">
        <f t="shared" si="52"/>
        <v/>
      </c>
      <c r="K1104" s="43">
        <f>IF(B1104="매도",IFERROR(SUMPRODUCT((참고!$A$31:$A$130=C1104)*(참고!$B$31:$B$130&lt;=A1104)*(참고!$B$31:$B$130=_xludf.MAXIFS(참고!$B$31:$B$130,참고!$A$31:$A$130,C1104,참고!$B$31:$B$130,"&lt;="&amp;A1104))*참고!$D$31:$D$130)/100,0),0)</f>
        <v>0</v>
      </c>
      <c r="L1104" s="31" t="str">
        <f t="shared" si="53"/>
        <v/>
      </c>
      <c r="M1104" s="39"/>
    </row>
    <row r="1105" spans="1:13" ht="18" customHeight="1" x14ac:dyDescent="0.45">
      <c r="A1105" s="37"/>
      <c r="B1105" s="29"/>
      <c r="C1105" s="29"/>
      <c r="D1105" s="28"/>
      <c r="E1105" s="30" t="str">
        <f>IFERROR(VLOOKUP(D1105,KRX종목마스터!$A:$B,2,FALSE),"")</f>
        <v/>
      </c>
      <c r="F1105" s="42"/>
      <c r="G1105" s="42"/>
      <c r="H1105" s="31" t="str">
        <f t="shared" si="51"/>
        <v/>
      </c>
      <c r="I1105" s="43">
        <f ca="1">IFERROR(SUMPRODUCT((참고!$A$31:$A$130=C1105)*(참고!$B$31:$B$130&lt;=A1105)*(참고!$B$31:$B$130=_xludf.MAXIFS(참고!$B$31:$B$130,참고!$A$31:$A$130,C1105,참고!$B$31:$B$130,"&lt;="&amp;A1105))*참고!$C$31:$C$130)/100,0)</f>
        <v>0</v>
      </c>
      <c r="J1105" s="31" t="str">
        <f t="shared" si="52"/>
        <v/>
      </c>
      <c r="K1105" s="43">
        <f>IF(B1105="매도",IFERROR(SUMPRODUCT((참고!$A$31:$A$130=C1105)*(참고!$B$31:$B$130&lt;=A1105)*(참고!$B$31:$B$130=_xludf.MAXIFS(참고!$B$31:$B$130,참고!$A$31:$A$130,C1105,참고!$B$31:$B$130,"&lt;="&amp;A1105))*참고!$D$31:$D$130)/100,0),0)</f>
        <v>0</v>
      </c>
      <c r="L1105" s="31" t="str">
        <f t="shared" si="53"/>
        <v/>
      </c>
      <c r="M1105" s="39"/>
    </row>
    <row r="1106" spans="1:13" ht="18" customHeight="1" x14ac:dyDescent="0.45">
      <c r="A1106" s="37"/>
      <c r="B1106" s="29"/>
      <c r="C1106" s="29"/>
      <c r="D1106" s="28"/>
      <c r="E1106" s="30" t="str">
        <f>IFERROR(VLOOKUP(D1106,KRX종목마스터!$A:$B,2,FALSE),"")</f>
        <v/>
      </c>
      <c r="F1106" s="42"/>
      <c r="G1106" s="42"/>
      <c r="H1106" s="31" t="str">
        <f t="shared" si="51"/>
        <v/>
      </c>
      <c r="I1106" s="43">
        <f ca="1">IFERROR(SUMPRODUCT((참고!$A$31:$A$130=C1106)*(참고!$B$31:$B$130&lt;=A1106)*(참고!$B$31:$B$130=_xludf.MAXIFS(참고!$B$31:$B$130,참고!$A$31:$A$130,C1106,참고!$B$31:$B$130,"&lt;="&amp;A1106))*참고!$C$31:$C$130)/100,0)</f>
        <v>0</v>
      </c>
      <c r="J1106" s="31" t="str">
        <f t="shared" si="52"/>
        <v/>
      </c>
      <c r="K1106" s="43">
        <f>IF(B1106="매도",IFERROR(SUMPRODUCT((참고!$A$31:$A$130=C1106)*(참고!$B$31:$B$130&lt;=A1106)*(참고!$B$31:$B$130=_xludf.MAXIFS(참고!$B$31:$B$130,참고!$A$31:$A$130,C1106,참고!$B$31:$B$130,"&lt;="&amp;A1106))*참고!$D$31:$D$130)/100,0),0)</f>
        <v>0</v>
      </c>
      <c r="L1106" s="31" t="str">
        <f t="shared" si="53"/>
        <v/>
      </c>
      <c r="M1106" s="39"/>
    </row>
    <row r="1107" spans="1:13" ht="18" customHeight="1" x14ac:dyDescent="0.45">
      <c r="A1107" s="37"/>
      <c r="B1107" s="29"/>
      <c r="C1107" s="29"/>
      <c r="D1107" s="28"/>
      <c r="E1107" s="30" t="str">
        <f>IFERROR(VLOOKUP(D1107,KRX종목마스터!$A:$B,2,FALSE),"")</f>
        <v/>
      </c>
      <c r="F1107" s="42"/>
      <c r="G1107" s="42"/>
      <c r="H1107" s="31" t="str">
        <f t="shared" si="51"/>
        <v/>
      </c>
      <c r="I1107" s="43">
        <f ca="1">IFERROR(SUMPRODUCT((참고!$A$31:$A$130=C1107)*(참고!$B$31:$B$130&lt;=A1107)*(참고!$B$31:$B$130=_xludf.MAXIFS(참고!$B$31:$B$130,참고!$A$31:$A$130,C1107,참고!$B$31:$B$130,"&lt;="&amp;A1107))*참고!$C$31:$C$130)/100,0)</f>
        <v>0</v>
      </c>
      <c r="J1107" s="31" t="str">
        <f t="shared" si="52"/>
        <v/>
      </c>
      <c r="K1107" s="43">
        <f>IF(B1107="매도",IFERROR(SUMPRODUCT((참고!$A$31:$A$130=C1107)*(참고!$B$31:$B$130&lt;=A1107)*(참고!$B$31:$B$130=_xludf.MAXIFS(참고!$B$31:$B$130,참고!$A$31:$A$130,C1107,참고!$B$31:$B$130,"&lt;="&amp;A1107))*참고!$D$31:$D$130)/100,0),0)</f>
        <v>0</v>
      </c>
      <c r="L1107" s="31" t="str">
        <f t="shared" si="53"/>
        <v/>
      </c>
      <c r="M1107" s="39"/>
    </row>
    <row r="1108" spans="1:13" ht="18" customHeight="1" x14ac:dyDescent="0.45">
      <c r="A1108" s="37"/>
      <c r="B1108" s="29"/>
      <c r="C1108" s="29"/>
      <c r="D1108" s="28"/>
      <c r="E1108" s="30" t="str">
        <f>IFERROR(VLOOKUP(D1108,KRX종목마스터!$A:$B,2,FALSE),"")</f>
        <v/>
      </c>
      <c r="F1108" s="42"/>
      <c r="G1108" s="42"/>
      <c r="H1108" s="31" t="str">
        <f t="shared" si="51"/>
        <v/>
      </c>
      <c r="I1108" s="43">
        <f ca="1">IFERROR(SUMPRODUCT((참고!$A$31:$A$130=C1108)*(참고!$B$31:$B$130&lt;=A1108)*(참고!$B$31:$B$130=_xludf.MAXIFS(참고!$B$31:$B$130,참고!$A$31:$A$130,C1108,참고!$B$31:$B$130,"&lt;="&amp;A1108))*참고!$C$31:$C$130)/100,0)</f>
        <v>0</v>
      </c>
      <c r="J1108" s="31" t="str">
        <f t="shared" si="52"/>
        <v/>
      </c>
      <c r="K1108" s="43">
        <f>IF(B1108="매도",IFERROR(SUMPRODUCT((참고!$A$31:$A$130=C1108)*(참고!$B$31:$B$130&lt;=A1108)*(참고!$B$31:$B$130=_xludf.MAXIFS(참고!$B$31:$B$130,참고!$A$31:$A$130,C1108,참고!$B$31:$B$130,"&lt;="&amp;A1108))*참고!$D$31:$D$130)/100,0),0)</f>
        <v>0</v>
      </c>
      <c r="L1108" s="31" t="str">
        <f t="shared" si="53"/>
        <v/>
      </c>
      <c r="M1108" s="39"/>
    </row>
    <row r="1109" spans="1:13" ht="18" customHeight="1" x14ac:dyDescent="0.45">
      <c r="A1109" s="37"/>
      <c r="B1109" s="29"/>
      <c r="C1109" s="29"/>
      <c r="D1109" s="28"/>
      <c r="E1109" s="30" t="str">
        <f>IFERROR(VLOOKUP(D1109,KRX종목마스터!$A:$B,2,FALSE),"")</f>
        <v/>
      </c>
      <c r="F1109" s="42"/>
      <c r="G1109" s="42"/>
      <c r="H1109" s="31" t="str">
        <f t="shared" si="51"/>
        <v/>
      </c>
      <c r="I1109" s="43">
        <f ca="1">IFERROR(SUMPRODUCT((참고!$A$31:$A$130=C1109)*(참고!$B$31:$B$130&lt;=A1109)*(참고!$B$31:$B$130=_xludf.MAXIFS(참고!$B$31:$B$130,참고!$A$31:$A$130,C1109,참고!$B$31:$B$130,"&lt;="&amp;A1109))*참고!$C$31:$C$130)/100,0)</f>
        <v>0</v>
      </c>
      <c r="J1109" s="31" t="str">
        <f t="shared" si="52"/>
        <v/>
      </c>
      <c r="K1109" s="43">
        <f>IF(B1109="매도",IFERROR(SUMPRODUCT((참고!$A$31:$A$130=C1109)*(참고!$B$31:$B$130&lt;=A1109)*(참고!$B$31:$B$130=_xludf.MAXIFS(참고!$B$31:$B$130,참고!$A$31:$A$130,C1109,참고!$B$31:$B$130,"&lt;="&amp;A1109))*참고!$D$31:$D$130)/100,0),0)</f>
        <v>0</v>
      </c>
      <c r="L1109" s="31" t="str">
        <f t="shared" si="53"/>
        <v/>
      </c>
      <c r="M1109" s="39"/>
    </row>
    <row r="1110" spans="1:13" ht="18" customHeight="1" x14ac:dyDescent="0.45">
      <c r="A1110" s="37"/>
      <c r="B1110" s="29"/>
      <c r="C1110" s="29"/>
      <c r="D1110" s="28"/>
      <c r="E1110" s="30" t="str">
        <f>IFERROR(VLOOKUP(D1110,KRX종목마스터!$A:$B,2,FALSE),"")</f>
        <v/>
      </c>
      <c r="F1110" s="42"/>
      <c r="G1110" s="42"/>
      <c r="H1110" s="31" t="str">
        <f t="shared" si="51"/>
        <v/>
      </c>
      <c r="I1110" s="43">
        <f ca="1">IFERROR(SUMPRODUCT((참고!$A$31:$A$130=C1110)*(참고!$B$31:$B$130&lt;=A1110)*(참고!$B$31:$B$130=_xludf.MAXIFS(참고!$B$31:$B$130,참고!$A$31:$A$130,C1110,참고!$B$31:$B$130,"&lt;="&amp;A1110))*참고!$C$31:$C$130)/100,0)</f>
        <v>0</v>
      </c>
      <c r="J1110" s="31" t="str">
        <f t="shared" si="52"/>
        <v/>
      </c>
      <c r="K1110" s="43">
        <f>IF(B1110="매도",IFERROR(SUMPRODUCT((참고!$A$31:$A$130=C1110)*(참고!$B$31:$B$130&lt;=A1110)*(참고!$B$31:$B$130=_xludf.MAXIFS(참고!$B$31:$B$130,참고!$A$31:$A$130,C1110,참고!$B$31:$B$130,"&lt;="&amp;A1110))*참고!$D$31:$D$130)/100,0),0)</f>
        <v>0</v>
      </c>
      <c r="L1110" s="31" t="str">
        <f t="shared" si="53"/>
        <v/>
      </c>
      <c r="M1110" s="39"/>
    </row>
    <row r="1111" spans="1:13" ht="18" customHeight="1" x14ac:dyDescent="0.45">
      <c r="A1111" s="37"/>
      <c r="B1111" s="29"/>
      <c r="C1111" s="29"/>
      <c r="D1111" s="28"/>
      <c r="E1111" s="30" t="str">
        <f>IFERROR(VLOOKUP(D1111,KRX종목마스터!$A:$B,2,FALSE),"")</f>
        <v/>
      </c>
      <c r="F1111" s="42"/>
      <c r="G1111" s="42"/>
      <c r="H1111" s="31" t="str">
        <f t="shared" si="51"/>
        <v/>
      </c>
      <c r="I1111" s="43">
        <f ca="1">IFERROR(SUMPRODUCT((참고!$A$31:$A$130=C1111)*(참고!$B$31:$B$130&lt;=A1111)*(참고!$B$31:$B$130=_xludf.MAXIFS(참고!$B$31:$B$130,참고!$A$31:$A$130,C1111,참고!$B$31:$B$130,"&lt;="&amp;A1111))*참고!$C$31:$C$130)/100,0)</f>
        <v>0</v>
      </c>
      <c r="J1111" s="31" t="str">
        <f t="shared" si="52"/>
        <v/>
      </c>
      <c r="K1111" s="43">
        <f>IF(B1111="매도",IFERROR(SUMPRODUCT((참고!$A$31:$A$130=C1111)*(참고!$B$31:$B$130&lt;=A1111)*(참고!$B$31:$B$130=_xludf.MAXIFS(참고!$B$31:$B$130,참고!$A$31:$A$130,C1111,참고!$B$31:$B$130,"&lt;="&amp;A1111))*참고!$D$31:$D$130)/100,0),0)</f>
        <v>0</v>
      </c>
      <c r="L1111" s="31" t="str">
        <f t="shared" si="53"/>
        <v/>
      </c>
      <c r="M1111" s="39"/>
    </row>
    <row r="1112" spans="1:13" ht="18" customHeight="1" x14ac:dyDescent="0.45">
      <c r="A1112" s="37"/>
      <c r="B1112" s="29"/>
      <c r="C1112" s="29"/>
      <c r="D1112" s="28"/>
      <c r="E1112" s="30" t="str">
        <f>IFERROR(VLOOKUP(D1112,KRX종목마스터!$A:$B,2,FALSE),"")</f>
        <v/>
      </c>
      <c r="F1112" s="42"/>
      <c r="G1112" s="42"/>
      <c r="H1112" s="31" t="str">
        <f t="shared" si="51"/>
        <v/>
      </c>
      <c r="I1112" s="43">
        <f ca="1">IFERROR(SUMPRODUCT((참고!$A$31:$A$130=C1112)*(참고!$B$31:$B$130&lt;=A1112)*(참고!$B$31:$B$130=_xludf.MAXIFS(참고!$B$31:$B$130,참고!$A$31:$A$130,C1112,참고!$B$31:$B$130,"&lt;="&amp;A1112))*참고!$C$31:$C$130)/100,0)</f>
        <v>0</v>
      </c>
      <c r="J1112" s="31" t="str">
        <f t="shared" si="52"/>
        <v/>
      </c>
      <c r="K1112" s="43">
        <f>IF(B1112="매도",IFERROR(SUMPRODUCT((참고!$A$31:$A$130=C1112)*(참고!$B$31:$B$130&lt;=A1112)*(참고!$B$31:$B$130=_xludf.MAXIFS(참고!$B$31:$B$130,참고!$A$31:$A$130,C1112,참고!$B$31:$B$130,"&lt;="&amp;A1112))*참고!$D$31:$D$130)/100,0),0)</f>
        <v>0</v>
      </c>
      <c r="L1112" s="31" t="str">
        <f t="shared" si="53"/>
        <v/>
      </c>
      <c r="M1112" s="39"/>
    </row>
    <row r="1113" spans="1:13" ht="18" customHeight="1" x14ac:dyDescent="0.45">
      <c r="A1113" s="37"/>
      <c r="B1113" s="29"/>
      <c r="C1113" s="29"/>
      <c r="D1113" s="28"/>
      <c r="E1113" s="30" t="str">
        <f>IFERROR(VLOOKUP(D1113,KRX종목마스터!$A:$B,2,FALSE),"")</f>
        <v/>
      </c>
      <c r="F1113" s="42"/>
      <c r="G1113" s="42"/>
      <c r="H1113" s="31" t="str">
        <f t="shared" si="51"/>
        <v/>
      </c>
      <c r="I1113" s="43">
        <f ca="1">IFERROR(SUMPRODUCT((참고!$A$31:$A$130=C1113)*(참고!$B$31:$B$130&lt;=A1113)*(참고!$B$31:$B$130=_xludf.MAXIFS(참고!$B$31:$B$130,참고!$A$31:$A$130,C1113,참고!$B$31:$B$130,"&lt;="&amp;A1113))*참고!$C$31:$C$130)/100,0)</f>
        <v>0</v>
      </c>
      <c r="J1113" s="31" t="str">
        <f t="shared" si="52"/>
        <v/>
      </c>
      <c r="K1113" s="43">
        <f>IF(B1113="매도",IFERROR(SUMPRODUCT((참고!$A$31:$A$130=C1113)*(참고!$B$31:$B$130&lt;=A1113)*(참고!$B$31:$B$130=_xludf.MAXIFS(참고!$B$31:$B$130,참고!$A$31:$A$130,C1113,참고!$B$31:$B$130,"&lt;="&amp;A1113))*참고!$D$31:$D$130)/100,0),0)</f>
        <v>0</v>
      </c>
      <c r="L1113" s="31" t="str">
        <f t="shared" si="53"/>
        <v/>
      </c>
      <c r="M1113" s="39"/>
    </row>
    <row r="1114" spans="1:13" ht="18" customHeight="1" x14ac:dyDescent="0.45">
      <c r="A1114" s="37"/>
      <c r="B1114" s="29"/>
      <c r="C1114" s="29"/>
      <c r="D1114" s="28"/>
      <c r="E1114" s="30" t="str">
        <f>IFERROR(VLOOKUP(D1114,KRX종목마스터!$A:$B,2,FALSE),"")</f>
        <v/>
      </c>
      <c r="F1114" s="42"/>
      <c r="G1114" s="42"/>
      <c r="H1114" s="31" t="str">
        <f t="shared" si="51"/>
        <v/>
      </c>
      <c r="I1114" s="43">
        <f ca="1">IFERROR(SUMPRODUCT((참고!$A$31:$A$130=C1114)*(참고!$B$31:$B$130&lt;=A1114)*(참고!$B$31:$B$130=_xludf.MAXIFS(참고!$B$31:$B$130,참고!$A$31:$A$130,C1114,참고!$B$31:$B$130,"&lt;="&amp;A1114))*참고!$C$31:$C$130)/100,0)</f>
        <v>0</v>
      </c>
      <c r="J1114" s="31" t="str">
        <f t="shared" si="52"/>
        <v/>
      </c>
      <c r="K1114" s="43">
        <f>IF(B1114="매도",IFERROR(SUMPRODUCT((참고!$A$31:$A$130=C1114)*(참고!$B$31:$B$130&lt;=A1114)*(참고!$B$31:$B$130=_xludf.MAXIFS(참고!$B$31:$B$130,참고!$A$31:$A$130,C1114,참고!$B$31:$B$130,"&lt;="&amp;A1114))*참고!$D$31:$D$130)/100,0),0)</f>
        <v>0</v>
      </c>
      <c r="L1114" s="31" t="str">
        <f t="shared" si="53"/>
        <v/>
      </c>
      <c r="M1114" s="39"/>
    </row>
    <row r="1115" spans="1:13" ht="18" customHeight="1" x14ac:dyDescent="0.45">
      <c r="A1115" s="37"/>
      <c r="B1115" s="29"/>
      <c r="C1115" s="29"/>
      <c r="D1115" s="28"/>
      <c r="E1115" s="30" t="str">
        <f>IFERROR(VLOOKUP(D1115,KRX종목마스터!$A:$B,2,FALSE),"")</f>
        <v/>
      </c>
      <c r="F1115" s="42"/>
      <c r="G1115" s="42"/>
      <c r="H1115" s="31" t="str">
        <f t="shared" si="51"/>
        <v/>
      </c>
      <c r="I1115" s="43">
        <f ca="1">IFERROR(SUMPRODUCT((참고!$A$31:$A$130=C1115)*(참고!$B$31:$B$130&lt;=A1115)*(참고!$B$31:$B$130=_xludf.MAXIFS(참고!$B$31:$B$130,참고!$A$31:$A$130,C1115,참고!$B$31:$B$130,"&lt;="&amp;A1115))*참고!$C$31:$C$130)/100,0)</f>
        <v>0</v>
      </c>
      <c r="J1115" s="31" t="str">
        <f t="shared" si="52"/>
        <v/>
      </c>
      <c r="K1115" s="43">
        <f>IF(B1115="매도",IFERROR(SUMPRODUCT((참고!$A$31:$A$130=C1115)*(참고!$B$31:$B$130&lt;=A1115)*(참고!$B$31:$B$130=_xludf.MAXIFS(참고!$B$31:$B$130,참고!$A$31:$A$130,C1115,참고!$B$31:$B$130,"&lt;="&amp;A1115))*참고!$D$31:$D$130)/100,0),0)</f>
        <v>0</v>
      </c>
      <c r="L1115" s="31" t="str">
        <f t="shared" si="53"/>
        <v/>
      </c>
      <c r="M1115" s="39"/>
    </row>
    <row r="1116" spans="1:13" ht="18" customHeight="1" x14ac:dyDescent="0.45">
      <c r="A1116" s="37"/>
      <c r="B1116" s="29"/>
      <c r="C1116" s="29"/>
      <c r="D1116" s="28"/>
      <c r="E1116" s="30" t="str">
        <f>IFERROR(VLOOKUP(D1116,KRX종목마스터!$A:$B,2,FALSE),"")</f>
        <v/>
      </c>
      <c r="F1116" s="42"/>
      <c r="G1116" s="42"/>
      <c r="H1116" s="31" t="str">
        <f t="shared" si="51"/>
        <v/>
      </c>
      <c r="I1116" s="43">
        <f ca="1">IFERROR(SUMPRODUCT((참고!$A$31:$A$130=C1116)*(참고!$B$31:$B$130&lt;=A1116)*(참고!$B$31:$B$130=_xludf.MAXIFS(참고!$B$31:$B$130,참고!$A$31:$A$130,C1116,참고!$B$31:$B$130,"&lt;="&amp;A1116))*참고!$C$31:$C$130)/100,0)</f>
        <v>0</v>
      </c>
      <c r="J1116" s="31" t="str">
        <f t="shared" si="52"/>
        <v/>
      </c>
      <c r="K1116" s="43">
        <f>IF(B1116="매도",IFERROR(SUMPRODUCT((참고!$A$31:$A$130=C1116)*(참고!$B$31:$B$130&lt;=A1116)*(참고!$B$31:$B$130=_xludf.MAXIFS(참고!$B$31:$B$130,참고!$A$31:$A$130,C1116,참고!$B$31:$B$130,"&lt;="&amp;A1116))*참고!$D$31:$D$130)/100,0),0)</f>
        <v>0</v>
      </c>
      <c r="L1116" s="31" t="str">
        <f t="shared" si="53"/>
        <v/>
      </c>
      <c r="M1116" s="39"/>
    </row>
    <row r="1117" spans="1:13" ht="18" customHeight="1" x14ac:dyDescent="0.45">
      <c r="A1117" s="37"/>
      <c r="B1117" s="29"/>
      <c r="C1117" s="29"/>
      <c r="D1117" s="28"/>
      <c r="E1117" s="30" t="str">
        <f>IFERROR(VLOOKUP(D1117,KRX종목마스터!$A:$B,2,FALSE),"")</f>
        <v/>
      </c>
      <c r="F1117" s="42"/>
      <c r="G1117" s="42"/>
      <c r="H1117" s="31" t="str">
        <f t="shared" si="51"/>
        <v/>
      </c>
      <c r="I1117" s="43">
        <f ca="1">IFERROR(SUMPRODUCT((참고!$A$31:$A$130=C1117)*(참고!$B$31:$B$130&lt;=A1117)*(참고!$B$31:$B$130=_xludf.MAXIFS(참고!$B$31:$B$130,참고!$A$31:$A$130,C1117,참고!$B$31:$B$130,"&lt;="&amp;A1117))*참고!$C$31:$C$130)/100,0)</f>
        <v>0</v>
      </c>
      <c r="J1117" s="31" t="str">
        <f t="shared" si="52"/>
        <v/>
      </c>
      <c r="K1117" s="43">
        <f>IF(B1117="매도",IFERROR(SUMPRODUCT((참고!$A$31:$A$130=C1117)*(참고!$B$31:$B$130&lt;=A1117)*(참고!$B$31:$B$130=_xludf.MAXIFS(참고!$B$31:$B$130,참고!$A$31:$A$130,C1117,참고!$B$31:$B$130,"&lt;="&amp;A1117))*참고!$D$31:$D$130)/100,0),0)</f>
        <v>0</v>
      </c>
      <c r="L1117" s="31" t="str">
        <f t="shared" si="53"/>
        <v/>
      </c>
      <c r="M1117" s="39"/>
    </row>
    <row r="1118" spans="1:13" ht="18" customHeight="1" x14ac:dyDescent="0.45">
      <c r="A1118" s="37"/>
      <c r="B1118" s="29"/>
      <c r="C1118" s="29"/>
      <c r="D1118" s="28"/>
      <c r="E1118" s="30" t="str">
        <f>IFERROR(VLOOKUP(D1118,KRX종목마스터!$A:$B,2,FALSE),"")</f>
        <v/>
      </c>
      <c r="F1118" s="42"/>
      <c r="G1118" s="42"/>
      <c r="H1118" s="31" t="str">
        <f t="shared" si="51"/>
        <v/>
      </c>
      <c r="I1118" s="43">
        <f ca="1">IFERROR(SUMPRODUCT((참고!$A$31:$A$130=C1118)*(참고!$B$31:$B$130&lt;=A1118)*(참고!$B$31:$B$130=_xludf.MAXIFS(참고!$B$31:$B$130,참고!$A$31:$A$130,C1118,참고!$B$31:$B$130,"&lt;="&amp;A1118))*참고!$C$31:$C$130)/100,0)</f>
        <v>0</v>
      </c>
      <c r="J1118" s="31" t="str">
        <f t="shared" si="52"/>
        <v/>
      </c>
      <c r="K1118" s="43">
        <f>IF(B1118="매도",IFERROR(SUMPRODUCT((참고!$A$31:$A$130=C1118)*(참고!$B$31:$B$130&lt;=A1118)*(참고!$B$31:$B$130=_xludf.MAXIFS(참고!$B$31:$B$130,참고!$A$31:$A$130,C1118,참고!$B$31:$B$130,"&lt;="&amp;A1118))*참고!$D$31:$D$130)/100,0),0)</f>
        <v>0</v>
      </c>
      <c r="L1118" s="31" t="str">
        <f t="shared" si="53"/>
        <v/>
      </c>
      <c r="M1118" s="39"/>
    </row>
    <row r="1119" spans="1:13" ht="18" customHeight="1" x14ac:dyDescent="0.45">
      <c r="A1119" s="37"/>
      <c r="B1119" s="29"/>
      <c r="C1119" s="29"/>
      <c r="D1119" s="28"/>
      <c r="E1119" s="30" t="str">
        <f>IFERROR(VLOOKUP(D1119,KRX종목마스터!$A:$B,2,FALSE),"")</f>
        <v/>
      </c>
      <c r="F1119" s="42"/>
      <c r="G1119" s="42"/>
      <c r="H1119" s="31" t="str">
        <f t="shared" si="51"/>
        <v/>
      </c>
      <c r="I1119" s="43">
        <f ca="1">IFERROR(SUMPRODUCT((참고!$A$31:$A$130=C1119)*(참고!$B$31:$B$130&lt;=A1119)*(참고!$B$31:$B$130=_xludf.MAXIFS(참고!$B$31:$B$130,참고!$A$31:$A$130,C1119,참고!$B$31:$B$130,"&lt;="&amp;A1119))*참고!$C$31:$C$130)/100,0)</f>
        <v>0</v>
      </c>
      <c r="J1119" s="31" t="str">
        <f t="shared" si="52"/>
        <v/>
      </c>
      <c r="K1119" s="43">
        <f>IF(B1119="매도",IFERROR(SUMPRODUCT((참고!$A$31:$A$130=C1119)*(참고!$B$31:$B$130&lt;=A1119)*(참고!$B$31:$B$130=_xludf.MAXIFS(참고!$B$31:$B$130,참고!$A$31:$A$130,C1119,참고!$B$31:$B$130,"&lt;="&amp;A1119))*참고!$D$31:$D$130)/100,0),0)</f>
        <v>0</v>
      </c>
      <c r="L1119" s="31" t="str">
        <f t="shared" si="53"/>
        <v/>
      </c>
      <c r="M1119" s="39"/>
    </row>
    <row r="1120" spans="1:13" ht="18" customHeight="1" x14ac:dyDescent="0.45">
      <c r="A1120" s="37"/>
      <c r="B1120" s="29"/>
      <c r="C1120" s="29"/>
      <c r="D1120" s="28"/>
      <c r="E1120" s="30" t="str">
        <f>IFERROR(VLOOKUP(D1120,KRX종목마스터!$A:$B,2,FALSE),"")</f>
        <v/>
      </c>
      <c r="F1120" s="42"/>
      <c r="G1120" s="42"/>
      <c r="H1120" s="31" t="str">
        <f t="shared" si="51"/>
        <v/>
      </c>
      <c r="I1120" s="43">
        <f ca="1">IFERROR(SUMPRODUCT((참고!$A$31:$A$130=C1120)*(참고!$B$31:$B$130&lt;=A1120)*(참고!$B$31:$B$130=_xludf.MAXIFS(참고!$B$31:$B$130,참고!$A$31:$A$130,C1120,참고!$B$31:$B$130,"&lt;="&amp;A1120))*참고!$C$31:$C$130)/100,0)</f>
        <v>0</v>
      </c>
      <c r="J1120" s="31" t="str">
        <f t="shared" si="52"/>
        <v/>
      </c>
      <c r="K1120" s="43">
        <f>IF(B1120="매도",IFERROR(SUMPRODUCT((참고!$A$31:$A$130=C1120)*(참고!$B$31:$B$130&lt;=A1120)*(참고!$B$31:$B$130=_xludf.MAXIFS(참고!$B$31:$B$130,참고!$A$31:$A$130,C1120,참고!$B$31:$B$130,"&lt;="&amp;A1120))*참고!$D$31:$D$130)/100,0),0)</f>
        <v>0</v>
      </c>
      <c r="L1120" s="31" t="str">
        <f t="shared" si="53"/>
        <v/>
      </c>
      <c r="M1120" s="39"/>
    </row>
    <row r="1121" spans="1:13" ht="18" customHeight="1" x14ac:dyDescent="0.45">
      <c r="A1121" s="37"/>
      <c r="B1121" s="29"/>
      <c r="C1121" s="29"/>
      <c r="D1121" s="28"/>
      <c r="E1121" s="30" t="str">
        <f>IFERROR(VLOOKUP(D1121,KRX종목마스터!$A:$B,2,FALSE),"")</f>
        <v/>
      </c>
      <c r="F1121" s="42"/>
      <c r="G1121" s="42"/>
      <c r="H1121" s="31" t="str">
        <f t="shared" si="51"/>
        <v/>
      </c>
      <c r="I1121" s="43">
        <f ca="1">IFERROR(SUMPRODUCT((참고!$A$31:$A$130=C1121)*(참고!$B$31:$B$130&lt;=A1121)*(참고!$B$31:$B$130=_xludf.MAXIFS(참고!$B$31:$B$130,참고!$A$31:$A$130,C1121,참고!$B$31:$B$130,"&lt;="&amp;A1121))*참고!$C$31:$C$130)/100,0)</f>
        <v>0</v>
      </c>
      <c r="J1121" s="31" t="str">
        <f t="shared" si="52"/>
        <v/>
      </c>
      <c r="K1121" s="43">
        <f>IF(B1121="매도",IFERROR(SUMPRODUCT((참고!$A$31:$A$130=C1121)*(참고!$B$31:$B$130&lt;=A1121)*(참고!$B$31:$B$130=_xludf.MAXIFS(참고!$B$31:$B$130,참고!$A$31:$A$130,C1121,참고!$B$31:$B$130,"&lt;="&amp;A1121))*참고!$D$31:$D$130)/100,0),0)</f>
        <v>0</v>
      </c>
      <c r="L1121" s="31" t="str">
        <f t="shared" si="53"/>
        <v/>
      </c>
      <c r="M1121" s="39"/>
    </row>
    <row r="1122" spans="1:13" ht="18" customHeight="1" x14ac:dyDescent="0.45">
      <c r="A1122" s="37"/>
      <c r="B1122" s="29"/>
      <c r="C1122" s="29"/>
      <c r="D1122" s="28"/>
      <c r="E1122" s="30" t="str">
        <f>IFERROR(VLOOKUP(D1122,KRX종목마스터!$A:$B,2,FALSE),"")</f>
        <v/>
      </c>
      <c r="F1122" s="42"/>
      <c r="G1122" s="42"/>
      <c r="H1122" s="31" t="str">
        <f t="shared" si="51"/>
        <v/>
      </c>
      <c r="I1122" s="43">
        <f ca="1">IFERROR(SUMPRODUCT((참고!$A$31:$A$130=C1122)*(참고!$B$31:$B$130&lt;=A1122)*(참고!$B$31:$B$130=_xludf.MAXIFS(참고!$B$31:$B$130,참고!$A$31:$A$130,C1122,참고!$B$31:$B$130,"&lt;="&amp;A1122))*참고!$C$31:$C$130)/100,0)</f>
        <v>0</v>
      </c>
      <c r="J1122" s="31" t="str">
        <f t="shared" si="52"/>
        <v/>
      </c>
      <c r="K1122" s="43">
        <f>IF(B1122="매도",IFERROR(SUMPRODUCT((참고!$A$31:$A$130=C1122)*(참고!$B$31:$B$130&lt;=A1122)*(참고!$B$31:$B$130=_xludf.MAXIFS(참고!$B$31:$B$130,참고!$A$31:$A$130,C1122,참고!$B$31:$B$130,"&lt;="&amp;A1122))*참고!$D$31:$D$130)/100,0),0)</f>
        <v>0</v>
      </c>
      <c r="L1122" s="31" t="str">
        <f t="shared" si="53"/>
        <v/>
      </c>
      <c r="M1122" s="39"/>
    </row>
    <row r="1123" spans="1:13" ht="18" customHeight="1" x14ac:dyDescent="0.45">
      <c r="A1123" s="37"/>
      <c r="B1123" s="29"/>
      <c r="C1123" s="29"/>
      <c r="D1123" s="28"/>
      <c r="E1123" s="30" t="str">
        <f>IFERROR(VLOOKUP(D1123,KRX종목마스터!$A:$B,2,FALSE),"")</f>
        <v/>
      </c>
      <c r="F1123" s="42"/>
      <c r="G1123" s="42"/>
      <c r="H1123" s="31" t="str">
        <f t="shared" si="51"/>
        <v/>
      </c>
      <c r="I1123" s="43">
        <f ca="1">IFERROR(SUMPRODUCT((참고!$A$31:$A$130=C1123)*(참고!$B$31:$B$130&lt;=A1123)*(참고!$B$31:$B$130=_xludf.MAXIFS(참고!$B$31:$B$130,참고!$A$31:$A$130,C1123,참고!$B$31:$B$130,"&lt;="&amp;A1123))*참고!$C$31:$C$130)/100,0)</f>
        <v>0</v>
      </c>
      <c r="J1123" s="31" t="str">
        <f t="shared" si="52"/>
        <v/>
      </c>
      <c r="K1123" s="43">
        <f>IF(B1123="매도",IFERROR(SUMPRODUCT((참고!$A$31:$A$130=C1123)*(참고!$B$31:$B$130&lt;=A1123)*(참고!$B$31:$B$130=_xludf.MAXIFS(참고!$B$31:$B$130,참고!$A$31:$A$130,C1123,참고!$B$31:$B$130,"&lt;="&amp;A1123))*참고!$D$31:$D$130)/100,0),0)</f>
        <v>0</v>
      </c>
      <c r="L1123" s="31" t="str">
        <f t="shared" si="53"/>
        <v/>
      </c>
      <c r="M1123" s="39"/>
    </row>
    <row r="1124" spans="1:13" ht="18" customHeight="1" x14ac:dyDescent="0.45">
      <c r="A1124" s="37"/>
      <c r="B1124" s="29"/>
      <c r="C1124" s="29"/>
      <c r="D1124" s="28"/>
      <c r="E1124" s="30" t="str">
        <f>IFERROR(VLOOKUP(D1124,KRX종목마스터!$A:$B,2,FALSE),"")</f>
        <v/>
      </c>
      <c r="F1124" s="42"/>
      <c r="G1124" s="42"/>
      <c r="H1124" s="31" t="str">
        <f t="shared" si="51"/>
        <v/>
      </c>
      <c r="I1124" s="43">
        <f ca="1">IFERROR(SUMPRODUCT((참고!$A$31:$A$130=C1124)*(참고!$B$31:$B$130&lt;=A1124)*(참고!$B$31:$B$130=_xludf.MAXIFS(참고!$B$31:$B$130,참고!$A$31:$A$130,C1124,참고!$B$31:$B$130,"&lt;="&amp;A1124))*참고!$C$31:$C$130)/100,0)</f>
        <v>0</v>
      </c>
      <c r="J1124" s="31" t="str">
        <f t="shared" si="52"/>
        <v/>
      </c>
      <c r="K1124" s="43">
        <f>IF(B1124="매도",IFERROR(SUMPRODUCT((참고!$A$31:$A$130=C1124)*(참고!$B$31:$B$130&lt;=A1124)*(참고!$B$31:$B$130=_xludf.MAXIFS(참고!$B$31:$B$130,참고!$A$31:$A$130,C1124,참고!$B$31:$B$130,"&lt;="&amp;A1124))*참고!$D$31:$D$130)/100,0),0)</f>
        <v>0</v>
      </c>
      <c r="L1124" s="31" t="str">
        <f t="shared" si="53"/>
        <v/>
      </c>
      <c r="M1124" s="39"/>
    </row>
    <row r="1125" spans="1:13" ht="18" customHeight="1" x14ac:dyDescent="0.45">
      <c r="A1125" s="37"/>
      <c r="B1125" s="29"/>
      <c r="C1125" s="29"/>
      <c r="D1125" s="28"/>
      <c r="E1125" s="30" t="str">
        <f>IFERROR(VLOOKUP(D1125,KRX종목마스터!$A:$B,2,FALSE),"")</f>
        <v/>
      </c>
      <c r="F1125" s="42"/>
      <c r="G1125" s="42"/>
      <c r="H1125" s="31" t="str">
        <f t="shared" si="51"/>
        <v/>
      </c>
      <c r="I1125" s="43">
        <f ca="1">IFERROR(SUMPRODUCT((참고!$A$31:$A$130=C1125)*(참고!$B$31:$B$130&lt;=A1125)*(참고!$B$31:$B$130=_xludf.MAXIFS(참고!$B$31:$B$130,참고!$A$31:$A$130,C1125,참고!$B$31:$B$130,"&lt;="&amp;A1125))*참고!$C$31:$C$130)/100,0)</f>
        <v>0</v>
      </c>
      <c r="J1125" s="31" t="str">
        <f t="shared" si="52"/>
        <v/>
      </c>
      <c r="K1125" s="43">
        <f>IF(B1125="매도",IFERROR(SUMPRODUCT((참고!$A$31:$A$130=C1125)*(참고!$B$31:$B$130&lt;=A1125)*(참고!$B$31:$B$130=_xludf.MAXIFS(참고!$B$31:$B$130,참고!$A$31:$A$130,C1125,참고!$B$31:$B$130,"&lt;="&amp;A1125))*참고!$D$31:$D$130)/100,0),0)</f>
        <v>0</v>
      </c>
      <c r="L1125" s="31" t="str">
        <f t="shared" si="53"/>
        <v/>
      </c>
      <c r="M1125" s="39"/>
    </row>
    <row r="1126" spans="1:13" ht="18" customHeight="1" x14ac:dyDescent="0.45">
      <c r="A1126" s="37"/>
      <c r="B1126" s="29"/>
      <c r="C1126" s="29"/>
      <c r="D1126" s="28"/>
      <c r="E1126" s="30" t="str">
        <f>IFERROR(VLOOKUP(D1126,KRX종목마스터!$A:$B,2,FALSE),"")</f>
        <v/>
      </c>
      <c r="F1126" s="42"/>
      <c r="G1126" s="42"/>
      <c r="H1126" s="31" t="str">
        <f t="shared" si="51"/>
        <v/>
      </c>
      <c r="I1126" s="43">
        <f ca="1">IFERROR(SUMPRODUCT((참고!$A$31:$A$130=C1126)*(참고!$B$31:$B$130&lt;=A1126)*(참고!$B$31:$B$130=_xludf.MAXIFS(참고!$B$31:$B$130,참고!$A$31:$A$130,C1126,참고!$B$31:$B$130,"&lt;="&amp;A1126))*참고!$C$31:$C$130)/100,0)</f>
        <v>0</v>
      </c>
      <c r="J1126" s="31" t="str">
        <f t="shared" si="52"/>
        <v/>
      </c>
      <c r="K1126" s="43">
        <f>IF(B1126="매도",IFERROR(SUMPRODUCT((참고!$A$31:$A$130=C1126)*(참고!$B$31:$B$130&lt;=A1126)*(참고!$B$31:$B$130=_xludf.MAXIFS(참고!$B$31:$B$130,참고!$A$31:$A$130,C1126,참고!$B$31:$B$130,"&lt;="&amp;A1126))*참고!$D$31:$D$130)/100,0),0)</f>
        <v>0</v>
      </c>
      <c r="L1126" s="31" t="str">
        <f t="shared" si="53"/>
        <v/>
      </c>
      <c r="M1126" s="39"/>
    </row>
    <row r="1127" spans="1:13" ht="18" customHeight="1" x14ac:dyDescent="0.45">
      <c r="A1127" s="37"/>
      <c r="B1127" s="29"/>
      <c r="C1127" s="29"/>
      <c r="D1127" s="28"/>
      <c r="E1127" s="30" t="str">
        <f>IFERROR(VLOOKUP(D1127,KRX종목마스터!$A:$B,2,FALSE),"")</f>
        <v/>
      </c>
      <c r="F1127" s="42"/>
      <c r="G1127" s="42"/>
      <c r="H1127" s="31" t="str">
        <f t="shared" si="51"/>
        <v/>
      </c>
      <c r="I1127" s="43">
        <f ca="1">IFERROR(SUMPRODUCT((참고!$A$31:$A$130=C1127)*(참고!$B$31:$B$130&lt;=A1127)*(참고!$B$31:$B$130=_xludf.MAXIFS(참고!$B$31:$B$130,참고!$A$31:$A$130,C1127,참고!$B$31:$B$130,"&lt;="&amp;A1127))*참고!$C$31:$C$130)/100,0)</f>
        <v>0</v>
      </c>
      <c r="J1127" s="31" t="str">
        <f t="shared" si="52"/>
        <v/>
      </c>
      <c r="K1127" s="43">
        <f>IF(B1127="매도",IFERROR(SUMPRODUCT((참고!$A$31:$A$130=C1127)*(참고!$B$31:$B$130&lt;=A1127)*(참고!$B$31:$B$130=_xludf.MAXIFS(참고!$B$31:$B$130,참고!$A$31:$A$130,C1127,참고!$B$31:$B$130,"&lt;="&amp;A1127))*참고!$D$31:$D$130)/100,0),0)</f>
        <v>0</v>
      </c>
      <c r="L1127" s="31" t="str">
        <f t="shared" si="53"/>
        <v/>
      </c>
      <c r="M1127" s="39"/>
    </row>
    <row r="1128" spans="1:13" ht="18" customHeight="1" x14ac:dyDescent="0.45">
      <c r="A1128" s="37"/>
      <c r="B1128" s="29"/>
      <c r="C1128" s="29"/>
      <c r="D1128" s="28"/>
      <c r="E1128" s="30" t="str">
        <f>IFERROR(VLOOKUP(D1128,KRX종목마스터!$A:$B,2,FALSE),"")</f>
        <v/>
      </c>
      <c r="F1128" s="42"/>
      <c r="G1128" s="42"/>
      <c r="H1128" s="31" t="str">
        <f t="shared" si="51"/>
        <v/>
      </c>
      <c r="I1128" s="43">
        <f ca="1">IFERROR(SUMPRODUCT((참고!$A$31:$A$130=C1128)*(참고!$B$31:$B$130&lt;=A1128)*(참고!$B$31:$B$130=_xludf.MAXIFS(참고!$B$31:$B$130,참고!$A$31:$A$130,C1128,참고!$B$31:$B$130,"&lt;="&amp;A1128))*참고!$C$31:$C$130)/100,0)</f>
        <v>0</v>
      </c>
      <c r="J1128" s="31" t="str">
        <f t="shared" si="52"/>
        <v/>
      </c>
      <c r="K1128" s="43">
        <f>IF(B1128="매도",IFERROR(SUMPRODUCT((참고!$A$31:$A$130=C1128)*(참고!$B$31:$B$130&lt;=A1128)*(참고!$B$31:$B$130=_xludf.MAXIFS(참고!$B$31:$B$130,참고!$A$31:$A$130,C1128,참고!$B$31:$B$130,"&lt;="&amp;A1128))*참고!$D$31:$D$130)/100,0),0)</f>
        <v>0</v>
      </c>
      <c r="L1128" s="31" t="str">
        <f t="shared" si="53"/>
        <v/>
      </c>
      <c r="M1128" s="39"/>
    </row>
    <row r="1129" spans="1:13" ht="18" customHeight="1" x14ac:dyDescent="0.45">
      <c r="A1129" s="37"/>
      <c r="B1129" s="29"/>
      <c r="C1129" s="29"/>
      <c r="D1129" s="28"/>
      <c r="E1129" s="30" t="str">
        <f>IFERROR(VLOOKUP(D1129,KRX종목마스터!$A:$B,2,FALSE),"")</f>
        <v/>
      </c>
      <c r="F1129" s="42"/>
      <c r="G1129" s="42"/>
      <c r="H1129" s="31" t="str">
        <f t="shared" si="51"/>
        <v/>
      </c>
      <c r="I1129" s="43">
        <f ca="1">IFERROR(SUMPRODUCT((참고!$A$31:$A$130=C1129)*(참고!$B$31:$B$130&lt;=A1129)*(참고!$B$31:$B$130=_xludf.MAXIFS(참고!$B$31:$B$130,참고!$A$31:$A$130,C1129,참고!$B$31:$B$130,"&lt;="&amp;A1129))*참고!$C$31:$C$130)/100,0)</f>
        <v>0</v>
      </c>
      <c r="J1129" s="31" t="str">
        <f t="shared" si="52"/>
        <v/>
      </c>
      <c r="K1129" s="43">
        <f>IF(B1129="매도",IFERROR(SUMPRODUCT((참고!$A$31:$A$130=C1129)*(참고!$B$31:$B$130&lt;=A1129)*(참고!$B$31:$B$130=_xludf.MAXIFS(참고!$B$31:$B$130,참고!$A$31:$A$130,C1129,참고!$B$31:$B$130,"&lt;="&amp;A1129))*참고!$D$31:$D$130)/100,0),0)</f>
        <v>0</v>
      </c>
      <c r="L1129" s="31" t="str">
        <f t="shared" si="53"/>
        <v/>
      </c>
      <c r="M1129" s="39"/>
    </row>
    <row r="1130" spans="1:13" ht="18" customHeight="1" x14ac:dyDescent="0.45">
      <c r="A1130" s="37"/>
      <c r="B1130" s="29"/>
      <c r="C1130" s="29"/>
      <c r="D1130" s="28"/>
      <c r="E1130" s="30" t="str">
        <f>IFERROR(VLOOKUP(D1130,KRX종목마스터!$A:$B,2,FALSE),"")</f>
        <v/>
      </c>
      <c r="F1130" s="42"/>
      <c r="G1130" s="42"/>
      <c r="H1130" s="31" t="str">
        <f t="shared" si="51"/>
        <v/>
      </c>
      <c r="I1130" s="43">
        <f ca="1">IFERROR(SUMPRODUCT((참고!$A$31:$A$130=C1130)*(참고!$B$31:$B$130&lt;=A1130)*(참고!$B$31:$B$130=_xludf.MAXIFS(참고!$B$31:$B$130,참고!$A$31:$A$130,C1130,참고!$B$31:$B$130,"&lt;="&amp;A1130))*참고!$C$31:$C$130)/100,0)</f>
        <v>0</v>
      </c>
      <c r="J1130" s="31" t="str">
        <f t="shared" si="52"/>
        <v/>
      </c>
      <c r="K1130" s="43">
        <f>IF(B1130="매도",IFERROR(SUMPRODUCT((참고!$A$31:$A$130=C1130)*(참고!$B$31:$B$130&lt;=A1130)*(참고!$B$31:$B$130=_xludf.MAXIFS(참고!$B$31:$B$130,참고!$A$31:$A$130,C1130,참고!$B$31:$B$130,"&lt;="&amp;A1130))*참고!$D$31:$D$130)/100,0),0)</f>
        <v>0</v>
      </c>
      <c r="L1130" s="31" t="str">
        <f t="shared" si="53"/>
        <v/>
      </c>
      <c r="M1130" s="39"/>
    </row>
    <row r="1131" spans="1:13" ht="18" customHeight="1" x14ac:dyDescent="0.45">
      <c r="A1131" s="37"/>
      <c r="B1131" s="29"/>
      <c r="C1131" s="29"/>
      <c r="D1131" s="28"/>
      <c r="E1131" s="30" t="str">
        <f>IFERROR(VLOOKUP(D1131,KRX종목마스터!$A:$B,2,FALSE),"")</f>
        <v/>
      </c>
      <c r="F1131" s="42"/>
      <c r="G1131" s="42"/>
      <c r="H1131" s="31" t="str">
        <f t="shared" si="51"/>
        <v/>
      </c>
      <c r="I1131" s="43">
        <f ca="1">IFERROR(SUMPRODUCT((참고!$A$31:$A$130=C1131)*(참고!$B$31:$B$130&lt;=A1131)*(참고!$B$31:$B$130=_xludf.MAXIFS(참고!$B$31:$B$130,참고!$A$31:$A$130,C1131,참고!$B$31:$B$130,"&lt;="&amp;A1131))*참고!$C$31:$C$130)/100,0)</f>
        <v>0</v>
      </c>
      <c r="J1131" s="31" t="str">
        <f t="shared" si="52"/>
        <v/>
      </c>
      <c r="K1131" s="43">
        <f>IF(B1131="매도",IFERROR(SUMPRODUCT((참고!$A$31:$A$130=C1131)*(참고!$B$31:$B$130&lt;=A1131)*(참고!$B$31:$B$130=_xludf.MAXIFS(참고!$B$31:$B$130,참고!$A$31:$A$130,C1131,참고!$B$31:$B$130,"&lt;="&amp;A1131))*참고!$D$31:$D$130)/100,0),0)</f>
        <v>0</v>
      </c>
      <c r="L1131" s="31" t="str">
        <f t="shared" si="53"/>
        <v/>
      </c>
      <c r="M1131" s="39"/>
    </row>
    <row r="1132" spans="1:13" ht="18" customHeight="1" x14ac:dyDescent="0.45">
      <c r="A1132" s="37"/>
      <c r="B1132" s="29"/>
      <c r="C1132" s="29"/>
      <c r="D1132" s="28"/>
      <c r="E1132" s="30" t="str">
        <f>IFERROR(VLOOKUP(D1132,KRX종목마스터!$A:$B,2,FALSE),"")</f>
        <v/>
      </c>
      <c r="F1132" s="42"/>
      <c r="G1132" s="42"/>
      <c r="H1132" s="31" t="str">
        <f t="shared" si="51"/>
        <v/>
      </c>
      <c r="I1132" s="43">
        <f ca="1">IFERROR(SUMPRODUCT((참고!$A$31:$A$130=C1132)*(참고!$B$31:$B$130&lt;=A1132)*(참고!$B$31:$B$130=_xludf.MAXIFS(참고!$B$31:$B$130,참고!$A$31:$A$130,C1132,참고!$B$31:$B$130,"&lt;="&amp;A1132))*참고!$C$31:$C$130)/100,0)</f>
        <v>0</v>
      </c>
      <c r="J1132" s="31" t="str">
        <f t="shared" si="52"/>
        <v/>
      </c>
      <c r="K1132" s="43">
        <f>IF(B1132="매도",IFERROR(SUMPRODUCT((참고!$A$31:$A$130=C1132)*(참고!$B$31:$B$130&lt;=A1132)*(참고!$B$31:$B$130=_xludf.MAXIFS(참고!$B$31:$B$130,참고!$A$31:$A$130,C1132,참고!$B$31:$B$130,"&lt;="&amp;A1132))*참고!$D$31:$D$130)/100,0),0)</f>
        <v>0</v>
      </c>
      <c r="L1132" s="31" t="str">
        <f t="shared" si="53"/>
        <v/>
      </c>
      <c r="M1132" s="39"/>
    </row>
    <row r="1133" spans="1:13" ht="18" customHeight="1" x14ac:dyDescent="0.45">
      <c r="A1133" s="37"/>
      <c r="B1133" s="29"/>
      <c r="C1133" s="29"/>
      <c r="D1133" s="28"/>
      <c r="E1133" s="30" t="str">
        <f>IFERROR(VLOOKUP(D1133,KRX종목마스터!$A:$B,2,FALSE),"")</f>
        <v/>
      </c>
      <c r="F1133" s="42"/>
      <c r="G1133" s="42"/>
      <c r="H1133" s="31" t="str">
        <f t="shared" si="51"/>
        <v/>
      </c>
      <c r="I1133" s="43">
        <f ca="1">IFERROR(SUMPRODUCT((참고!$A$31:$A$130=C1133)*(참고!$B$31:$B$130&lt;=A1133)*(참고!$B$31:$B$130=_xludf.MAXIFS(참고!$B$31:$B$130,참고!$A$31:$A$130,C1133,참고!$B$31:$B$130,"&lt;="&amp;A1133))*참고!$C$31:$C$130)/100,0)</f>
        <v>0</v>
      </c>
      <c r="J1133" s="31" t="str">
        <f t="shared" si="52"/>
        <v/>
      </c>
      <c r="K1133" s="43">
        <f>IF(B1133="매도",IFERROR(SUMPRODUCT((참고!$A$31:$A$130=C1133)*(참고!$B$31:$B$130&lt;=A1133)*(참고!$B$31:$B$130=_xludf.MAXIFS(참고!$B$31:$B$130,참고!$A$31:$A$130,C1133,참고!$B$31:$B$130,"&lt;="&amp;A1133))*참고!$D$31:$D$130)/100,0),0)</f>
        <v>0</v>
      </c>
      <c r="L1133" s="31" t="str">
        <f t="shared" si="53"/>
        <v/>
      </c>
      <c r="M1133" s="39"/>
    </row>
    <row r="1134" spans="1:13" ht="18" customHeight="1" x14ac:dyDescent="0.45">
      <c r="A1134" s="37"/>
      <c r="B1134" s="29"/>
      <c r="C1134" s="29"/>
      <c r="D1134" s="28"/>
      <c r="E1134" s="30" t="str">
        <f>IFERROR(VLOOKUP(D1134,KRX종목마스터!$A:$B,2,FALSE),"")</f>
        <v/>
      </c>
      <c r="F1134" s="42"/>
      <c r="G1134" s="42"/>
      <c r="H1134" s="31" t="str">
        <f t="shared" si="51"/>
        <v/>
      </c>
      <c r="I1134" s="43">
        <f ca="1">IFERROR(SUMPRODUCT((참고!$A$31:$A$130=C1134)*(참고!$B$31:$B$130&lt;=A1134)*(참고!$B$31:$B$130=_xludf.MAXIFS(참고!$B$31:$B$130,참고!$A$31:$A$130,C1134,참고!$B$31:$B$130,"&lt;="&amp;A1134))*참고!$C$31:$C$130)/100,0)</f>
        <v>0</v>
      </c>
      <c r="J1134" s="31" t="str">
        <f t="shared" si="52"/>
        <v/>
      </c>
      <c r="K1134" s="43">
        <f>IF(B1134="매도",IFERROR(SUMPRODUCT((참고!$A$31:$A$130=C1134)*(참고!$B$31:$B$130&lt;=A1134)*(참고!$B$31:$B$130=_xludf.MAXIFS(참고!$B$31:$B$130,참고!$A$31:$A$130,C1134,참고!$B$31:$B$130,"&lt;="&amp;A1134))*참고!$D$31:$D$130)/100,0),0)</f>
        <v>0</v>
      </c>
      <c r="L1134" s="31" t="str">
        <f t="shared" si="53"/>
        <v/>
      </c>
      <c r="M1134" s="39"/>
    </row>
    <row r="1135" spans="1:13" ht="18" customHeight="1" x14ac:dyDescent="0.45">
      <c r="A1135" s="37"/>
      <c r="B1135" s="29"/>
      <c r="C1135" s="29"/>
      <c r="D1135" s="28"/>
      <c r="E1135" s="30" t="str">
        <f>IFERROR(VLOOKUP(D1135,KRX종목마스터!$A:$B,2,FALSE),"")</f>
        <v/>
      </c>
      <c r="F1135" s="42"/>
      <c r="G1135" s="42"/>
      <c r="H1135" s="31" t="str">
        <f t="shared" si="51"/>
        <v/>
      </c>
      <c r="I1135" s="43">
        <f ca="1">IFERROR(SUMPRODUCT((참고!$A$31:$A$130=C1135)*(참고!$B$31:$B$130&lt;=A1135)*(참고!$B$31:$B$130=_xludf.MAXIFS(참고!$B$31:$B$130,참고!$A$31:$A$130,C1135,참고!$B$31:$B$130,"&lt;="&amp;A1135))*참고!$C$31:$C$130)/100,0)</f>
        <v>0</v>
      </c>
      <c r="J1135" s="31" t="str">
        <f t="shared" si="52"/>
        <v/>
      </c>
      <c r="K1135" s="43">
        <f>IF(B1135="매도",IFERROR(SUMPRODUCT((참고!$A$31:$A$130=C1135)*(참고!$B$31:$B$130&lt;=A1135)*(참고!$B$31:$B$130=_xludf.MAXIFS(참고!$B$31:$B$130,참고!$A$31:$A$130,C1135,참고!$B$31:$B$130,"&lt;="&amp;A1135))*참고!$D$31:$D$130)/100,0),0)</f>
        <v>0</v>
      </c>
      <c r="L1135" s="31" t="str">
        <f t="shared" si="53"/>
        <v/>
      </c>
      <c r="M1135" s="39"/>
    </row>
    <row r="1136" spans="1:13" ht="18" customHeight="1" x14ac:dyDescent="0.45">
      <c r="A1136" s="37"/>
      <c r="B1136" s="29"/>
      <c r="C1136" s="29"/>
      <c r="D1136" s="28"/>
      <c r="E1136" s="30" t="str">
        <f>IFERROR(VLOOKUP(D1136,KRX종목마스터!$A:$B,2,FALSE),"")</f>
        <v/>
      </c>
      <c r="F1136" s="42"/>
      <c r="G1136" s="42"/>
      <c r="H1136" s="31" t="str">
        <f t="shared" si="51"/>
        <v/>
      </c>
      <c r="I1136" s="43">
        <f ca="1">IFERROR(SUMPRODUCT((참고!$A$31:$A$130=C1136)*(참고!$B$31:$B$130&lt;=A1136)*(참고!$B$31:$B$130=_xludf.MAXIFS(참고!$B$31:$B$130,참고!$A$31:$A$130,C1136,참고!$B$31:$B$130,"&lt;="&amp;A1136))*참고!$C$31:$C$130)/100,0)</f>
        <v>0</v>
      </c>
      <c r="J1136" s="31" t="str">
        <f t="shared" si="52"/>
        <v/>
      </c>
      <c r="K1136" s="43">
        <f>IF(B1136="매도",IFERROR(SUMPRODUCT((참고!$A$31:$A$130=C1136)*(참고!$B$31:$B$130&lt;=A1136)*(참고!$B$31:$B$130=_xludf.MAXIFS(참고!$B$31:$B$130,참고!$A$31:$A$130,C1136,참고!$B$31:$B$130,"&lt;="&amp;A1136))*참고!$D$31:$D$130)/100,0),0)</f>
        <v>0</v>
      </c>
      <c r="L1136" s="31" t="str">
        <f t="shared" si="53"/>
        <v/>
      </c>
      <c r="M1136" s="39"/>
    </row>
    <row r="1137" spans="1:13" ht="18" customHeight="1" x14ac:dyDescent="0.45">
      <c r="A1137" s="37"/>
      <c r="B1137" s="29"/>
      <c r="C1137" s="29"/>
      <c r="D1137" s="28"/>
      <c r="E1137" s="30" t="str">
        <f>IFERROR(VLOOKUP(D1137,KRX종목마스터!$A:$B,2,FALSE),"")</f>
        <v/>
      </c>
      <c r="F1137" s="42"/>
      <c r="G1137" s="42"/>
      <c r="H1137" s="31" t="str">
        <f t="shared" si="51"/>
        <v/>
      </c>
      <c r="I1137" s="43">
        <f ca="1">IFERROR(SUMPRODUCT((참고!$A$31:$A$130=C1137)*(참고!$B$31:$B$130&lt;=A1137)*(참고!$B$31:$B$130=_xludf.MAXIFS(참고!$B$31:$B$130,참고!$A$31:$A$130,C1137,참고!$B$31:$B$130,"&lt;="&amp;A1137))*참고!$C$31:$C$130)/100,0)</f>
        <v>0</v>
      </c>
      <c r="J1137" s="31" t="str">
        <f t="shared" si="52"/>
        <v/>
      </c>
      <c r="K1137" s="43">
        <f>IF(B1137="매도",IFERROR(SUMPRODUCT((참고!$A$31:$A$130=C1137)*(참고!$B$31:$B$130&lt;=A1137)*(참고!$B$31:$B$130=_xludf.MAXIFS(참고!$B$31:$B$130,참고!$A$31:$A$130,C1137,참고!$B$31:$B$130,"&lt;="&amp;A1137))*참고!$D$31:$D$130)/100,0),0)</f>
        <v>0</v>
      </c>
      <c r="L1137" s="31" t="str">
        <f t="shared" si="53"/>
        <v/>
      </c>
      <c r="M1137" s="39"/>
    </row>
    <row r="1138" spans="1:13" ht="18" customHeight="1" x14ac:dyDescent="0.45">
      <c r="A1138" s="37"/>
      <c r="B1138" s="29"/>
      <c r="C1138" s="29"/>
      <c r="D1138" s="28"/>
      <c r="E1138" s="30" t="str">
        <f>IFERROR(VLOOKUP(D1138,KRX종목마스터!$A:$B,2,FALSE),"")</f>
        <v/>
      </c>
      <c r="F1138" s="42"/>
      <c r="G1138" s="42"/>
      <c r="H1138" s="31" t="str">
        <f t="shared" si="51"/>
        <v/>
      </c>
      <c r="I1138" s="43">
        <f ca="1">IFERROR(SUMPRODUCT((참고!$A$31:$A$130=C1138)*(참고!$B$31:$B$130&lt;=A1138)*(참고!$B$31:$B$130=_xludf.MAXIFS(참고!$B$31:$B$130,참고!$A$31:$A$130,C1138,참고!$B$31:$B$130,"&lt;="&amp;A1138))*참고!$C$31:$C$130)/100,0)</f>
        <v>0</v>
      </c>
      <c r="J1138" s="31" t="str">
        <f t="shared" si="52"/>
        <v/>
      </c>
      <c r="K1138" s="43">
        <f>IF(B1138="매도",IFERROR(SUMPRODUCT((참고!$A$31:$A$130=C1138)*(참고!$B$31:$B$130&lt;=A1138)*(참고!$B$31:$B$130=_xludf.MAXIFS(참고!$B$31:$B$130,참고!$A$31:$A$130,C1138,참고!$B$31:$B$130,"&lt;="&amp;A1138))*참고!$D$31:$D$130)/100,0),0)</f>
        <v>0</v>
      </c>
      <c r="L1138" s="31" t="str">
        <f t="shared" si="53"/>
        <v/>
      </c>
      <c r="M1138" s="39"/>
    </row>
    <row r="1139" spans="1:13" ht="18" customHeight="1" x14ac:dyDescent="0.45">
      <c r="A1139" s="37"/>
      <c r="B1139" s="29"/>
      <c r="C1139" s="29"/>
      <c r="D1139" s="28"/>
      <c r="E1139" s="30" t="str">
        <f>IFERROR(VLOOKUP(D1139,KRX종목마스터!$A:$B,2,FALSE),"")</f>
        <v/>
      </c>
      <c r="F1139" s="42"/>
      <c r="G1139" s="42"/>
      <c r="H1139" s="31" t="str">
        <f t="shared" si="51"/>
        <v/>
      </c>
      <c r="I1139" s="43">
        <f ca="1">IFERROR(SUMPRODUCT((참고!$A$31:$A$130=C1139)*(참고!$B$31:$B$130&lt;=A1139)*(참고!$B$31:$B$130=_xludf.MAXIFS(참고!$B$31:$B$130,참고!$A$31:$A$130,C1139,참고!$B$31:$B$130,"&lt;="&amp;A1139))*참고!$C$31:$C$130)/100,0)</f>
        <v>0</v>
      </c>
      <c r="J1139" s="31" t="str">
        <f t="shared" si="52"/>
        <v/>
      </c>
      <c r="K1139" s="43">
        <f>IF(B1139="매도",IFERROR(SUMPRODUCT((참고!$A$31:$A$130=C1139)*(참고!$B$31:$B$130&lt;=A1139)*(참고!$B$31:$B$130=_xludf.MAXIFS(참고!$B$31:$B$130,참고!$A$31:$A$130,C1139,참고!$B$31:$B$130,"&lt;="&amp;A1139))*참고!$D$31:$D$130)/100,0),0)</f>
        <v>0</v>
      </c>
      <c r="L1139" s="31" t="str">
        <f t="shared" si="53"/>
        <v/>
      </c>
      <c r="M1139" s="39"/>
    </row>
    <row r="1140" spans="1:13" ht="18" customHeight="1" x14ac:dyDescent="0.45">
      <c r="A1140" s="37"/>
      <c r="B1140" s="29"/>
      <c r="C1140" s="29"/>
      <c r="D1140" s="28"/>
      <c r="E1140" s="30" t="str">
        <f>IFERROR(VLOOKUP(D1140,KRX종목마스터!$A:$B,2,FALSE),"")</f>
        <v/>
      </c>
      <c r="F1140" s="42"/>
      <c r="G1140" s="42"/>
      <c r="H1140" s="31" t="str">
        <f t="shared" si="51"/>
        <v/>
      </c>
      <c r="I1140" s="43">
        <f ca="1">IFERROR(SUMPRODUCT((참고!$A$31:$A$130=C1140)*(참고!$B$31:$B$130&lt;=A1140)*(참고!$B$31:$B$130=_xludf.MAXIFS(참고!$B$31:$B$130,참고!$A$31:$A$130,C1140,참고!$B$31:$B$130,"&lt;="&amp;A1140))*참고!$C$31:$C$130)/100,0)</f>
        <v>0</v>
      </c>
      <c r="J1140" s="31" t="str">
        <f t="shared" si="52"/>
        <v/>
      </c>
      <c r="K1140" s="43">
        <f>IF(B1140="매도",IFERROR(SUMPRODUCT((참고!$A$31:$A$130=C1140)*(참고!$B$31:$B$130&lt;=A1140)*(참고!$B$31:$B$130=_xludf.MAXIFS(참고!$B$31:$B$130,참고!$A$31:$A$130,C1140,참고!$B$31:$B$130,"&lt;="&amp;A1140))*참고!$D$31:$D$130)/100,0),0)</f>
        <v>0</v>
      </c>
      <c r="L1140" s="31" t="str">
        <f t="shared" si="53"/>
        <v/>
      </c>
      <c r="M1140" s="39"/>
    </row>
    <row r="1141" spans="1:13" ht="18" customHeight="1" x14ac:dyDescent="0.45">
      <c r="A1141" s="37"/>
      <c r="B1141" s="29"/>
      <c r="C1141" s="29"/>
      <c r="D1141" s="28"/>
      <c r="E1141" s="30" t="str">
        <f>IFERROR(VLOOKUP(D1141,KRX종목마스터!$A:$B,2,FALSE),"")</f>
        <v/>
      </c>
      <c r="F1141" s="42"/>
      <c r="G1141" s="42"/>
      <c r="H1141" s="31" t="str">
        <f t="shared" si="51"/>
        <v/>
      </c>
      <c r="I1141" s="43">
        <f ca="1">IFERROR(SUMPRODUCT((참고!$A$31:$A$130=C1141)*(참고!$B$31:$B$130&lt;=A1141)*(참고!$B$31:$B$130=_xludf.MAXIFS(참고!$B$31:$B$130,참고!$A$31:$A$130,C1141,참고!$B$31:$B$130,"&lt;="&amp;A1141))*참고!$C$31:$C$130)/100,0)</f>
        <v>0</v>
      </c>
      <c r="J1141" s="31" t="str">
        <f t="shared" si="52"/>
        <v/>
      </c>
      <c r="K1141" s="43">
        <f>IF(B1141="매도",IFERROR(SUMPRODUCT((참고!$A$31:$A$130=C1141)*(참고!$B$31:$B$130&lt;=A1141)*(참고!$B$31:$B$130=_xludf.MAXIFS(참고!$B$31:$B$130,참고!$A$31:$A$130,C1141,참고!$B$31:$B$130,"&lt;="&amp;A1141))*참고!$D$31:$D$130)/100,0),0)</f>
        <v>0</v>
      </c>
      <c r="L1141" s="31" t="str">
        <f t="shared" si="53"/>
        <v/>
      </c>
      <c r="M1141" s="39"/>
    </row>
    <row r="1142" spans="1:13" ht="18" customHeight="1" x14ac:dyDescent="0.45">
      <c r="A1142" s="37"/>
      <c r="B1142" s="29"/>
      <c r="C1142" s="29"/>
      <c r="D1142" s="28"/>
      <c r="E1142" s="30" t="str">
        <f>IFERROR(VLOOKUP(D1142,KRX종목마스터!$A:$B,2,FALSE),"")</f>
        <v/>
      </c>
      <c r="F1142" s="42"/>
      <c r="G1142" s="42"/>
      <c r="H1142" s="31" t="str">
        <f t="shared" si="51"/>
        <v/>
      </c>
      <c r="I1142" s="43">
        <f ca="1">IFERROR(SUMPRODUCT((참고!$A$31:$A$130=C1142)*(참고!$B$31:$B$130&lt;=A1142)*(참고!$B$31:$B$130=_xludf.MAXIFS(참고!$B$31:$B$130,참고!$A$31:$A$130,C1142,참고!$B$31:$B$130,"&lt;="&amp;A1142))*참고!$C$31:$C$130)/100,0)</f>
        <v>0</v>
      </c>
      <c r="J1142" s="31" t="str">
        <f t="shared" si="52"/>
        <v/>
      </c>
      <c r="K1142" s="43">
        <f>IF(B1142="매도",IFERROR(SUMPRODUCT((참고!$A$31:$A$130=C1142)*(참고!$B$31:$B$130&lt;=A1142)*(참고!$B$31:$B$130=_xludf.MAXIFS(참고!$B$31:$B$130,참고!$A$31:$A$130,C1142,참고!$B$31:$B$130,"&lt;="&amp;A1142))*참고!$D$31:$D$130)/100,0),0)</f>
        <v>0</v>
      </c>
      <c r="L1142" s="31" t="str">
        <f t="shared" si="53"/>
        <v/>
      </c>
      <c r="M1142" s="39"/>
    </row>
    <row r="1143" spans="1:13" ht="18" customHeight="1" x14ac:dyDescent="0.45">
      <c r="A1143" s="37"/>
      <c r="B1143" s="29"/>
      <c r="C1143" s="29"/>
      <c r="D1143" s="28"/>
      <c r="E1143" s="30" t="str">
        <f>IFERROR(VLOOKUP(D1143,KRX종목마스터!$A:$B,2,FALSE),"")</f>
        <v/>
      </c>
      <c r="F1143" s="42"/>
      <c r="G1143" s="42"/>
      <c r="H1143" s="31" t="str">
        <f t="shared" si="51"/>
        <v/>
      </c>
      <c r="I1143" s="43">
        <f ca="1">IFERROR(SUMPRODUCT((참고!$A$31:$A$130=C1143)*(참고!$B$31:$B$130&lt;=A1143)*(참고!$B$31:$B$130=_xludf.MAXIFS(참고!$B$31:$B$130,참고!$A$31:$A$130,C1143,참고!$B$31:$B$130,"&lt;="&amp;A1143))*참고!$C$31:$C$130)/100,0)</f>
        <v>0</v>
      </c>
      <c r="J1143" s="31" t="str">
        <f t="shared" si="52"/>
        <v/>
      </c>
      <c r="K1143" s="43">
        <f>IF(B1143="매도",IFERROR(SUMPRODUCT((참고!$A$31:$A$130=C1143)*(참고!$B$31:$B$130&lt;=A1143)*(참고!$B$31:$B$130=_xludf.MAXIFS(참고!$B$31:$B$130,참고!$A$31:$A$130,C1143,참고!$B$31:$B$130,"&lt;="&amp;A1143))*참고!$D$31:$D$130)/100,0),0)</f>
        <v>0</v>
      </c>
      <c r="L1143" s="31" t="str">
        <f t="shared" si="53"/>
        <v/>
      </c>
      <c r="M1143" s="39"/>
    </row>
    <row r="1144" spans="1:13" ht="18" customHeight="1" x14ac:dyDescent="0.45">
      <c r="A1144" s="37"/>
      <c r="B1144" s="29"/>
      <c r="C1144" s="29"/>
      <c r="D1144" s="28"/>
      <c r="E1144" s="30" t="str">
        <f>IFERROR(VLOOKUP(D1144,KRX종목마스터!$A:$B,2,FALSE),"")</f>
        <v/>
      </c>
      <c r="F1144" s="42"/>
      <c r="G1144" s="42"/>
      <c r="H1144" s="31" t="str">
        <f t="shared" si="51"/>
        <v/>
      </c>
      <c r="I1144" s="43">
        <f ca="1">IFERROR(SUMPRODUCT((참고!$A$31:$A$130=C1144)*(참고!$B$31:$B$130&lt;=A1144)*(참고!$B$31:$B$130=_xludf.MAXIFS(참고!$B$31:$B$130,참고!$A$31:$A$130,C1144,참고!$B$31:$B$130,"&lt;="&amp;A1144))*참고!$C$31:$C$130)/100,0)</f>
        <v>0</v>
      </c>
      <c r="J1144" s="31" t="str">
        <f t="shared" si="52"/>
        <v/>
      </c>
      <c r="K1144" s="43">
        <f>IF(B1144="매도",IFERROR(SUMPRODUCT((참고!$A$31:$A$130=C1144)*(참고!$B$31:$B$130&lt;=A1144)*(참고!$B$31:$B$130=_xludf.MAXIFS(참고!$B$31:$B$130,참고!$A$31:$A$130,C1144,참고!$B$31:$B$130,"&lt;="&amp;A1144))*참고!$D$31:$D$130)/100,0),0)</f>
        <v>0</v>
      </c>
      <c r="L1144" s="31" t="str">
        <f t="shared" si="53"/>
        <v/>
      </c>
      <c r="M1144" s="39"/>
    </row>
    <row r="1145" spans="1:13" ht="18" customHeight="1" x14ac:dyDescent="0.45">
      <c r="A1145" s="37"/>
      <c r="B1145" s="29"/>
      <c r="C1145" s="29"/>
      <c r="D1145" s="28"/>
      <c r="E1145" s="30" t="str">
        <f>IFERROR(VLOOKUP(D1145,KRX종목마스터!$A:$B,2,FALSE),"")</f>
        <v/>
      </c>
      <c r="F1145" s="42"/>
      <c r="G1145" s="42"/>
      <c r="H1145" s="31" t="str">
        <f t="shared" si="51"/>
        <v/>
      </c>
      <c r="I1145" s="43">
        <f ca="1">IFERROR(SUMPRODUCT((참고!$A$31:$A$130=C1145)*(참고!$B$31:$B$130&lt;=A1145)*(참고!$B$31:$B$130=_xludf.MAXIFS(참고!$B$31:$B$130,참고!$A$31:$A$130,C1145,참고!$B$31:$B$130,"&lt;="&amp;A1145))*참고!$C$31:$C$130)/100,0)</f>
        <v>0</v>
      </c>
      <c r="J1145" s="31" t="str">
        <f t="shared" si="52"/>
        <v/>
      </c>
      <c r="K1145" s="43">
        <f>IF(B1145="매도",IFERROR(SUMPRODUCT((참고!$A$31:$A$130=C1145)*(참고!$B$31:$B$130&lt;=A1145)*(참고!$B$31:$B$130=_xludf.MAXIFS(참고!$B$31:$B$130,참고!$A$31:$A$130,C1145,참고!$B$31:$B$130,"&lt;="&amp;A1145))*참고!$D$31:$D$130)/100,0),0)</f>
        <v>0</v>
      </c>
      <c r="L1145" s="31" t="str">
        <f t="shared" si="53"/>
        <v/>
      </c>
      <c r="M1145" s="39"/>
    </row>
    <row r="1146" spans="1:13" ht="18" customHeight="1" x14ac:dyDescent="0.45">
      <c r="A1146" s="37"/>
      <c r="B1146" s="29"/>
      <c r="C1146" s="29"/>
      <c r="D1146" s="28"/>
      <c r="E1146" s="30" t="str">
        <f>IFERROR(VLOOKUP(D1146,KRX종목마스터!$A:$B,2,FALSE),"")</f>
        <v/>
      </c>
      <c r="F1146" s="42"/>
      <c r="G1146" s="42"/>
      <c r="H1146" s="31" t="str">
        <f t="shared" si="51"/>
        <v/>
      </c>
      <c r="I1146" s="43">
        <f ca="1">IFERROR(SUMPRODUCT((참고!$A$31:$A$130=C1146)*(참고!$B$31:$B$130&lt;=A1146)*(참고!$B$31:$B$130=_xludf.MAXIFS(참고!$B$31:$B$130,참고!$A$31:$A$130,C1146,참고!$B$31:$B$130,"&lt;="&amp;A1146))*참고!$C$31:$C$130)/100,0)</f>
        <v>0</v>
      </c>
      <c r="J1146" s="31" t="str">
        <f t="shared" si="52"/>
        <v/>
      </c>
      <c r="K1146" s="43">
        <f>IF(B1146="매도",IFERROR(SUMPRODUCT((참고!$A$31:$A$130=C1146)*(참고!$B$31:$B$130&lt;=A1146)*(참고!$B$31:$B$130=_xludf.MAXIFS(참고!$B$31:$B$130,참고!$A$31:$A$130,C1146,참고!$B$31:$B$130,"&lt;="&amp;A1146))*참고!$D$31:$D$130)/100,0),0)</f>
        <v>0</v>
      </c>
      <c r="L1146" s="31" t="str">
        <f t="shared" si="53"/>
        <v/>
      </c>
      <c r="M1146" s="39"/>
    </row>
    <row r="1147" spans="1:13" ht="18" customHeight="1" x14ac:dyDescent="0.45">
      <c r="A1147" s="37"/>
      <c r="B1147" s="29"/>
      <c r="C1147" s="29"/>
      <c r="D1147" s="28"/>
      <c r="E1147" s="30" t="str">
        <f>IFERROR(VLOOKUP(D1147,KRX종목마스터!$A:$B,2,FALSE),"")</f>
        <v/>
      </c>
      <c r="F1147" s="42"/>
      <c r="G1147" s="42"/>
      <c r="H1147" s="31" t="str">
        <f t="shared" si="51"/>
        <v/>
      </c>
      <c r="I1147" s="43">
        <f ca="1">IFERROR(SUMPRODUCT((참고!$A$31:$A$130=C1147)*(참고!$B$31:$B$130&lt;=A1147)*(참고!$B$31:$B$130=_xludf.MAXIFS(참고!$B$31:$B$130,참고!$A$31:$A$130,C1147,참고!$B$31:$B$130,"&lt;="&amp;A1147))*참고!$C$31:$C$130)/100,0)</f>
        <v>0</v>
      </c>
      <c r="J1147" s="31" t="str">
        <f t="shared" si="52"/>
        <v/>
      </c>
      <c r="K1147" s="43">
        <f>IF(B1147="매도",IFERROR(SUMPRODUCT((참고!$A$31:$A$130=C1147)*(참고!$B$31:$B$130&lt;=A1147)*(참고!$B$31:$B$130=_xludf.MAXIFS(참고!$B$31:$B$130,참고!$A$31:$A$130,C1147,참고!$B$31:$B$130,"&lt;="&amp;A1147))*참고!$D$31:$D$130)/100,0),0)</f>
        <v>0</v>
      </c>
      <c r="L1147" s="31" t="str">
        <f t="shared" si="53"/>
        <v/>
      </c>
      <c r="M1147" s="39"/>
    </row>
    <row r="1148" spans="1:13" ht="18" customHeight="1" x14ac:dyDescent="0.45">
      <c r="A1148" s="37"/>
      <c r="B1148" s="29"/>
      <c r="C1148" s="29"/>
      <c r="D1148" s="28"/>
      <c r="E1148" s="30" t="str">
        <f>IFERROR(VLOOKUP(D1148,KRX종목마스터!$A:$B,2,FALSE),"")</f>
        <v/>
      </c>
      <c r="F1148" s="42"/>
      <c r="G1148" s="42"/>
      <c r="H1148" s="31" t="str">
        <f t="shared" si="51"/>
        <v/>
      </c>
      <c r="I1148" s="43">
        <f ca="1">IFERROR(SUMPRODUCT((참고!$A$31:$A$130=C1148)*(참고!$B$31:$B$130&lt;=A1148)*(참고!$B$31:$B$130=_xludf.MAXIFS(참고!$B$31:$B$130,참고!$A$31:$A$130,C1148,참고!$B$31:$B$130,"&lt;="&amp;A1148))*참고!$C$31:$C$130)/100,0)</f>
        <v>0</v>
      </c>
      <c r="J1148" s="31" t="str">
        <f t="shared" si="52"/>
        <v/>
      </c>
      <c r="K1148" s="43">
        <f>IF(B1148="매도",IFERROR(SUMPRODUCT((참고!$A$31:$A$130=C1148)*(참고!$B$31:$B$130&lt;=A1148)*(참고!$B$31:$B$130=_xludf.MAXIFS(참고!$B$31:$B$130,참고!$A$31:$A$130,C1148,참고!$B$31:$B$130,"&lt;="&amp;A1148))*참고!$D$31:$D$130)/100,0),0)</f>
        <v>0</v>
      </c>
      <c r="L1148" s="31" t="str">
        <f t="shared" si="53"/>
        <v/>
      </c>
      <c r="M1148" s="39"/>
    </row>
    <row r="1149" spans="1:13" ht="18" customHeight="1" x14ac:dyDescent="0.45">
      <c r="A1149" s="37"/>
      <c r="B1149" s="29"/>
      <c r="C1149" s="29"/>
      <c r="D1149" s="28"/>
      <c r="E1149" s="30" t="str">
        <f>IFERROR(VLOOKUP(D1149,KRX종목마스터!$A:$B,2,FALSE),"")</f>
        <v/>
      </c>
      <c r="F1149" s="42"/>
      <c r="G1149" s="42"/>
      <c r="H1149" s="31" t="str">
        <f t="shared" si="51"/>
        <v/>
      </c>
      <c r="I1149" s="43">
        <f ca="1">IFERROR(SUMPRODUCT((참고!$A$31:$A$130=C1149)*(참고!$B$31:$B$130&lt;=A1149)*(참고!$B$31:$B$130=_xludf.MAXIFS(참고!$B$31:$B$130,참고!$A$31:$A$130,C1149,참고!$B$31:$B$130,"&lt;="&amp;A1149))*참고!$C$31:$C$130)/100,0)</f>
        <v>0</v>
      </c>
      <c r="J1149" s="31" t="str">
        <f t="shared" si="52"/>
        <v/>
      </c>
      <c r="K1149" s="43">
        <f>IF(B1149="매도",IFERROR(SUMPRODUCT((참고!$A$31:$A$130=C1149)*(참고!$B$31:$B$130&lt;=A1149)*(참고!$B$31:$B$130=_xludf.MAXIFS(참고!$B$31:$B$130,참고!$A$31:$A$130,C1149,참고!$B$31:$B$130,"&lt;="&amp;A1149))*참고!$D$31:$D$130)/100,0),0)</f>
        <v>0</v>
      </c>
      <c r="L1149" s="31" t="str">
        <f t="shared" si="53"/>
        <v/>
      </c>
      <c r="M1149" s="39"/>
    </row>
    <row r="1150" spans="1:13" ht="18" customHeight="1" x14ac:dyDescent="0.45">
      <c r="A1150" s="37"/>
      <c r="B1150" s="29"/>
      <c r="C1150" s="29"/>
      <c r="D1150" s="28"/>
      <c r="E1150" s="30" t="str">
        <f>IFERROR(VLOOKUP(D1150,KRX종목마스터!$A:$B,2,FALSE),"")</f>
        <v/>
      </c>
      <c r="F1150" s="42"/>
      <c r="G1150" s="42"/>
      <c r="H1150" s="31" t="str">
        <f t="shared" si="51"/>
        <v/>
      </c>
      <c r="I1150" s="43">
        <f ca="1">IFERROR(SUMPRODUCT((참고!$A$31:$A$130=C1150)*(참고!$B$31:$B$130&lt;=A1150)*(참고!$B$31:$B$130=_xludf.MAXIFS(참고!$B$31:$B$130,참고!$A$31:$A$130,C1150,참고!$B$31:$B$130,"&lt;="&amp;A1150))*참고!$C$31:$C$130)/100,0)</f>
        <v>0</v>
      </c>
      <c r="J1150" s="31" t="str">
        <f t="shared" si="52"/>
        <v/>
      </c>
      <c r="K1150" s="43">
        <f>IF(B1150="매도",IFERROR(SUMPRODUCT((참고!$A$31:$A$130=C1150)*(참고!$B$31:$B$130&lt;=A1150)*(참고!$B$31:$B$130=_xludf.MAXIFS(참고!$B$31:$B$130,참고!$A$31:$A$130,C1150,참고!$B$31:$B$130,"&lt;="&amp;A1150))*참고!$D$31:$D$130)/100,0),0)</f>
        <v>0</v>
      </c>
      <c r="L1150" s="31" t="str">
        <f t="shared" si="53"/>
        <v/>
      </c>
      <c r="M1150" s="39"/>
    </row>
    <row r="1151" spans="1:13" ht="18" customHeight="1" x14ac:dyDescent="0.45">
      <c r="A1151" s="37"/>
      <c r="B1151" s="29"/>
      <c r="C1151" s="29"/>
      <c r="D1151" s="28"/>
      <c r="E1151" s="30" t="str">
        <f>IFERROR(VLOOKUP(D1151,KRX종목마스터!$A:$B,2,FALSE),"")</f>
        <v/>
      </c>
      <c r="F1151" s="42"/>
      <c r="G1151" s="42"/>
      <c r="H1151" s="31" t="str">
        <f t="shared" si="51"/>
        <v/>
      </c>
      <c r="I1151" s="43">
        <f ca="1">IFERROR(SUMPRODUCT((참고!$A$31:$A$130=C1151)*(참고!$B$31:$B$130&lt;=A1151)*(참고!$B$31:$B$130=_xludf.MAXIFS(참고!$B$31:$B$130,참고!$A$31:$A$130,C1151,참고!$B$31:$B$130,"&lt;="&amp;A1151))*참고!$C$31:$C$130)/100,0)</f>
        <v>0</v>
      </c>
      <c r="J1151" s="31" t="str">
        <f t="shared" si="52"/>
        <v/>
      </c>
      <c r="K1151" s="43">
        <f>IF(B1151="매도",IFERROR(SUMPRODUCT((참고!$A$31:$A$130=C1151)*(참고!$B$31:$B$130&lt;=A1151)*(참고!$B$31:$B$130=_xludf.MAXIFS(참고!$B$31:$B$130,참고!$A$31:$A$130,C1151,참고!$B$31:$B$130,"&lt;="&amp;A1151))*참고!$D$31:$D$130)/100,0),0)</f>
        <v>0</v>
      </c>
      <c r="L1151" s="31" t="str">
        <f t="shared" si="53"/>
        <v/>
      </c>
      <c r="M1151" s="39"/>
    </row>
    <row r="1152" spans="1:13" ht="18" customHeight="1" x14ac:dyDescent="0.45">
      <c r="A1152" s="37"/>
      <c r="B1152" s="29"/>
      <c r="C1152" s="29"/>
      <c r="D1152" s="28"/>
      <c r="E1152" s="30" t="str">
        <f>IFERROR(VLOOKUP(D1152,KRX종목마스터!$A:$B,2,FALSE),"")</f>
        <v/>
      </c>
      <c r="F1152" s="42"/>
      <c r="G1152" s="42"/>
      <c r="H1152" s="31" t="str">
        <f t="shared" si="51"/>
        <v/>
      </c>
      <c r="I1152" s="43">
        <f ca="1">IFERROR(SUMPRODUCT((참고!$A$31:$A$130=C1152)*(참고!$B$31:$B$130&lt;=A1152)*(참고!$B$31:$B$130=_xludf.MAXIFS(참고!$B$31:$B$130,참고!$A$31:$A$130,C1152,참고!$B$31:$B$130,"&lt;="&amp;A1152))*참고!$C$31:$C$130)/100,0)</f>
        <v>0</v>
      </c>
      <c r="J1152" s="31" t="str">
        <f t="shared" si="52"/>
        <v/>
      </c>
      <c r="K1152" s="43">
        <f>IF(B1152="매도",IFERROR(SUMPRODUCT((참고!$A$31:$A$130=C1152)*(참고!$B$31:$B$130&lt;=A1152)*(참고!$B$31:$B$130=_xludf.MAXIFS(참고!$B$31:$B$130,참고!$A$31:$A$130,C1152,참고!$B$31:$B$130,"&lt;="&amp;A1152))*참고!$D$31:$D$130)/100,0),0)</f>
        <v>0</v>
      </c>
      <c r="L1152" s="31" t="str">
        <f t="shared" si="53"/>
        <v/>
      </c>
      <c r="M1152" s="39"/>
    </row>
    <row r="1153" spans="1:13" ht="18" customHeight="1" x14ac:dyDescent="0.45">
      <c r="A1153" s="37"/>
      <c r="B1153" s="29"/>
      <c r="C1153" s="29"/>
      <c r="D1153" s="28"/>
      <c r="E1153" s="30" t="str">
        <f>IFERROR(VLOOKUP(D1153,KRX종목마스터!$A:$B,2,FALSE),"")</f>
        <v/>
      </c>
      <c r="F1153" s="42"/>
      <c r="G1153" s="42"/>
      <c r="H1153" s="31" t="str">
        <f t="shared" si="51"/>
        <v/>
      </c>
      <c r="I1153" s="43">
        <f ca="1">IFERROR(SUMPRODUCT((참고!$A$31:$A$130=C1153)*(참고!$B$31:$B$130&lt;=A1153)*(참고!$B$31:$B$130=_xludf.MAXIFS(참고!$B$31:$B$130,참고!$A$31:$A$130,C1153,참고!$B$31:$B$130,"&lt;="&amp;A1153))*참고!$C$31:$C$130)/100,0)</f>
        <v>0</v>
      </c>
      <c r="J1153" s="31" t="str">
        <f t="shared" si="52"/>
        <v/>
      </c>
      <c r="K1153" s="43">
        <f>IF(B1153="매도",IFERROR(SUMPRODUCT((참고!$A$31:$A$130=C1153)*(참고!$B$31:$B$130&lt;=A1153)*(참고!$B$31:$B$130=_xludf.MAXIFS(참고!$B$31:$B$130,참고!$A$31:$A$130,C1153,참고!$B$31:$B$130,"&lt;="&amp;A1153))*참고!$D$31:$D$130)/100,0),0)</f>
        <v>0</v>
      </c>
      <c r="L1153" s="31" t="str">
        <f t="shared" si="53"/>
        <v/>
      </c>
      <c r="M1153" s="39"/>
    </row>
    <row r="1154" spans="1:13" ht="18" customHeight="1" x14ac:dyDescent="0.45">
      <c r="A1154" s="37"/>
      <c r="B1154" s="29"/>
      <c r="C1154" s="29"/>
      <c r="D1154" s="28"/>
      <c r="E1154" s="30" t="str">
        <f>IFERROR(VLOOKUP(D1154,KRX종목마스터!$A:$B,2,FALSE),"")</f>
        <v/>
      </c>
      <c r="F1154" s="42"/>
      <c r="G1154" s="42"/>
      <c r="H1154" s="31" t="str">
        <f t="shared" si="51"/>
        <v/>
      </c>
      <c r="I1154" s="43">
        <f ca="1">IFERROR(SUMPRODUCT((참고!$A$31:$A$130=C1154)*(참고!$B$31:$B$130&lt;=A1154)*(참고!$B$31:$B$130=_xludf.MAXIFS(참고!$B$31:$B$130,참고!$A$31:$A$130,C1154,참고!$B$31:$B$130,"&lt;="&amp;A1154))*참고!$C$31:$C$130)/100,0)</f>
        <v>0</v>
      </c>
      <c r="J1154" s="31" t="str">
        <f t="shared" si="52"/>
        <v/>
      </c>
      <c r="K1154" s="43">
        <f>IF(B1154="매도",IFERROR(SUMPRODUCT((참고!$A$31:$A$130=C1154)*(참고!$B$31:$B$130&lt;=A1154)*(참고!$B$31:$B$130=_xludf.MAXIFS(참고!$B$31:$B$130,참고!$A$31:$A$130,C1154,참고!$B$31:$B$130,"&lt;="&amp;A1154))*참고!$D$31:$D$130)/100,0),0)</f>
        <v>0</v>
      </c>
      <c r="L1154" s="31" t="str">
        <f t="shared" si="53"/>
        <v/>
      </c>
      <c r="M1154" s="39"/>
    </row>
    <row r="1155" spans="1:13" ht="18" customHeight="1" x14ac:dyDescent="0.45">
      <c r="A1155" s="37"/>
      <c r="B1155" s="29"/>
      <c r="C1155" s="29"/>
      <c r="D1155" s="28"/>
      <c r="E1155" s="30" t="str">
        <f>IFERROR(VLOOKUP(D1155,KRX종목마스터!$A:$B,2,FALSE),"")</f>
        <v/>
      </c>
      <c r="F1155" s="42"/>
      <c r="G1155" s="42"/>
      <c r="H1155" s="31" t="str">
        <f t="shared" si="51"/>
        <v/>
      </c>
      <c r="I1155" s="43">
        <f ca="1">IFERROR(SUMPRODUCT((참고!$A$31:$A$130=C1155)*(참고!$B$31:$B$130&lt;=A1155)*(참고!$B$31:$B$130=_xludf.MAXIFS(참고!$B$31:$B$130,참고!$A$31:$A$130,C1155,참고!$B$31:$B$130,"&lt;="&amp;A1155))*참고!$C$31:$C$130)/100,0)</f>
        <v>0</v>
      </c>
      <c r="J1155" s="31" t="str">
        <f t="shared" si="52"/>
        <v/>
      </c>
      <c r="K1155" s="43">
        <f>IF(B1155="매도",IFERROR(SUMPRODUCT((참고!$A$31:$A$130=C1155)*(참고!$B$31:$B$130&lt;=A1155)*(참고!$B$31:$B$130=_xludf.MAXIFS(참고!$B$31:$B$130,참고!$A$31:$A$130,C1155,참고!$B$31:$B$130,"&lt;="&amp;A1155))*참고!$D$31:$D$130)/100,0),0)</f>
        <v>0</v>
      </c>
      <c r="L1155" s="31" t="str">
        <f t="shared" si="53"/>
        <v/>
      </c>
      <c r="M1155" s="39"/>
    </row>
    <row r="1156" spans="1:13" ht="18" customHeight="1" x14ac:dyDescent="0.45">
      <c r="A1156" s="37"/>
      <c r="B1156" s="29"/>
      <c r="C1156" s="29"/>
      <c r="D1156" s="28"/>
      <c r="E1156" s="30" t="str">
        <f>IFERROR(VLOOKUP(D1156,KRX종목마스터!$A:$B,2,FALSE),"")</f>
        <v/>
      </c>
      <c r="F1156" s="42"/>
      <c r="G1156" s="42"/>
      <c r="H1156" s="31" t="str">
        <f t="shared" si="51"/>
        <v/>
      </c>
      <c r="I1156" s="43">
        <f ca="1">IFERROR(SUMPRODUCT((참고!$A$31:$A$130=C1156)*(참고!$B$31:$B$130&lt;=A1156)*(참고!$B$31:$B$130=_xludf.MAXIFS(참고!$B$31:$B$130,참고!$A$31:$A$130,C1156,참고!$B$31:$B$130,"&lt;="&amp;A1156))*참고!$C$31:$C$130)/100,0)</f>
        <v>0</v>
      </c>
      <c r="J1156" s="31" t="str">
        <f t="shared" si="52"/>
        <v/>
      </c>
      <c r="K1156" s="43">
        <f>IF(B1156="매도",IFERROR(SUMPRODUCT((참고!$A$31:$A$130=C1156)*(참고!$B$31:$B$130&lt;=A1156)*(참고!$B$31:$B$130=_xludf.MAXIFS(참고!$B$31:$B$130,참고!$A$31:$A$130,C1156,참고!$B$31:$B$130,"&lt;="&amp;A1156))*참고!$D$31:$D$130)/100,0),0)</f>
        <v>0</v>
      </c>
      <c r="L1156" s="31" t="str">
        <f t="shared" si="53"/>
        <v/>
      </c>
      <c r="M1156" s="39"/>
    </row>
    <row r="1157" spans="1:13" ht="18" customHeight="1" x14ac:dyDescent="0.45">
      <c r="A1157" s="37"/>
      <c r="B1157" s="29"/>
      <c r="C1157" s="29"/>
      <c r="D1157" s="28"/>
      <c r="E1157" s="30" t="str">
        <f>IFERROR(VLOOKUP(D1157,KRX종목마스터!$A:$B,2,FALSE),"")</f>
        <v/>
      </c>
      <c r="F1157" s="42"/>
      <c r="G1157" s="42"/>
      <c r="H1157" s="31" t="str">
        <f t="shared" ref="H1157:H1220" si="54">IF(AND(F1157&lt;&gt;"",G1157&lt;&gt;""),F1157*G1157,"")</f>
        <v/>
      </c>
      <c r="I1157" s="43">
        <f ca="1">IFERROR(SUMPRODUCT((참고!$A$31:$A$130=C1157)*(참고!$B$31:$B$130&lt;=A1157)*(참고!$B$31:$B$130=_xludf.MAXIFS(참고!$B$31:$B$130,참고!$A$31:$A$130,C1157,참고!$B$31:$B$130,"&lt;="&amp;A1157))*참고!$C$31:$C$130)/100,0)</f>
        <v>0</v>
      </c>
      <c r="J1157" s="31" t="str">
        <f t="shared" ref="J1157:J1220" si="55">IF(H1157="","",ROUND(H1157*I1157,0))</f>
        <v/>
      </c>
      <c r="K1157" s="43">
        <f>IF(B1157="매도",IFERROR(SUMPRODUCT((참고!$A$31:$A$130=C1157)*(참고!$B$31:$B$130&lt;=A1157)*(참고!$B$31:$B$130=_xludf.MAXIFS(참고!$B$31:$B$130,참고!$A$31:$A$130,C1157,참고!$B$31:$B$130,"&lt;="&amp;A1157))*참고!$D$31:$D$130)/100,0),0)</f>
        <v>0</v>
      </c>
      <c r="L1157" s="31" t="str">
        <f t="shared" ref="L1157:L1220" si="56">IF(H1157="","",ROUND(H1157*K1157,0))</f>
        <v/>
      </c>
      <c r="M1157" s="39"/>
    </row>
    <row r="1158" spans="1:13" ht="18" customHeight="1" x14ac:dyDescent="0.45">
      <c r="A1158" s="37"/>
      <c r="B1158" s="29"/>
      <c r="C1158" s="29"/>
      <c r="D1158" s="28"/>
      <c r="E1158" s="30" t="str">
        <f>IFERROR(VLOOKUP(D1158,KRX종목마스터!$A:$B,2,FALSE),"")</f>
        <v/>
      </c>
      <c r="F1158" s="42"/>
      <c r="G1158" s="42"/>
      <c r="H1158" s="31" t="str">
        <f t="shared" si="54"/>
        <v/>
      </c>
      <c r="I1158" s="43">
        <f ca="1">IFERROR(SUMPRODUCT((참고!$A$31:$A$130=C1158)*(참고!$B$31:$B$130&lt;=A1158)*(참고!$B$31:$B$130=_xludf.MAXIFS(참고!$B$31:$B$130,참고!$A$31:$A$130,C1158,참고!$B$31:$B$130,"&lt;="&amp;A1158))*참고!$C$31:$C$130)/100,0)</f>
        <v>0</v>
      </c>
      <c r="J1158" s="31" t="str">
        <f t="shared" si="55"/>
        <v/>
      </c>
      <c r="K1158" s="43">
        <f>IF(B1158="매도",IFERROR(SUMPRODUCT((참고!$A$31:$A$130=C1158)*(참고!$B$31:$B$130&lt;=A1158)*(참고!$B$31:$B$130=_xludf.MAXIFS(참고!$B$31:$B$130,참고!$A$31:$A$130,C1158,참고!$B$31:$B$130,"&lt;="&amp;A1158))*참고!$D$31:$D$130)/100,0),0)</f>
        <v>0</v>
      </c>
      <c r="L1158" s="31" t="str">
        <f t="shared" si="56"/>
        <v/>
      </c>
      <c r="M1158" s="39"/>
    </row>
    <row r="1159" spans="1:13" ht="18" customHeight="1" x14ac:dyDescent="0.45">
      <c r="A1159" s="37"/>
      <c r="B1159" s="29"/>
      <c r="C1159" s="29"/>
      <c r="D1159" s="28"/>
      <c r="E1159" s="30" t="str">
        <f>IFERROR(VLOOKUP(D1159,KRX종목마스터!$A:$B,2,FALSE),"")</f>
        <v/>
      </c>
      <c r="F1159" s="42"/>
      <c r="G1159" s="42"/>
      <c r="H1159" s="31" t="str">
        <f t="shared" si="54"/>
        <v/>
      </c>
      <c r="I1159" s="43">
        <f ca="1">IFERROR(SUMPRODUCT((참고!$A$31:$A$130=C1159)*(참고!$B$31:$B$130&lt;=A1159)*(참고!$B$31:$B$130=_xludf.MAXIFS(참고!$B$31:$B$130,참고!$A$31:$A$130,C1159,참고!$B$31:$B$130,"&lt;="&amp;A1159))*참고!$C$31:$C$130)/100,0)</f>
        <v>0</v>
      </c>
      <c r="J1159" s="31" t="str">
        <f t="shared" si="55"/>
        <v/>
      </c>
      <c r="K1159" s="43">
        <f>IF(B1159="매도",IFERROR(SUMPRODUCT((참고!$A$31:$A$130=C1159)*(참고!$B$31:$B$130&lt;=A1159)*(참고!$B$31:$B$130=_xludf.MAXIFS(참고!$B$31:$B$130,참고!$A$31:$A$130,C1159,참고!$B$31:$B$130,"&lt;="&amp;A1159))*참고!$D$31:$D$130)/100,0),0)</f>
        <v>0</v>
      </c>
      <c r="L1159" s="31" t="str">
        <f t="shared" si="56"/>
        <v/>
      </c>
      <c r="M1159" s="39"/>
    </row>
    <row r="1160" spans="1:13" ht="18" customHeight="1" x14ac:dyDescent="0.45">
      <c r="A1160" s="37"/>
      <c r="B1160" s="29"/>
      <c r="C1160" s="29"/>
      <c r="D1160" s="28"/>
      <c r="E1160" s="30" t="str">
        <f>IFERROR(VLOOKUP(D1160,KRX종목마스터!$A:$B,2,FALSE),"")</f>
        <v/>
      </c>
      <c r="F1160" s="42"/>
      <c r="G1160" s="42"/>
      <c r="H1160" s="31" t="str">
        <f t="shared" si="54"/>
        <v/>
      </c>
      <c r="I1160" s="43">
        <f ca="1">IFERROR(SUMPRODUCT((참고!$A$31:$A$130=C1160)*(참고!$B$31:$B$130&lt;=A1160)*(참고!$B$31:$B$130=_xludf.MAXIFS(참고!$B$31:$B$130,참고!$A$31:$A$130,C1160,참고!$B$31:$B$130,"&lt;="&amp;A1160))*참고!$C$31:$C$130)/100,0)</f>
        <v>0</v>
      </c>
      <c r="J1160" s="31" t="str">
        <f t="shared" si="55"/>
        <v/>
      </c>
      <c r="K1160" s="43">
        <f>IF(B1160="매도",IFERROR(SUMPRODUCT((참고!$A$31:$A$130=C1160)*(참고!$B$31:$B$130&lt;=A1160)*(참고!$B$31:$B$130=_xludf.MAXIFS(참고!$B$31:$B$130,참고!$A$31:$A$130,C1160,참고!$B$31:$B$130,"&lt;="&amp;A1160))*참고!$D$31:$D$130)/100,0),0)</f>
        <v>0</v>
      </c>
      <c r="L1160" s="31" t="str">
        <f t="shared" si="56"/>
        <v/>
      </c>
      <c r="M1160" s="39"/>
    </row>
    <row r="1161" spans="1:13" ht="18" customHeight="1" x14ac:dyDescent="0.45">
      <c r="A1161" s="37"/>
      <c r="B1161" s="29"/>
      <c r="C1161" s="29"/>
      <c r="D1161" s="28"/>
      <c r="E1161" s="30" t="str">
        <f>IFERROR(VLOOKUP(D1161,KRX종목마스터!$A:$B,2,FALSE),"")</f>
        <v/>
      </c>
      <c r="F1161" s="42"/>
      <c r="G1161" s="42"/>
      <c r="H1161" s="31" t="str">
        <f t="shared" si="54"/>
        <v/>
      </c>
      <c r="I1161" s="43">
        <f ca="1">IFERROR(SUMPRODUCT((참고!$A$31:$A$130=C1161)*(참고!$B$31:$B$130&lt;=A1161)*(참고!$B$31:$B$130=_xludf.MAXIFS(참고!$B$31:$B$130,참고!$A$31:$A$130,C1161,참고!$B$31:$B$130,"&lt;="&amp;A1161))*참고!$C$31:$C$130)/100,0)</f>
        <v>0</v>
      </c>
      <c r="J1161" s="31" t="str">
        <f t="shared" si="55"/>
        <v/>
      </c>
      <c r="K1161" s="43">
        <f>IF(B1161="매도",IFERROR(SUMPRODUCT((참고!$A$31:$A$130=C1161)*(참고!$B$31:$B$130&lt;=A1161)*(참고!$B$31:$B$130=_xludf.MAXIFS(참고!$B$31:$B$130,참고!$A$31:$A$130,C1161,참고!$B$31:$B$130,"&lt;="&amp;A1161))*참고!$D$31:$D$130)/100,0),0)</f>
        <v>0</v>
      </c>
      <c r="L1161" s="31" t="str">
        <f t="shared" si="56"/>
        <v/>
      </c>
      <c r="M1161" s="39"/>
    </row>
    <row r="1162" spans="1:13" ht="18" customHeight="1" x14ac:dyDescent="0.45">
      <c r="A1162" s="37"/>
      <c r="B1162" s="29"/>
      <c r="C1162" s="29"/>
      <c r="D1162" s="28"/>
      <c r="E1162" s="30" t="str">
        <f>IFERROR(VLOOKUP(D1162,KRX종목마스터!$A:$B,2,FALSE),"")</f>
        <v/>
      </c>
      <c r="F1162" s="42"/>
      <c r="G1162" s="42"/>
      <c r="H1162" s="31" t="str">
        <f t="shared" si="54"/>
        <v/>
      </c>
      <c r="I1162" s="43">
        <f ca="1">IFERROR(SUMPRODUCT((참고!$A$31:$A$130=C1162)*(참고!$B$31:$B$130&lt;=A1162)*(참고!$B$31:$B$130=_xludf.MAXIFS(참고!$B$31:$B$130,참고!$A$31:$A$130,C1162,참고!$B$31:$B$130,"&lt;="&amp;A1162))*참고!$C$31:$C$130)/100,0)</f>
        <v>0</v>
      </c>
      <c r="J1162" s="31" t="str">
        <f t="shared" si="55"/>
        <v/>
      </c>
      <c r="K1162" s="43">
        <f>IF(B1162="매도",IFERROR(SUMPRODUCT((참고!$A$31:$A$130=C1162)*(참고!$B$31:$B$130&lt;=A1162)*(참고!$B$31:$B$130=_xludf.MAXIFS(참고!$B$31:$B$130,참고!$A$31:$A$130,C1162,참고!$B$31:$B$130,"&lt;="&amp;A1162))*참고!$D$31:$D$130)/100,0),0)</f>
        <v>0</v>
      </c>
      <c r="L1162" s="31" t="str">
        <f t="shared" si="56"/>
        <v/>
      </c>
      <c r="M1162" s="39"/>
    </row>
    <row r="1163" spans="1:13" ht="18" customHeight="1" x14ac:dyDescent="0.45">
      <c r="A1163" s="37"/>
      <c r="B1163" s="29"/>
      <c r="C1163" s="29"/>
      <c r="D1163" s="28"/>
      <c r="E1163" s="30" t="str">
        <f>IFERROR(VLOOKUP(D1163,KRX종목마스터!$A:$B,2,FALSE),"")</f>
        <v/>
      </c>
      <c r="F1163" s="42"/>
      <c r="G1163" s="42"/>
      <c r="H1163" s="31" t="str">
        <f t="shared" si="54"/>
        <v/>
      </c>
      <c r="I1163" s="43">
        <f ca="1">IFERROR(SUMPRODUCT((참고!$A$31:$A$130=C1163)*(참고!$B$31:$B$130&lt;=A1163)*(참고!$B$31:$B$130=_xludf.MAXIFS(참고!$B$31:$B$130,참고!$A$31:$A$130,C1163,참고!$B$31:$B$130,"&lt;="&amp;A1163))*참고!$C$31:$C$130)/100,0)</f>
        <v>0</v>
      </c>
      <c r="J1163" s="31" t="str">
        <f t="shared" si="55"/>
        <v/>
      </c>
      <c r="K1163" s="43">
        <f>IF(B1163="매도",IFERROR(SUMPRODUCT((참고!$A$31:$A$130=C1163)*(참고!$B$31:$B$130&lt;=A1163)*(참고!$B$31:$B$130=_xludf.MAXIFS(참고!$B$31:$B$130,참고!$A$31:$A$130,C1163,참고!$B$31:$B$130,"&lt;="&amp;A1163))*참고!$D$31:$D$130)/100,0),0)</f>
        <v>0</v>
      </c>
      <c r="L1163" s="31" t="str">
        <f t="shared" si="56"/>
        <v/>
      </c>
      <c r="M1163" s="39"/>
    </row>
    <row r="1164" spans="1:13" ht="18" customHeight="1" x14ac:dyDescent="0.45">
      <c r="A1164" s="37"/>
      <c r="B1164" s="29"/>
      <c r="C1164" s="29"/>
      <c r="D1164" s="28"/>
      <c r="E1164" s="30" t="str">
        <f>IFERROR(VLOOKUP(D1164,KRX종목마스터!$A:$B,2,FALSE),"")</f>
        <v/>
      </c>
      <c r="F1164" s="42"/>
      <c r="G1164" s="42"/>
      <c r="H1164" s="31" t="str">
        <f t="shared" si="54"/>
        <v/>
      </c>
      <c r="I1164" s="43">
        <f ca="1">IFERROR(SUMPRODUCT((참고!$A$31:$A$130=C1164)*(참고!$B$31:$B$130&lt;=A1164)*(참고!$B$31:$B$130=_xludf.MAXIFS(참고!$B$31:$B$130,참고!$A$31:$A$130,C1164,참고!$B$31:$B$130,"&lt;="&amp;A1164))*참고!$C$31:$C$130)/100,0)</f>
        <v>0</v>
      </c>
      <c r="J1164" s="31" t="str">
        <f t="shared" si="55"/>
        <v/>
      </c>
      <c r="K1164" s="43">
        <f>IF(B1164="매도",IFERROR(SUMPRODUCT((참고!$A$31:$A$130=C1164)*(참고!$B$31:$B$130&lt;=A1164)*(참고!$B$31:$B$130=_xludf.MAXIFS(참고!$B$31:$B$130,참고!$A$31:$A$130,C1164,참고!$B$31:$B$130,"&lt;="&amp;A1164))*참고!$D$31:$D$130)/100,0),0)</f>
        <v>0</v>
      </c>
      <c r="L1164" s="31" t="str">
        <f t="shared" si="56"/>
        <v/>
      </c>
      <c r="M1164" s="39"/>
    </row>
    <row r="1165" spans="1:13" ht="18" customHeight="1" x14ac:dyDescent="0.45">
      <c r="A1165" s="37"/>
      <c r="B1165" s="29"/>
      <c r="C1165" s="29"/>
      <c r="D1165" s="28"/>
      <c r="E1165" s="30" t="str">
        <f>IFERROR(VLOOKUP(D1165,KRX종목마스터!$A:$B,2,FALSE),"")</f>
        <v/>
      </c>
      <c r="F1165" s="42"/>
      <c r="G1165" s="42"/>
      <c r="H1165" s="31" t="str">
        <f t="shared" si="54"/>
        <v/>
      </c>
      <c r="I1165" s="43">
        <f ca="1">IFERROR(SUMPRODUCT((참고!$A$31:$A$130=C1165)*(참고!$B$31:$B$130&lt;=A1165)*(참고!$B$31:$B$130=_xludf.MAXIFS(참고!$B$31:$B$130,참고!$A$31:$A$130,C1165,참고!$B$31:$B$130,"&lt;="&amp;A1165))*참고!$C$31:$C$130)/100,0)</f>
        <v>0</v>
      </c>
      <c r="J1165" s="31" t="str">
        <f t="shared" si="55"/>
        <v/>
      </c>
      <c r="K1165" s="43">
        <f>IF(B1165="매도",IFERROR(SUMPRODUCT((참고!$A$31:$A$130=C1165)*(참고!$B$31:$B$130&lt;=A1165)*(참고!$B$31:$B$130=_xludf.MAXIFS(참고!$B$31:$B$130,참고!$A$31:$A$130,C1165,참고!$B$31:$B$130,"&lt;="&amp;A1165))*참고!$D$31:$D$130)/100,0),0)</f>
        <v>0</v>
      </c>
      <c r="L1165" s="31" t="str">
        <f t="shared" si="56"/>
        <v/>
      </c>
      <c r="M1165" s="39"/>
    </row>
    <row r="1166" spans="1:13" ht="18" customHeight="1" x14ac:dyDescent="0.45">
      <c r="A1166" s="37"/>
      <c r="B1166" s="29"/>
      <c r="C1166" s="29"/>
      <c r="D1166" s="28"/>
      <c r="E1166" s="30" t="str">
        <f>IFERROR(VLOOKUP(D1166,KRX종목마스터!$A:$B,2,FALSE),"")</f>
        <v/>
      </c>
      <c r="F1166" s="42"/>
      <c r="G1166" s="42"/>
      <c r="H1166" s="31" t="str">
        <f t="shared" si="54"/>
        <v/>
      </c>
      <c r="I1166" s="43">
        <f ca="1">IFERROR(SUMPRODUCT((참고!$A$31:$A$130=C1166)*(참고!$B$31:$B$130&lt;=A1166)*(참고!$B$31:$B$130=_xludf.MAXIFS(참고!$B$31:$B$130,참고!$A$31:$A$130,C1166,참고!$B$31:$B$130,"&lt;="&amp;A1166))*참고!$C$31:$C$130)/100,0)</f>
        <v>0</v>
      </c>
      <c r="J1166" s="31" t="str">
        <f t="shared" si="55"/>
        <v/>
      </c>
      <c r="K1166" s="43">
        <f>IF(B1166="매도",IFERROR(SUMPRODUCT((참고!$A$31:$A$130=C1166)*(참고!$B$31:$B$130&lt;=A1166)*(참고!$B$31:$B$130=_xludf.MAXIFS(참고!$B$31:$B$130,참고!$A$31:$A$130,C1166,참고!$B$31:$B$130,"&lt;="&amp;A1166))*참고!$D$31:$D$130)/100,0),0)</f>
        <v>0</v>
      </c>
      <c r="L1166" s="31" t="str">
        <f t="shared" si="56"/>
        <v/>
      </c>
      <c r="M1166" s="39"/>
    </row>
    <row r="1167" spans="1:13" ht="18" customHeight="1" x14ac:dyDescent="0.45">
      <c r="A1167" s="37"/>
      <c r="B1167" s="29"/>
      <c r="C1167" s="29"/>
      <c r="D1167" s="28"/>
      <c r="E1167" s="30" t="str">
        <f>IFERROR(VLOOKUP(D1167,KRX종목마스터!$A:$B,2,FALSE),"")</f>
        <v/>
      </c>
      <c r="F1167" s="42"/>
      <c r="G1167" s="42"/>
      <c r="H1167" s="31" t="str">
        <f t="shared" si="54"/>
        <v/>
      </c>
      <c r="I1167" s="43">
        <f ca="1">IFERROR(SUMPRODUCT((참고!$A$31:$A$130=C1167)*(참고!$B$31:$B$130&lt;=A1167)*(참고!$B$31:$B$130=_xludf.MAXIFS(참고!$B$31:$B$130,참고!$A$31:$A$130,C1167,참고!$B$31:$B$130,"&lt;="&amp;A1167))*참고!$C$31:$C$130)/100,0)</f>
        <v>0</v>
      </c>
      <c r="J1167" s="31" t="str">
        <f t="shared" si="55"/>
        <v/>
      </c>
      <c r="K1167" s="43">
        <f>IF(B1167="매도",IFERROR(SUMPRODUCT((참고!$A$31:$A$130=C1167)*(참고!$B$31:$B$130&lt;=A1167)*(참고!$B$31:$B$130=_xludf.MAXIFS(참고!$B$31:$B$130,참고!$A$31:$A$130,C1167,참고!$B$31:$B$130,"&lt;="&amp;A1167))*참고!$D$31:$D$130)/100,0),0)</f>
        <v>0</v>
      </c>
      <c r="L1167" s="31" t="str">
        <f t="shared" si="56"/>
        <v/>
      </c>
      <c r="M1167" s="39"/>
    </row>
    <row r="1168" spans="1:13" ht="18" customHeight="1" x14ac:dyDescent="0.45">
      <c r="A1168" s="37"/>
      <c r="B1168" s="29"/>
      <c r="C1168" s="29"/>
      <c r="D1168" s="28"/>
      <c r="E1168" s="30" t="str">
        <f>IFERROR(VLOOKUP(D1168,KRX종목마스터!$A:$B,2,FALSE),"")</f>
        <v/>
      </c>
      <c r="F1168" s="42"/>
      <c r="G1168" s="42"/>
      <c r="H1168" s="31" t="str">
        <f t="shared" si="54"/>
        <v/>
      </c>
      <c r="I1168" s="43">
        <f ca="1">IFERROR(SUMPRODUCT((참고!$A$31:$A$130=C1168)*(참고!$B$31:$B$130&lt;=A1168)*(참고!$B$31:$B$130=_xludf.MAXIFS(참고!$B$31:$B$130,참고!$A$31:$A$130,C1168,참고!$B$31:$B$130,"&lt;="&amp;A1168))*참고!$C$31:$C$130)/100,0)</f>
        <v>0</v>
      </c>
      <c r="J1168" s="31" t="str">
        <f t="shared" si="55"/>
        <v/>
      </c>
      <c r="K1168" s="43">
        <f>IF(B1168="매도",IFERROR(SUMPRODUCT((참고!$A$31:$A$130=C1168)*(참고!$B$31:$B$130&lt;=A1168)*(참고!$B$31:$B$130=_xludf.MAXIFS(참고!$B$31:$B$130,참고!$A$31:$A$130,C1168,참고!$B$31:$B$130,"&lt;="&amp;A1168))*참고!$D$31:$D$130)/100,0),0)</f>
        <v>0</v>
      </c>
      <c r="L1168" s="31" t="str">
        <f t="shared" si="56"/>
        <v/>
      </c>
      <c r="M1168" s="39"/>
    </row>
    <row r="1169" spans="1:13" ht="18" customHeight="1" x14ac:dyDescent="0.45">
      <c r="A1169" s="37"/>
      <c r="B1169" s="29"/>
      <c r="C1169" s="29"/>
      <c r="D1169" s="28"/>
      <c r="E1169" s="30" t="str">
        <f>IFERROR(VLOOKUP(D1169,KRX종목마스터!$A:$B,2,FALSE),"")</f>
        <v/>
      </c>
      <c r="F1169" s="42"/>
      <c r="G1169" s="42"/>
      <c r="H1169" s="31" t="str">
        <f t="shared" si="54"/>
        <v/>
      </c>
      <c r="I1169" s="43">
        <f ca="1">IFERROR(SUMPRODUCT((참고!$A$31:$A$130=C1169)*(참고!$B$31:$B$130&lt;=A1169)*(참고!$B$31:$B$130=_xludf.MAXIFS(참고!$B$31:$B$130,참고!$A$31:$A$130,C1169,참고!$B$31:$B$130,"&lt;="&amp;A1169))*참고!$C$31:$C$130)/100,0)</f>
        <v>0</v>
      </c>
      <c r="J1169" s="31" t="str">
        <f t="shared" si="55"/>
        <v/>
      </c>
      <c r="K1169" s="43">
        <f>IF(B1169="매도",IFERROR(SUMPRODUCT((참고!$A$31:$A$130=C1169)*(참고!$B$31:$B$130&lt;=A1169)*(참고!$B$31:$B$130=_xludf.MAXIFS(참고!$B$31:$B$130,참고!$A$31:$A$130,C1169,참고!$B$31:$B$130,"&lt;="&amp;A1169))*참고!$D$31:$D$130)/100,0),0)</f>
        <v>0</v>
      </c>
      <c r="L1169" s="31" t="str">
        <f t="shared" si="56"/>
        <v/>
      </c>
      <c r="M1169" s="39"/>
    </row>
    <row r="1170" spans="1:13" ht="18" customHeight="1" x14ac:dyDescent="0.45">
      <c r="A1170" s="37"/>
      <c r="B1170" s="29"/>
      <c r="C1170" s="29"/>
      <c r="D1170" s="28"/>
      <c r="E1170" s="30" t="str">
        <f>IFERROR(VLOOKUP(D1170,KRX종목마스터!$A:$B,2,FALSE),"")</f>
        <v/>
      </c>
      <c r="F1170" s="42"/>
      <c r="G1170" s="42"/>
      <c r="H1170" s="31" t="str">
        <f t="shared" si="54"/>
        <v/>
      </c>
      <c r="I1170" s="43">
        <f ca="1">IFERROR(SUMPRODUCT((참고!$A$31:$A$130=C1170)*(참고!$B$31:$B$130&lt;=A1170)*(참고!$B$31:$B$130=_xludf.MAXIFS(참고!$B$31:$B$130,참고!$A$31:$A$130,C1170,참고!$B$31:$B$130,"&lt;="&amp;A1170))*참고!$C$31:$C$130)/100,0)</f>
        <v>0</v>
      </c>
      <c r="J1170" s="31" t="str">
        <f t="shared" si="55"/>
        <v/>
      </c>
      <c r="K1170" s="43">
        <f>IF(B1170="매도",IFERROR(SUMPRODUCT((참고!$A$31:$A$130=C1170)*(참고!$B$31:$B$130&lt;=A1170)*(참고!$B$31:$B$130=_xludf.MAXIFS(참고!$B$31:$B$130,참고!$A$31:$A$130,C1170,참고!$B$31:$B$130,"&lt;="&amp;A1170))*참고!$D$31:$D$130)/100,0),0)</f>
        <v>0</v>
      </c>
      <c r="L1170" s="31" t="str">
        <f t="shared" si="56"/>
        <v/>
      </c>
      <c r="M1170" s="39"/>
    </row>
    <row r="1171" spans="1:13" ht="18" customHeight="1" x14ac:dyDescent="0.45">
      <c r="A1171" s="37"/>
      <c r="B1171" s="29"/>
      <c r="C1171" s="29"/>
      <c r="D1171" s="28"/>
      <c r="E1171" s="30" t="str">
        <f>IFERROR(VLOOKUP(D1171,KRX종목마스터!$A:$B,2,FALSE),"")</f>
        <v/>
      </c>
      <c r="F1171" s="42"/>
      <c r="G1171" s="42"/>
      <c r="H1171" s="31" t="str">
        <f t="shared" si="54"/>
        <v/>
      </c>
      <c r="I1171" s="43">
        <f ca="1">IFERROR(SUMPRODUCT((참고!$A$31:$A$130=C1171)*(참고!$B$31:$B$130&lt;=A1171)*(참고!$B$31:$B$130=_xludf.MAXIFS(참고!$B$31:$B$130,참고!$A$31:$A$130,C1171,참고!$B$31:$B$130,"&lt;="&amp;A1171))*참고!$C$31:$C$130)/100,0)</f>
        <v>0</v>
      </c>
      <c r="J1171" s="31" t="str">
        <f t="shared" si="55"/>
        <v/>
      </c>
      <c r="K1171" s="43">
        <f>IF(B1171="매도",IFERROR(SUMPRODUCT((참고!$A$31:$A$130=C1171)*(참고!$B$31:$B$130&lt;=A1171)*(참고!$B$31:$B$130=_xludf.MAXIFS(참고!$B$31:$B$130,참고!$A$31:$A$130,C1171,참고!$B$31:$B$130,"&lt;="&amp;A1171))*참고!$D$31:$D$130)/100,0),0)</f>
        <v>0</v>
      </c>
      <c r="L1171" s="31" t="str">
        <f t="shared" si="56"/>
        <v/>
      </c>
      <c r="M1171" s="39"/>
    </row>
    <row r="1172" spans="1:13" ht="18" customHeight="1" x14ac:dyDescent="0.45">
      <c r="A1172" s="37"/>
      <c r="B1172" s="29"/>
      <c r="C1172" s="29"/>
      <c r="D1172" s="28"/>
      <c r="E1172" s="30" t="str">
        <f>IFERROR(VLOOKUP(D1172,KRX종목마스터!$A:$B,2,FALSE),"")</f>
        <v/>
      </c>
      <c r="F1172" s="42"/>
      <c r="G1172" s="42"/>
      <c r="H1172" s="31" t="str">
        <f t="shared" si="54"/>
        <v/>
      </c>
      <c r="I1172" s="43">
        <f ca="1">IFERROR(SUMPRODUCT((참고!$A$31:$A$130=C1172)*(참고!$B$31:$B$130&lt;=A1172)*(참고!$B$31:$B$130=_xludf.MAXIFS(참고!$B$31:$B$130,참고!$A$31:$A$130,C1172,참고!$B$31:$B$130,"&lt;="&amp;A1172))*참고!$C$31:$C$130)/100,0)</f>
        <v>0</v>
      </c>
      <c r="J1172" s="31" t="str">
        <f t="shared" si="55"/>
        <v/>
      </c>
      <c r="K1172" s="43">
        <f>IF(B1172="매도",IFERROR(SUMPRODUCT((참고!$A$31:$A$130=C1172)*(참고!$B$31:$B$130&lt;=A1172)*(참고!$B$31:$B$130=_xludf.MAXIFS(참고!$B$31:$B$130,참고!$A$31:$A$130,C1172,참고!$B$31:$B$130,"&lt;="&amp;A1172))*참고!$D$31:$D$130)/100,0),0)</f>
        <v>0</v>
      </c>
      <c r="L1172" s="31" t="str">
        <f t="shared" si="56"/>
        <v/>
      </c>
      <c r="M1172" s="39"/>
    </row>
    <row r="1173" spans="1:13" ht="18" customHeight="1" x14ac:dyDescent="0.45">
      <c r="A1173" s="37"/>
      <c r="B1173" s="29"/>
      <c r="C1173" s="29"/>
      <c r="D1173" s="28"/>
      <c r="E1173" s="30" t="str">
        <f>IFERROR(VLOOKUP(D1173,KRX종목마스터!$A:$B,2,FALSE),"")</f>
        <v/>
      </c>
      <c r="F1173" s="42"/>
      <c r="G1173" s="42"/>
      <c r="H1173" s="31" t="str">
        <f t="shared" si="54"/>
        <v/>
      </c>
      <c r="I1173" s="43">
        <f ca="1">IFERROR(SUMPRODUCT((참고!$A$31:$A$130=C1173)*(참고!$B$31:$B$130&lt;=A1173)*(참고!$B$31:$B$130=_xludf.MAXIFS(참고!$B$31:$B$130,참고!$A$31:$A$130,C1173,참고!$B$31:$B$130,"&lt;="&amp;A1173))*참고!$C$31:$C$130)/100,0)</f>
        <v>0</v>
      </c>
      <c r="J1173" s="31" t="str">
        <f t="shared" si="55"/>
        <v/>
      </c>
      <c r="K1173" s="43">
        <f>IF(B1173="매도",IFERROR(SUMPRODUCT((참고!$A$31:$A$130=C1173)*(참고!$B$31:$B$130&lt;=A1173)*(참고!$B$31:$B$130=_xludf.MAXIFS(참고!$B$31:$B$130,참고!$A$31:$A$130,C1173,참고!$B$31:$B$130,"&lt;="&amp;A1173))*참고!$D$31:$D$130)/100,0),0)</f>
        <v>0</v>
      </c>
      <c r="L1173" s="31" t="str">
        <f t="shared" si="56"/>
        <v/>
      </c>
      <c r="M1173" s="39"/>
    </row>
    <row r="1174" spans="1:13" ht="18" customHeight="1" x14ac:dyDescent="0.45">
      <c r="A1174" s="37"/>
      <c r="B1174" s="29"/>
      <c r="C1174" s="29"/>
      <c r="D1174" s="28"/>
      <c r="E1174" s="30" t="str">
        <f>IFERROR(VLOOKUP(D1174,KRX종목마스터!$A:$B,2,FALSE),"")</f>
        <v/>
      </c>
      <c r="F1174" s="42"/>
      <c r="G1174" s="42"/>
      <c r="H1174" s="31" t="str">
        <f t="shared" si="54"/>
        <v/>
      </c>
      <c r="I1174" s="43">
        <f ca="1">IFERROR(SUMPRODUCT((참고!$A$31:$A$130=C1174)*(참고!$B$31:$B$130&lt;=A1174)*(참고!$B$31:$B$130=_xludf.MAXIFS(참고!$B$31:$B$130,참고!$A$31:$A$130,C1174,참고!$B$31:$B$130,"&lt;="&amp;A1174))*참고!$C$31:$C$130)/100,0)</f>
        <v>0</v>
      </c>
      <c r="J1174" s="31" t="str">
        <f t="shared" si="55"/>
        <v/>
      </c>
      <c r="K1174" s="43">
        <f>IF(B1174="매도",IFERROR(SUMPRODUCT((참고!$A$31:$A$130=C1174)*(참고!$B$31:$B$130&lt;=A1174)*(참고!$B$31:$B$130=_xludf.MAXIFS(참고!$B$31:$B$130,참고!$A$31:$A$130,C1174,참고!$B$31:$B$130,"&lt;="&amp;A1174))*참고!$D$31:$D$130)/100,0),0)</f>
        <v>0</v>
      </c>
      <c r="L1174" s="31" t="str">
        <f t="shared" si="56"/>
        <v/>
      </c>
      <c r="M1174" s="39"/>
    </row>
    <row r="1175" spans="1:13" ht="18" customHeight="1" x14ac:dyDescent="0.45">
      <c r="A1175" s="37"/>
      <c r="B1175" s="29"/>
      <c r="C1175" s="29"/>
      <c r="D1175" s="28"/>
      <c r="E1175" s="30" t="str">
        <f>IFERROR(VLOOKUP(D1175,KRX종목마스터!$A:$B,2,FALSE),"")</f>
        <v/>
      </c>
      <c r="F1175" s="42"/>
      <c r="G1175" s="42"/>
      <c r="H1175" s="31" t="str">
        <f t="shared" si="54"/>
        <v/>
      </c>
      <c r="I1175" s="43">
        <f ca="1">IFERROR(SUMPRODUCT((참고!$A$31:$A$130=C1175)*(참고!$B$31:$B$130&lt;=A1175)*(참고!$B$31:$B$130=_xludf.MAXIFS(참고!$B$31:$B$130,참고!$A$31:$A$130,C1175,참고!$B$31:$B$130,"&lt;="&amp;A1175))*참고!$C$31:$C$130)/100,0)</f>
        <v>0</v>
      </c>
      <c r="J1175" s="31" t="str">
        <f t="shared" si="55"/>
        <v/>
      </c>
      <c r="K1175" s="43">
        <f>IF(B1175="매도",IFERROR(SUMPRODUCT((참고!$A$31:$A$130=C1175)*(참고!$B$31:$B$130&lt;=A1175)*(참고!$B$31:$B$130=_xludf.MAXIFS(참고!$B$31:$B$130,참고!$A$31:$A$130,C1175,참고!$B$31:$B$130,"&lt;="&amp;A1175))*참고!$D$31:$D$130)/100,0),0)</f>
        <v>0</v>
      </c>
      <c r="L1175" s="31" t="str">
        <f t="shared" si="56"/>
        <v/>
      </c>
      <c r="M1175" s="39"/>
    </row>
    <row r="1176" spans="1:13" ht="18" customHeight="1" x14ac:dyDescent="0.45">
      <c r="A1176" s="37"/>
      <c r="B1176" s="29"/>
      <c r="C1176" s="29"/>
      <c r="D1176" s="28"/>
      <c r="E1176" s="30" t="str">
        <f>IFERROR(VLOOKUP(D1176,KRX종목마스터!$A:$B,2,FALSE),"")</f>
        <v/>
      </c>
      <c r="F1176" s="42"/>
      <c r="G1176" s="42"/>
      <c r="H1176" s="31" t="str">
        <f t="shared" si="54"/>
        <v/>
      </c>
      <c r="I1176" s="43">
        <f ca="1">IFERROR(SUMPRODUCT((참고!$A$31:$A$130=C1176)*(참고!$B$31:$B$130&lt;=A1176)*(참고!$B$31:$B$130=_xludf.MAXIFS(참고!$B$31:$B$130,참고!$A$31:$A$130,C1176,참고!$B$31:$B$130,"&lt;="&amp;A1176))*참고!$C$31:$C$130)/100,0)</f>
        <v>0</v>
      </c>
      <c r="J1176" s="31" t="str">
        <f t="shared" si="55"/>
        <v/>
      </c>
      <c r="K1176" s="43">
        <f>IF(B1176="매도",IFERROR(SUMPRODUCT((참고!$A$31:$A$130=C1176)*(참고!$B$31:$B$130&lt;=A1176)*(참고!$B$31:$B$130=_xludf.MAXIFS(참고!$B$31:$B$130,참고!$A$31:$A$130,C1176,참고!$B$31:$B$130,"&lt;="&amp;A1176))*참고!$D$31:$D$130)/100,0),0)</f>
        <v>0</v>
      </c>
      <c r="L1176" s="31" t="str">
        <f t="shared" si="56"/>
        <v/>
      </c>
      <c r="M1176" s="39"/>
    </row>
    <row r="1177" spans="1:13" ht="18" customHeight="1" x14ac:dyDescent="0.45">
      <c r="A1177" s="37"/>
      <c r="B1177" s="29"/>
      <c r="C1177" s="29"/>
      <c r="D1177" s="28"/>
      <c r="E1177" s="30" t="str">
        <f>IFERROR(VLOOKUP(D1177,KRX종목마스터!$A:$B,2,FALSE),"")</f>
        <v/>
      </c>
      <c r="F1177" s="42"/>
      <c r="G1177" s="42"/>
      <c r="H1177" s="31" t="str">
        <f t="shared" si="54"/>
        <v/>
      </c>
      <c r="I1177" s="43">
        <f ca="1">IFERROR(SUMPRODUCT((참고!$A$31:$A$130=C1177)*(참고!$B$31:$B$130&lt;=A1177)*(참고!$B$31:$B$130=_xludf.MAXIFS(참고!$B$31:$B$130,참고!$A$31:$A$130,C1177,참고!$B$31:$B$130,"&lt;="&amp;A1177))*참고!$C$31:$C$130)/100,0)</f>
        <v>0</v>
      </c>
      <c r="J1177" s="31" t="str">
        <f t="shared" si="55"/>
        <v/>
      </c>
      <c r="K1177" s="43">
        <f>IF(B1177="매도",IFERROR(SUMPRODUCT((참고!$A$31:$A$130=C1177)*(참고!$B$31:$B$130&lt;=A1177)*(참고!$B$31:$B$130=_xludf.MAXIFS(참고!$B$31:$B$130,참고!$A$31:$A$130,C1177,참고!$B$31:$B$130,"&lt;="&amp;A1177))*참고!$D$31:$D$130)/100,0),0)</f>
        <v>0</v>
      </c>
      <c r="L1177" s="31" t="str">
        <f t="shared" si="56"/>
        <v/>
      </c>
      <c r="M1177" s="39"/>
    </row>
    <row r="1178" spans="1:13" ht="18" customHeight="1" x14ac:dyDescent="0.45">
      <c r="A1178" s="37"/>
      <c r="B1178" s="29"/>
      <c r="C1178" s="29"/>
      <c r="D1178" s="28"/>
      <c r="E1178" s="30" t="str">
        <f>IFERROR(VLOOKUP(D1178,KRX종목마스터!$A:$B,2,FALSE),"")</f>
        <v/>
      </c>
      <c r="F1178" s="42"/>
      <c r="G1178" s="42"/>
      <c r="H1178" s="31" t="str">
        <f t="shared" si="54"/>
        <v/>
      </c>
      <c r="I1178" s="43">
        <f ca="1">IFERROR(SUMPRODUCT((참고!$A$31:$A$130=C1178)*(참고!$B$31:$B$130&lt;=A1178)*(참고!$B$31:$B$130=_xludf.MAXIFS(참고!$B$31:$B$130,참고!$A$31:$A$130,C1178,참고!$B$31:$B$130,"&lt;="&amp;A1178))*참고!$C$31:$C$130)/100,0)</f>
        <v>0</v>
      </c>
      <c r="J1178" s="31" t="str">
        <f t="shared" si="55"/>
        <v/>
      </c>
      <c r="K1178" s="43">
        <f>IF(B1178="매도",IFERROR(SUMPRODUCT((참고!$A$31:$A$130=C1178)*(참고!$B$31:$B$130&lt;=A1178)*(참고!$B$31:$B$130=_xludf.MAXIFS(참고!$B$31:$B$130,참고!$A$31:$A$130,C1178,참고!$B$31:$B$130,"&lt;="&amp;A1178))*참고!$D$31:$D$130)/100,0),0)</f>
        <v>0</v>
      </c>
      <c r="L1178" s="31" t="str">
        <f t="shared" si="56"/>
        <v/>
      </c>
      <c r="M1178" s="39"/>
    </row>
    <row r="1179" spans="1:13" ht="18" customHeight="1" x14ac:dyDescent="0.45">
      <c r="A1179" s="37"/>
      <c r="B1179" s="29"/>
      <c r="C1179" s="29"/>
      <c r="D1179" s="28"/>
      <c r="E1179" s="30" t="str">
        <f>IFERROR(VLOOKUP(D1179,KRX종목마스터!$A:$B,2,FALSE),"")</f>
        <v/>
      </c>
      <c r="F1179" s="42"/>
      <c r="G1179" s="42"/>
      <c r="H1179" s="31" t="str">
        <f t="shared" si="54"/>
        <v/>
      </c>
      <c r="I1179" s="43">
        <f ca="1">IFERROR(SUMPRODUCT((참고!$A$31:$A$130=C1179)*(참고!$B$31:$B$130&lt;=A1179)*(참고!$B$31:$B$130=_xludf.MAXIFS(참고!$B$31:$B$130,참고!$A$31:$A$130,C1179,참고!$B$31:$B$130,"&lt;="&amp;A1179))*참고!$C$31:$C$130)/100,0)</f>
        <v>0</v>
      </c>
      <c r="J1179" s="31" t="str">
        <f t="shared" si="55"/>
        <v/>
      </c>
      <c r="K1179" s="43">
        <f>IF(B1179="매도",IFERROR(SUMPRODUCT((참고!$A$31:$A$130=C1179)*(참고!$B$31:$B$130&lt;=A1179)*(참고!$B$31:$B$130=_xludf.MAXIFS(참고!$B$31:$B$130,참고!$A$31:$A$130,C1179,참고!$B$31:$B$130,"&lt;="&amp;A1179))*참고!$D$31:$D$130)/100,0),0)</f>
        <v>0</v>
      </c>
      <c r="L1179" s="31" t="str">
        <f t="shared" si="56"/>
        <v/>
      </c>
      <c r="M1179" s="39"/>
    </row>
    <row r="1180" spans="1:13" ht="18" customHeight="1" x14ac:dyDescent="0.45">
      <c r="A1180" s="37"/>
      <c r="B1180" s="29"/>
      <c r="C1180" s="29"/>
      <c r="D1180" s="28"/>
      <c r="E1180" s="30" t="str">
        <f>IFERROR(VLOOKUP(D1180,KRX종목마스터!$A:$B,2,FALSE),"")</f>
        <v/>
      </c>
      <c r="F1180" s="42"/>
      <c r="G1180" s="42"/>
      <c r="H1180" s="31" t="str">
        <f t="shared" si="54"/>
        <v/>
      </c>
      <c r="I1180" s="43">
        <f ca="1">IFERROR(SUMPRODUCT((참고!$A$31:$A$130=C1180)*(참고!$B$31:$B$130&lt;=A1180)*(참고!$B$31:$B$130=_xludf.MAXIFS(참고!$B$31:$B$130,참고!$A$31:$A$130,C1180,참고!$B$31:$B$130,"&lt;="&amp;A1180))*참고!$C$31:$C$130)/100,0)</f>
        <v>0</v>
      </c>
      <c r="J1180" s="31" t="str">
        <f t="shared" si="55"/>
        <v/>
      </c>
      <c r="K1180" s="43">
        <f>IF(B1180="매도",IFERROR(SUMPRODUCT((참고!$A$31:$A$130=C1180)*(참고!$B$31:$B$130&lt;=A1180)*(참고!$B$31:$B$130=_xludf.MAXIFS(참고!$B$31:$B$130,참고!$A$31:$A$130,C1180,참고!$B$31:$B$130,"&lt;="&amp;A1180))*참고!$D$31:$D$130)/100,0),0)</f>
        <v>0</v>
      </c>
      <c r="L1180" s="31" t="str">
        <f t="shared" si="56"/>
        <v/>
      </c>
      <c r="M1180" s="39"/>
    </row>
    <row r="1181" spans="1:13" ht="18" customHeight="1" x14ac:dyDescent="0.45">
      <c r="A1181" s="37"/>
      <c r="B1181" s="29"/>
      <c r="C1181" s="29"/>
      <c r="D1181" s="28"/>
      <c r="E1181" s="30" t="str">
        <f>IFERROR(VLOOKUP(D1181,KRX종목마스터!$A:$B,2,FALSE),"")</f>
        <v/>
      </c>
      <c r="F1181" s="42"/>
      <c r="G1181" s="42"/>
      <c r="H1181" s="31" t="str">
        <f t="shared" si="54"/>
        <v/>
      </c>
      <c r="I1181" s="43">
        <f ca="1">IFERROR(SUMPRODUCT((참고!$A$31:$A$130=C1181)*(참고!$B$31:$B$130&lt;=A1181)*(참고!$B$31:$B$130=_xludf.MAXIFS(참고!$B$31:$B$130,참고!$A$31:$A$130,C1181,참고!$B$31:$B$130,"&lt;="&amp;A1181))*참고!$C$31:$C$130)/100,0)</f>
        <v>0</v>
      </c>
      <c r="J1181" s="31" t="str">
        <f t="shared" si="55"/>
        <v/>
      </c>
      <c r="K1181" s="43">
        <f>IF(B1181="매도",IFERROR(SUMPRODUCT((참고!$A$31:$A$130=C1181)*(참고!$B$31:$B$130&lt;=A1181)*(참고!$B$31:$B$130=_xludf.MAXIFS(참고!$B$31:$B$130,참고!$A$31:$A$130,C1181,참고!$B$31:$B$130,"&lt;="&amp;A1181))*참고!$D$31:$D$130)/100,0),0)</f>
        <v>0</v>
      </c>
      <c r="L1181" s="31" t="str">
        <f t="shared" si="56"/>
        <v/>
      </c>
      <c r="M1181" s="39"/>
    </row>
    <row r="1182" spans="1:13" ht="18" customHeight="1" x14ac:dyDescent="0.45">
      <c r="A1182" s="37"/>
      <c r="B1182" s="29"/>
      <c r="C1182" s="29"/>
      <c r="D1182" s="28"/>
      <c r="E1182" s="30" t="str">
        <f>IFERROR(VLOOKUP(D1182,KRX종목마스터!$A:$B,2,FALSE),"")</f>
        <v/>
      </c>
      <c r="F1182" s="42"/>
      <c r="G1182" s="42"/>
      <c r="H1182" s="31" t="str">
        <f t="shared" si="54"/>
        <v/>
      </c>
      <c r="I1182" s="43">
        <f ca="1">IFERROR(SUMPRODUCT((참고!$A$31:$A$130=C1182)*(참고!$B$31:$B$130&lt;=A1182)*(참고!$B$31:$B$130=_xludf.MAXIFS(참고!$B$31:$B$130,참고!$A$31:$A$130,C1182,참고!$B$31:$B$130,"&lt;="&amp;A1182))*참고!$C$31:$C$130)/100,0)</f>
        <v>0</v>
      </c>
      <c r="J1182" s="31" t="str">
        <f t="shared" si="55"/>
        <v/>
      </c>
      <c r="K1182" s="43">
        <f>IF(B1182="매도",IFERROR(SUMPRODUCT((참고!$A$31:$A$130=C1182)*(참고!$B$31:$B$130&lt;=A1182)*(참고!$B$31:$B$130=_xludf.MAXIFS(참고!$B$31:$B$130,참고!$A$31:$A$130,C1182,참고!$B$31:$B$130,"&lt;="&amp;A1182))*참고!$D$31:$D$130)/100,0),0)</f>
        <v>0</v>
      </c>
      <c r="L1182" s="31" t="str">
        <f t="shared" si="56"/>
        <v/>
      </c>
      <c r="M1182" s="39"/>
    </row>
    <row r="1183" spans="1:13" ht="18" customHeight="1" x14ac:dyDescent="0.45">
      <c r="A1183" s="37"/>
      <c r="B1183" s="29"/>
      <c r="C1183" s="29"/>
      <c r="D1183" s="28"/>
      <c r="E1183" s="30" t="str">
        <f>IFERROR(VLOOKUP(D1183,KRX종목마스터!$A:$B,2,FALSE),"")</f>
        <v/>
      </c>
      <c r="F1183" s="42"/>
      <c r="G1183" s="42"/>
      <c r="H1183" s="31" t="str">
        <f t="shared" si="54"/>
        <v/>
      </c>
      <c r="I1183" s="43">
        <f ca="1">IFERROR(SUMPRODUCT((참고!$A$31:$A$130=C1183)*(참고!$B$31:$B$130&lt;=A1183)*(참고!$B$31:$B$130=_xludf.MAXIFS(참고!$B$31:$B$130,참고!$A$31:$A$130,C1183,참고!$B$31:$B$130,"&lt;="&amp;A1183))*참고!$C$31:$C$130)/100,0)</f>
        <v>0</v>
      </c>
      <c r="J1183" s="31" t="str">
        <f t="shared" si="55"/>
        <v/>
      </c>
      <c r="K1183" s="43">
        <f>IF(B1183="매도",IFERROR(SUMPRODUCT((참고!$A$31:$A$130=C1183)*(참고!$B$31:$B$130&lt;=A1183)*(참고!$B$31:$B$130=_xludf.MAXIFS(참고!$B$31:$B$130,참고!$A$31:$A$130,C1183,참고!$B$31:$B$130,"&lt;="&amp;A1183))*참고!$D$31:$D$130)/100,0),0)</f>
        <v>0</v>
      </c>
      <c r="L1183" s="31" t="str">
        <f t="shared" si="56"/>
        <v/>
      </c>
      <c r="M1183" s="39"/>
    </row>
    <row r="1184" spans="1:13" ht="18" customHeight="1" x14ac:dyDescent="0.45">
      <c r="A1184" s="37"/>
      <c r="B1184" s="29"/>
      <c r="C1184" s="29"/>
      <c r="D1184" s="28"/>
      <c r="E1184" s="30" t="str">
        <f>IFERROR(VLOOKUP(D1184,KRX종목마스터!$A:$B,2,FALSE),"")</f>
        <v/>
      </c>
      <c r="F1184" s="42"/>
      <c r="G1184" s="42"/>
      <c r="H1184" s="31" t="str">
        <f t="shared" si="54"/>
        <v/>
      </c>
      <c r="I1184" s="43">
        <f ca="1">IFERROR(SUMPRODUCT((참고!$A$31:$A$130=C1184)*(참고!$B$31:$B$130&lt;=A1184)*(참고!$B$31:$B$130=_xludf.MAXIFS(참고!$B$31:$B$130,참고!$A$31:$A$130,C1184,참고!$B$31:$B$130,"&lt;="&amp;A1184))*참고!$C$31:$C$130)/100,0)</f>
        <v>0</v>
      </c>
      <c r="J1184" s="31" t="str">
        <f t="shared" si="55"/>
        <v/>
      </c>
      <c r="K1184" s="43">
        <f>IF(B1184="매도",IFERROR(SUMPRODUCT((참고!$A$31:$A$130=C1184)*(참고!$B$31:$B$130&lt;=A1184)*(참고!$B$31:$B$130=_xludf.MAXIFS(참고!$B$31:$B$130,참고!$A$31:$A$130,C1184,참고!$B$31:$B$130,"&lt;="&amp;A1184))*참고!$D$31:$D$130)/100,0),0)</f>
        <v>0</v>
      </c>
      <c r="L1184" s="31" t="str">
        <f t="shared" si="56"/>
        <v/>
      </c>
      <c r="M1184" s="39"/>
    </row>
    <row r="1185" spans="1:13" ht="18" customHeight="1" x14ac:dyDescent="0.45">
      <c r="A1185" s="37"/>
      <c r="B1185" s="29"/>
      <c r="C1185" s="29"/>
      <c r="D1185" s="28"/>
      <c r="E1185" s="30" t="str">
        <f>IFERROR(VLOOKUP(D1185,KRX종목마스터!$A:$B,2,FALSE),"")</f>
        <v/>
      </c>
      <c r="F1185" s="42"/>
      <c r="G1185" s="42"/>
      <c r="H1185" s="31" t="str">
        <f t="shared" si="54"/>
        <v/>
      </c>
      <c r="I1185" s="43">
        <f ca="1">IFERROR(SUMPRODUCT((참고!$A$31:$A$130=C1185)*(참고!$B$31:$B$130&lt;=A1185)*(참고!$B$31:$B$130=_xludf.MAXIFS(참고!$B$31:$B$130,참고!$A$31:$A$130,C1185,참고!$B$31:$B$130,"&lt;="&amp;A1185))*참고!$C$31:$C$130)/100,0)</f>
        <v>0</v>
      </c>
      <c r="J1185" s="31" t="str">
        <f t="shared" si="55"/>
        <v/>
      </c>
      <c r="K1185" s="43">
        <f>IF(B1185="매도",IFERROR(SUMPRODUCT((참고!$A$31:$A$130=C1185)*(참고!$B$31:$B$130&lt;=A1185)*(참고!$B$31:$B$130=_xludf.MAXIFS(참고!$B$31:$B$130,참고!$A$31:$A$130,C1185,참고!$B$31:$B$130,"&lt;="&amp;A1185))*참고!$D$31:$D$130)/100,0),0)</f>
        <v>0</v>
      </c>
      <c r="L1185" s="31" t="str">
        <f t="shared" si="56"/>
        <v/>
      </c>
      <c r="M1185" s="39"/>
    </row>
    <row r="1186" spans="1:13" ht="18" customHeight="1" x14ac:dyDescent="0.45">
      <c r="A1186" s="37"/>
      <c r="B1186" s="29"/>
      <c r="C1186" s="29"/>
      <c r="D1186" s="28"/>
      <c r="E1186" s="30" t="str">
        <f>IFERROR(VLOOKUP(D1186,KRX종목마스터!$A:$B,2,FALSE),"")</f>
        <v/>
      </c>
      <c r="F1186" s="42"/>
      <c r="G1186" s="42"/>
      <c r="H1186" s="31" t="str">
        <f t="shared" si="54"/>
        <v/>
      </c>
      <c r="I1186" s="43">
        <f ca="1">IFERROR(SUMPRODUCT((참고!$A$31:$A$130=C1186)*(참고!$B$31:$B$130&lt;=A1186)*(참고!$B$31:$B$130=_xludf.MAXIFS(참고!$B$31:$B$130,참고!$A$31:$A$130,C1186,참고!$B$31:$B$130,"&lt;="&amp;A1186))*참고!$C$31:$C$130)/100,0)</f>
        <v>0</v>
      </c>
      <c r="J1186" s="31" t="str">
        <f t="shared" si="55"/>
        <v/>
      </c>
      <c r="K1186" s="43">
        <f>IF(B1186="매도",IFERROR(SUMPRODUCT((참고!$A$31:$A$130=C1186)*(참고!$B$31:$B$130&lt;=A1186)*(참고!$B$31:$B$130=_xludf.MAXIFS(참고!$B$31:$B$130,참고!$A$31:$A$130,C1186,참고!$B$31:$B$130,"&lt;="&amp;A1186))*참고!$D$31:$D$130)/100,0),0)</f>
        <v>0</v>
      </c>
      <c r="L1186" s="31" t="str">
        <f t="shared" si="56"/>
        <v/>
      </c>
      <c r="M1186" s="39"/>
    </row>
    <row r="1187" spans="1:13" ht="18" customHeight="1" x14ac:dyDescent="0.45">
      <c r="A1187" s="37"/>
      <c r="B1187" s="29"/>
      <c r="C1187" s="29"/>
      <c r="D1187" s="28"/>
      <c r="E1187" s="30" t="str">
        <f>IFERROR(VLOOKUP(D1187,KRX종목마스터!$A:$B,2,FALSE),"")</f>
        <v/>
      </c>
      <c r="F1187" s="42"/>
      <c r="G1187" s="42"/>
      <c r="H1187" s="31" t="str">
        <f t="shared" si="54"/>
        <v/>
      </c>
      <c r="I1187" s="43">
        <f ca="1">IFERROR(SUMPRODUCT((참고!$A$31:$A$130=C1187)*(참고!$B$31:$B$130&lt;=A1187)*(참고!$B$31:$B$130=_xludf.MAXIFS(참고!$B$31:$B$130,참고!$A$31:$A$130,C1187,참고!$B$31:$B$130,"&lt;="&amp;A1187))*참고!$C$31:$C$130)/100,0)</f>
        <v>0</v>
      </c>
      <c r="J1187" s="31" t="str">
        <f t="shared" si="55"/>
        <v/>
      </c>
      <c r="K1187" s="43">
        <f>IF(B1187="매도",IFERROR(SUMPRODUCT((참고!$A$31:$A$130=C1187)*(참고!$B$31:$B$130&lt;=A1187)*(참고!$B$31:$B$130=_xludf.MAXIFS(참고!$B$31:$B$130,참고!$A$31:$A$130,C1187,참고!$B$31:$B$130,"&lt;="&amp;A1187))*참고!$D$31:$D$130)/100,0),0)</f>
        <v>0</v>
      </c>
      <c r="L1187" s="31" t="str">
        <f t="shared" si="56"/>
        <v/>
      </c>
      <c r="M1187" s="39"/>
    </row>
    <row r="1188" spans="1:13" ht="18" customHeight="1" x14ac:dyDescent="0.45">
      <c r="A1188" s="37"/>
      <c r="B1188" s="29"/>
      <c r="C1188" s="29"/>
      <c r="D1188" s="28"/>
      <c r="E1188" s="30" t="str">
        <f>IFERROR(VLOOKUP(D1188,KRX종목마스터!$A:$B,2,FALSE),"")</f>
        <v/>
      </c>
      <c r="F1188" s="42"/>
      <c r="G1188" s="42"/>
      <c r="H1188" s="31" t="str">
        <f t="shared" si="54"/>
        <v/>
      </c>
      <c r="I1188" s="43">
        <f ca="1">IFERROR(SUMPRODUCT((참고!$A$31:$A$130=C1188)*(참고!$B$31:$B$130&lt;=A1188)*(참고!$B$31:$B$130=_xludf.MAXIFS(참고!$B$31:$B$130,참고!$A$31:$A$130,C1188,참고!$B$31:$B$130,"&lt;="&amp;A1188))*참고!$C$31:$C$130)/100,0)</f>
        <v>0</v>
      </c>
      <c r="J1188" s="31" t="str">
        <f t="shared" si="55"/>
        <v/>
      </c>
      <c r="K1188" s="43">
        <f>IF(B1188="매도",IFERROR(SUMPRODUCT((참고!$A$31:$A$130=C1188)*(참고!$B$31:$B$130&lt;=A1188)*(참고!$B$31:$B$130=_xludf.MAXIFS(참고!$B$31:$B$130,참고!$A$31:$A$130,C1188,참고!$B$31:$B$130,"&lt;="&amp;A1188))*참고!$D$31:$D$130)/100,0),0)</f>
        <v>0</v>
      </c>
      <c r="L1188" s="31" t="str">
        <f t="shared" si="56"/>
        <v/>
      </c>
      <c r="M1188" s="39"/>
    </row>
    <row r="1189" spans="1:13" ht="18" customHeight="1" x14ac:dyDescent="0.45">
      <c r="A1189" s="37"/>
      <c r="B1189" s="29"/>
      <c r="C1189" s="29"/>
      <c r="D1189" s="28"/>
      <c r="E1189" s="30" t="str">
        <f>IFERROR(VLOOKUP(D1189,KRX종목마스터!$A:$B,2,FALSE),"")</f>
        <v/>
      </c>
      <c r="F1189" s="42"/>
      <c r="G1189" s="42"/>
      <c r="H1189" s="31" t="str">
        <f t="shared" si="54"/>
        <v/>
      </c>
      <c r="I1189" s="43">
        <f ca="1">IFERROR(SUMPRODUCT((참고!$A$31:$A$130=C1189)*(참고!$B$31:$B$130&lt;=A1189)*(참고!$B$31:$B$130=_xludf.MAXIFS(참고!$B$31:$B$130,참고!$A$31:$A$130,C1189,참고!$B$31:$B$130,"&lt;="&amp;A1189))*참고!$C$31:$C$130)/100,0)</f>
        <v>0</v>
      </c>
      <c r="J1189" s="31" t="str">
        <f t="shared" si="55"/>
        <v/>
      </c>
      <c r="K1189" s="43">
        <f>IF(B1189="매도",IFERROR(SUMPRODUCT((참고!$A$31:$A$130=C1189)*(참고!$B$31:$B$130&lt;=A1189)*(참고!$B$31:$B$130=_xludf.MAXIFS(참고!$B$31:$B$130,참고!$A$31:$A$130,C1189,참고!$B$31:$B$130,"&lt;="&amp;A1189))*참고!$D$31:$D$130)/100,0),0)</f>
        <v>0</v>
      </c>
      <c r="L1189" s="31" t="str">
        <f t="shared" si="56"/>
        <v/>
      </c>
      <c r="M1189" s="39"/>
    </row>
    <row r="1190" spans="1:13" ht="18" customHeight="1" x14ac:dyDescent="0.45">
      <c r="A1190" s="37"/>
      <c r="B1190" s="29"/>
      <c r="C1190" s="29"/>
      <c r="D1190" s="28"/>
      <c r="E1190" s="30" t="str">
        <f>IFERROR(VLOOKUP(D1190,KRX종목마스터!$A:$B,2,FALSE),"")</f>
        <v/>
      </c>
      <c r="F1190" s="42"/>
      <c r="G1190" s="42"/>
      <c r="H1190" s="31" t="str">
        <f t="shared" si="54"/>
        <v/>
      </c>
      <c r="I1190" s="43">
        <f ca="1">IFERROR(SUMPRODUCT((참고!$A$31:$A$130=C1190)*(참고!$B$31:$B$130&lt;=A1190)*(참고!$B$31:$B$130=_xludf.MAXIFS(참고!$B$31:$B$130,참고!$A$31:$A$130,C1190,참고!$B$31:$B$130,"&lt;="&amp;A1190))*참고!$C$31:$C$130)/100,0)</f>
        <v>0</v>
      </c>
      <c r="J1190" s="31" t="str">
        <f t="shared" si="55"/>
        <v/>
      </c>
      <c r="K1190" s="43">
        <f>IF(B1190="매도",IFERROR(SUMPRODUCT((참고!$A$31:$A$130=C1190)*(참고!$B$31:$B$130&lt;=A1190)*(참고!$B$31:$B$130=_xludf.MAXIFS(참고!$B$31:$B$130,참고!$A$31:$A$130,C1190,참고!$B$31:$B$130,"&lt;="&amp;A1190))*참고!$D$31:$D$130)/100,0),0)</f>
        <v>0</v>
      </c>
      <c r="L1190" s="31" t="str">
        <f t="shared" si="56"/>
        <v/>
      </c>
      <c r="M1190" s="39"/>
    </row>
    <row r="1191" spans="1:13" ht="18" customHeight="1" x14ac:dyDescent="0.45">
      <c r="A1191" s="37"/>
      <c r="B1191" s="29"/>
      <c r="C1191" s="29"/>
      <c r="D1191" s="28"/>
      <c r="E1191" s="30" t="str">
        <f>IFERROR(VLOOKUP(D1191,KRX종목마스터!$A:$B,2,FALSE),"")</f>
        <v/>
      </c>
      <c r="F1191" s="42"/>
      <c r="G1191" s="42"/>
      <c r="H1191" s="31" t="str">
        <f t="shared" si="54"/>
        <v/>
      </c>
      <c r="I1191" s="43">
        <f ca="1">IFERROR(SUMPRODUCT((참고!$A$31:$A$130=C1191)*(참고!$B$31:$B$130&lt;=A1191)*(참고!$B$31:$B$130=_xludf.MAXIFS(참고!$B$31:$B$130,참고!$A$31:$A$130,C1191,참고!$B$31:$B$130,"&lt;="&amp;A1191))*참고!$C$31:$C$130)/100,0)</f>
        <v>0</v>
      </c>
      <c r="J1191" s="31" t="str">
        <f t="shared" si="55"/>
        <v/>
      </c>
      <c r="K1191" s="43">
        <f>IF(B1191="매도",IFERROR(SUMPRODUCT((참고!$A$31:$A$130=C1191)*(참고!$B$31:$B$130&lt;=A1191)*(참고!$B$31:$B$130=_xludf.MAXIFS(참고!$B$31:$B$130,참고!$A$31:$A$130,C1191,참고!$B$31:$B$130,"&lt;="&amp;A1191))*참고!$D$31:$D$130)/100,0),0)</f>
        <v>0</v>
      </c>
      <c r="L1191" s="31" t="str">
        <f t="shared" si="56"/>
        <v/>
      </c>
      <c r="M1191" s="39"/>
    </row>
    <row r="1192" spans="1:13" ht="18" customHeight="1" x14ac:dyDescent="0.45">
      <c r="A1192" s="37"/>
      <c r="B1192" s="29"/>
      <c r="C1192" s="29"/>
      <c r="D1192" s="28"/>
      <c r="E1192" s="30" t="str">
        <f>IFERROR(VLOOKUP(D1192,KRX종목마스터!$A:$B,2,FALSE),"")</f>
        <v/>
      </c>
      <c r="F1192" s="42"/>
      <c r="G1192" s="42"/>
      <c r="H1192" s="31" t="str">
        <f t="shared" si="54"/>
        <v/>
      </c>
      <c r="I1192" s="43">
        <f ca="1">IFERROR(SUMPRODUCT((참고!$A$31:$A$130=C1192)*(참고!$B$31:$B$130&lt;=A1192)*(참고!$B$31:$B$130=_xludf.MAXIFS(참고!$B$31:$B$130,참고!$A$31:$A$130,C1192,참고!$B$31:$B$130,"&lt;="&amp;A1192))*참고!$C$31:$C$130)/100,0)</f>
        <v>0</v>
      </c>
      <c r="J1192" s="31" t="str">
        <f t="shared" si="55"/>
        <v/>
      </c>
      <c r="K1192" s="43">
        <f>IF(B1192="매도",IFERROR(SUMPRODUCT((참고!$A$31:$A$130=C1192)*(참고!$B$31:$B$130&lt;=A1192)*(참고!$B$31:$B$130=_xludf.MAXIFS(참고!$B$31:$B$130,참고!$A$31:$A$130,C1192,참고!$B$31:$B$130,"&lt;="&amp;A1192))*참고!$D$31:$D$130)/100,0),0)</f>
        <v>0</v>
      </c>
      <c r="L1192" s="31" t="str">
        <f t="shared" si="56"/>
        <v/>
      </c>
      <c r="M1192" s="39"/>
    </row>
    <row r="1193" spans="1:13" ht="18" customHeight="1" x14ac:dyDescent="0.45">
      <c r="A1193" s="37"/>
      <c r="B1193" s="29"/>
      <c r="C1193" s="29"/>
      <c r="D1193" s="28"/>
      <c r="E1193" s="30" t="str">
        <f>IFERROR(VLOOKUP(D1193,KRX종목마스터!$A:$B,2,FALSE),"")</f>
        <v/>
      </c>
      <c r="F1193" s="42"/>
      <c r="G1193" s="42"/>
      <c r="H1193" s="31" t="str">
        <f t="shared" si="54"/>
        <v/>
      </c>
      <c r="I1193" s="43">
        <f ca="1">IFERROR(SUMPRODUCT((참고!$A$31:$A$130=C1193)*(참고!$B$31:$B$130&lt;=A1193)*(참고!$B$31:$B$130=_xludf.MAXIFS(참고!$B$31:$B$130,참고!$A$31:$A$130,C1193,참고!$B$31:$B$130,"&lt;="&amp;A1193))*참고!$C$31:$C$130)/100,0)</f>
        <v>0</v>
      </c>
      <c r="J1193" s="31" t="str">
        <f t="shared" si="55"/>
        <v/>
      </c>
      <c r="K1193" s="43">
        <f>IF(B1193="매도",IFERROR(SUMPRODUCT((참고!$A$31:$A$130=C1193)*(참고!$B$31:$B$130&lt;=A1193)*(참고!$B$31:$B$130=_xludf.MAXIFS(참고!$B$31:$B$130,참고!$A$31:$A$130,C1193,참고!$B$31:$B$130,"&lt;="&amp;A1193))*참고!$D$31:$D$130)/100,0),0)</f>
        <v>0</v>
      </c>
      <c r="L1193" s="31" t="str">
        <f t="shared" si="56"/>
        <v/>
      </c>
      <c r="M1193" s="39"/>
    </row>
    <row r="1194" spans="1:13" ht="18" customHeight="1" x14ac:dyDescent="0.45">
      <c r="A1194" s="37"/>
      <c r="B1194" s="29"/>
      <c r="C1194" s="29"/>
      <c r="D1194" s="28"/>
      <c r="E1194" s="30" t="str">
        <f>IFERROR(VLOOKUP(D1194,KRX종목마스터!$A:$B,2,FALSE),"")</f>
        <v/>
      </c>
      <c r="F1194" s="42"/>
      <c r="G1194" s="42"/>
      <c r="H1194" s="31" t="str">
        <f t="shared" si="54"/>
        <v/>
      </c>
      <c r="I1194" s="43">
        <f ca="1">IFERROR(SUMPRODUCT((참고!$A$31:$A$130=C1194)*(참고!$B$31:$B$130&lt;=A1194)*(참고!$B$31:$B$130=_xludf.MAXIFS(참고!$B$31:$B$130,참고!$A$31:$A$130,C1194,참고!$B$31:$B$130,"&lt;="&amp;A1194))*참고!$C$31:$C$130)/100,0)</f>
        <v>0</v>
      </c>
      <c r="J1194" s="31" t="str">
        <f t="shared" si="55"/>
        <v/>
      </c>
      <c r="K1194" s="43">
        <f>IF(B1194="매도",IFERROR(SUMPRODUCT((참고!$A$31:$A$130=C1194)*(참고!$B$31:$B$130&lt;=A1194)*(참고!$B$31:$B$130=_xludf.MAXIFS(참고!$B$31:$B$130,참고!$A$31:$A$130,C1194,참고!$B$31:$B$130,"&lt;="&amp;A1194))*참고!$D$31:$D$130)/100,0),0)</f>
        <v>0</v>
      </c>
      <c r="L1194" s="31" t="str">
        <f t="shared" si="56"/>
        <v/>
      </c>
      <c r="M1194" s="39"/>
    </row>
    <row r="1195" spans="1:13" ht="18" customHeight="1" x14ac:dyDescent="0.45">
      <c r="A1195" s="37"/>
      <c r="B1195" s="29"/>
      <c r="C1195" s="29"/>
      <c r="D1195" s="28"/>
      <c r="E1195" s="30" t="str">
        <f>IFERROR(VLOOKUP(D1195,KRX종목마스터!$A:$B,2,FALSE),"")</f>
        <v/>
      </c>
      <c r="F1195" s="42"/>
      <c r="G1195" s="42"/>
      <c r="H1195" s="31" t="str">
        <f t="shared" si="54"/>
        <v/>
      </c>
      <c r="I1195" s="43">
        <f ca="1">IFERROR(SUMPRODUCT((참고!$A$31:$A$130=C1195)*(참고!$B$31:$B$130&lt;=A1195)*(참고!$B$31:$B$130=_xludf.MAXIFS(참고!$B$31:$B$130,참고!$A$31:$A$130,C1195,참고!$B$31:$B$130,"&lt;="&amp;A1195))*참고!$C$31:$C$130)/100,0)</f>
        <v>0</v>
      </c>
      <c r="J1195" s="31" t="str">
        <f t="shared" si="55"/>
        <v/>
      </c>
      <c r="K1195" s="43">
        <f>IF(B1195="매도",IFERROR(SUMPRODUCT((참고!$A$31:$A$130=C1195)*(참고!$B$31:$B$130&lt;=A1195)*(참고!$B$31:$B$130=_xludf.MAXIFS(참고!$B$31:$B$130,참고!$A$31:$A$130,C1195,참고!$B$31:$B$130,"&lt;="&amp;A1195))*참고!$D$31:$D$130)/100,0),0)</f>
        <v>0</v>
      </c>
      <c r="L1195" s="31" t="str">
        <f t="shared" si="56"/>
        <v/>
      </c>
      <c r="M1195" s="39"/>
    </row>
    <row r="1196" spans="1:13" ht="18" customHeight="1" x14ac:dyDescent="0.45">
      <c r="A1196" s="37"/>
      <c r="B1196" s="29"/>
      <c r="C1196" s="29"/>
      <c r="D1196" s="28"/>
      <c r="E1196" s="30" t="str">
        <f>IFERROR(VLOOKUP(D1196,KRX종목마스터!$A:$B,2,FALSE),"")</f>
        <v/>
      </c>
      <c r="F1196" s="42"/>
      <c r="G1196" s="42"/>
      <c r="H1196" s="31" t="str">
        <f t="shared" si="54"/>
        <v/>
      </c>
      <c r="I1196" s="43">
        <f ca="1">IFERROR(SUMPRODUCT((참고!$A$31:$A$130=C1196)*(참고!$B$31:$B$130&lt;=A1196)*(참고!$B$31:$B$130=_xludf.MAXIFS(참고!$B$31:$B$130,참고!$A$31:$A$130,C1196,참고!$B$31:$B$130,"&lt;="&amp;A1196))*참고!$C$31:$C$130)/100,0)</f>
        <v>0</v>
      </c>
      <c r="J1196" s="31" t="str">
        <f t="shared" si="55"/>
        <v/>
      </c>
      <c r="K1196" s="43">
        <f>IF(B1196="매도",IFERROR(SUMPRODUCT((참고!$A$31:$A$130=C1196)*(참고!$B$31:$B$130&lt;=A1196)*(참고!$B$31:$B$130=_xludf.MAXIFS(참고!$B$31:$B$130,참고!$A$31:$A$130,C1196,참고!$B$31:$B$130,"&lt;="&amp;A1196))*참고!$D$31:$D$130)/100,0),0)</f>
        <v>0</v>
      </c>
      <c r="L1196" s="31" t="str">
        <f t="shared" si="56"/>
        <v/>
      </c>
      <c r="M1196" s="39"/>
    </row>
    <row r="1197" spans="1:13" ht="18" customHeight="1" x14ac:dyDescent="0.45">
      <c r="A1197" s="37"/>
      <c r="B1197" s="29"/>
      <c r="C1197" s="29"/>
      <c r="D1197" s="28"/>
      <c r="E1197" s="30" t="str">
        <f>IFERROR(VLOOKUP(D1197,KRX종목마스터!$A:$B,2,FALSE),"")</f>
        <v/>
      </c>
      <c r="F1197" s="42"/>
      <c r="G1197" s="42"/>
      <c r="H1197" s="31" t="str">
        <f t="shared" si="54"/>
        <v/>
      </c>
      <c r="I1197" s="43">
        <f ca="1">IFERROR(SUMPRODUCT((참고!$A$31:$A$130=C1197)*(참고!$B$31:$B$130&lt;=A1197)*(참고!$B$31:$B$130=_xludf.MAXIFS(참고!$B$31:$B$130,참고!$A$31:$A$130,C1197,참고!$B$31:$B$130,"&lt;="&amp;A1197))*참고!$C$31:$C$130)/100,0)</f>
        <v>0</v>
      </c>
      <c r="J1197" s="31" t="str">
        <f t="shared" si="55"/>
        <v/>
      </c>
      <c r="K1197" s="43">
        <f>IF(B1197="매도",IFERROR(SUMPRODUCT((참고!$A$31:$A$130=C1197)*(참고!$B$31:$B$130&lt;=A1197)*(참고!$B$31:$B$130=_xludf.MAXIFS(참고!$B$31:$B$130,참고!$A$31:$A$130,C1197,참고!$B$31:$B$130,"&lt;="&amp;A1197))*참고!$D$31:$D$130)/100,0),0)</f>
        <v>0</v>
      </c>
      <c r="L1197" s="31" t="str">
        <f t="shared" si="56"/>
        <v/>
      </c>
      <c r="M1197" s="39"/>
    </row>
    <row r="1198" spans="1:13" ht="18" customHeight="1" x14ac:dyDescent="0.45">
      <c r="A1198" s="37"/>
      <c r="B1198" s="29"/>
      <c r="C1198" s="29"/>
      <c r="D1198" s="28"/>
      <c r="E1198" s="30" t="str">
        <f>IFERROR(VLOOKUP(D1198,KRX종목마스터!$A:$B,2,FALSE),"")</f>
        <v/>
      </c>
      <c r="F1198" s="42"/>
      <c r="G1198" s="42"/>
      <c r="H1198" s="31" t="str">
        <f t="shared" si="54"/>
        <v/>
      </c>
      <c r="I1198" s="43">
        <f ca="1">IFERROR(SUMPRODUCT((참고!$A$31:$A$130=C1198)*(참고!$B$31:$B$130&lt;=A1198)*(참고!$B$31:$B$130=_xludf.MAXIFS(참고!$B$31:$B$130,참고!$A$31:$A$130,C1198,참고!$B$31:$B$130,"&lt;="&amp;A1198))*참고!$C$31:$C$130)/100,0)</f>
        <v>0</v>
      </c>
      <c r="J1198" s="31" t="str">
        <f t="shared" si="55"/>
        <v/>
      </c>
      <c r="K1198" s="43">
        <f>IF(B1198="매도",IFERROR(SUMPRODUCT((참고!$A$31:$A$130=C1198)*(참고!$B$31:$B$130&lt;=A1198)*(참고!$B$31:$B$130=_xludf.MAXIFS(참고!$B$31:$B$130,참고!$A$31:$A$130,C1198,참고!$B$31:$B$130,"&lt;="&amp;A1198))*참고!$D$31:$D$130)/100,0),0)</f>
        <v>0</v>
      </c>
      <c r="L1198" s="31" t="str">
        <f t="shared" si="56"/>
        <v/>
      </c>
      <c r="M1198" s="39"/>
    </row>
    <row r="1199" spans="1:13" ht="18" customHeight="1" x14ac:dyDescent="0.45">
      <c r="A1199" s="37"/>
      <c r="B1199" s="29"/>
      <c r="C1199" s="29"/>
      <c r="D1199" s="28"/>
      <c r="E1199" s="30" t="str">
        <f>IFERROR(VLOOKUP(D1199,KRX종목마스터!$A:$B,2,FALSE),"")</f>
        <v/>
      </c>
      <c r="F1199" s="42"/>
      <c r="G1199" s="42"/>
      <c r="H1199" s="31" t="str">
        <f t="shared" si="54"/>
        <v/>
      </c>
      <c r="I1199" s="43">
        <f ca="1">IFERROR(SUMPRODUCT((참고!$A$31:$A$130=C1199)*(참고!$B$31:$B$130&lt;=A1199)*(참고!$B$31:$B$130=_xludf.MAXIFS(참고!$B$31:$B$130,참고!$A$31:$A$130,C1199,참고!$B$31:$B$130,"&lt;="&amp;A1199))*참고!$C$31:$C$130)/100,0)</f>
        <v>0</v>
      </c>
      <c r="J1199" s="31" t="str">
        <f t="shared" si="55"/>
        <v/>
      </c>
      <c r="K1199" s="43">
        <f>IF(B1199="매도",IFERROR(SUMPRODUCT((참고!$A$31:$A$130=C1199)*(참고!$B$31:$B$130&lt;=A1199)*(참고!$B$31:$B$130=_xludf.MAXIFS(참고!$B$31:$B$130,참고!$A$31:$A$130,C1199,참고!$B$31:$B$130,"&lt;="&amp;A1199))*참고!$D$31:$D$130)/100,0),0)</f>
        <v>0</v>
      </c>
      <c r="L1199" s="31" t="str">
        <f t="shared" si="56"/>
        <v/>
      </c>
      <c r="M1199" s="39"/>
    </row>
    <row r="1200" spans="1:13" ht="18" customHeight="1" x14ac:dyDescent="0.45">
      <c r="A1200" s="37"/>
      <c r="B1200" s="29"/>
      <c r="C1200" s="29"/>
      <c r="D1200" s="28"/>
      <c r="E1200" s="30" t="str">
        <f>IFERROR(VLOOKUP(D1200,KRX종목마스터!$A:$B,2,FALSE),"")</f>
        <v/>
      </c>
      <c r="F1200" s="42"/>
      <c r="G1200" s="42"/>
      <c r="H1200" s="31" t="str">
        <f t="shared" si="54"/>
        <v/>
      </c>
      <c r="I1200" s="43">
        <f ca="1">IFERROR(SUMPRODUCT((참고!$A$31:$A$130=C1200)*(참고!$B$31:$B$130&lt;=A1200)*(참고!$B$31:$B$130=_xludf.MAXIFS(참고!$B$31:$B$130,참고!$A$31:$A$130,C1200,참고!$B$31:$B$130,"&lt;="&amp;A1200))*참고!$C$31:$C$130)/100,0)</f>
        <v>0</v>
      </c>
      <c r="J1200" s="31" t="str">
        <f t="shared" si="55"/>
        <v/>
      </c>
      <c r="K1200" s="43">
        <f>IF(B1200="매도",IFERROR(SUMPRODUCT((참고!$A$31:$A$130=C1200)*(참고!$B$31:$B$130&lt;=A1200)*(참고!$B$31:$B$130=_xludf.MAXIFS(참고!$B$31:$B$130,참고!$A$31:$A$130,C1200,참고!$B$31:$B$130,"&lt;="&amp;A1200))*참고!$D$31:$D$130)/100,0),0)</f>
        <v>0</v>
      </c>
      <c r="L1200" s="31" t="str">
        <f t="shared" si="56"/>
        <v/>
      </c>
      <c r="M1200" s="39"/>
    </row>
    <row r="1201" spans="1:13" ht="18" customHeight="1" x14ac:dyDescent="0.45">
      <c r="A1201" s="37"/>
      <c r="B1201" s="29"/>
      <c r="C1201" s="29"/>
      <c r="D1201" s="28"/>
      <c r="E1201" s="30" t="str">
        <f>IFERROR(VLOOKUP(D1201,KRX종목마스터!$A:$B,2,FALSE),"")</f>
        <v/>
      </c>
      <c r="F1201" s="42"/>
      <c r="G1201" s="42"/>
      <c r="H1201" s="31" t="str">
        <f t="shared" si="54"/>
        <v/>
      </c>
      <c r="I1201" s="43">
        <f ca="1">IFERROR(SUMPRODUCT((참고!$A$31:$A$130=C1201)*(참고!$B$31:$B$130&lt;=A1201)*(참고!$B$31:$B$130=_xludf.MAXIFS(참고!$B$31:$B$130,참고!$A$31:$A$130,C1201,참고!$B$31:$B$130,"&lt;="&amp;A1201))*참고!$C$31:$C$130)/100,0)</f>
        <v>0</v>
      </c>
      <c r="J1201" s="31" t="str">
        <f t="shared" si="55"/>
        <v/>
      </c>
      <c r="K1201" s="43">
        <f>IF(B1201="매도",IFERROR(SUMPRODUCT((참고!$A$31:$A$130=C1201)*(참고!$B$31:$B$130&lt;=A1201)*(참고!$B$31:$B$130=_xludf.MAXIFS(참고!$B$31:$B$130,참고!$A$31:$A$130,C1201,참고!$B$31:$B$130,"&lt;="&amp;A1201))*참고!$D$31:$D$130)/100,0),0)</f>
        <v>0</v>
      </c>
      <c r="L1201" s="31" t="str">
        <f t="shared" si="56"/>
        <v/>
      </c>
      <c r="M1201" s="39"/>
    </row>
    <row r="1202" spans="1:13" ht="18" customHeight="1" x14ac:dyDescent="0.45">
      <c r="A1202" s="37"/>
      <c r="B1202" s="29"/>
      <c r="C1202" s="29"/>
      <c r="D1202" s="28"/>
      <c r="E1202" s="30" t="str">
        <f>IFERROR(VLOOKUP(D1202,KRX종목마스터!$A:$B,2,FALSE),"")</f>
        <v/>
      </c>
      <c r="F1202" s="42"/>
      <c r="G1202" s="42"/>
      <c r="H1202" s="31" t="str">
        <f t="shared" si="54"/>
        <v/>
      </c>
      <c r="I1202" s="43">
        <f ca="1">IFERROR(SUMPRODUCT((참고!$A$31:$A$130=C1202)*(참고!$B$31:$B$130&lt;=A1202)*(참고!$B$31:$B$130=_xludf.MAXIFS(참고!$B$31:$B$130,참고!$A$31:$A$130,C1202,참고!$B$31:$B$130,"&lt;="&amp;A1202))*참고!$C$31:$C$130)/100,0)</f>
        <v>0</v>
      </c>
      <c r="J1202" s="31" t="str">
        <f t="shared" si="55"/>
        <v/>
      </c>
      <c r="K1202" s="43">
        <f>IF(B1202="매도",IFERROR(SUMPRODUCT((참고!$A$31:$A$130=C1202)*(참고!$B$31:$B$130&lt;=A1202)*(참고!$B$31:$B$130=_xludf.MAXIFS(참고!$B$31:$B$130,참고!$A$31:$A$130,C1202,참고!$B$31:$B$130,"&lt;="&amp;A1202))*참고!$D$31:$D$130)/100,0),0)</f>
        <v>0</v>
      </c>
      <c r="L1202" s="31" t="str">
        <f t="shared" si="56"/>
        <v/>
      </c>
      <c r="M1202" s="39"/>
    </row>
    <row r="1203" spans="1:13" ht="18" customHeight="1" x14ac:dyDescent="0.45">
      <c r="A1203" s="37"/>
      <c r="B1203" s="29"/>
      <c r="C1203" s="29"/>
      <c r="D1203" s="28"/>
      <c r="E1203" s="30" t="str">
        <f>IFERROR(VLOOKUP(D1203,KRX종목마스터!$A:$B,2,FALSE),"")</f>
        <v/>
      </c>
      <c r="F1203" s="42"/>
      <c r="G1203" s="42"/>
      <c r="H1203" s="31" t="str">
        <f t="shared" si="54"/>
        <v/>
      </c>
      <c r="I1203" s="43">
        <f ca="1">IFERROR(SUMPRODUCT((참고!$A$31:$A$130=C1203)*(참고!$B$31:$B$130&lt;=A1203)*(참고!$B$31:$B$130=_xludf.MAXIFS(참고!$B$31:$B$130,참고!$A$31:$A$130,C1203,참고!$B$31:$B$130,"&lt;="&amp;A1203))*참고!$C$31:$C$130)/100,0)</f>
        <v>0</v>
      </c>
      <c r="J1203" s="31" t="str">
        <f t="shared" si="55"/>
        <v/>
      </c>
      <c r="K1203" s="43">
        <f>IF(B1203="매도",IFERROR(SUMPRODUCT((참고!$A$31:$A$130=C1203)*(참고!$B$31:$B$130&lt;=A1203)*(참고!$B$31:$B$130=_xludf.MAXIFS(참고!$B$31:$B$130,참고!$A$31:$A$130,C1203,참고!$B$31:$B$130,"&lt;="&amp;A1203))*참고!$D$31:$D$130)/100,0),0)</f>
        <v>0</v>
      </c>
      <c r="L1203" s="31" t="str">
        <f t="shared" si="56"/>
        <v/>
      </c>
      <c r="M1203" s="39"/>
    </row>
    <row r="1204" spans="1:13" ht="18" customHeight="1" x14ac:dyDescent="0.45">
      <c r="A1204" s="37"/>
      <c r="B1204" s="29"/>
      <c r="C1204" s="29"/>
      <c r="D1204" s="28"/>
      <c r="E1204" s="30" t="str">
        <f>IFERROR(VLOOKUP(D1204,KRX종목마스터!$A:$B,2,FALSE),"")</f>
        <v/>
      </c>
      <c r="F1204" s="42"/>
      <c r="G1204" s="42"/>
      <c r="H1204" s="31" t="str">
        <f t="shared" si="54"/>
        <v/>
      </c>
      <c r="I1204" s="43">
        <f ca="1">IFERROR(SUMPRODUCT((참고!$A$31:$A$130=C1204)*(참고!$B$31:$B$130&lt;=A1204)*(참고!$B$31:$B$130=_xludf.MAXIFS(참고!$B$31:$B$130,참고!$A$31:$A$130,C1204,참고!$B$31:$B$130,"&lt;="&amp;A1204))*참고!$C$31:$C$130)/100,0)</f>
        <v>0</v>
      </c>
      <c r="J1204" s="31" t="str">
        <f t="shared" si="55"/>
        <v/>
      </c>
      <c r="K1204" s="43">
        <f>IF(B1204="매도",IFERROR(SUMPRODUCT((참고!$A$31:$A$130=C1204)*(참고!$B$31:$B$130&lt;=A1204)*(참고!$B$31:$B$130=_xludf.MAXIFS(참고!$B$31:$B$130,참고!$A$31:$A$130,C1204,참고!$B$31:$B$130,"&lt;="&amp;A1204))*참고!$D$31:$D$130)/100,0),0)</f>
        <v>0</v>
      </c>
      <c r="L1204" s="31" t="str">
        <f t="shared" si="56"/>
        <v/>
      </c>
      <c r="M1204" s="39"/>
    </row>
    <row r="1205" spans="1:13" ht="18" customHeight="1" x14ac:dyDescent="0.45">
      <c r="A1205" s="37"/>
      <c r="B1205" s="29"/>
      <c r="C1205" s="29"/>
      <c r="D1205" s="28"/>
      <c r="E1205" s="30" t="str">
        <f>IFERROR(VLOOKUP(D1205,KRX종목마스터!$A:$B,2,FALSE),"")</f>
        <v/>
      </c>
      <c r="F1205" s="42"/>
      <c r="G1205" s="42"/>
      <c r="H1205" s="31" t="str">
        <f t="shared" si="54"/>
        <v/>
      </c>
      <c r="I1205" s="43">
        <f ca="1">IFERROR(SUMPRODUCT((참고!$A$31:$A$130=C1205)*(참고!$B$31:$B$130&lt;=A1205)*(참고!$B$31:$B$130=_xludf.MAXIFS(참고!$B$31:$B$130,참고!$A$31:$A$130,C1205,참고!$B$31:$B$130,"&lt;="&amp;A1205))*참고!$C$31:$C$130)/100,0)</f>
        <v>0</v>
      </c>
      <c r="J1205" s="31" t="str">
        <f t="shared" si="55"/>
        <v/>
      </c>
      <c r="K1205" s="43">
        <f>IF(B1205="매도",IFERROR(SUMPRODUCT((참고!$A$31:$A$130=C1205)*(참고!$B$31:$B$130&lt;=A1205)*(참고!$B$31:$B$130=_xludf.MAXIFS(참고!$B$31:$B$130,참고!$A$31:$A$130,C1205,참고!$B$31:$B$130,"&lt;="&amp;A1205))*참고!$D$31:$D$130)/100,0),0)</f>
        <v>0</v>
      </c>
      <c r="L1205" s="31" t="str">
        <f t="shared" si="56"/>
        <v/>
      </c>
      <c r="M1205" s="39"/>
    </row>
    <row r="1206" spans="1:13" ht="18" customHeight="1" x14ac:dyDescent="0.45">
      <c r="A1206" s="37"/>
      <c r="B1206" s="29"/>
      <c r="C1206" s="29"/>
      <c r="D1206" s="28"/>
      <c r="E1206" s="30" t="str">
        <f>IFERROR(VLOOKUP(D1206,KRX종목마스터!$A:$B,2,FALSE),"")</f>
        <v/>
      </c>
      <c r="F1206" s="42"/>
      <c r="G1206" s="42"/>
      <c r="H1206" s="31" t="str">
        <f t="shared" si="54"/>
        <v/>
      </c>
      <c r="I1206" s="43">
        <f ca="1">IFERROR(SUMPRODUCT((참고!$A$31:$A$130=C1206)*(참고!$B$31:$B$130&lt;=A1206)*(참고!$B$31:$B$130=_xludf.MAXIFS(참고!$B$31:$B$130,참고!$A$31:$A$130,C1206,참고!$B$31:$B$130,"&lt;="&amp;A1206))*참고!$C$31:$C$130)/100,0)</f>
        <v>0</v>
      </c>
      <c r="J1206" s="31" t="str">
        <f t="shared" si="55"/>
        <v/>
      </c>
      <c r="K1206" s="43">
        <f>IF(B1206="매도",IFERROR(SUMPRODUCT((참고!$A$31:$A$130=C1206)*(참고!$B$31:$B$130&lt;=A1206)*(참고!$B$31:$B$130=_xludf.MAXIFS(참고!$B$31:$B$130,참고!$A$31:$A$130,C1206,참고!$B$31:$B$130,"&lt;="&amp;A1206))*참고!$D$31:$D$130)/100,0),0)</f>
        <v>0</v>
      </c>
      <c r="L1206" s="31" t="str">
        <f t="shared" si="56"/>
        <v/>
      </c>
      <c r="M1206" s="39"/>
    </row>
    <row r="1207" spans="1:13" ht="18" customHeight="1" x14ac:dyDescent="0.45">
      <c r="A1207" s="37"/>
      <c r="B1207" s="29"/>
      <c r="C1207" s="29"/>
      <c r="D1207" s="28"/>
      <c r="E1207" s="30" t="str">
        <f>IFERROR(VLOOKUP(D1207,KRX종목마스터!$A:$B,2,FALSE),"")</f>
        <v/>
      </c>
      <c r="F1207" s="42"/>
      <c r="G1207" s="42"/>
      <c r="H1207" s="31" t="str">
        <f t="shared" si="54"/>
        <v/>
      </c>
      <c r="I1207" s="43">
        <f ca="1">IFERROR(SUMPRODUCT((참고!$A$31:$A$130=C1207)*(참고!$B$31:$B$130&lt;=A1207)*(참고!$B$31:$B$130=_xludf.MAXIFS(참고!$B$31:$B$130,참고!$A$31:$A$130,C1207,참고!$B$31:$B$130,"&lt;="&amp;A1207))*참고!$C$31:$C$130)/100,0)</f>
        <v>0</v>
      </c>
      <c r="J1207" s="31" t="str">
        <f t="shared" si="55"/>
        <v/>
      </c>
      <c r="K1207" s="43">
        <f>IF(B1207="매도",IFERROR(SUMPRODUCT((참고!$A$31:$A$130=C1207)*(참고!$B$31:$B$130&lt;=A1207)*(참고!$B$31:$B$130=_xludf.MAXIFS(참고!$B$31:$B$130,참고!$A$31:$A$130,C1207,참고!$B$31:$B$130,"&lt;="&amp;A1207))*참고!$D$31:$D$130)/100,0),0)</f>
        <v>0</v>
      </c>
      <c r="L1207" s="31" t="str">
        <f t="shared" si="56"/>
        <v/>
      </c>
      <c r="M1207" s="39"/>
    </row>
    <row r="1208" spans="1:13" ht="18" customHeight="1" x14ac:dyDescent="0.45">
      <c r="A1208" s="37"/>
      <c r="B1208" s="29"/>
      <c r="C1208" s="29"/>
      <c r="D1208" s="28"/>
      <c r="E1208" s="30" t="str">
        <f>IFERROR(VLOOKUP(D1208,KRX종목마스터!$A:$B,2,FALSE),"")</f>
        <v/>
      </c>
      <c r="F1208" s="42"/>
      <c r="G1208" s="42"/>
      <c r="H1208" s="31" t="str">
        <f t="shared" si="54"/>
        <v/>
      </c>
      <c r="I1208" s="43">
        <f ca="1">IFERROR(SUMPRODUCT((참고!$A$31:$A$130=C1208)*(참고!$B$31:$B$130&lt;=A1208)*(참고!$B$31:$B$130=_xludf.MAXIFS(참고!$B$31:$B$130,참고!$A$31:$A$130,C1208,참고!$B$31:$B$130,"&lt;="&amp;A1208))*참고!$C$31:$C$130)/100,0)</f>
        <v>0</v>
      </c>
      <c r="J1208" s="31" t="str">
        <f t="shared" si="55"/>
        <v/>
      </c>
      <c r="K1208" s="43">
        <f>IF(B1208="매도",IFERROR(SUMPRODUCT((참고!$A$31:$A$130=C1208)*(참고!$B$31:$B$130&lt;=A1208)*(참고!$B$31:$B$130=_xludf.MAXIFS(참고!$B$31:$B$130,참고!$A$31:$A$130,C1208,참고!$B$31:$B$130,"&lt;="&amp;A1208))*참고!$D$31:$D$130)/100,0),0)</f>
        <v>0</v>
      </c>
      <c r="L1208" s="31" t="str">
        <f t="shared" si="56"/>
        <v/>
      </c>
      <c r="M1208" s="39"/>
    </row>
    <row r="1209" spans="1:13" ht="18" customHeight="1" x14ac:dyDescent="0.45">
      <c r="A1209" s="37"/>
      <c r="B1209" s="29"/>
      <c r="C1209" s="29"/>
      <c r="D1209" s="28"/>
      <c r="E1209" s="30" t="str">
        <f>IFERROR(VLOOKUP(D1209,KRX종목마스터!$A:$B,2,FALSE),"")</f>
        <v/>
      </c>
      <c r="F1209" s="42"/>
      <c r="G1209" s="42"/>
      <c r="H1209" s="31" t="str">
        <f t="shared" si="54"/>
        <v/>
      </c>
      <c r="I1209" s="43">
        <f ca="1">IFERROR(SUMPRODUCT((참고!$A$31:$A$130=C1209)*(참고!$B$31:$B$130&lt;=A1209)*(참고!$B$31:$B$130=_xludf.MAXIFS(참고!$B$31:$B$130,참고!$A$31:$A$130,C1209,참고!$B$31:$B$130,"&lt;="&amp;A1209))*참고!$C$31:$C$130)/100,0)</f>
        <v>0</v>
      </c>
      <c r="J1209" s="31" t="str">
        <f t="shared" si="55"/>
        <v/>
      </c>
      <c r="K1209" s="43">
        <f>IF(B1209="매도",IFERROR(SUMPRODUCT((참고!$A$31:$A$130=C1209)*(참고!$B$31:$B$130&lt;=A1209)*(참고!$B$31:$B$130=_xludf.MAXIFS(참고!$B$31:$B$130,참고!$A$31:$A$130,C1209,참고!$B$31:$B$130,"&lt;="&amp;A1209))*참고!$D$31:$D$130)/100,0),0)</f>
        <v>0</v>
      </c>
      <c r="L1209" s="31" t="str">
        <f t="shared" si="56"/>
        <v/>
      </c>
      <c r="M1209" s="39"/>
    </row>
    <row r="1210" spans="1:13" ht="18" customHeight="1" x14ac:dyDescent="0.45">
      <c r="A1210" s="37"/>
      <c r="B1210" s="29"/>
      <c r="C1210" s="29"/>
      <c r="D1210" s="28"/>
      <c r="E1210" s="30" t="str">
        <f>IFERROR(VLOOKUP(D1210,KRX종목마스터!$A:$B,2,FALSE),"")</f>
        <v/>
      </c>
      <c r="F1210" s="42"/>
      <c r="G1210" s="42"/>
      <c r="H1210" s="31" t="str">
        <f t="shared" si="54"/>
        <v/>
      </c>
      <c r="I1210" s="43">
        <f ca="1">IFERROR(SUMPRODUCT((참고!$A$31:$A$130=C1210)*(참고!$B$31:$B$130&lt;=A1210)*(참고!$B$31:$B$130=_xludf.MAXIFS(참고!$B$31:$B$130,참고!$A$31:$A$130,C1210,참고!$B$31:$B$130,"&lt;="&amp;A1210))*참고!$C$31:$C$130)/100,0)</f>
        <v>0</v>
      </c>
      <c r="J1210" s="31" t="str">
        <f t="shared" si="55"/>
        <v/>
      </c>
      <c r="K1210" s="43">
        <f>IF(B1210="매도",IFERROR(SUMPRODUCT((참고!$A$31:$A$130=C1210)*(참고!$B$31:$B$130&lt;=A1210)*(참고!$B$31:$B$130=_xludf.MAXIFS(참고!$B$31:$B$130,참고!$A$31:$A$130,C1210,참고!$B$31:$B$130,"&lt;="&amp;A1210))*참고!$D$31:$D$130)/100,0),0)</f>
        <v>0</v>
      </c>
      <c r="L1210" s="31" t="str">
        <f t="shared" si="56"/>
        <v/>
      </c>
      <c r="M1210" s="39"/>
    </row>
    <row r="1211" spans="1:13" ht="18" customHeight="1" x14ac:dyDescent="0.45">
      <c r="A1211" s="37"/>
      <c r="B1211" s="29"/>
      <c r="C1211" s="29"/>
      <c r="D1211" s="28"/>
      <c r="E1211" s="30" t="str">
        <f>IFERROR(VLOOKUP(D1211,KRX종목마스터!$A:$B,2,FALSE),"")</f>
        <v/>
      </c>
      <c r="F1211" s="42"/>
      <c r="G1211" s="42"/>
      <c r="H1211" s="31" t="str">
        <f t="shared" si="54"/>
        <v/>
      </c>
      <c r="I1211" s="43">
        <f ca="1">IFERROR(SUMPRODUCT((참고!$A$31:$A$130=C1211)*(참고!$B$31:$B$130&lt;=A1211)*(참고!$B$31:$B$130=_xludf.MAXIFS(참고!$B$31:$B$130,참고!$A$31:$A$130,C1211,참고!$B$31:$B$130,"&lt;="&amp;A1211))*참고!$C$31:$C$130)/100,0)</f>
        <v>0</v>
      </c>
      <c r="J1211" s="31" t="str">
        <f t="shared" si="55"/>
        <v/>
      </c>
      <c r="K1211" s="43">
        <f>IF(B1211="매도",IFERROR(SUMPRODUCT((참고!$A$31:$A$130=C1211)*(참고!$B$31:$B$130&lt;=A1211)*(참고!$B$31:$B$130=_xludf.MAXIFS(참고!$B$31:$B$130,참고!$A$31:$A$130,C1211,참고!$B$31:$B$130,"&lt;="&amp;A1211))*참고!$D$31:$D$130)/100,0),0)</f>
        <v>0</v>
      </c>
      <c r="L1211" s="31" t="str">
        <f t="shared" si="56"/>
        <v/>
      </c>
      <c r="M1211" s="39"/>
    </row>
    <row r="1212" spans="1:13" ht="18" customHeight="1" x14ac:dyDescent="0.45">
      <c r="A1212" s="37"/>
      <c r="B1212" s="29"/>
      <c r="C1212" s="29"/>
      <c r="D1212" s="28"/>
      <c r="E1212" s="30" t="str">
        <f>IFERROR(VLOOKUP(D1212,KRX종목마스터!$A:$B,2,FALSE),"")</f>
        <v/>
      </c>
      <c r="F1212" s="42"/>
      <c r="G1212" s="42"/>
      <c r="H1212" s="31" t="str">
        <f t="shared" si="54"/>
        <v/>
      </c>
      <c r="I1212" s="43">
        <f ca="1">IFERROR(SUMPRODUCT((참고!$A$31:$A$130=C1212)*(참고!$B$31:$B$130&lt;=A1212)*(참고!$B$31:$B$130=_xludf.MAXIFS(참고!$B$31:$B$130,참고!$A$31:$A$130,C1212,참고!$B$31:$B$130,"&lt;="&amp;A1212))*참고!$C$31:$C$130)/100,0)</f>
        <v>0</v>
      </c>
      <c r="J1212" s="31" t="str">
        <f t="shared" si="55"/>
        <v/>
      </c>
      <c r="K1212" s="43">
        <f>IF(B1212="매도",IFERROR(SUMPRODUCT((참고!$A$31:$A$130=C1212)*(참고!$B$31:$B$130&lt;=A1212)*(참고!$B$31:$B$130=_xludf.MAXIFS(참고!$B$31:$B$130,참고!$A$31:$A$130,C1212,참고!$B$31:$B$130,"&lt;="&amp;A1212))*참고!$D$31:$D$130)/100,0),0)</f>
        <v>0</v>
      </c>
      <c r="L1212" s="31" t="str">
        <f t="shared" si="56"/>
        <v/>
      </c>
      <c r="M1212" s="39"/>
    </row>
    <row r="1213" spans="1:13" ht="18" customHeight="1" x14ac:dyDescent="0.45">
      <c r="A1213" s="37"/>
      <c r="B1213" s="29"/>
      <c r="C1213" s="29"/>
      <c r="D1213" s="28"/>
      <c r="E1213" s="30" t="str">
        <f>IFERROR(VLOOKUP(D1213,KRX종목마스터!$A:$B,2,FALSE),"")</f>
        <v/>
      </c>
      <c r="F1213" s="42"/>
      <c r="G1213" s="42"/>
      <c r="H1213" s="31" t="str">
        <f t="shared" si="54"/>
        <v/>
      </c>
      <c r="I1213" s="43">
        <f ca="1">IFERROR(SUMPRODUCT((참고!$A$31:$A$130=C1213)*(참고!$B$31:$B$130&lt;=A1213)*(참고!$B$31:$B$130=_xludf.MAXIFS(참고!$B$31:$B$130,참고!$A$31:$A$130,C1213,참고!$B$31:$B$130,"&lt;="&amp;A1213))*참고!$C$31:$C$130)/100,0)</f>
        <v>0</v>
      </c>
      <c r="J1213" s="31" t="str">
        <f t="shared" si="55"/>
        <v/>
      </c>
      <c r="K1213" s="43">
        <f>IF(B1213="매도",IFERROR(SUMPRODUCT((참고!$A$31:$A$130=C1213)*(참고!$B$31:$B$130&lt;=A1213)*(참고!$B$31:$B$130=_xludf.MAXIFS(참고!$B$31:$B$130,참고!$A$31:$A$130,C1213,참고!$B$31:$B$130,"&lt;="&amp;A1213))*참고!$D$31:$D$130)/100,0),0)</f>
        <v>0</v>
      </c>
      <c r="L1213" s="31" t="str">
        <f t="shared" si="56"/>
        <v/>
      </c>
      <c r="M1213" s="39"/>
    </row>
    <row r="1214" spans="1:13" ht="18" customHeight="1" x14ac:dyDescent="0.45">
      <c r="A1214" s="37"/>
      <c r="B1214" s="29"/>
      <c r="C1214" s="29"/>
      <c r="D1214" s="28"/>
      <c r="E1214" s="30" t="str">
        <f>IFERROR(VLOOKUP(D1214,KRX종목마스터!$A:$B,2,FALSE),"")</f>
        <v/>
      </c>
      <c r="F1214" s="42"/>
      <c r="G1214" s="42"/>
      <c r="H1214" s="31" t="str">
        <f t="shared" si="54"/>
        <v/>
      </c>
      <c r="I1214" s="43">
        <f ca="1">IFERROR(SUMPRODUCT((참고!$A$31:$A$130=C1214)*(참고!$B$31:$B$130&lt;=A1214)*(참고!$B$31:$B$130=_xludf.MAXIFS(참고!$B$31:$B$130,참고!$A$31:$A$130,C1214,참고!$B$31:$B$130,"&lt;="&amp;A1214))*참고!$C$31:$C$130)/100,0)</f>
        <v>0</v>
      </c>
      <c r="J1214" s="31" t="str">
        <f t="shared" si="55"/>
        <v/>
      </c>
      <c r="K1214" s="43">
        <f>IF(B1214="매도",IFERROR(SUMPRODUCT((참고!$A$31:$A$130=C1214)*(참고!$B$31:$B$130&lt;=A1214)*(참고!$B$31:$B$130=_xludf.MAXIFS(참고!$B$31:$B$130,참고!$A$31:$A$130,C1214,참고!$B$31:$B$130,"&lt;="&amp;A1214))*참고!$D$31:$D$130)/100,0),0)</f>
        <v>0</v>
      </c>
      <c r="L1214" s="31" t="str">
        <f t="shared" si="56"/>
        <v/>
      </c>
      <c r="M1214" s="39"/>
    </row>
    <row r="1215" spans="1:13" ht="18" customHeight="1" x14ac:dyDescent="0.45">
      <c r="A1215" s="37"/>
      <c r="B1215" s="29"/>
      <c r="C1215" s="29"/>
      <c r="D1215" s="28"/>
      <c r="E1215" s="30" t="str">
        <f>IFERROR(VLOOKUP(D1215,KRX종목마스터!$A:$B,2,FALSE),"")</f>
        <v/>
      </c>
      <c r="F1215" s="42"/>
      <c r="G1215" s="42"/>
      <c r="H1215" s="31" t="str">
        <f t="shared" si="54"/>
        <v/>
      </c>
      <c r="I1215" s="43">
        <f ca="1">IFERROR(SUMPRODUCT((참고!$A$31:$A$130=C1215)*(참고!$B$31:$B$130&lt;=A1215)*(참고!$B$31:$B$130=_xludf.MAXIFS(참고!$B$31:$B$130,참고!$A$31:$A$130,C1215,참고!$B$31:$B$130,"&lt;="&amp;A1215))*참고!$C$31:$C$130)/100,0)</f>
        <v>0</v>
      </c>
      <c r="J1215" s="31" t="str">
        <f t="shared" si="55"/>
        <v/>
      </c>
      <c r="K1215" s="43">
        <f>IF(B1215="매도",IFERROR(SUMPRODUCT((참고!$A$31:$A$130=C1215)*(참고!$B$31:$B$130&lt;=A1215)*(참고!$B$31:$B$130=_xludf.MAXIFS(참고!$B$31:$B$130,참고!$A$31:$A$130,C1215,참고!$B$31:$B$130,"&lt;="&amp;A1215))*참고!$D$31:$D$130)/100,0),0)</f>
        <v>0</v>
      </c>
      <c r="L1215" s="31" t="str">
        <f t="shared" si="56"/>
        <v/>
      </c>
      <c r="M1215" s="39"/>
    </row>
    <row r="1216" spans="1:13" ht="18" customHeight="1" x14ac:dyDescent="0.45">
      <c r="A1216" s="37"/>
      <c r="B1216" s="29"/>
      <c r="C1216" s="29"/>
      <c r="D1216" s="28"/>
      <c r="E1216" s="30" t="str">
        <f>IFERROR(VLOOKUP(D1216,KRX종목마스터!$A:$B,2,FALSE),"")</f>
        <v/>
      </c>
      <c r="F1216" s="42"/>
      <c r="G1216" s="42"/>
      <c r="H1216" s="31" t="str">
        <f t="shared" si="54"/>
        <v/>
      </c>
      <c r="I1216" s="43">
        <f ca="1">IFERROR(SUMPRODUCT((참고!$A$31:$A$130=C1216)*(참고!$B$31:$B$130&lt;=A1216)*(참고!$B$31:$B$130=_xludf.MAXIFS(참고!$B$31:$B$130,참고!$A$31:$A$130,C1216,참고!$B$31:$B$130,"&lt;="&amp;A1216))*참고!$C$31:$C$130)/100,0)</f>
        <v>0</v>
      </c>
      <c r="J1216" s="31" t="str">
        <f t="shared" si="55"/>
        <v/>
      </c>
      <c r="K1216" s="43">
        <f>IF(B1216="매도",IFERROR(SUMPRODUCT((참고!$A$31:$A$130=C1216)*(참고!$B$31:$B$130&lt;=A1216)*(참고!$B$31:$B$130=_xludf.MAXIFS(참고!$B$31:$B$130,참고!$A$31:$A$130,C1216,참고!$B$31:$B$130,"&lt;="&amp;A1216))*참고!$D$31:$D$130)/100,0),0)</f>
        <v>0</v>
      </c>
      <c r="L1216" s="31" t="str">
        <f t="shared" si="56"/>
        <v/>
      </c>
      <c r="M1216" s="39"/>
    </row>
    <row r="1217" spans="1:13" ht="18" customHeight="1" x14ac:dyDescent="0.45">
      <c r="A1217" s="37"/>
      <c r="B1217" s="29"/>
      <c r="C1217" s="29"/>
      <c r="D1217" s="28"/>
      <c r="E1217" s="30" t="str">
        <f>IFERROR(VLOOKUP(D1217,KRX종목마스터!$A:$B,2,FALSE),"")</f>
        <v/>
      </c>
      <c r="F1217" s="42"/>
      <c r="G1217" s="42"/>
      <c r="H1217" s="31" t="str">
        <f t="shared" si="54"/>
        <v/>
      </c>
      <c r="I1217" s="43">
        <f ca="1">IFERROR(SUMPRODUCT((참고!$A$31:$A$130=C1217)*(참고!$B$31:$B$130&lt;=A1217)*(참고!$B$31:$B$130=_xludf.MAXIFS(참고!$B$31:$B$130,참고!$A$31:$A$130,C1217,참고!$B$31:$B$130,"&lt;="&amp;A1217))*참고!$C$31:$C$130)/100,0)</f>
        <v>0</v>
      </c>
      <c r="J1217" s="31" t="str">
        <f t="shared" si="55"/>
        <v/>
      </c>
      <c r="K1217" s="43">
        <f>IF(B1217="매도",IFERROR(SUMPRODUCT((참고!$A$31:$A$130=C1217)*(참고!$B$31:$B$130&lt;=A1217)*(참고!$B$31:$B$130=_xludf.MAXIFS(참고!$B$31:$B$130,참고!$A$31:$A$130,C1217,참고!$B$31:$B$130,"&lt;="&amp;A1217))*참고!$D$31:$D$130)/100,0),0)</f>
        <v>0</v>
      </c>
      <c r="L1217" s="31" t="str">
        <f t="shared" si="56"/>
        <v/>
      </c>
      <c r="M1217" s="39"/>
    </row>
    <row r="1218" spans="1:13" ht="18" customHeight="1" x14ac:dyDescent="0.45">
      <c r="A1218" s="37"/>
      <c r="B1218" s="29"/>
      <c r="C1218" s="29"/>
      <c r="D1218" s="28"/>
      <c r="E1218" s="30" t="str">
        <f>IFERROR(VLOOKUP(D1218,KRX종목마스터!$A:$B,2,FALSE),"")</f>
        <v/>
      </c>
      <c r="F1218" s="42"/>
      <c r="G1218" s="42"/>
      <c r="H1218" s="31" t="str">
        <f t="shared" si="54"/>
        <v/>
      </c>
      <c r="I1218" s="43">
        <f ca="1">IFERROR(SUMPRODUCT((참고!$A$31:$A$130=C1218)*(참고!$B$31:$B$130&lt;=A1218)*(참고!$B$31:$B$130=_xludf.MAXIFS(참고!$B$31:$B$130,참고!$A$31:$A$130,C1218,참고!$B$31:$B$130,"&lt;="&amp;A1218))*참고!$C$31:$C$130)/100,0)</f>
        <v>0</v>
      </c>
      <c r="J1218" s="31" t="str">
        <f t="shared" si="55"/>
        <v/>
      </c>
      <c r="K1218" s="43">
        <f>IF(B1218="매도",IFERROR(SUMPRODUCT((참고!$A$31:$A$130=C1218)*(참고!$B$31:$B$130&lt;=A1218)*(참고!$B$31:$B$130=_xludf.MAXIFS(참고!$B$31:$B$130,참고!$A$31:$A$130,C1218,참고!$B$31:$B$130,"&lt;="&amp;A1218))*참고!$D$31:$D$130)/100,0),0)</f>
        <v>0</v>
      </c>
      <c r="L1218" s="31" t="str">
        <f t="shared" si="56"/>
        <v/>
      </c>
      <c r="M1218" s="39"/>
    </row>
    <row r="1219" spans="1:13" ht="18" customHeight="1" x14ac:dyDescent="0.45">
      <c r="A1219" s="37"/>
      <c r="B1219" s="29"/>
      <c r="C1219" s="29"/>
      <c r="D1219" s="28"/>
      <c r="E1219" s="30" t="str">
        <f>IFERROR(VLOOKUP(D1219,KRX종목마스터!$A:$B,2,FALSE),"")</f>
        <v/>
      </c>
      <c r="F1219" s="42"/>
      <c r="G1219" s="42"/>
      <c r="H1219" s="31" t="str">
        <f t="shared" si="54"/>
        <v/>
      </c>
      <c r="I1219" s="43">
        <f ca="1">IFERROR(SUMPRODUCT((참고!$A$31:$A$130=C1219)*(참고!$B$31:$B$130&lt;=A1219)*(참고!$B$31:$B$130=_xludf.MAXIFS(참고!$B$31:$B$130,참고!$A$31:$A$130,C1219,참고!$B$31:$B$130,"&lt;="&amp;A1219))*참고!$C$31:$C$130)/100,0)</f>
        <v>0</v>
      </c>
      <c r="J1219" s="31" t="str">
        <f t="shared" si="55"/>
        <v/>
      </c>
      <c r="K1219" s="43">
        <f>IF(B1219="매도",IFERROR(SUMPRODUCT((참고!$A$31:$A$130=C1219)*(참고!$B$31:$B$130&lt;=A1219)*(참고!$B$31:$B$130=_xludf.MAXIFS(참고!$B$31:$B$130,참고!$A$31:$A$130,C1219,참고!$B$31:$B$130,"&lt;="&amp;A1219))*참고!$D$31:$D$130)/100,0),0)</f>
        <v>0</v>
      </c>
      <c r="L1219" s="31" t="str">
        <f t="shared" si="56"/>
        <v/>
      </c>
      <c r="M1219" s="39"/>
    </row>
    <row r="1220" spans="1:13" ht="18" customHeight="1" x14ac:dyDescent="0.45">
      <c r="A1220" s="37"/>
      <c r="B1220" s="29"/>
      <c r="C1220" s="29"/>
      <c r="D1220" s="28"/>
      <c r="E1220" s="30" t="str">
        <f>IFERROR(VLOOKUP(D1220,KRX종목마스터!$A:$B,2,FALSE),"")</f>
        <v/>
      </c>
      <c r="F1220" s="42"/>
      <c r="G1220" s="42"/>
      <c r="H1220" s="31" t="str">
        <f t="shared" si="54"/>
        <v/>
      </c>
      <c r="I1220" s="43">
        <f ca="1">IFERROR(SUMPRODUCT((참고!$A$31:$A$130=C1220)*(참고!$B$31:$B$130&lt;=A1220)*(참고!$B$31:$B$130=_xludf.MAXIFS(참고!$B$31:$B$130,참고!$A$31:$A$130,C1220,참고!$B$31:$B$130,"&lt;="&amp;A1220))*참고!$C$31:$C$130)/100,0)</f>
        <v>0</v>
      </c>
      <c r="J1220" s="31" t="str">
        <f t="shared" si="55"/>
        <v/>
      </c>
      <c r="K1220" s="43">
        <f>IF(B1220="매도",IFERROR(SUMPRODUCT((참고!$A$31:$A$130=C1220)*(참고!$B$31:$B$130&lt;=A1220)*(참고!$B$31:$B$130=_xludf.MAXIFS(참고!$B$31:$B$130,참고!$A$31:$A$130,C1220,참고!$B$31:$B$130,"&lt;="&amp;A1220))*참고!$D$31:$D$130)/100,0),0)</f>
        <v>0</v>
      </c>
      <c r="L1220" s="31" t="str">
        <f t="shared" si="56"/>
        <v/>
      </c>
      <c r="M1220" s="39"/>
    </row>
    <row r="1221" spans="1:13" ht="18" customHeight="1" x14ac:dyDescent="0.45">
      <c r="A1221" s="37"/>
      <c r="B1221" s="29"/>
      <c r="C1221" s="29"/>
      <c r="D1221" s="28"/>
      <c r="E1221" s="30" t="str">
        <f>IFERROR(VLOOKUP(D1221,KRX종목마스터!$A:$B,2,FALSE),"")</f>
        <v/>
      </c>
      <c r="F1221" s="42"/>
      <c r="G1221" s="42"/>
      <c r="H1221" s="31" t="str">
        <f t="shared" ref="H1221:H1284" si="57">IF(AND(F1221&lt;&gt;"",G1221&lt;&gt;""),F1221*G1221,"")</f>
        <v/>
      </c>
      <c r="I1221" s="43">
        <f ca="1">IFERROR(SUMPRODUCT((참고!$A$31:$A$130=C1221)*(참고!$B$31:$B$130&lt;=A1221)*(참고!$B$31:$B$130=_xludf.MAXIFS(참고!$B$31:$B$130,참고!$A$31:$A$130,C1221,참고!$B$31:$B$130,"&lt;="&amp;A1221))*참고!$C$31:$C$130)/100,0)</f>
        <v>0</v>
      </c>
      <c r="J1221" s="31" t="str">
        <f t="shared" ref="J1221:J1284" si="58">IF(H1221="","",ROUND(H1221*I1221,0))</f>
        <v/>
      </c>
      <c r="K1221" s="43">
        <f>IF(B1221="매도",IFERROR(SUMPRODUCT((참고!$A$31:$A$130=C1221)*(참고!$B$31:$B$130&lt;=A1221)*(참고!$B$31:$B$130=_xludf.MAXIFS(참고!$B$31:$B$130,참고!$A$31:$A$130,C1221,참고!$B$31:$B$130,"&lt;="&amp;A1221))*참고!$D$31:$D$130)/100,0),0)</f>
        <v>0</v>
      </c>
      <c r="L1221" s="31" t="str">
        <f t="shared" ref="L1221:L1284" si="59">IF(H1221="","",ROUND(H1221*K1221,0))</f>
        <v/>
      </c>
      <c r="M1221" s="39"/>
    </row>
    <row r="1222" spans="1:13" ht="18" customHeight="1" x14ac:dyDescent="0.45">
      <c r="A1222" s="37"/>
      <c r="B1222" s="29"/>
      <c r="C1222" s="29"/>
      <c r="D1222" s="28"/>
      <c r="E1222" s="30" t="str">
        <f>IFERROR(VLOOKUP(D1222,KRX종목마스터!$A:$B,2,FALSE),"")</f>
        <v/>
      </c>
      <c r="F1222" s="42"/>
      <c r="G1222" s="42"/>
      <c r="H1222" s="31" t="str">
        <f t="shared" si="57"/>
        <v/>
      </c>
      <c r="I1222" s="43">
        <f ca="1">IFERROR(SUMPRODUCT((참고!$A$31:$A$130=C1222)*(참고!$B$31:$B$130&lt;=A1222)*(참고!$B$31:$B$130=_xludf.MAXIFS(참고!$B$31:$B$130,참고!$A$31:$A$130,C1222,참고!$B$31:$B$130,"&lt;="&amp;A1222))*참고!$C$31:$C$130)/100,0)</f>
        <v>0</v>
      </c>
      <c r="J1222" s="31" t="str">
        <f t="shared" si="58"/>
        <v/>
      </c>
      <c r="K1222" s="43">
        <f>IF(B1222="매도",IFERROR(SUMPRODUCT((참고!$A$31:$A$130=C1222)*(참고!$B$31:$B$130&lt;=A1222)*(참고!$B$31:$B$130=_xludf.MAXIFS(참고!$B$31:$B$130,참고!$A$31:$A$130,C1222,참고!$B$31:$B$130,"&lt;="&amp;A1222))*참고!$D$31:$D$130)/100,0),0)</f>
        <v>0</v>
      </c>
      <c r="L1222" s="31" t="str">
        <f t="shared" si="59"/>
        <v/>
      </c>
      <c r="M1222" s="39"/>
    </row>
    <row r="1223" spans="1:13" ht="18" customHeight="1" x14ac:dyDescent="0.45">
      <c r="A1223" s="37"/>
      <c r="B1223" s="29"/>
      <c r="C1223" s="29"/>
      <c r="D1223" s="28"/>
      <c r="E1223" s="30" t="str">
        <f>IFERROR(VLOOKUP(D1223,KRX종목마스터!$A:$B,2,FALSE),"")</f>
        <v/>
      </c>
      <c r="F1223" s="42"/>
      <c r="G1223" s="42"/>
      <c r="H1223" s="31" t="str">
        <f t="shared" si="57"/>
        <v/>
      </c>
      <c r="I1223" s="43">
        <f ca="1">IFERROR(SUMPRODUCT((참고!$A$31:$A$130=C1223)*(참고!$B$31:$B$130&lt;=A1223)*(참고!$B$31:$B$130=_xludf.MAXIFS(참고!$B$31:$B$130,참고!$A$31:$A$130,C1223,참고!$B$31:$B$130,"&lt;="&amp;A1223))*참고!$C$31:$C$130)/100,0)</f>
        <v>0</v>
      </c>
      <c r="J1223" s="31" t="str">
        <f t="shared" si="58"/>
        <v/>
      </c>
      <c r="K1223" s="43">
        <f>IF(B1223="매도",IFERROR(SUMPRODUCT((참고!$A$31:$A$130=C1223)*(참고!$B$31:$B$130&lt;=A1223)*(참고!$B$31:$B$130=_xludf.MAXIFS(참고!$B$31:$B$130,참고!$A$31:$A$130,C1223,참고!$B$31:$B$130,"&lt;="&amp;A1223))*참고!$D$31:$D$130)/100,0),0)</f>
        <v>0</v>
      </c>
      <c r="L1223" s="31" t="str">
        <f t="shared" si="59"/>
        <v/>
      </c>
      <c r="M1223" s="39"/>
    </row>
    <row r="1224" spans="1:13" ht="18" customHeight="1" x14ac:dyDescent="0.45">
      <c r="A1224" s="37"/>
      <c r="B1224" s="29"/>
      <c r="C1224" s="29"/>
      <c r="D1224" s="28"/>
      <c r="E1224" s="30" t="str">
        <f>IFERROR(VLOOKUP(D1224,KRX종목마스터!$A:$B,2,FALSE),"")</f>
        <v/>
      </c>
      <c r="F1224" s="42"/>
      <c r="G1224" s="42"/>
      <c r="H1224" s="31" t="str">
        <f t="shared" si="57"/>
        <v/>
      </c>
      <c r="I1224" s="43">
        <f ca="1">IFERROR(SUMPRODUCT((참고!$A$31:$A$130=C1224)*(참고!$B$31:$B$130&lt;=A1224)*(참고!$B$31:$B$130=_xludf.MAXIFS(참고!$B$31:$B$130,참고!$A$31:$A$130,C1224,참고!$B$31:$B$130,"&lt;="&amp;A1224))*참고!$C$31:$C$130)/100,0)</f>
        <v>0</v>
      </c>
      <c r="J1224" s="31" t="str">
        <f t="shared" si="58"/>
        <v/>
      </c>
      <c r="K1224" s="43">
        <f>IF(B1224="매도",IFERROR(SUMPRODUCT((참고!$A$31:$A$130=C1224)*(참고!$B$31:$B$130&lt;=A1224)*(참고!$B$31:$B$130=_xludf.MAXIFS(참고!$B$31:$B$130,참고!$A$31:$A$130,C1224,참고!$B$31:$B$130,"&lt;="&amp;A1224))*참고!$D$31:$D$130)/100,0),0)</f>
        <v>0</v>
      </c>
      <c r="L1224" s="31" t="str">
        <f t="shared" si="59"/>
        <v/>
      </c>
      <c r="M1224" s="39"/>
    </row>
    <row r="1225" spans="1:13" ht="18" customHeight="1" x14ac:dyDescent="0.45">
      <c r="A1225" s="37"/>
      <c r="B1225" s="29"/>
      <c r="C1225" s="29"/>
      <c r="D1225" s="28"/>
      <c r="E1225" s="30" t="str">
        <f>IFERROR(VLOOKUP(D1225,KRX종목마스터!$A:$B,2,FALSE),"")</f>
        <v/>
      </c>
      <c r="F1225" s="42"/>
      <c r="G1225" s="42"/>
      <c r="H1225" s="31" t="str">
        <f t="shared" si="57"/>
        <v/>
      </c>
      <c r="I1225" s="43">
        <f ca="1">IFERROR(SUMPRODUCT((참고!$A$31:$A$130=C1225)*(참고!$B$31:$B$130&lt;=A1225)*(참고!$B$31:$B$130=_xludf.MAXIFS(참고!$B$31:$B$130,참고!$A$31:$A$130,C1225,참고!$B$31:$B$130,"&lt;="&amp;A1225))*참고!$C$31:$C$130)/100,0)</f>
        <v>0</v>
      </c>
      <c r="J1225" s="31" t="str">
        <f t="shared" si="58"/>
        <v/>
      </c>
      <c r="K1225" s="43">
        <f>IF(B1225="매도",IFERROR(SUMPRODUCT((참고!$A$31:$A$130=C1225)*(참고!$B$31:$B$130&lt;=A1225)*(참고!$B$31:$B$130=_xludf.MAXIFS(참고!$B$31:$B$130,참고!$A$31:$A$130,C1225,참고!$B$31:$B$130,"&lt;="&amp;A1225))*참고!$D$31:$D$130)/100,0),0)</f>
        <v>0</v>
      </c>
      <c r="L1225" s="31" t="str">
        <f t="shared" si="59"/>
        <v/>
      </c>
      <c r="M1225" s="39"/>
    </row>
    <row r="1226" spans="1:13" ht="18" customHeight="1" x14ac:dyDescent="0.45">
      <c r="A1226" s="37"/>
      <c r="B1226" s="29"/>
      <c r="C1226" s="29"/>
      <c r="D1226" s="28"/>
      <c r="E1226" s="30" t="str">
        <f>IFERROR(VLOOKUP(D1226,KRX종목마스터!$A:$B,2,FALSE),"")</f>
        <v/>
      </c>
      <c r="F1226" s="42"/>
      <c r="G1226" s="42"/>
      <c r="H1226" s="31" t="str">
        <f t="shared" si="57"/>
        <v/>
      </c>
      <c r="I1226" s="43">
        <f ca="1">IFERROR(SUMPRODUCT((참고!$A$31:$A$130=C1226)*(참고!$B$31:$B$130&lt;=A1226)*(참고!$B$31:$B$130=_xludf.MAXIFS(참고!$B$31:$B$130,참고!$A$31:$A$130,C1226,참고!$B$31:$B$130,"&lt;="&amp;A1226))*참고!$C$31:$C$130)/100,0)</f>
        <v>0</v>
      </c>
      <c r="J1226" s="31" t="str">
        <f t="shared" si="58"/>
        <v/>
      </c>
      <c r="K1226" s="43">
        <f>IF(B1226="매도",IFERROR(SUMPRODUCT((참고!$A$31:$A$130=C1226)*(참고!$B$31:$B$130&lt;=A1226)*(참고!$B$31:$B$130=_xludf.MAXIFS(참고!$B$31:$B$130,참고!$A$31:$A$130,C1226,참고!$B$31:$B$130,"&lt;="&amp;A1226))*참고!$D$31:$D$130)/100,0),0)</f>
        <v>0</v>
      </c>
      <c r="L1226" s="31" t="str">
        <f t="shared" si="59"/>
        <v/>
      </c>
      <c r="M1226" s="39"/>
    </row>
    <row r="1227" spans="1:13" ht="18" customHeight="1" x14ac:dyDescent="0.45">
      <c r="A1227" s="37"/>
      <c r="B1227" s="29"/>
      <c r="C1227" s="29"/>
      <c r="D1227" s="28"/>
      <c r="E1227" s="30" t="str">
        <f>IFERROR(VLOOKUP(D1227,KRX종목마스터!$A:$B,2,FALSE),"")</f>
        <v/>
      </c>
      <c r="F1227" s="42"/>
      <c r="G1227" s="42"/>
      <c r="H1227" s="31" t="str">
        <f t="shared" si="57"/>
        <v/>
      </c>
      <c r="I1227" s="43">
        <f ca="1">IFERROR(SUMPRODUCT((참고!$A$31:$A$130=C1227)*(참고!$B$31:$B$130&lt;=A1227)*(참고!$B$31:$B$130=_xludf.MAXIFS(참고!$B$31:$B$130,참고!$A$31:$A$130,C1227,참고!$B$31:$B$130,"&lt;="&amp;A1227))*참고!$C$31:$C$130)/100,0)</f>
        <v>0</v>
      </c>
      <c r="J1227" s="31" t="str">
        <f t="shared" si="58"/>
        <v/>
      </c>
      <c r="K1227" s="43">
        <f>IF(B1227="매도",IFERROR(SUMPRODUCT((참고!$A$31:$A$130=C1227)*(참고!$B$31:$B$130&lt;=A1227)*(참고!$B$31:$B$130=_xludf.MAXIFS(참고!$B$31:$B$130,참고!$A$31:$A$130,C1227,참고!$B$31:$B$130,"&lt;="&amp;A1227))*참고!$D$31:$D$130)/100,0),0)</f>
        <v>0</v>
      </c>
      <c r="L1227" s="31" t="str">
        <f t="shared" si="59"/>
        <v/>
      </c>
      <c r="M1227" s="39"/>
    </row>
    <row r="1228" spans="1:13" ht="18" customHeight="1" x14ac:dyDescent="0.45">
      <c r="A1228" s="37"/>
      <c r="B1228" s="29"/>
      <c r="C1228" s="29"/>
      <c r="D1228" s="28"/>
      <c r="E1228" s="30" t="str">
        <f>IFERROR(VLOOKUP(D1228,KRX종목마스터!$A:$B,2,FALSE),"")</f>
        <v/>
      </c>
      <c r="F1228" s="42"/>
      <c r="G1228" s="42"/>
      <c r="H1228" s="31" t="str">
        <f t="shared" si="57"/>
        <v/>
      </c>
      <c r="I1228" s="43">
        <f ca="1">IFERROR(SUMPRODUCT((참고!$A$31:$A$130=C1228)*(참고!$B$31:$B$130&lt;=A1228)*(참고!$B$31:$B$130=_xludf.MAXIFS(참고!$B$31:$B$130,참고!$A$31:$A$130,C1228,참고!$B$31:$B$130,"&lt;="&amp;A1228))*참고!$C$31:$C$130)/100,0)</f>
        <v>0</v>
      </c>
      <c r="J1228" s="31" t="str">
        <f t="shared" si="58"/>
        <v/>
      </c>
      <c r="K1228" s="43">
        <f>IF(B1228="매도",IFERROR(SUMPRODUCT((참고!$A$31:$A$130=C1228)*(참고!$B$31:$B$130&lt;=A1228)*(참고!$B$31:$B$130=_xludf.MAXIFS(참고!$B$31:$B$130,참고!$A$31:$A$130,C1228,참고!$B$31:$B$130,"&lt;="&amp;A1228))*참고!$D$31:$D$130)/100,0),0)</f>
        <v>0</v>
      </c>
      <c r="L1228" s="31" t="str">
        <f t="shared" si="59"/>
        <v/>
      </c>
      <c r="M1228" s="39"/>
    </row>
    <row r="1229" spans="1:13" ht="18" customHeight="1" x14ac:dyDescent="0.45">
      <c r="A1229" s="37"/>
      <c r="B1229" s="29"/>
      <c r="C1229" s="29"/>
      <c r="D1229" s="28"/>
      <c r="E1229" s="30" t="str">
        <f>IFERROR(VLOOKUP(D1229,KRX종목마스터!$A:$B,2,FALSE),"")</f>
        <v/>
      </c>
      <c r="F1229" s="42"/>
      <c r="G1229" s="42"/>
      <c r="H1229" s="31" t="str">
        <f t="shared" si="57"/>
        <v/>
      </c>
      <c r="I1229" s="43">
        <f ca="1">IFERROR(SUMPRODUCT((참고!$A$31:$A$130=C1229)*(참고!$B$31:$B$130&lt;=A1229)*(참고!$B$31:$B$130=_xludf.MAXIFS(참고!$B$31:$B$130,참고!$A$31:$A$130,C1229,참고!$B$31:$B$130,"&lt;="&amp;A1229))*참고!$C$31:$C$130)/100,0)</f>
        <v>0</v>
      </c>
      <c r="J1229" s="31" t="str">
        <f t="shared" si="58"/>
        <v/>
      </c>
      <c r="K1229" s="43">
        <f>IF(B1229="매도",IFERROR(SUMPRODUCT((참고!$A$31:$A$130=C1229)*(참고!$B$31:$B$130&lt;=A1229)*(참고!$B$31:$B$130=_xludf.MAXIFS(참고!$B$31:$B$130,참고!$A$31:$A$130,C1229,참고!$B$31:$B$130,"&lt;="&amp;A1229))*참고!$D$31:$D$130)/100,0),0)</f>
        <v>0</v>
      </c>
      <c r="L1229" s="31" t="str">
        <f t="shared" si="59"/>
        <v/>
      </c>
      <c r="M1229" s="39"/>
    </row>
    <row r="1230" spans="1:13" ht="18" customHeight="1" x14ac:dyDescent="0.45">
      <c r="A1230" s="37"/>
      <c r="B1230" s="29"/>
      <c r="C1230" s="29"/>
      <c r="D1230" s="28"/>
      <c r="E1230" s="30" t="str">
        <f>IFERROR(VLOOKUP(D1230,KRX종목마스터!$A:$B,2,FALSE),"")</f>
        <v/>
      </c>
      <c r="F1230" s="42"/>
      <c r="G1230" s="42"/>
      <c r="H1230" s="31" t="str">
        <f t="shared" si="57"/>
        <v/>
      </c>
      <c r="I1230" s="43">
        <f ca="1">IFERROR(SUMPRODUCT((참고!$A$31:$A$130=C1230)*(참고!$B$31:$B$130&lt;=A1230)*(참고!$B$31:$B$130=_xludf.MAXIFS(참고!$B$31:$B$130,참고!$A$31:$A$130,C1230,참고!$B$31:$B$130,"&lt;="&amp;A1230))*참고!$C$31:$C$130)/100,0)</f>
        <v>0</v>
      </c>
      <c r="J1230" s="31" t="str">
        <f t="shared" si="58"/>
        <v/>
      </c>
      <c r="K1230" s="43">
        <f>IF(B1230="매도",IFERROR(SUMPRODUCT((참고!$A$31:$A$130=C1230)*(참고!$B$31:$B$130&lt;=A1230)*(참고!$B$31:$B$130=_xludf.MAXIFS(참고!$B$31:$B$130,참고!$A$31:$A$130,C1230,참고!$B$31:$B$130,"&lt;="&amp;A1230))*참고!$D$31:$D$130)/100,0),0)</f>
        <v>0</v>
      </c>
      <c r="L1230" s="31" t="str">
        <f t="shared" si="59"/>
        <v/>
      </c>
      <c r="M1230" s="39"/>
    </row>
    <row r="1231" spans="1:13" ht="18" customHeight="1" x14ac:dyDescent="0.45">
      <c r="A1231" s="37"/>
      <c r="B1231" s="29"/>
      <c r="C1231" s="29"/>
      <c r="D1231" s="28"/>
      <c r="E1231" s="30" t="str">
        <f>IFERROR(VLOOKUP(D1231,KRX종목마스터!$A:$B,2,FALSE),"")</f>
        <v/>
      </c>
      <c r="F1231" s="42"/>
      <c r="G1231" s="42"/>
      <c r="H1231" s="31" t="str">
        <f t="shared" si="57"/>
        <v/>
      </c>
      <c r="I1231" s="43">
        <f ca="1">IFERROR(SUMPRODUCT((참고!$A$31:$A$130=C1231)*(참고!$B$31:$B$130&lt;=A1231)*(참고!$B$31:$B$130=_xludf.MAXIFS(참고!$B$31:$B$130,참고!$A$31:$A$130,C1231,참고!$B$31:$B$130,"&lt;="&amp;A1231))*참고!$C$31:$C$130)/100,0)</f>
        <v>0</v>
      </c>
      <c r="J1231" s="31" t="str">
        <f t="shared" si="58"/>
        <v/>
      </c>
      <c r="K1231" s="43">
        <f>IF(B1231="매도",IFERROR(SUMPRODUCT((참고!$A$31:$A$130=C1231)*(참고!$B$31:$B$130&lt;=A1231)*(참고!$B$31:$B$130=_xludf.MAXIFS(참고!$B$31:$B$130,참고!$A$31:$A$130,C1231,참고!$B$31:$B$130,"&lt;="&amp;A1231))*참고!$D$31:$D$130)/100,0),0)</f>
        <v>0</v>
      </c>
      <c r="L1231" s="31" t="str">
        <f t="shared" si="59"/>
        <v/>
      </c>
      <c r="M1231" s="39"/>
    </row>
    <row r="1232" spans="1:13" ht="18" customHeight="1" x14ac:dyDescent="0.45">
      <c r="A1232" s="37"/>
      <c r="B1232" s="29"/>
      <c r="C1232" s="29"/>
      <c r="D1232" s="28"/>
      <c r="E1232" s="30" t="str">
        <f>IFERROR(VLOOKUP(D1232,KRX종목마스터!$A:$B,2,FALSE),"")</f>
        <v/>
      </c>
      <c r="F1232" s="42"/>
      <c r="G1232" s="42"/>
      <c r="H1232" s="31" t="str">
        <f t="shared" si="57"/>
        <v/>
      </c>
      <c r="I1232" s="43">
        <f ca="1">IFERROR(SUMPRODUCT((참고!$A$31:$A$130=C1232)*(참고!$B$31:$B$130&lt;=A1232)*(참고!$B$31:$B$130=_xludf.MAXIFS(참고!$B$31:$B$130,참고!$A$31:$A$130,C1232,참고!$B$31:$B$130,"&lt;="&amp;A1232))*참고!$C$31:$C$130)/100,0)</f>
        <v>0</v>
      </c>
      <c r="J1232" s="31" t="str">
        <f t="shared" si="58"/>
        <v/>
      </c>
      <c r="K1232" s="43">
        <f>IF(B1232="매도",IFERROR(SUMPRODUCT((참고!$A$31:$A$130=C1232)*(참고!$B$31:$B$130&lt;=A1232)*(참고!$B$31:$B$130=_xludf.MAXIFS(참고!$B$31:$B$130,참고!$A$31:$A$130,C1232,참고!$B$31:$B$130,"&lt;="&amp;A1232))*참고!$D$31:$D$130)/100,0),0)</f>
        <v>0</v>
      </c>
      <c r="L1232" s="31" t="str">
        <f t="shared" si="59"/>
        <v/>
      </c>
      <c r="M1232" s="39"/>
    </row>
    <row r="1233" spans="1:13" ht="18" customHeight="1" x14ac:dyDescent="0.45">
      <c r="A1233" s="37"/>
      <c r="B1233" s="29"/>
      <c r="C1233" s="29"/>
      <c r="D1233" s="28"/>
      <c r="E1233" s="30" t="str">
        <f>IFERROR(VLOOKUP(D1233,KRX종목마스터!$A:$B,2,FALSE),"")</f>
        <v/>
      </c>
      <c r="F1233" s="42"/>
      <c r="G1233" s="42"/>
      <c r="H1233" s="31" t="str">
        <f t="shared" si="57"/>
        <v/>
      </c>
      <c r="I1233" s="43">
        <f ca="1">IFERROR(SUMPRODUCT((참고!$A$31:$A$130=C1233)*(참고!$B$31:$B$130&lt;=A1233)*(참고!$B$31:$B$130=_xludf.MAXIFS(참고!$B$31:$B$130,참고!$A$31:$A$130,C1233,참고!$B$31:$B$130,"&lt;="&amp;A1233))*참고!$C$31:$C$130)/100,0)</f>
        <v>0</v>
      </c>
      <c r="J1233" s="31" t="str">
        <f t="shared" si="58"/>
        <v/>
      </c>
      <c r="K1233" s="43">
        <f>IF(B1233="매도",IFERROR(SUMPRODUCT((참고!$A$31:$A$130=C1233)*(참고!$B$31:$B$130&lt;=A1233)*(참고!$B$31:$B$130=_xludf.MAXIFS(참고!$B$31:$B$130,참고!$A$31:$A$130,C1233,참고!$B$31:$B$130,"&lt;="&amp;A1233))*참고!$D$31:$D$130)/100,0),0)</f>
        <v>0</v>
      </c>
      <c r="L1233" s="31" t="str">
        <f t="shared" si="59"/>
        <v/>
      </c>
      <c r="M1233" s="39"/>
    </row>
    <row r="1234" spans="1:13" ht="18" customHeight="1" x14ac:dyDescent="0.45">
      <c r="A1234" s="37"/>
      <c r="B1234" s="29"/>
      <c r="C1234" s="29"/>
      <c r="D1234" s="28"/>
      <c r="E1234" s="30" t="str">
        <f>IFERROR(VLOOKUP(D1234,KRX종목마스터!$A:$B,2,FALSE),"")</f>
        <v/>
      </c>
      <c r="F1234" s="42"/>
      <c r="G1234" s="42"/>
      <c r="H1234" s="31" t="str">
        <f t="shared" si="57"/>
        <v/>
      </c>
      <c r="I1234" s="43">
        <f ca="1">IFERROR(SUMPRODUCT((참고!$A$31:$A$130=C1234)*(참고!$B$31:$B$130&lt;=A1234)*(참고!$B$31:$B$130=_xludf.MAXIFS(참고!$B$31:$B$130,참고!$A$31:$A$130,C1234,참고!$B$31:$B$130,"&lt;="&amp;A1234))*참고!$C$31:$C$130)/100,0)</f>
        <v>0</v>
      </c>
      <c r="J1234" s="31" t="str">
        <f t="shared" si="58"/>
        <v/>
      </c>
      <c r="K1234" s="43">
        <f>IF(B1234="매도",IFERROR(SUMPRODUCT((참고!$A$31:$A$130=C1234)*(참고!$B$31:$B$130&lt;=A1234)*(참고!$B$31:$B$130=_xludf.MAXIFS(참고!$B$31:$B$130,참고!$A$31:$A$130,C1234,참고!$B$31:$B$130,"&lt;="&amp;A1234))*참고!$D$31:$D$130)/100,0),0)</f>
        <v>0</v>
      </c>
      <c r="L1234" s="31" t="str">
        <f t="shared" si="59"/>
        <v/>
      </c>
      <c r="M1234" s="39"/>
    </row>
    <row r="1235" spans="1:13" ht="18" customHeight="1" x14ac:dyDescent="0.45">
      <c r="A1235" s="37"/>
      <c r="B1235" s="29"/>
      <c r="C1235" s="29"/>
      <c r="D1235" s="28"/>
      <c r="E1235" s="30" t="str">
        <f>IFERROR(VLOOKUP(D1235,KRX종목마스터!$A:$B,2,FALSE),"")</f>
        <v/>
      </c>
      <c r="F1235" s="42"/>
      <c r="G1235" s="42"/>
      <c r="H1235" s="31" t="str">
        <f t="shared" si="57"/>
        <v/>
      </c>
      <c r="I1235" s="43">
        <f ca="1">IFERROR(SUMPRODUCT((참고!$A$31:$A$130=C1235)*(참고!$B$31:$B$130&lt;=A1235)*(참고!$B$31:$B$130=_xludf.MAXIFS(참고!$B$31:$B$130,참고!$A$31:$A$130,C1235,참고!$B$31:$B$130,"&lt;="&amp;A1235))*참고!$C$31:$C$130)/100,0)</f>
        <v>0</v>
      </c>
      <c r="J1235" s="31" t="str">
        <f t="shared" si="58"/>
        <v/>
      </c>
      <c r="K1235" s="43">
        <f>IF(B1235="매도",IFERROR(SUMPRODUCT((참고!$A$31:$A$130=C1235)*(참고!$B$31:$B$130&lt;=A1235)*(참고!$B$31:$B$130=_xludf.MAXIFS(참고!$B$31:$B$130,참고!$A$31:$A$130,C1235,참고!$B$31:$B$130,"&lt;="&amp;A1235))*참고!$D$31:$D$130)/100,0),0)</f>
        <v>0</v>
      </c>
      <c r="L1235" s="31" t="str">
        <f t="shared" si="59"/>
        <v/>
      </c>
      <c r="M1235" s="39"/>
    </row>
    <row r="1236" spans="1:13" ht="18" customHeight="1" x14ac:dyDescent="0.45">
      <c r="A1236" s="37"/>
      <c r="B1236" s="29"/>
      <c r="C1236" s="29"/>
      <c r="D1236" s="28"/>
      <c r="E1236" s="30" t="str">
        <f>IFERROR(VLOOKUP(D1236,KRX종목마스터!$A:$B,2,FALSE),"")</f>
        <v/>
      </c>
      <c r="F1236" s="42"/>
      <c r="G1236" s="42"/>
      <c r="H1236" s="31" t="str">
        <f t="shared" si="57"/>
        <v/>
      </c>
      <c r="I1236" s="43">
        <f ca="1">IFERROR(SUMPRODUCT((참고!$A$31:$A$130=C1236)*(참고!$B$31:$B$130&lt;=A1236)*(참고!$B$31:$B$130=_xludf.MAXIFS(참고!$B$31:$B$130,참고!$A$31:$A$130,C1236,참고!$B$31:$B$130,"&lt;="&amp;A1236))*참고!$C$31:$C$130)/100,0)</f>
        <v>0</v>
      </c>
      <c r="J1236" s="31" t="str">
        <f t="shared" si="58"/>
        <v/>
      </c>
      <c r="K1236" s="43">
        <f>IF(B1236="매도",IFERROR(SUMPRODUCT((참고!$A$31:$A$130=C1236)*(참고!$B$31:$B$130&lt;=A1236)*(참고!$B$31:$B$130=_xludf.MAXIFS(참고!$B$31:$B$130,참고!$A$31:$A$130,C1236,참고!$B$31:$B$130,"&lt;="&amp;A1236))*참고!$D$31:$D$130)/100,0),0)</f>
        <v>0</v>
      </c>
      <c r="L1236" s="31" t="str">
        <f t="shared" si="59"/>
        <v/>
      </c>
      <c r="M1236" s="39"/>
    </row>
    <row r="1237" spans="1:13" ht="18" customHeight="1" x14ac:dyDescent="0.45">
      <c r="A1237" s="37"/>
      <c r="B1237" s="29"/>
      <c r="C1237" s="29"/>
      <c r="D1237" s="28"/>
      <c r="E1237" s="30" t="str">
        <f>IFERROR(VLOOKUP(D1237,KRX종목마스터!$A:$B,2,FALSE),"")</f>
        <v/>
      </c>
      <c r="F1237" s="42"/>
      <c r="G1237" s="42"/>
      <c r="H1237" s="31" t="str">
        <f t="shared" si="57"/>
        <v/>
      </c>
      <c r="I1237" s="43">
        <f ca="1">IFERROR(SUMPRODUCT((참고!$A$31:$A$130=C1237)*(참고!$B$31:$B$130&lt;=A1237)*(참고!$B$31:$B$130=_xludf.MAXIFS(참고!$B$31:$B$130,참고!$A$31:$A$130,C1237,참고!$B$31:$B$130,"&lt;="&amp;A1237))*참고!$C$31:$C$130)/100,0)</f>
        <v>0</v>
      </c>
      <c r="J1237" s="31" t="str">
        <f t="shared" si="58"/>
        <v/>
      </c>
      <c r="K1237" s="43">
        <f>IF(B1237="매도",IFERROR(SUMPRODUCT((참고!$A$31:$A$130=C1237)*(참고!$B$31:$B$130&lt;=A1237)*(참고!$B$31:$B$130=_xludf.MAXIFS(참고!$B$31:$B$130,참고!$A$31:$A$130,C1237,참고!$B$31:$B$130,"&lt;="&amp;A1237))*참고!$D$31:$D$130)/100,0),0)</f>
        <v>0</v>
      </c>
      <c r="L1237" s="31" t="str">
        <f t="shared" si="59"/>
        <v/>
      </c>
      <c r="M1237" s="39"/>
    </row>
    <row r="1238" spans="1:13" ht="18" customHeight="1" x14ac:dyDescent="0.45">
      <c r="A1238" s="37"/>
      <c r="B1238" s="29"/>
      <c r="C1238" s="29"/>
      <c r="D1238" s="28"/>
      <c r="E1238" s="30" t="str">
        <f>IFERROR(VLOOKUP(D1238,KRX종목마스터!$A:$B,2,FALSE),"")</f>
        <v/>
      </c>
      <c r="F1238" s="42"/>
      <c r="G1238" s="42"/>
      <c r="H1238" s="31" t="str">
        <f t="shared" si="57"/>
        <v/>
      </c>
      <c r="I1238" s="43">
        <f ca="1">IFERROR(SUMPRODUCT((참고!$A$31:$A$130=C1238)*(참고!$B$31:$B$130&lt;=A1238)*(참고!$B$31:$B$130=_xludf.MAXIFS(참고!$B$31:$B$130,참고!$A$31:$A$130,C1238,참고!$B$31:$B$130,"&lt;="&amp;A1238))*참고!$C$31:$C$130)/100,0)</f>
        <v>0</v>
      </c>
      <c r="J1238" s="31" t="str">
        <f t="shared" si="58"/>
        <v/>
      </c>
      <c r="K1238" s="43">
        <f>IF(B1238="매도",IFERROR(SUMPRODUCT((참고!$A$31:$A$130=C1238)*(참고!$B$31:$B$130&lt;=A1238)*(참고!$B$31:$B$130=_xludf.MAXIFS(참고!$B$31:$B$130,참고!$A$31:$A$130,C1238,참고!$B$31:$B$130,"&lt;="&amp;A1238))*참고!$D$31:$D$130)/100,0),0)</f>
        <v>0</v>
      </c>
      <c r="L1238" s="31" t="str">
        <f t="shared" si="59"/>
        <v/>
      </c>
      <c r="M1238" s="39"/>
    </row>
    <row r="1239" spans="1:13" ht="18" customHeight="1" x14ac:dyDescent="0.45">
      <c r="A1239" s="37"/>
      <c r="B1239" s="29"/>
      <c r="C1239" s="29"/>
      <c r="D1239" s="28"/>
      <c r="E1239" s="30" t="str">
        <f>IFERROR(VLOOKUP(D1239,KRX종목마스터!$A:$B,2,FALSE),"")</f>
        <v/>
      </c>
      <c r="F1239" s="42"/>
      <c r="G1239" s="42"/>
      <c r="H1239" s="31" t="str">
        <f t="shared" si="57"/>
        <v/>
      </c>
      <c r="I1239" s="43">
        <f ca="1">IFERROR(SUMPRODUCT((참고!$A$31:$A$130=C1239)*(참고!$B$31:$B$130&lt;=A1239)*(참고!$B$31:$B$130=_xludf.MAXIFS(참고!$B$31:$B$130,참고!$A$31:$A$130,C1239,참고!$B$31:$B$130,"&lt;="&amp;A1239))*참고!$C$31:$C$130)/100,0)</f>
        <v>0</v>
      </c>
      <c r="J1239" s="31" t="str">
        <f t="shared" si="58"/>
        <v/>
      </c>
      <c r="K1239" s="43">
        <f>IF(B1239="매도",IFERROR(SUMPRODUCT((참고!$A$31:$A$130=C1239)*(참고!$B$31:$B$130&lt;=A1239)*(참고!$B$31:$B$130=_xludf.MAXIFS(참고!$B$31:$B$130,참고!$A$31:$A$130,C1239,참고!$B$31:$B$130,"&lt;="&amp;A1239))*참고!$D$31:$D$130)/100,0),0)</f>
        <v>0</v>
      </c>
      <c r="L1239" s="31" t="str">
        <f t="shared" si="59"/>
        <v/>
      </c>
      <c r="M1239" s="39"/>
    </row>
    <row r="1240" spans="1:13" ht="18" customHeight="1" x14ac:dyDescent="0.45">
      <c r="A1240" s="37"/>
      <c r="B1240" s="29"/>
      <c r="C1240" s="29"/>
      <c r="D1240" s="28"/>
      <c r="E1240" s="30" t="str">
        <f>IFERROR(VLOOKUP(D1240,KRX종목마스터!$A:$B,2,FALSE),"")</f>
        <v/>
      </c>
      <c r="F1240" s="42"/>
      <c r="G1240" s="42"/>
      <c r="H1240" s="31" t="str">
        <f t="shared" si="57"/>
        <v/>
      </c>
      <c r="I1240" s="43">
        <f ca="1">IFERROR(SUMPRODUCT((참고!$A$31:$A$130=C1240)*(참고!$B$31:$B$130&lt;=A1240)*(참고!$B$31:$B$130=_xludf.MAXIFS(참고!$B$31:$B$130,참고!$A$31:$A$130,C1240,참고!$B$31:$B$130,"&lt;="&amp;A1240))*참고!$C$31:$C$130)/100,0)</f>
        <v>0</v>
      </c>
      <c r="J1240" s="31" t="str">
        <f t="shared" si="58"/>
        <v/>
      </c>
      <c r="K1240" s="43">
        <f>IF(B1240="매도",IFERROR(SUMPRODUCT((참고!$A$31:$A$130=C1240)*(참고!$B$31:$B$130&lt;=A1240)*(참고!$B$31:$B$130=_xludf.MAXIFS(참고!$B$31:$B$130,참고!$A$31:$A$130,C1240,참고!$B$31:$B$130,"&lt;="&amp;A1240))*참고!$D$31:$D$130)/100,0),0)</f>
        <v>0</v>
      </c>
      <c r="L1240" s="31" t="str">
        <f t="shared" si="59"/>
        <v/>
      </c>
      <c r="M1240" s="39"/>
    </row>
    <row r="1241" spans="1:13" ht="18" customHeight="1" x14ac:dyDescent="0.45">
      <c r="A1241" s="37"/>
      <c r="B1241" s="29"/>
      <c r="C1241" s="29"/>
      <c r="D1241" s="28"/>
      <c r="E1241" s="30" t="str">
        <f>IFERROR(VLOOKUP(D1241,KRX종목마스터!$A:$B,2,FALSE),"")</f>
        <v/>
      </c>
      <c r="F1241" s="42"/>
      <c r="G1241" s="42"/>
      <c r="H1241" s="31" t="str">
        <f t="shared" si="57"/>
        <v/>
      </c>
      <c r="I1241" s="43">
        <f ca="1">IFERROR(SUMPRODUCT((참고!$A$31:$A$130=C1241)*(참고!$B$31:$B$130&lt;=A1241)*(참고!$B$31:$B$130=_xludf.MAXIFS(참고!$B$31:$B$130,참고!$A$31:$A$130,C1241,참고!$B$31:$B$130,"&lt;="&amp;A1241))*참고!$C$31:$C$130)/100,0)</f>
        <v>0</v>
      </c>
      <c r="J1241" s="31" t="str">
        <f t="shared" si="58"/>
        <v/>
      </c>
      <c r="K1241" s="43">
        <f>IF(B1241="매도",IFERROR(SUMPRODUCT((참고!$A$31:$A$130=C1241)*(참고!$B$31:$B$130&lt;=A1241)*(참고!$B$31:$B$130=_xludf.MAXIFS(참고!$B$31:$B$130,참고!$A$31:$A$130,C1241,참고!$B$31:$B$130,"&lt;="&amp;A1241))*참고!$D$31:$D$130)/100,0),0)</f>
        <v>0</v>
      </c>
      <c r="L1241" s="31" t="str">
        <f t="shared" si="59"/>
        <v/>
      </c>
      <c r="M1241" s="39"/>
    </row>
    <row r="1242" spans="1:13" ht="18" customHeight="1" x14ac:dyDescent="0.45">
      <c r="A1242" s="37"/>
      <c r="B1242" s="29"/>
      <c r="C1242" s="29"/>
      <c r="D1242" s="28"/>
      <c r="E1242" s="30" t="str">
        <f>IFERROR(VLOOKUP(D1242,KRX종목마스터!$A:$B,2,FALSE),"")</f>
        <v/>
      </c>
      <c r="F1242" s="42"/>
      <c r="G1242" s="42"/>
      <c r="H1242" s="31" t="str">
        <f t="shared" si="57"/>
        <v/>
      </c>
      <c r="I1242" s="43">
        <f ca="1">IFERROR(SUMPRODUCT((참고!$A$31:$A$130=C1242)*(참고!$B$31:$B$130&lt;=A1242)*(참고!$B$31:$B$130=_xludf.MAXIFS(참고!$B$31:$B$130,참고!$A$31:$A$130,C1242,참고!$B$31:$B$130,"&lt;="&amp;A1242))*참고!$C$31:$C$130)/100,0)</f>
        <v>0</v>
      </c>
      <c r="J1242" s="31" t="str">
        <f t="shared" si="58"/>
        <v/>
      </c>
      <c r="K1242" s="43">
        <f>IF(B1242="매도",IFERROR(SUMPRODUCT((참고!$A$31:$A$130=C1242)*(참고!$B$31:$B$130&lt;=A1242)*(참고!$B$31:$B$130=_xludf.MAXIFS(참고!$B$31:$B$130,참고!$A$31:$A$130,C1242,참고!$B$31:$B$130,"&lt;="&amp;A1242))*참고!$D$31:$D$130)/100,0),0)</f>
        <v>0</v>
      </c>
      <c r="L1242" s="31" t="str">
        <f t="shared" si="59"/>
        <v/>
      </c>
      <c r="M1242" s="39"/>
    </row>
    <row r="1243" spans="1:13" ht="18" customHeight="1" x14ac:dyDescent="0.45">
      <c r="A1243" s="37"/>
      <c r="B1243" s="29"/>
      <c r="C1243" s="29"/>
      <c r="D1243" s="28"/>
      <c r="E1243" s="30" t="str">
        <f>IFERROR(VLOOKUP(D1243,KRX종목마스터!$A:$B,2,FALSE),"")</f>
        <v/>
      </c>
      <c r="F1243" s="42"/>
      <c r="G1243" s="42"/>
      <c r="H1243" s="31" t="str">
        <f t="shared" si="57"/>
        <v/>
      </c>
      <c r="I1243" s="43">
        <f ca="1">IFERROR(SUMPRODUCT((참고!$A$31:$A$130=C1243)*(참고!$B$31:$B$130&lt;=A1243)*(참고!$B$31:$B$130=_xludf.MAXIFS(참고!$B$31:$B$130,참고!$A$31:$A$130,C1243,참고!$B$31:$B$130,"&lt;="&amp;A1243))*참고!$C$31:$C$130)/100,0)</f>
        <v>0</v>
      </c>
      <c r="J1243" s="31" t="str">
        <f t="shared" si="58"/>
        <v/>
      </c>
      <c r="K1243" s="43">
        <f>IF(B1243="매도",IFERROR(SUMPRODUCT((참고!$A$31:$A$130=C1243)*(참고!$B$31:$B$130&lt;=A1243)*(참고!$B$31:$B$130=_xludf.MAXIFS(참고!$B$31:$B$130,참고!$A$31:$A$130,C1243,참고!$B$31:$B$130,"&lt;="&amp;A1243))*참고!$D$31:$D$130)/100,0),0)</f>
        <v>0</v>
      </c>
      <c r="L1243" s="31" t="str">
        <f t="shared" si="59"/>
        <v/>
      </c>
      <c r="M1243" s="39"/>
    </row>
    <row r="1244" spans="1:13" ht="18" customHeight="1" x14ac:dyDescent="0.45">
      <c r="A1244" s="37"/>
      <c r="B1244" s="29"/>
      <c r="C1244" s="29"/>
      <c r="D1244" s="28"/>
      <c r="E1244" s="30" t="str">
        <f>IFERROR(VLOOKUP(D1244,KRX종목마스터!$A:$B,2,FALSE),"")</f>
        <v/>
      </c>
      <c r="F1244" s="42"/>
      <c r="G1244" s="42"/>
      <c r="H1244" s="31" t="str">
        <f t="shared" si="57"/>
        <v/>
      </c>
      <c r="I1244" s="43">
        <f ca="1">IFERROR(SUMPRODUCT((참고!$A$31:$A$130=C1244)*(참고!$B$31:$B$130&lt;=A1244)*(참고!$B$31:$B$130=_xludf.MAXIFS(참고!$B$31:$B$130,참고!$A$31:$A$130,C1244,참고!$B$31:$B$130,"&lt;="&amp;A1244))*참고!$C$31:$C$130)/100,0)</f>
        <v>0</v>
      </c>
      <c r="J1244" s="31" t="str">
        <f t="shared" si="58"/>
        <v/>
      </c>
      <c r="K1244" s="43">
        <f>IF(B1244="매도",IFERROR(SUMPRODUCT((참고!$A$31:$A$130=C1244)*(참고!$B$31:$B$130&lt;=A1244)*(참고!$B$31:$B$130=_xludf.MAXIFS(참고!$B$31:$B$130,참고!$A$31:$A$130,C1244,참고!$B$31:$B$130,"&lt;="&amp;A1244))*참고!$D$31:$D$130)/100,0),0)</f>
        <v>0</v>
      </c>
      <c r="L1244" s="31" t="str">
        <f t="shared" si="59"/>
        <v/>
      </c>
      <c r="M1244" s="39"/>
    </row>
    <row r="1245" spans="1:13" ht="18" customHeight="1" x14ac:dyDescent="0.45">
      <c r="A1245" s="37"/>
      <c r="B1245" s="29"/>
      <c r="C1245" s="29"/>
      <c r="D1245" s="28"/>
      <c r="E1245" s="30" t="str">
        <f>IFERROR(VLOOKUP(D1245,KRX종목마스터!$A:$B,2,FALSE),"")</f>
        <v/>
      </c>
      <c r="F1245" s="42"/>
      <c r="G1245" s="42"/>
      <c r="H1245" s="31" t="str">
        <f t="shared" si="57"/>
        <v/>
      </c>
      <c r="I1245" s="43">
        <f ca="1">IFERROR(SUMPRODUCT((참고!$A$31:$A$130=C1245)*(참고!$B$31:$B$130&lt;=A1245)*(참고!$B$31:$B$130=_xludf.MAXIFS(참고!$B$31:$B$130,참고!$A$31:$A$130,C1245,참고!$B$31:$B$130,"&lt;="&amp;A1245))*참고!$C$31:$C$130)/100,0)</f>
        <v>0</v>
      </c>
      <c r="J1245" s="31" t="str">
        <f t="shared" si="58"/>
        <v/>
      </c>
      <c r="K1245" s="43">
        <f>IF(B1245="매도",IFERROR(SUMPRODUCT((참고!$A$31:$A$130=C1245)*(참고!$B$31:$B$130&lt;=A1245)*(참고!$B$31:$B$130=_xludf.MAXIFS(참고!$B$31:$B$130,참고!$A$31:$A$130,C1245,참고!$B$31:$B$130,"&lt;="&amp;A1245))*참고!$D$31:$D$130)/100,0),0)</f>
        <v>0</v>
      </c>
      <c r="L1245" s="31" t="str">
        <f t="shared" si="59"/>
        <v/>
      </c>
      <c r="M1245" s="39"/>
    </row>
    <row r="1246" spans="1:13" ht="18" customHeight="1" x14ac:dyDescent="0.45">
      <c r="A1246" s="37"/>
      <c r="B1246" s="29"/>
      <c r="C1246" s="29"/>
      <c r="D1246" s="28"/>
      <c r="E1246" s="30" t="str">
        <f>IFERROR(VLOOKUP(D1246,KRX종목마스터!$A:$B,2,FALSE),"")</f>
        <v/>
      </c>
      <c r="F1246" s="42"/>
      <c r="G1246" s="42"/>
      <c r="H1246" s="31" t="str">
        <f t="shared" si="57"/>
        <v/>
      </c>
      <c r="I1246" s="43">
        <f ca="1">IFERROR(SUMPRODUCT((참고!$A$31:$A$130=C1246)*(참고!$B$31:$B$130&lt;=A1246)*(참고!$B$31:$B$130=_xludf.MAXIFS(참고!$B$31:$B$130,참고!$A$31:$A$130,C1246,참고!$B$31:$B$130,"&lt;="&amp;A1246))*참고!$C$31:$C$130)/100,0)</f>
        <v>0</v>
      </c>
      <c r="J1246" s="31" t="str">
        <f t="shared" si="58"/>
        <v/>
      </c>
      <c r="K1246" s="43">
        <f>IF(B1246="매도",IFERROR(SUMPRODUCT((참고!$A$31:$A$130=C1246)*(참고!$B$31:$B$130&lt;=A1246)*(참고!$B$31:$B$130=_xludf.MAXIFS(참고!$B$31:$B$130,참고!$A$31:$A$130,C1246,참고!$B$31:$B$130,"&lt;="&amp;A1246))*참고!$D$31:$D$130)/100,0),0)</f>
        <v>0</v>
      </c>
      <c r="L1246" s="31" t="str">
        <f t="shared" si="59"/>
        <v/>
      </c>
      <c r="M1246" s="39"/>
    </row>
    <row r="1247" spans="1:13" ht="18" customHeight="1" x14ac:dyDescent="0.45">
      <c r="A1247" s="37"/>
      <c r="B1247" s="29"/>
      <c r="C1247" s="29"/>
      <c r="D1247" s="28"/>
      <c r="E1247" s="30" t="str">
        <f>IFERROR(VLOOKUP(D1247,KRX종목마스터!$A:$B,2,FALSE),"")</f>
        <v/>
      </c>
      <c r="F1247" s="42"/>
      <c r="G1247" s="42"/>
      <c r="H1247" s="31" t="str">
        <f t="shared" si="57"/>
        <v/>
      </c>
      <c r="I1247" s="43">
        <f ca="1">IFERROR(SUMPRODUCT((참고!$A$31:$A$130=C1247)*(참고!$B$31:$B$130&lt;=A1247)*(참고!$B$31:$B$130=_xludf.MAXIFS(참고!$B$31:$B$130,참고!$A$31:$A$130,C1247,참고!$B$31:$B$130,"&lt;="&amp;A1247))*참고!$C$31:$C$130)/100,0)</f>
        <v>0</v>
      </c>
      <c r="J1247" s="31" t="str">
        <f t="shared" si="58"/>
        <v/>
      </c>
      <c r="K1247" s="43">
        <f>IF(B1247="매도",IFERROR(SUMPRODUCT((참고!$A$31:$A$130=C1247)*(참고!$B$31:$B$130&lt;=A1247)*(참고!$B$31:$B$130=_xludf.MAXIFS(참고!$B$31:$B$130,참고!$A$31:$A$130,C1247,참고!$B$31:$B$130,"&lt;="&amp;A1247))*참고!$D$31:$D$130)/100,0),0)</f>
        <v>0</v>
      </c>
      <c r="L1247" s="31" t="str">
        <f t="shared" si="59"/>
        <v/>
      </c>
      <c r="M1247" s="39"/>
    </row>
    <row r="1248" spans="1:13" ht="18" customHeight="1" x14ac:dyDescent="0.45">
      <c r="A1248" s="37"/>
      <c r="B1248" s="29"/>
      <c r="C1248" s="29"/>
      <c r="D1248" s="28"/>
      <c r="E1248" s="30" t="str">
        <f>IFERROR(VLOOKUP(D1248,KRX종목마스터!$A:$B,2,FALSE),"")</f>
        <v/>
      </c>
      <c r="F1248" s="42"/>
      <c r="G1248" s="42"/>
      <c r="H1248" s="31" t="str">
        <f t="shared" si="57"/>
        <v/>
      </c>
      <c r="I1248" s="43">
        <f ca="1">IFERROR(SUMPRODUCT((참고!$A$31:$A$130=C1248)*(참고!$B$31:$B$130&lt;=A1248)*(참고!$B$31:$B$130=_xludf.MAXIFS(참고!$B$31:$B$130,참고!$A$31:$A$130,C1248,참고!$B$31:$B$130,"&lt;="&amp;A1248))*참고!$C$31:$C$130)/100,0)</f>
        <v>0</v>
      </c>
      <c r="J1248" s="31" t="str">
        <f t="shared" si="58"/>
        <v/>
      </c>
      <c r="K1248" s="43">
        <f>IF(B1248="매도",IFERROR(SUMPRODUCT((참고!$A$31:$A$130=C1248)*(참고!$B$31:$B$130&lt;=A1248)*(참고!$B$31:$B$130=_xludf.MAXIFS(참고!$B$31:$B$130,참고!$A$31:$A$130,C1248,참고!$B$31:$B$130,"&lt;="&amp;A1248))*참고!$D$31:$D$130)/100,0),0)</f>
        <v>0</v>
      </c>
      <c r="L1248" s="31" t="str">
        <f t="shared" si="59"/>
        <v/>
      </c>
      <c r="M1248" s="39"/>
    </row>
    <row r="1249" spans="1:13" ht="18" customHeight="1" x14ac:dyDescent="0.45">
      <c r="A1249" s="37"/>
      <c r="B1249" s="29"/>
      <c r="C1249" s="29"/>
      <c r="D1249" s="28"/>
      <c r="E1249" s="30" t="str">
        <f>IFERROR(VLOOKUP(D1249,KRX종목마스터!$A:$B,2,FALSE),"")</f>
        <v/>
      </c>
      <c r="F1249" s="42"/>
      <c r="G1249" s="42"/>
      <c r="H1249" s="31" t="str">
        <f t="shared" si="57"/>
        <v/>
      </c>
      <c r="I1249" s="43">
        <f ca="1">IFERROR(SUMPRODUCT((참고!$A$31:$A$130=C1249)*(참고!$B$31:$B$130&lt;=A1249)*(참고!$B$31:$B$130=_xludf.MAXIFS(참고!$B$31:$B$130,참고!$A$31:$A$130,C1249,참고!$B$31:$B$130,"&lt;="&amp;A1249))*참고!$C$31:$C$130)/100,0)</f>
        <v>0</v>
      </c>
      <c r="J1249" s="31" t="str">
        <f t="shared" si="58"/>
        <v/>
      </c>
      <c r="K1249" s="43">
        <f>IF(B1249="매도",IFERROR(SUMPRODUCT((참고!$A$31:$A$130=C1249)*(참고!$B$31:$B$130&lt;=A1249)*(참고!$B$31:$B$130=_xludf.MAXIFS(참고!$B$31:$B$130,참고!$A$31:$A$130,C1249,참고!$B$31:$B$130,"&lt;="&amp;A1249))*참고!$D$31:$D$130)/100,0),0)</f>
        <v>0</v>
      </c>
      <c r="L1249" s="31" t="str">
        <f t="shared" si="59"/>
        <v/>
      </c>
      <c r="M1249" s="39"/>
    </row>
    <row r="1250" spans="1:13" ht="18" customHeight="1" x14ac:dyDescent="0.45">
      <c r="A1250" s="37"/>
      <c r="B1250" s="29"/>
      <c r="C1250" s="29"/>
      <c r="D1250" s="28"/>
      <c r="E1250" s="30" t="str">
        <f>IFERROR(VLOOKUP(D1250,KRX종목마스터!$A:$B,2,FALSE),"")</f>
        <v/>
      </c>
      <c r="F1250" s="42"/>
      <c r="G1250" s="42"/>
      <c r="H1250" s="31" t="str">
        <f t="shared" si="57"/>
        <v/>
      </c>
      <c r="I1250" s="43">
        <f ca="1">IFERROR(SUMPRODUCT((참고!$A$31:$A$130=C1250)*(참고!$B$31:$B$130&lt;=A1250)*(참고!$B$31:$B$130=_xludf.MAXIFS(참고!$B$31:$B$130,참고!$A$31:$A$130,C1250,참고!$B$31:$B$130,"&lt;="&amp;A1250))*참고!$C$31:$C$130)/100,0)</f>
        <v>0</v>
      </c>
      <c r="J1250" s="31" t="str">
        <f t="shared" si="58"/>
        <v/>
      </c>
      <c r="K1250" s="43">
        <f>IF(B1250="매도",IFERROR(SUMPRODUCT((참고!$A$31:$A$130=C1250)*(참고!$B$31:$B$130&lt;=A1250)*(참고!$B$31:$B$130=_xludf.MAXIFS(참고!$B$31:$B$130,참고!$A$31:$A$130,C1250,참고!$B$31:$B$130,"&lt;="&amp;A1250))*참고!$D$31:$D$130)/100,0),0)</f>
        <v>0</v>
      </c>
      <c r="L1250" s="31" t="str">
        <f t="shared" si="59"/>
        <v/>
      </c>
      <c r="M1250" s="39"/>
    </row>
    <row r="1251" spans="1:13" ht="18" customHeight="1" x14ac:dyDescent="0.45">
      <c r="A1251" s="37"/>
      <c r="B1251" s="29"/>
      <c r="C1251" s="29"/>
      <c r="D1251" s="28"/>
      <c r="E1251" s="30" t="str">
        <f>IFERROR(VLOOKUP(D1251,KRX종목마스터!$A:$B,2,FALSE),"")</f>
        <v/>
      </c>
      <c r="F1251" s="42"/>
      <c r="G1251" s="42"/>
      <c r="H1251" s="31" t="str">
        <f t="shared" si="57"/>
        <v/>
      </c>
      <c r="I1251" s="43">
        <f ca="1">IFERROR(SUMPRODUCT((참고!$A$31:$A$130=C1251)*(참고!$B$31:$B$130&lt;=A1251)*(참고!$B$31:$B$130=_xludf.MAXIFS(참고!$B$31:$B$130,참고!$A$31:$A$130,C1251,참고!$B$31:$B$130,"&lt;="&amp;A1251))*참고!$C$31:$C$130)/100,0)</f>
        <v>0</v>
      </c>
      <c r="J1251" s="31" t="str">
        <f t="shared" si="58"/>
        <v/>
      </c>
      <c r="K1251" s="43">
        <f>IF(B1251="매도",IFERROR(SUMPRODUCT((참고!$A$31:$A$130=C1251)*(참고!$B$31:$B$130&lt;=A1251)*(참고!$B$31:$B$130=_xludf.MAXIFS(참고!$B$31:$B$130,참고!$A$31:$A$130,C1251,참고!$B$31:$B$130,"&lt;="&amp;A1251))*참고!$D$31:$D$130)/100,0),0)</f>
        <v>0</v>
      </c>
      <c r="L1251" s="31" t="str">
        <f t="shared" si="59"/>
        <v/>
      </c>
      <c r="M1251" s="39"/>
    </row>
    <row r="1252" spans="1:13" ht="18" customHeight="1" x14ac:dyDescent="0.45">
      <c r="A1252" s="37"/>
      <c r="B1252" s="29"/>
      <c r="C1252" s="29"/>
      <c r="D1252" s="28"/>
      <c r="E1252" s="30" t="str">
        <f>IFERROR(VLOOKUP(D1252,KRX종목마스터!$A:$B,2,FALSE),"")</f>
        <v/>
      </c>
      <c r="F1252" s="42"/>
      <c r="G1252" s="42"/>
      <c r="H1252" s="31" t="str">
        <f t="shared" si="57"/>
        <v/>
      </c>
      <c r="I1252" s="43">
        <f ca="1">IFERROR(SUMPRODUCT((참고!$A$31:$A$130=C1252)*(참고!$B$31:$B$130&lt;=A1252)*(참고!$B$31:$B$130=_xludf.MAXIFS(참고!$B$31:$B$130,참고!$A$31:$A$130,C1252,참고!$B$31:$B$130,"&lt;="&amp;A1252))*참고!$C$31:$C$130)/100,0)</f>
        <v>0</v>
      </c>
      <c r="J1252" s="31" t="str">
        <f t="shared" si="58"/>
        <v/>
      </c>
      <c r="K1252" s="43">
        <f>IF(B1252="매도",IFERROR(SUMPRODUCT((참고!$A$31:$A$130=C1252)*(참고!$B$31:$B$130&lt;=A1252)*(참고!$B$31:$B$130=_xludf.MAXIFS(참고!$B$31:$B$130,참고!$A$31:$A$130,C1252,참고!$B$31:$B$130,"&lt;="&amp;A1252))*참고!$D$31:$D$130)/100,0),0)</f>
        <v>0</v>
      </c>
      <c r="L1252" s="31" t="str">
        <f t="shared" si="59"/>
        <v/>
      </c>
      <c r="M1252" s="39"/>
    </row>
    <row r="1253" spans="1:13" ht="18" customHeight="1" x14ac:dyDescent="0.45">
      <c r="A1253" s="37"/>
      <c r="B1253" s="29"/>
      <c r="C1253" s="29"/>
      <c r="D1253" s="28"/>
      <c r="E1253" s="30" t="str">
        <f>IFERROR(VLOOKUP(D1253,KRX종목마스터!$A:$B,2,FALSE),"")</f>
        <v/>
      </c>
      <c r="F1253" s="42"/>
      <c r="G1253" s="42"/>
      <c r="H1253" s="31" t="str">
        <f t="shared" si="57"/>
        <v/>
      </c>
      <c r="I1253" s="43">
        <f ca="1">IFERROR(SUMPRODUCT((참고!$A$31:$A$130=C1253)*(참고!$B$31:$B$130&lt;=A1253)*(참고!$B$31:$B$130=_xludf.MAXIFS(참고!$B$31:$B$130,참고!$A$31:$A$130,C1253,참고!$B$31:$B$130,"&lt;="&amp;A1253))*참고!$C$31:$C$130)/100,0)</f>
        <v>0</v>
      </c>
      <c r="J1253" s="31" t="str">
        <f t="shared" si="58"/>
        <v/>
      </c>
      <c r="K1253" s="43">
        <f>IF(B1253="매도",IFERROR(SUMPRODUCT((참고!$A$31:$A$130=C1253)*(참고!$B$31:$B$130&lt;=A1253)*(참고!$B$31:$B$130=_xludf.MAXIFS(참고!$B$31:$B$130,참고!$A$31:$A$130,C1253,참고!$B$31:$B$130,"&lt;="&amp;A1253))*참고!$D$31:$D$130)/100,0),0)</f>
        <v>0</v>
      </c>
      <c r="L1253" s="31" t="str">
        <f t="shared" si="59"/>
        <v/>
      </c>
      <c r="M1253" s="39"/>
    </row>
    <row r="1254" spans="1:13" ht="18" customHeight="1" x14ac:dyDescent="0.45">
      <c r="A1254" s="37"/>
      <c r="B1254" s="29"/>
      <c r="C1254" s="29"/>
      <c r="D1254" s="28"/>
      <c r="E1254" s="30" t="str">
        <f>IFERROR(VLOOKUP(D1254,KRX종목마스터!$A:$B,2,FALSE),"")</f>
        <v/>
      </c>
      <c r="F1254" s="42"/>
      <c r="G1254" s="42"/>
      <c r="H1254" s="31" t="str">
        <f t="shared" si="57"/>
        <v/>
      </c>
      <c r="I1254" s="43">
        <f ca="1">IFERROR(SUMPRODUCT((참고!$A$31:$A$130=C1254)*(참고!$B$31:$B$130&lt;=A1254)*(참고!$B$31:$B$130=_xludf.MAXIFS(참고!$B$31:$B$130,참고!$A$31:$A$130,C1254,참고!$B$31:$B$130,"&lt;="&amp;A1254))*참고!$C$31:$C$130)/100,0)</f>
        <v>0</v>
      </c>
      <c r="J1254" s="31" t="str">
        <f t="shared" si="58"/>
        <v/>
      </c>
      <c r="K1254" s="43">
        <f>IF(B1254="매도",IFERROR(SUMPRODUCT((참고!$A$31:$A$130=C1254)*(참고!$B$31:$B$130&lt;=A1254)*(참고!$B$31:$B$130=_xludf.MAXIFS(참고!$B$31:$B$130,참고!$A$31:$A$130,C1254,참고!$B$31:$B$130,"&lt;="&amp;A1254))*참고!$D$31:$D$130)/100,0),0)</f>
        <v>0</v>
      </c>
      <c r="L1254" s="31" t="str">
        <f t="shared" si="59"/>
        <v/>
      </c>
      <c r="M1254" s="39"/>
    </row>
    <row r="1255" spans="1:13" ht="18" customHeight="1" x14ac:dyDescent="0.45">
      <c r="A1255" s="37"/>
      <c r="B1255" s="29"/>
      <c r="C1255" s="29"/>
      <c r="D1255" s="28"/>
      <c r="E1255" s="30" t="str">
        <f>IFERROR(VLOOKUP(D1255,KRX종목마스터!$A:$B,2,FALSE),"")</f>
        <v/>
      </c>
      <c r="F1255" s="42"/>
      <c r="G1255" s="42"/>
      <c r="H1255" s="31" t="str">
        <f t="shared" si="57"/>
        <v/>
      </c>
      <c r="I1255" s="43">
        <f ca="1">IFERROR(SUMPRODUCT((참고!$A$31:$A$130=C1255)*(참고!$B$31:$B$130&lt;=A1255)*(참고!$B$31:$B$130=_xludf.MAXIFS(참고!$B$31:$B$130,참고!$A$31:$A$130,C1255,참고!$B$31:$B$130,"&lt;="&amp;A1255))*참고!$C$31:$C$130)/100,0)</f>
        <v>0</v>
      </c>
      <c r="J1255" s="31" t="str">
        <f t="shared" si="58"/>
        <v/>
      </c>
      <c r="K1255" s="43">
        <f>IF(B1255="매도",IFERROR(SUMPRODUCT((참고!$A$31:$A$130=C1255)*(참고!$B$31:$B$130&lt;=A1255)*(참고!$B$31:$B$130=_xludf.MAXIFS(참고!$B$31:$B$130,참고!$A$31:$A$130,C1255,참고!$B$31:$B$130,"&lt;="&amp;A1255))*참고!$D$31:$D$130)/100,0),0)</f>
        <v>0</v>
      </c>
      <c r="L1255" s="31" t="str">
        <f t="shared" si="59"/>
        <v/>
      </c>
      <c r="M1255" s="39"/>
    </row>
    <row r="1256" spans="1:13" ht="18" customHeight="1" x14ac:dyDescent="0.45">
      <c r="A1256" s="37"/>
      <c r="B1256" s="29"/>
      <c r="C1256" s="29"/>
      <c r="D1256" s="28"/>
      <c r="E1256" s="30" t="str">
        <f>IFERROR(VLOOKUP(D1256,KRX종목마스터!$A:$B,2,FALSE),"")</f>
        <v/>
      </c>
      <c r="F1256" s="42"/>
      <c r="G1256" s="42"/>
      <c r="H1256" s="31" t="str">
        <f t="shared" si="57"/>
        <v/>
      </c>
      <c r="I1256" s="43">
        <f ca="1">IFERROR(SUMPRODUCT((참고!$A$31:$A$130=C1256)*(참고!$B$31:$B$130&lt;=A1256)*(참고!$B$31:$B$130=_xludf.MAXIFS(참고!$B$31:$B$130,참고!$A$31:$A$130,C1256,참고!$B$31:$B$130,"&lt;="&amp;A1256))*참고!$C$31:$C$130)/100,0)</f>
        <v>0</v>
      </c>
      <c r="J1256" s="31" t="str">
        <f t="shared" si="58"/>
        <v/>
      </c>
      <c r="K1256" s="43">
        <f>IF(B1256="매도",IFERROR(SUMPRODUCT((참고!$A$31:$A$130=C1256)*(참고!$B$31:$B$130&lt;=A1256)*(참고!$B$31:$B$130=_xludf.MAXIFS(참고!$B$31:$B$130,참고!$A$31:$A$130,C1256,참고!$B$31:$B$130,"&lt;="&amp;A1256))*참고!$D$31:$D$130)/100,0),0)</f>
        <v>0</v>
      </c>
      <c r="L1256" s="31" t="str">
        <f t="shared" si="59"/>
        <v/>
      </c>
      <c r="M1256" s="39"/>
    </row>
    <row r="1257" spans="1:13" ht="18" customHeight="1" x14ac:dyDescent="0.45">
      <c r="A1257" s="37"/>
      <c r="B1257" s="29"/>
      <c r="C1257" s="29"/>
      <c r="D1257" s="28"/>
      <c r="E1257" s="30" t="str">
        <f>IFERROR(VLOOKUP(D1257,KRX종목마스터!$A:$B,2,FALSE),"")</f>
        <v/>
      </c>
      <c r="F1257" s="42"/>
      <c r="G1257" s="42"/>
      <c r="H1257" s="31" t="str">
        <f t="shared" si="57"/>
        <v/>
      </c>
      <c r="I1257" s="43">
        <f ca="1">IFERROR(SUMPRODUCT((참고!$A$31:$A$130=C1257)*(참고!$B$31:$B$130&lt;=A1257)*(참고!$B$31:$B$130=_xludf.MAXIFS(참고!$B$31:$B$130,참고!$A$31:$A$130,C1257,참고!$B$31:$B$130,"&lt;="&amp;A1257))*참고!$C$31:$C$130)/100,0)</f>
        <v>0</v>
      </c>
      <c r="J1257" s="31" t="str">
        <f t="shared" si="58"/>
        <v/>
      </c>
      <c r="K1257" s="43">
        <f>IF(B1257="매도",IFERROR(SUMPRODUCT((참고!$A$31:$A$130=C1257)*(참고!$B$31:$B$130&lt;=A1257)*(참고!$B$31:$B$130=_xludf.MAXIFS(참고!$B$31:$B$130,참고!$A$31:$A$130,C1257,참고!$B$31:$B$130,"&lt;="&amp;A1257))*참고!$D$31:$D$130)/100,0),0)</f>
        <v>0</v>
      </c>
      <c r="L1257" s="31" t="str">
        <f t="shared" si="59"/>
        <v/>
      </c>
      <c r="M1257" s="39"/>
    </row>
    <row r="1258" spans="1:13" ht="18" customHeight="1" x14ac:dyDescent="0.45">
      <c r="A1258" s="37"/>
      <c r="B1258" s="29"/>
      <c r="C1258" s="29"/>
      <c r="D1258" s="28"/>
      <c r="E1258" s="30" t="str">
        <f>IFERROR(VLOOKUP(D1258,KRX종목마스터!$A:$B,2,FALSE),"")</f>
        <v/>
      </c>
      <c r="F1258" s="42"/>
      <c r="G1258" s="42"/>
      <c r="H1258" s="31" t="str">
        <f t="shared" si="57"/>
        <v/>
      </c>
      <c r="I1258" s="43">
        <f ca="1">IFERROR(SUMPRODUCT((참고!$A$31:$A$130=C1258)*(참고!$B$31:$B$130&lt;=A1258)*(참고!$B$31:$B$130=_xludf.MAXIFS(참고!$B$31:$B$130,참고!$A$31:$A$130,C1258,참고!$B$31:$B$130,"&lt;="&amp;A1258))*참고!$C$31:$C$130)/100,0)</f>
        <v>0</v>
      </c>
      <c r="J1258" s="31" t="str">
        <f t="shared" si="58"/>
        <v/>
      </c>
      <c r="K1258" s="43">
        <f>IF(B1258="매도",IFERROR(SUMPRODUCT((참고!$A$31:$A$130=C1258)*(참고!$B$31:$B$130&lt;=A1258)*(참고!$B$31:$B$130=_xludf.MAXIFS(참고!$B$31:$B$130,참고!$A$31:$A$130,C1258,참고!$B$31:$B$130,"&lt;="&amp;A1258))*참고!$D$31:$D$130)/100,0),0)</f>
        <v>0</v>
      </c>
      <c r="L1258" s="31" t="str">
        <f t="shared" si="59"/>
        <v/>
      </c>
      <c r="M1258" s="39"/>
    </row>
    <row r="1259" spans="1:13" ht="18" customHeight="1" x14ac:dyDescent="0.45">
      <c r="A1259" s="37"/>
      <c r="B1259" s="29"/>
      <c r="C1259" s="29"/>
      <c r="D1259" s="28"/>
      <c r="E1259" s="30" t="str">
        <f>IFERROR(VLOOKUP(D1259,KRX종목마스터!$A:$B,2,FALSE),"")</f>
        <v/>
      </c>
      <c r="F1259" s="42"/>
      <c r="G1259" s="42"/>
      <c r="H1259" s="31" t="str">
        <f t="shared" si="57"/>
        <v/>
      </c>
      <c r="I1259" s="43">
        <f ca="1">IFERROR(SUMPRODUCT((참고!$A$31:$A$130=C1259)*(참고!$B$31:$B$130&lt;=A1259)*(참고!$B$31:$B$130=_xludf.MAXIFS(참고!$B$31:$B$130,참고!$A$31:$A$130,C1259,참고!$B$31:$B$130,"&lt;="&amp;A1259))*참고!$C$31:$C$130)/100,0)</f>
        <v>0</v>
      </c>
      <c r="J1259" s="31" t="str">
        <f t="shared" si="58"/>
        <v/>
      </c>
      <c r="K1259" s="43">
        <f>IF(B1259="매도",IFERROR(SUMPRODUCT((참고!$A$31:$A$130=C1259)*(참고!$B$31:$B$130&lt;=A1259)*(참고!$B$31:$B$130=_xludf.MAXIFS(참고!$B$31:$B$130,참고!$A$31:$A$130,C1259,참고!$B$31:$B$130,"&lt;="&amp;A1259))*참고!$D$31:$D$130)/100,0),0)</f>
        <v>0</v>
      </c>
      <c r="L1259" s="31" t="str">
        <f t="shared" si="59"/>
        <v/>
      </c>
      <c r="M1259" s="39"/>
    </row>
    <row r="1260" spans="1:13" ht="18" customHeight="1" x14ac:dyDescent="0.45">
      <c r="A1260" s="37"/>
      <c r="B1260" s="29"/>
      <c r="C1260" s="29"/>
      <c r="D1260" s="28"/>
      <c r="E1260" s="30" t="str">
        <f>IFERROR(VLOOKUP(D1260,KRX종목마스터!$A:$B,2,FALSE),"")</f>
        <v/>
      </c>
      <c r="F1260" s="42"/>
      <c r="G1260" s="42"/>
      <c r="H1260" s="31" t="str">
        <f t="shared" si="57"/>
        <v/>
      </c>
      <c r="I1260" s="43">
        <f ca="1">IFERROR(SUMPRODUCT((참고!$A$31:$A$130=C1260)*(참고!$B$31:$B$130&lt;=A1260)*(참고!$B$31:$B$130=_xludf.MAXIFS(참고!$B$31:$B$130,참고!$A$31:$A$130,C1260,참고!$B$31:$B$130,"&lt;="&amp;A1260))*참고!$C$31:$C$130)/100,0)</f>
        <v>0</v>
      </c>
      <c r="J1260" s="31" t="str">
        <f t="shared" si="58"/>
        <v/>
      </c>
      <c r="K1260" s="43">
        <f>IF(B1260="매도",IFERROR(SUMPRODUCT((참고!$A$31:$A$130=C1260)*(참고!$B$31:$B$130&lt;=A1260)*(참고!$B$31:$B$130=_xludf.MAXIFS(참고!$B$31:$B$130,참고!$A$31:$A$130,C1260,참고!$B$31:$B$130,"&lt;="&amp;A1260))*참고!$D$31:$D$130)/100,0),0)</f>
        <v>0</v>
      </c>
      <c r="L1260" s="31" t="str">
        <f t="shared" si="59"/>
        <v/>
      </c>
      <c r="M1260" s="39"/>
    </row>
    <row r="1261" spans="1:13" ht="18" customHeight="1" x14ac:dyDescent="0.45">
      <c r="A1261" s="37"/>
      <c r="B1261" s="29"/>
      <c r="C1261" s="29"/>
      <c r="D1261" s="28"/>
      <c r="E1261" s="30" t="str">
        <f>IFERROR(VLOOKUP(D1261,KRX종목마스터!$A:$B,2,FALSE),"")</f>
        <v/>
      </c>
      <c r="F1261" s="42"/>
      <c r="G1261" s="42"/>
      <c r="H1261" s="31" t="str">
        <f t="shared" si="57"/>
        <v/>
      </c>
      <c r="I1261" s="43">
        <f ca="1">IFERROR(SUMPRODUCT((참고!$A$31:$A$130=C1261)*(참고!$B$31:$B$130&lt;=A1261)*(참고!$B$31:$B$130=_xludf.MAXIFS(참고!$B$31:$B$130,참고!$A$31:$A$130,C1261,참고!$B$31:$B$130,"&lt;="&amp;A1261))*참고!$C$31:$C$130)/100,0)</f>
        <v>0</v>
      </c>
      <c r="J1261" s="31" t="str">
        <f t="shared" si="58"/>
        <v/>
      </c>
      <c r="K1261" s="43">
        <f>IF(B1261="매도",IFERROR(SUMPRODUCT((참고!$A$31:$A$130=C1261)*(참고!$B$31:$B$130&lt;=A1261)*(참고!$B$31:$B$130=_xludf.MAXIFS(참고!$B$31:$B$130,참고!$A$31:$A$130,C1261,참고!$B$31:$B$130,"&lt;="&amp;A1261))*참고!$D$31:$D$130)/100,0),0)</f>
        <v>0</v>
      </c>
      <c r="L1261" s="31" t="str">
        <f t="shared" si="59"/>
        <v/>
      </c>
      <c r="M1261" s="39"/>
    </row>
    <row r="1262" spans="1:13" ht="18" customHeight="1" x14ac:dyDescent="0.45">
      <c r="A1262" s="37"/>
      <c r="B1262" s="29"/>
      <c r="C1262" s="29"/>
      <c r="D1262" s="28"/>
      <c r="E1262" s="30" t="str">
        <f>IFERROR(VLOOKUP(D1262,KRX종목마스터!$A:$B,2,FALSE),"")</f>
        <v/>
      </c>
      <c r="F1262" s="42"/>
      <c r="G1262" s="42"/>
      <c r="H1262" s="31" t="str">
        <f t="shared" si="57"/>
        <v/>
      </c>
      <c r="I1262" s="43">
        <f ca="1">IFERROR(SUMPRODUCT((참고!$A$31:$A$130=C1262)*(참고!$B$31:$B$130&lt;=A1262)*(참고!$B$31:$B$130=_xludf.MAXIFS(참고!$B$31:$B$130,참고!$A$31:$A$130,C1262,참고!$B$31:$B$130,"&lt;="&amp;A1262))*참고!$C$31:$C$130)/100,0)</f>
        <v>0</v>
      </c>
      <c r="J1262" s="31" t="str">
        <f t="shared" si="58"/>
        <v/>
      </c>
      <c r="K1262" s="43">
        <f>IF(B1262="매도",IFERROR(SUMPRODUCT((참고!$A$31:$A$130=C1262)*(참고!$B$31:$B$130&lt;=A1262)*(참고!$B$31:$B$130=_xludf.MAXIFS(참고!$B$31:$B$130,참고!$A$31:$A$130,C1262,참고!$B$31:$B$130,"&lt;="&amp;A1262))*참고!$D$31:$D$130)/100,0),0)</f>
        <v>0</v>
      </c>
      <c r="L1262" s="31" t="str">
        <f t="shared" si="59"/>
        <v/>
      </c>
      <c r="M1262" s="39"/>
    </row>
    <row r="1263" spans="1:13" ht="18" customHeight="1" x14ac:dyDescent="0.45">
      <c r="A1263" s="37"/>
      <c r="B1263" s="29"/>
      <c r="C1263" s="29"/>
      <c r="D1263" s="28"/>
      <c r="E1263" s="30" t="str">
        <f>IFERROR(VLOOKUP(D1263,KRX종목마스터!$A:$B,2,FALSE),"")</f>
        <v/>
      </c>
      <c r="F1263" s="42"/>
      <c r="G1263" s="42"/>
      <c r="H1263" s="31" t="str">
        <f t="shared" si="57"/>
        <v/>
      </c>
      <c r="I1263" s="43">
        <f ca="1">IFERROR(SUMPRODUCT((참고!$A$31:$A$130=C1263)*(참고!$B$31:$B$130&lt;=A1263)*(참고!$B$31:$B$130=_xludf.MAXIFS(참고!$B$31:$B$130,참고!$A$31:$A$130,C1263,참고!$B$31:$B$130,"&lt;="&amp;A1263))*참고!$C$31:$C$130)/100,0)</f>
        <v>0</v>
      </c>
      <c r="J1263" s="31" t="str">
        <f t="shared" si="58"/>
        <v/>
      </c>
      <c r="K1263" s="43">
        <f>IF(B1263="매도",IFERROR(SUMPRODUCT((참고!$A$31:$A$130=C1263)*(참고!$B$31:$B$130&lt;=A1263)*(참고!$B$31:$B$130=_xludf.MAXIFS(참고!$B$31:$B$130,참고!$A$31:$A$130,C1263,참고!$B$31:$B$130,"&lt;="&amp;A1263))*참고!$D$31:$D$130)/100,0),0)</f>
        <v>0</v>
      </c>
      <c r="L1263" s="31" t="str">
        <f t="shared" si="59"/>
        <v/>
      </c>
      <c r="M1263" s="39"/>
    </row>
    <row r="1264" spans="1:13" ht="18" customHeight="1" x14ac:dyDescent="0.45">
      <c r="A1264" s="37"/>
      <c r="B1264" s="29"/>
      <c r="C1264" s="29"/>
      <c r="D1264" s="28"/>
      <c r="E1264" s="30" t="str">
        <f>IFERROR(VLOOKUP(D1264,KRX종목마스터!$A:$B,2,FALSE),"")</f>
        <v/>
      </c>
      <c r="F1264" s="42"/>
      <c r="G1264" s="42"/>
      <c r="H1264" s="31" t="str">
        <f t="shared" si="57"/>
        <v/>
      </c>
      <c r="I1264" s="43">
        <f ca="1">IFERROR(SUMPRODUCT((참고!$A$31:$A$130=C1264)*(참고!$B$31:$B$130&lt;=A1264)*(참고!$B$31:$B$130=_xludf.MAXIFS(참고!$B$31:$B$130,참고!$A$31:$A$130,C1264,참고!$B$31:$B$130,"&lt;="&amp;A1264))*참고!$C$31:$C$130)/100,0)</f>
        <v>0</v>
      </c>
      <c r="J1264" s="31" t="str">
        <f t="shared" si="58"/>
        <v/>
      </c>
      <c r="K1264" s="43">
        <f>IF(B1264="매도",IFERROR(SUMPRODUCT((참고!$A$31:$A$130=C1264)*(참고!$B$31:$B$130&lt;=A1264)*(참고!$B$31:$B$130=_xludf.MAXIFS(참고!$B$31:$B$130,참고!$A$31:$A$130,C1264,참고!$B$31:$B$130,"&lt;="&amp;A1264))*참고!$D$31:$D$130)/100,0),0)</f>
        <v>0</v>
      </c>
      <c r="L1264" s="31" t="str">
        <f t="shared" si="59"/>
        <v/>
      </c>
      <c r="M1264" s="39"/>
    </row>
    <row r="1265" spans="1:13" ht="18" customHeight="1" x14ac:dyDescent="0.45">
      <c r="A1265" s="37"/>
      <c r="B1265" s="29"/>
      <c r="C1265" s="29"/>
      <c r="D1265" s="28"/>
      <c r="E1265" s="30" t="str">
        <f>IFERROR(VLOOKUP(D1265,KRX종목마스터!$A:$B,2,FALSE),"")</f>
        <v/>
      </c>
      <c r="F1265" s="42"/>
      <c r="G1265" s="42"/>
      <c r="H1265" s="31" t="str">
        <f t="shared" si="57"/>
        <v/>
      </c>
      <c r="I1265" s="43">
        <f ca="1">IFERROR(SUMPRODUCT((참고!$A$31:$A$130=C1265)*(참고!$B$31:$B$130&lt;=A1265)*(참고!$B$31:$B$130=_xludf.MAXIFS(참고!$B$31:$B$130,참고!$A$31:$A$130,C1265,참고!$B$31:$B$130,"&lt;="&amp;A1265))*참고!$C$31:$C$130)/100,0)</f>
        <v>0</v>
      </c>
      <c r="J1265" s="31" t="str">
        <f t="shared" si="58"/>
        <v/>
      </c>
      <c r="K1265" s="43">
        <f>IF(B1265="매도",IFERROR(SUMPRODUCT((참고!$A$31:$A$130=C1265)*(참고!$B$31:$B$130&lt;=A1265)*(참고!$B$31:$B$130=_xludf.MAXIFS(참고!$B$31:$B$130,참고!$A$31:$A$130,C1265,참고!$B$31:$B$130,"&lt;="&amp;A1265))*참고!$D$31:$D$130)/100,0),0)</f>
        <v>0</v>
      </c>
      <c r="L1265" s="31" t="str">
        <f t="shared" si="59"/>
        <v/>
      </c>
      <c r="M1265" s="39"/>
    </row>
    <row r="1266" spans="1:13" ht="18" customHeight="1" x14ac:dyDescent="0.45">
      <c r="A1266" s="37"/>
      <c r="B1266" s="29"/>
      <c r="C1266" s="29"/>
      <c r="D1266" s="28"/>
      <c r="E1266" s="30" t="str">
        <f>IFERROR(VLOOKUP(D1266,KRX종목마스터!$A:$B,2,FALSE),"")</f>
        <v/>
      </c>
      <c r="F1266" s="42"/>
      <c r="G1266" s="42"/>
      <c r="H1266" s="31" t="str">
        <f t="shared" si="57"/>
        <v/>
      </c>
      <c r="I1266" s="43">
        <f ca="1">IFERROR(SUMPRODUCT((참고!$A$31:$A$130=C1266)*(참고!$B$31:$B$130&lt;=A1266)*(참고!$B$31:$B$130=_xludf.MAXIFS(참고!$B$31:$B$130,참고!$A$31:$A$130,C1266,참고!$B$31:$B$130,"&lt;="&amp;A1266))*참고!$C$31:$C$130)/100,0)</f>
        <v>0</v>
      </c>
      <c r="J1266" s="31" t="str">
        <f t="shared" si="58"/>
        <v/>
      </c>
      <c r="K1266" s="43">
        <f>IF(B1266="매도",IFERROR(SUMPRODUCT((참고!$A$31:$A$130=C1266)*(참고!$B$31:$B$130&lt;=A1266)*(참고!$B$31:$B$130=_xludf.MAXIFS(참고!$B$31:$B$130,참고!$A$31:$A$130,C1266,참고!$B$31:$B$130,"&lt;="&amp;A1266))*참고!$D$31:$D$130)/100,0),0)</f>
        <v>0</v>
      </c>
      <c r="L1266" s="31" t="str">
        <f t="shared" si="59"/>
        <v/>
      </c>
      <c r="M1266" s="39"/>
    </row>
    <row r="1267" spans="1:13" ht="18" customHeight="1" x14ac:dyDescent="0.45">
      <c r="A1267" s="37"/>
      <c r="B1267" s="29"/>
      <c r="C1267" s="29"/>
      <c r="D1267" s="28"/>
      <c r="E1267" s="30" t="str">
        <f>IFERROR(VLOOKUP(D1267,KRX종목마스터!$A:$B,2,FALSE),"")</f>
        <v/>
      </c>
      <c r="F1267" s="42"/>
      <c r="G1267" s="42"/>
      <c r="H1267" s="31" t="str">
        <f t="shared" si="57"/>
        <v/>
      </c>
      <c r="I1267" s="43">
        <f ca="1">IFERROR(SUMPRODUCT((참고!$A$31:$A$130=C1267)*(참고!$B$31:$B$130&lt;=A1267)*(참고!$B$31:$B$130=_xludf.MAXIFS(참고!$B$31:$B$130,참고!$A$31:$A$130,C1267,참고!$B$31:$B$130,"&lt;="&amp;A1267))*참고!$C$31:$C$130)/100,0)</f>
        <v>0</v>
      </c>
      <c r="J1267" s="31" t="str">
        <f t="shared" si="58"/>
        <v/>
      </c>
      <c r="K1267" s="43">
        <f>IF(B1267="매도",IFERROR(SUMPRODUCT((참고!$A$31:$A$130=C1267)*(참고!$B$31:$B$130&lt;=A1267)*(참고!$B$31:$B$130=_xludf.MAXIFS(참고!$B$31:$B$130,참고!$A$31:$A$130,C1267,참고!$B$31:$B$130,"&lt;="&amp;A1267))*참고!$D$31:$D$130)/100,0),0)</f>
        <v>0</v>
      </c>
      <c r="L1267" s="31" t="str">
        <f t="shared" si="59"/>
        <v/>
      </c>
      <c r="M1267" s="39"/>
    </row>
    <row r="1268" spans="1:13" ht="18" customHeight="1" x14ac:dyDescent="0.45">
      <c r="A1268" s="37"/>
      <c r="B1268" s="29"/>
      <c r="C1268" s="29"/>
      <c r="D1268" s="28"/>
      <c r="E1268" s="30" t="str">
        <f>IFERROR(VLOOKUP(D1268,KRX종목마스터!$A:$B,2,FALSE),"")</f>
        <v/>
      </c>
      <c r="F1268" s="42"/>
      <c r="G1268" s="42"/>
      <c r="H1268" s="31" t="str">
        <f t="shared" si="57"/>
        <v/>
      </c>
      <c r="I1268" s="43">
        <f ca="1">IFERROR(SUMPRODUCT((참고!$A$31:$A$130=C1268)*(참고!$B$31:$B$130&lt;=A1268)*(참고!$B$31:$B$130=_xludf.MAXIFS(참고!$B$31:$B$130,참고!$A$31:$A$130,C1268,참고!$B$31:$B$130,"&lt;="&amp;A1268))*참고!$C$31:$C$130)/100,0)</f>
        <v>0</v>
      </c>
      <c r="J1268" s="31" t="str">
        <f t="shared" si="58"/>
        <v/>
      </c>
      <c r="K1268" s="43">
        <f>IF(B1268="매도",IFERROR(SUMPRODUCT((참고!$A$31:$A$130=C1268)*(참고!$B$31:$B$130&lt;=A1268)*(참고!$B$31:$B$130=_xludf.MAXIFS(참고!$B$31:$B$130,참고!$A$31:$A$130,C1268,참고!$B$31:$B$130,"&lt;="&amp;A1268))*참고!$D$31:$D$130)/100,0),0)</f>
        <v>0</v>
      </c>
      <c r="L1268" s="31" t="str">
        <f t="shared" si="59"/>
        <v/>
      </c>
      <c r="M1268" s="39"/>
    </row>
    <row r="1269" spans="1:13" ht="18" customHeight="1" x14ac:dyDescent="0.45">
      <c r="A1269" s="37"/>
      <c r="B1269" s="29"/>
      <c r="C1269" s="29"/>
      <c r="D1269" s="28"/>
      <c r="E1269" s="30" t="str">
        <f>IFERROR(VLOOKUP(D1269,KRX종목마스터!$A:$B,2,FALSE),"")</f>
        <v/>
      </c>
      <c r="F1269" s="42"/>
      <c r="G1269" s="42"/>
      <c r="H1269" s="31" t="str">
        <f t="shared" si="57"/>
        <v/>
      </c>
      <c r="I1269" s="43">
        <f ca="1">IFERROR(SUMPRODUCT((참고!$A$31:$A$130=C1269)*(참고!$B$31:$B$130&lt;=A1269)*(참고!$B$31:$B$130=_xludf.MAXIFS(참고!$B$31:$B$130,참고!$A$31:$A$130,C1269,참고!$B$31:$B$130,"&lt;="&amp;A1269))*참고!$C$31:$C$130)/100,0)</f>
        <v>0</v>
      </c>
      <c r="J1269" s="31" t="str">
        <f t="shared" si="58"/>
        <v/>
      </c>
      <c r="K1269" s="43">
        <f>IF(B1269="매도",IFERROR(SUMPRODUCT((참고!$A$31:$A$130=C1269)*(참고!$B$31:$B$130&lt;=A1269)*(참고!$B$31:$B$130=_xludf.MAXIFS(참고!$B$31:$B$130,참고!$A$31:$A$130,C1269,참고!$B$31:$B$130,"&lt;="&amp;A1269))*참고!$D$31:$D$130)/100,0),0)</f>
        <v>0</v>
      </c>
      <c r="L1269" s="31" t="str">
        <f t="shared" si="59"/>
        <v/>
      </c>
      <c r="M1269" s="39"/>
    </row>
    <row r="1270" spans="1:13" ht="18" customHeight="1" x14ac:dyDescent="0.45">
      <c r="A1270" s="37"/>
      <c r="B1270" s="29"/>
      <c r="C1270" s="29"/>
      <c r="D1270" s="28"/>
      <c r="E1270" s="30" t="str">
        <f>IFERROR(VLOOKUP(D1270,KRX종목마스터!$A:$B,2,FALSE),"")</f>
        <v/>
      </c>
      <c r="F1270" s="42"/>
      <c r="G1270" s="42"/>
      <c r="H1270" s="31" t="str">
        <f t="shared" si="57"/>
        <v/>
      </c>
      <c r="I1270" s="43">
        <f ca="1">IFERROR(SUMPRODUCT((참고!$A$31:$A$130=C1270)*(참고!$B$31:$B$130&lt;=A1270)*(참고!$B$31:$B$130=_xludf.MAXIFS(참고!$B$31:$B$130,참고!$A$31:$A$130,C1270,참고!$B$31:$B$130,"&lt;="&amp;A1270))*참고!$C$31:$C$130)/100,0)</f>
        <v>0</v>
      </c>
      <c r="J1270" s="31" t="str">
        <f t="shared" si="58"/>
        <v/>
      </c>
      <c r="K1270" s="43">
        <f>IF(B1270="매도",IFERROR(SUMPRODUCT((참고!$A$31:$A$130=C1270)*(참고!$B$31:$B$130&lt;=A1270)*(참고!$B$31:$B$130=_xludf.MAXIFS(참고!$B$31:$B$130,참고!$A$31:$A$130,C1270,참고!$B$31:$B$130,"&lt;="&amp;A1270))*참고!$D$31:$D$130)/100,0),0)</f>
        <v>0</v>
      </c>
      <c r="L1270" s="31" t="str">
        <f t="shared" si="59"/>
        <v/>
      </c>
      <c r="M1270" s="39"/>
    </row>
    <row r="1271" spans="1:13" ht="18" customHeight="1" x14ac:dyDescent="0.45">
      <c r="A1271" s="37"/>
      <c r="B1271" s="29"/>
      <c r="C1271" s="29"/>
      <c r="D1271" s="28"/>
      <c r="E1271" s="30" t="str">
        <f>IFERROR(VLOOKUP(D1271,KRX종목마스터!$A:$B,2,FALSE),"")</f>
        <v/>
      </c>
      <c r="F1271" s="42"/>
      <c r="G1271" s="42"/>
      <c r="H1271" s="31" t="str">
        <f t="shared" si="57"/>
        <v/>
      </c>
      <c r="I1271" s="43">
        <f ca="1">IFERROR(SUMPRODUCT((참고!$A$31:$A$130=C1271)*(참고!$B$31:$B$130&lt;=A1271)*(참고!$B$31:$B$130=_xludf.MAXIFS(참고!$B$31:$B$130,참고!$A$31:$A$130,C1271,참고!$B$31:$B$130,"&lt;="&amp;A1271))*참고!$C$31:$C$130)/100,0)</f>
        <v>0</v>
      </c>
      <c r="J1271" s="31" t="str">
        <f t="shared" si="58"/>
        <v/>
      </c>
      <c r="K1271" s="43">
        <f>IF(B1271="매도",IFERROR(SUMPRODUCT((참고!$A$31:$A$130=C1271)*(참고!$B$31:$B$130&lt;=A1271)*(참고!$B$31:$B$130=_xludf.MAXIFS(참고!$B$31:$B$130,참고!$A$31:$A$130,C1271,참고!$B$31:$B$130,"&lt;="&amp;A1271))*참고!$D$31:$D$130)/100,0),0)</f>
        <v>0</v>
      </c>
      <c r="L1271" s="31" t="str">
        <f t="shared" si="59"/>
        <v/>
      </c>
      <c r="M1271" s="39"/>
    </row>
    <row r="1272" spans="1:13" ht="18" customHeight="1" x14ac:dyDescent="0.45">
      <c r="A1272" s="37"/>
      <c r="B1272" s="29"/>
      <c r="C1272" s="29"/>
      <c r="D1272" s="28"/>
      <c r="E1272" s="30" t="str">
        <f>IFERROR(VLOOKUP(D1272,KRX종목마스터!$A:$B,2,FALSE),"")</f>
        <v/>
      </c>
      <c r="F1272" s="42"/>
      <c r="G1272" s="42"/>
      <c r="H1272" s="31" t="str">
        <f t="shared" si="57"/>
        <v/>
      </c>
      <c r="I1272" s="43">
        <f ca="1">IFERROR(SUMPRODUCT((참고!$A$31:$A$130=C1272)*(참고!$B$31:$B$130&lt;=A1272)*(참고!$B$31:$B$130=_xludf.MAXIFS(참고!$B$31:$B$130,참고!$A$31:$A$130,C1272,참고!$B$31:$B$130,"&lt;="&amp;A1272))*참고!$C$31:$C$130)/100,0)</f>
        <v>0</v>
      </c>
      <c r="J1272" s="31" t="str">
        <f t="shared" si="58"/>
        <v/>
      </c>
      <c r="K1272" s="43">
        <f>IF(B1272="매도",IFERROR(SUMPRODUCT((참고!$A$31:$A$130=C1272)*(참고!$B$31:$B$130&lt;=A1272)*(참고!$B$31:$B$130=_xludf.MAXIFS(참고!$B$31:$B$130,참고!$A$31:$A$130,C1272,참고!$B$31:$B$130,"&lt;="&amp;A1272))*참고!$D$31:$D$130)/100,0),0)</f>
        <v>0</v>
      </c>
      <c r="L1272" s="31" t="str">
        <f t="shared" si="59"/>
        <v/>
      </c>
      <c r="M1272" s="39"/>
    </row>
    <row r="1273" spans="1:13" ht="18" customHeight="1" x14ac:dyDescent="0.45">
      <c r="A1273" s="37"/>
      <c r="B1273" s="29"/>
      <c r="C1273" s="29"/>
      <c r="D1273" s="28"/>
      <c r="E1273" s="30" t="str">
        <f>IFERROR(VLOOKUP(D1273,KRX종목마스터!$A:$B,2,FALSE),"")</f>
        <v/>
      </c>
      <c r="F1273" s="42"/>
      <c r="G1273" s="42"/>
      <c r="H1273" s="31" t="str">
        <f t="shared" si="57"/>
        <v/>
      </c>
      <c r="I1273" s="43">
        <f ca="1">IFERROR(SUMPRODUCT((참고!$A$31:$A$130=C1273)*(참고!$B$31:$B$130&lt;=A1273)*(참고!$B$31:$B$130=_xludf.MAXIFS(참고!$B$31:$B$130,참고!$A$31:$A$130,C1273,참고!$B$31:$B$130,"&lt;="&amp;A1273))*참고!$C$31:$C$130)/100,0)</f>
        <v>0</v>
      </c>
      <c r="J1273" s="31" t="str">
        <f t="shared" si="58"/>
        <v/>
      </c>
      <c r="K1273" s="43">
        <f>IF(B1273="매도",IFERROR(SUMPRODUCT((참고!$A$31:$A$130=C1273)*(참고!$B$31:$B$130&lt;=A1273)*(참고!$B$31:$B$130=_xludf.MAXIFS(참고!$B$31:$B$130,참고!$A$31:$A$130,C1273,참고!$B$31:$B$130,"&lt;="&amp;A1273))*참고!$D$31:$D$130)/100,0),0)</f>
        <v>0</v>
      </c>
      <c r="L1273" s="31" t="str">
        <f t="shared" si="59"/>
        <v/>
      </c>
      <c r="M1273" s="39"/>
    </row>
    <row r="1274" spans="1:13" ht="18" customHeight="1" x14ac:dyDescent="0.45">
      <c r="A1274" s="37"/>
      <c r="B1274" s="29"/>
      <c r="C1274" s="29"/>
      <c r="D1274" s="28"/>
      <c r="E1274" s="30" t="str">
        <f>IFERROR(VLOOKUP(D1274,KRX종목마스터!$A:$B,2,FALSE),"")</f>
        <v/>
      </c>
      <c r="F1274" s="42"/>
      <c r="G1274" s="42"/>
      <c r="H1274" s="31" t="str">
        <f t="shared" si="57"/>
        <v/>
      </c>
      <c r="I1274" s="43">
        <f ca="1">IFERROR(SUMPRODUCT((참고!$A$31:$A$130=C1274)*(참고!$B$31:$B$130&lt;=A1274)*(참고!$B$31:$B$130=_xludf.MAXIFS(참고!$B$31:$B$130,참고!$A$31:$A$130,C1274,참고!$B$31:$B$130,"&lt;="&amp;A1274))*참고!$C$31:$C$130)/100,0)</f>
        <v>0</v>
      </c>
      <c r="J1274" s="31" t="str">
        <f t="shared" si="58"/>
        <v/>
      </c>
      <c r="K1274" s="43">
        <f>IF(B1274="매도",IFERROR(SUMPRODUCT((참고!$A$31:$A$130=C1274)*(참고!$B$31:$B$130&lt;=A1274)*(참고!$B$31:$B$130=_xludf.MAXIFS(참고!$B$31:$B$130,참고!$A$31:$A$130,C1274,참고!$B$31:$B$130,"&lt;="&amp;A1274))*참고!$D$31:$D$130)/100,0),0)</f>
        <v>0</v>
      </c>
      <c r="L1274" s="31" t="str">
        <f t="shared" si="59"/>
        <v/>
      </c>
      <c r="M1274" s="39"/>
    </row>
    <row r="1275" spans="1:13" ht="18" customHeight="1" x14ac:dyDescent="0.45">
      <c r="A1275" s="37"/>
      <c r="B1275" s="29"/>
      <c r="C1275" s="29"/>
      <c r="D1275" s="28"/>
      <c r="E1275" s="30" t="str">
        <f>IFERROR(VLOOKUP(D1275,KRX종목마스터!$A:$B,2,FALSE),"")</f>
        <v/>
      </c>
      <c r="F1275" s="42"/>
      <c r="G1275" s="42"/>
      <c r="H1275" s="31" t="str">
        <f t="shared" si="57"/>
        <v/>
      </c>
      <c r="I1275" s="43">
        <f ca="1">IFERROR(SUMPRODUCT((참고!$A$31:$A$130=C1275)*(참고!$B$31:$B$130&lt;=A1275)*(참고!$B$31:$B$130=_xludf.MAXIFS(참고!$B$31:$B$130,참고!$A$31:$A$130,C1275,참고!$B$31:$B$130,"&lt;="&amp;A1275))*참고!$C$31:$C$130)/100,0)</f>
        <v>0</v>
      </c>
      <c r="J1275" s="31" t="str">
        <f t="shared" si="58"/>
        <v/>
      </c>
      <c r="K1275" s="43">
        <f>IF(B1275="매도",IFERROR(SUMPRODUCT((참고!$A$31:$A$130=C1275)*(참고!$B$31:$B$130&lt;=A1275)*(참고!$B$31:$B$130=_xludf.MAXIFS(참고!$B$31:$B$130,참고!$A$31:$A$130,C1275,참고!$B$31:$B$130,"&lt;="&amp;A1275))*참고!$D$31:$D$130)/100,0),0)</f>
        <v>0</v>
      </c>
      <c r="L1275" s="31" t="str">
        <f t="shared" si="59"/>
        <v/>
      </c>
      <c r="M1275" s="39"/>
    </row>
    <row r="1276" spans="1:13" ht="18" customHeight="1" x14ac:dyDescent="0.45">
      <c r="A1276" s="37"/>
      <c r="B1276" s="29"/>
      <c r="C1276" s="29"/>
      <c r="D1276" s="28"/>
      <c r="E1276" s="30" t="str">
        <f>IFERROR(VLOOKUP(D1276,KRX종목마스터!$A:$B,2,FALSE),"")</f>
        <v/>
      </c>
      <c r="F1276" s="42"/>
      <c r="G1276" s="42"/>
      <c r="H1276" s="31" t="str">
        <f t="shared" si="57"/>
        <v/>
      </c>
      <c r="I1276" s="43">
        <f ca="1">IFERROR(SUMPRODUCT((참고!$A$31:$A$130=C1276)*(참고!$B$31:$B$130&lt;=A1276)*(참고!$B$31:$B$130=_xludf.MAXIFS(참고!$B$31:$B$130,참고!$A$31:$A$130,C1276,참고!$B$31:$B$130,"&lt;="&amp;A1276))*참고!$C$31:$C$130)/100,0)</f>
        <v>0</v>
      </c>
      <c r="J1276" s="31" t="str">
        <f t="shared" si="58"/>
        <v/>
      </c>
      <c r="K1276" s="43">
        <f>IF(B1276="매도",IFERROR(SUMPRODUCT((참고!$A$31:$A$130=C1276)*(참고!$B$31:$B$130&lt;=A1276)*(참고!$B$31:$B$130=_xludf.MAXIFS(참고!$B$31:$B$130,참고!$A$31:$A$130,C1276,참고!$B$31:$B$130,"&lt;="&amp;A1276))*참고!$D$31:$D$130)/100,0),0)</f>
        <v>0</v>
      </c>
      <c r="L1276" s="31" t="str">
        <f t="shared" si="59"/>
        <v/>
      </c>
      <c r="M1276" s="39"/>
    </row>
    <row r="1277" spans="1:13" ht="18" customHeight="1" x14ac:dyDescent="0.45">
      <c r="A1277" s="37"/>
      <c r="B1277" s="29"/>
      <c r="C1277" s="29"/>
      <c r="D1277" s="28"/>
      <c r="E1277" s="30" t="str">
        <f>IFERROR(VLOOKUP(D1277,KRX종목마스터!$A:$B,2,FALSE),"")</f>
        <v/>
      </c>
      <c r="F1277" s="42"/>
      <c r="G1277" s="42"/>
      <c r="H1277" s="31" t="str">
        <f t="shared" si="57"/>
        <v/>
      </c>
      <c r="I1277" s="43">
        <f ca="1">IFERROR(SUMPRODUCT((참고!$A$31:$A$130=C1277)*(참고!$B$31:$B$130&lt;=A1277)*(참고!$B$31:$B$130=_xludf.MAXIFS(참고!$B$31:$B$130,참고!$A$31:$A$130,C1277,참고!$B$31:$B$130,"&lt;="&amp;A1277))*참고!$C$31:$C$130)/100,0)</f>
        <v>0</v>
      </c>
      <c r="J1277" s="31" t="str">
        <f t="shared" si="58"/>
        <v/>
      </c>
      <c r="K1277" s="43">
        <f>IF(B1277="매도",IFERROR(SUMPRODUCT((참고!$A$31:$A$130=C1277)*(참고!$B$31:$B$130&lt;=A1277)*(참고!$B$31:$B$130=_xludf.MAXIFS(참고!$B$31:$B$130,참고!$A$31:$A$130,C1277,참고!$B$31:$B$130,"&lt;="&amp;A1277))*참고!$D$31:$D$130)/100,0),0)</f>
        <v>0</v>
      </c>
      <c r="L1277" s="31" t="str">
        <f t="shared" si="59"/>
        <v/>
      </c>
      <c r="M1277" s="39"/>
    </row>
    <row r="1278" spans="1:13" ht="18" customHeight="1" x14ac:dyDescent="0.45">
      <c r="A1278" s="37"/>
      <c r="B1278" s="29"/>
      <c r="C1278" s="29"/>
      <c r="D1278" s="28"/>
      <c r="E1278" s="30" t="str">
        <f>IFERROR(VLOOKUP(D1278,KRX종목마스터!$A:$B,2,FALSE),"")</f>
        <v/>
      </c>
      <c r="F1278" s="42"/>
      <c r="G1278" s="42"/>
      <c r="H1278" s="31" t="str">
        <f t="shared" si="57"/>
        <v/>
      </c>
      <c r="I1278" s="43">
        <f ca="1">IFERROR(SUMPRODUCT((참고!$A$31:$A$130=C1278)*(참고!$B$31:$B$130&lt;=A1278)*(참고!$B$31:$B$130=_xludf.MAXIFS(참고!$B$31:$B$130,참고!$A$31:$A$130,C1278,참고!$B$31:$B$130,"&lt;="&amp;A1278))*참고!$C$31:$C$130)/100,0)</f>
        <v>0</v>
      </c>
      <c r="J1278" s="31" t="str">
        <f t="shared" si="58"/>
        <v/>
      </c>
      <c r="K1278" s="43">
        <f>IF(B1278="매도",IFERROR(SUMPRODUCT((참고!$A$31:$A$130=C1278)*(참고!$B$31:$B$130&lt;=A1278)*(참고!$B$31:$B$130=_xludf.MAXIFS(참고!$B$31:$B$130,참고!$A$31:$A$130,C1278,참고!$B$31:$B$130,"&lt;="&amp;A1278))*참고!$D$31:$D$130)/100,0),0)</f>
        <v>0</v>
      </c>
      <c r="L1278" s="31" t="str">
        <f t="shared" si="59"/>
        <v/>
      </c>
      <c r="M1278" s="39"/>
    </row>
    <row r="1279" spans="1:13" ht="18" customHeight="1" x14ac:dyDescent="0.45">
      <c r="A1279" s="37"/>
      <c r="B1279" s="29"/>
      <c r="C1279" s="29"/>
      <c r="D1279" s="28"/>
      <c r="E1279" s="30" t="str">
        <f>IFERROR(VLOOKUP(D1279,KRX종목마스터!$A:$B,2,FALSE),"")</f>
        <v/>
      </c>
      <c r="F1279" s="42"/>
      <c r="G1279" s="42"/>
      <c r="H1279" s="31" t="str">
        <f t="shared" si="57"/>
        <v/>
      </c>
      <c r="I1279" s="43">
        <f ca="1">IFERROR(SUMPRODUCT((참고!$A$31:$A$130=C1279)*(참고!$B$31:$B$130&lt;=A1279)*(참고!$B$31:$B$130=_xludf.MAXIFS(참고!$B$31:$B$130,참고!$A$31:$A$130,C1279,참고!$B$31:$B$130,"&lt;="&amp;A1279))*참고!$C$31:$C$130)/100,0)</f>
        <v>0</v>
      </c>
      <c r="J1279" s="31" t="str">
        <f t="shared" si="58"/>
        <v/>
      </c>
      <c r="K1279" s="43">
        <f>IF(B1279="매도",IFERROR(SUMPRODUCT((참고!$A$31:$A$130=C1279)*(참고!$B$31:$B$130&lt;=A1279)*(참고!$B$31:$B$130=_xludf.MAXIFS(참고!$B$31:$B$130,참고!$A$31:$A$130,C1279,참고!$B$31:$B$130,"&lt;="&amp;A1279))*참고!$D$31:$D$130)/100,0),0)</f>
        <v>0</v>
      </c>
      <c r="L1279" s="31" t="str">
        <f t="shared" si="59"/>
        <v/>
      </c>
      <c r="M1279" s="39"/>
    </row>
    <row r="1280" spans="1:13" ht="18" customHeight="1" x14ac:dyDescent="0.45">
      <c r="A1280" s="37"/>
      <c r="B1280" s="29"/>
      <c r="C1280" s="29"/>
      <c r="D1280" s="28"/>
      <c r="E1280" s="30" t="str">
        <f>IFERROR(VLOOKUP(D1280,KRX종목마스터!$A:$B,2,FALSE),"")</f>
        <v/>
      </c>
      <c r="F1280" s="42"/>
      <c r="G1280" s="42"/>
      <c r="H1280" s="31" t="str">
        <f t="shared" si="57"/>
        <v/>
      </c>
      <c r="I1280" s="43">
        <f ca="1">IFERROR(SUMPRODUCT((참고!$A$31:$A$130=C1280)*(참고!$B$31:$B$130&lt;=A1280)*(참고!$B$31:$B$130=_xludf.MAXIFS(참고!$B$31:$B$130,참고!$A$31:$A$130,C1280,참고!$B$31:$B$130,"&lt;="&amp;A1280))*참고!$C$31:$C$130)/100,0)</f>
        <v>0</v>
      </c>
      <c r="J1280" s="31" t="str">
        <f t="shared" si="58"/>
        <v/>
      </c>
      <c r="K1280" s="43">
        <f>IF(B1280="매도",IFERROR(SUMPRODUCT((참고!$A$31:$A$130=C1280)*(참고!$B$31:$B$130&lt;=A1280)*(참고!$B$31:$B$130=_xludf.MAXIFS(참고!$B$31:$B$130,참고!$A$31:$A$130,C1280,참고!$B$31:$B$130,"&lt;="&amp;A1280))*참고!$D$31:$D$130)/100,0),0)</f>
        <v>0</v>
      </c>
      <c r="L1280" s="31" t="str">
        <f t="shared" si="59"/>
        <v/>
      </c>
      <c r="M1280" s="39"/>
    </row>
    <row r="1281" spans="1:13" ht="18" customHeight="1" x14ac:dyDescent="0.45">
      <c r="A1281" s="37"/>
      <c r="B1281" s="29"/>
      <c r="C1281" s="29"/>
      <c r="D1281" s="28"/>
      <c r="E1281" s="30" t="str">
        <f>IFERROR(VLOOKUP(D1281,KRX종목마스터!$A:$B,2,FALSE),"")</f>
        <v/>
      </c>
      <c r="F1281" s="42"/>
      <c r="G1281" s="42"/>
      <c r="H1281" s="31" t="str">
        <f t="shared" si="57"/>
        <v/>
      </c>
      <c r="I1281" s="43">
        <f ca="1">IFERROR(SUMPRODUCT((참고!$A$31:$A$130=C1281)*(참고!$B$31:$B$130&lt;=A1281)*(참고!$B$31:$B$130=_xludf.MAXIFS(참고!$B$31:$B$130,참고!$A$31:$A$130,C1281,참고!$B$31:$B$130,"&lt;="&amp;A1281))*참고!$C$31:$C$130)/100,0)</f>
        <v>0</v>
      </c>
      <c r="J1281" s="31" t="str">
        <f t="shared" si="58"/>
        <v/>
      </c>
      <c r="K1281" s="43">
        <f>IF(B1281="매도",IFERROR(SUMPRODUCT((참고!$A$31:$A$130=C1281)*(참고!$B$31:$B$130&lt;=A1281)*(참고!$B$31:$B$130=_xludf.MAXIFS(참고!$B$31:$B$130,참고!$A$31:$A$130,C1281,참고!$B$31:$B$130,"&lt;="&amp;A1281))*참고!$D$31:$D$130)/100,0),0)</f>
        <v>0</v>
      </c>
      <c r="L1281" s="31" t="str">
        <f t="shared" si="59"/>
        <v/>
      </c>
      <c r="M1281" s="39"/>
    </row>
    <row r="1282" spans="1:13" ht="18" customHeight="1" x14ac:dyDescent="0.45">
      <c r="A1282" s="37"/>
      <c r="B1282" s="29"/>
      <c r="C1282" s="29"/>
      <c r="D1282" s="28"/>
      <c r="E1282" s="30" t="str">
        <f>IFERROR(VLOOKUP(D1282,KRX종목마스터!$A:$B,2,FALSE),"")</f>
        <v/>
      </c>
      <c r="F1282" s="42"/>
      <c r="G1282" s="42"/>
      <c r="H1282" s="31" t="str">
        <f t="shared" si="57"/>
        <v/>
      </c>
      <c r="I1282" s="43">
        <f ca="1">IFERROR(SUMPRODUCT((참고!$A$31:$A$130=C1282)*(참고!$B$31:$B$130&lt;=A1282)*(참고!$B$31:$B$130=_xludf.MAXIFS(참고!$B$31:$B$130,참고!$A$31:$A$130,C1282,참고!$B$31:$B$130,"&lt;="&amp;A1282))*참고!$C$31:$C$130)/100,0)</f>
        <v>0</v>
      </c>
      <c r="J1282" s="31" t="str">
        <f t="shared" si="58"/>
        <v/>
      </c>
      <c r="K1282" s="43">
        <f>IF(B1282="매도",IFERROR(SUMPRODUCT((참고!$A$31:$A$130=C1282)*(참고!$B$31:$B$130&lt;=A1282)*(참고!$B$31:$B$130=_xludf.MAXIFS(참고!$B$31:$B$130,참고!$A$31:$A$130,C1282,참고!$B$31:$B$130,"&lt;="&amp;A1282))*참고!$D$31:$D$130)/100,0),0)</f>
        <v>0</v>
      </c>
      <c r="L1282" s="31" t="str">
        <f t="shared" si="59"/>
        <v/>
      </c>
      <c r="M1282" s="39"/>
    </row>
    <row r="1283" spans="1:13" ht="18" customHeight="1" x14ac:dyDescent="0.45">
      <c r="A1283" s="37"/>
      <c r="B1283" s="29"/>
      <c r="C1283" s="29"/>
      <c r="D1283" s="28"/>
      <c r="E1283" s="30" t="str">
        <f>IFERROR(VLOOKUP(D1283,KRX종목마스터!$A:$B,2,FALSE),"")</f>
        <v/>
      </c>
      <c r="F1283" s="42"/>
      <c r="G1283" s="42"/>
      <c r="H1283" s="31" t="str">
        <f t="shared" si="57"/>
        <v/>
      </c>
      <c r="I1283" s="43">
        <f ca="1">IFERROR(SUMPRODUCT((참고!$A$31:$A$130=C1283)*(참고!$B$31:$B$130&lt;=A1283)*(참고!$B$31:$B$130=_xludf.MAXIFS(참고!$B$31:$B$130,참고!$A$31:$A$130,C1283,참고!$B$31:$B$130,"&lt;="&amp;A1283))*참고!$C$31:$C$130)/100,0)</f>
        <v>0</v>
      </c>
      <c r="J1283" s="31" t="str">
        <f t="shared" si="58"/>
        <v/>
      </c>
      <c r="K1283" s="43">
        <f>IF(B1283="매도",IFERROR(SUMPRODUCT((참고!$A$31:$A$130=C1283)*(참고!$B$31:$B$130&lt;=A1283)*(참고!$B$31:$B$130=_xludf.MAXIFS(참고!$B$31:$B$130,참고!$A$31:$A$130,C1283,참고!$B$31:$B$130,"&lt;="&amp;A1283))*참고!$D$31:$D$130)/100,0),0)</f>
        <v>0</v>
      </c>
      <c r="L1283" s="31" t="str">
        <f t="shared" si="59"/>
        <v/>
      </c>
      <c r="M1283" s="39"/>
    </row>
    <row r="1284" spans="1:13" ht="18" customHeight="1" x14ac:dyDescent="0.45">
      <c r="A1284" s="37"/>
      <c r="B1284" s="29"/>
      <c r="C1284" s="29"/>
      <c r="D1284" s="28"/>
      <c r="E1284" s="30" t="str">
        <f>IFERROR(VLOOKUP(D1284,KRX종목마스터!$A:$B,2,FALSE),"")</f>
        <v/>
      </c>
      <c r="F1284" s="42"/>
      <c r="G1284" s="42"/>
      <c r="H1284" s="31" t="str">
        <f t="shared" si="57"/>
        <v/>
      </c>
      <c r="I1284" s="43">
        <f ca="1">IFERROR(SUMPRODUCT((참고!$A$31:$A$130=C1284)*(참고!$B$31:$B$130&lt;=A1284)*(참고!$B$31:$B$130=_xludf.MAXIFS(참고!$B$31:$B$130,참고!$A$31:$A$130,C1284,참고!$B$31:$B$130,"&lt;="&amp;A1284))*참고!$C$31:$C$130)/100,0)</f>
        <v>0</v>
      </c>
      <c r="J1284" s="31" t="str">
        <f t="shared" si="58"/>
        <v/>
      </c>
      <c r="K1284" s="43">
        <f>IF(B1284="매도",IFERROR(SUMPRODUCT((참고!$A$31:$A$130=C1284)*(참고!$B$31:$B$130&lt;=A1284)*(참고!$B$31:$B$130=_xludf.MAXIFS(참고!$B$31:$B$130,참고!$A$31:$A$130,C1284,참고!$B$31:$B$130,"&lt;="&amp;A1284))*참고!$D$31:$D$130)/100,0),0)</f>
        <v>0</v>
      </c>
      <c r="L1284" s="31" t="str">
        <f t="shared" si="59"/>
        <v/>
      </c>
      <c r="M1284" s="39"/>
    </row>
    <row r="1285" spans="1:13" ht="18" customHeight="1" x14ac:dyDescent="0.45">
      <c r="A1285" s="37"/>
      <c r="B1285" s="29"/>
      <c r="C1285" s="29"/>
      <c r="D1285" s="28"/>
      <c r="E1285" s="30" t="str">
        <f>IFERROR(VLOOKUP(D1285,KRX종목마스터!$A:$B,2,FALSE),"")</f>
        <v/>
      </c>
      <c r="F1285" s="42"/>
      <c r="G1285" s="42"/>
      <c r="H1285" s="31" t="str">
        <f t="shared" ref="H1285:H1348" si="60">IF(AND(F1285&lt;&gt;"",G1285&lt;&gt;""),F1285*G1285,"")</f>
        <v/>
      </c>
      <c r="I1285" s="43">
        <f ca="1">IFERROR(SUMPRODUCT((참고!$A$31:$A$130=C1285)*(참고!$B$31:$B$130&lt;=A1285)*(참고!$B$31:$B$130=_xludf.MAXIFS(참고!$B$31:$B$130,참고!$A$31:$A$130,C1285,참고!$B$31:$B$130,"&lt;="&amp;A1285))*참고!$C$31:$C$130)/100,0)</f>
        <v>0</v>
      </c>
      <c r="J1285" s="31" t="str">
        <f t="shared" ref="J1285:J1348" si="61">IF(H1285="","",ROUND(H1285*I1285,0))</f>
        <v/>
      </c>
      <c r="K1285" s="43">
        <f>IF(B1285="매도",IFERROR(SUMPRODUCT((참고!$A$31:$A$130=C1285)*(참고!$B$31:$B$130&lt;=A1285)*(참고!$B$31:$B$130=_xludf.MAXIFS(참고!$B$31:$B$130,참고!$A$31:$A$130,C1285,참고!$B$31:$B$130,"&lt;="&amp;A1285))*참고!$D$31:$D$130)/100,0),0)</f>
        <v>0</v>
      </c>
      <c r="L1285" s="31" t="str">
        <f t="shared" ref="L1285:L1348" si="62">IF(H1285="","",ROUND(H1285*K1285,0))</f>
        <v/>
      </c>
      <c r="M1285" s="39"/>
    </row>
    <row r="1286" spans="1:13" ht="18" customHeight="1" x14ac:dyDescent="0.45">
      <c r="A1286" s="37"/>
      <c r="B1286" s="29"/>
      <c r="C1286" s="29"/>
      <c r="D1286" s="28"/>
      <c r="E1286" s="30" t="str">
        <f>IFERROR(VLOOKUP(D1286,KRX종목마스터!$A:$B,2,FALSE),"")</f>
        <v/>
      </c>
      <c r="F1286" s="42"/>
      <c r="G1286" s="42"/>
      <c r="H1286" s="31" t="str">
        <f t="shared" si="60"/>
        <v/>
      </c>
      <c r="I1286" s="43">
        <f ca="1">IFERROR(SUMPRODUCT((참고!$A$31:$A$130=C1286)*(참고!$B$31:$B$130&lt;=A1286)*(참고!$B$31:$B$130=_xludf.MAXIFS(참고!$B$31:$B$130,참고!$A$31:$A$130,C1286,참고!$B$31:$B$130,"&lt;="&amp;A1286))*참고!$C$31:$C$130)/100,0)</f>
        <v>0</v>
      </c>
      <c r="J1286" s="31" t="str">
        <f t="shared" si="61"/>
        <v/>
      </c>
      <c r="K1286" s="43">
        <f>IF(B1286="매도",IFERROR(SUMPRODUCT((참고!$A$31:$A$130=C1286)*(참고!$B$31:$B$130&lt;=A1286)*(참고!$B$31:$B$130=_xludf.MAXIFS(참고!$B$31:$B$130,참고!$A$31:$A$130,C1286,참고!$B$31:$B$130,"&lt;="&amp;A1286))*참고!$D$31:$D$130)/100,0),0)</f>
        <v>0</v>
      </c>
      <c r="L1286" s="31" t="str">
        <f t="shared" si="62"/>
        <v/>
      </c>
      <c r="M1286" s="39"/>
    </row>
    <row r="1287" spans="1:13" ht="18" customHeight="1" x14ac:dyDescent="0.45">
      <c r="A1287" s="37"/>
      <c r="B1287" s="29"/>
      <c r="C1287" s="29"/>
      <c r="D1287" s="28"/>
      <c r="E1287" s="30" t="str">
        <f>IFERROR(VLOOKUP(D1287,KRX종목마스터!$A:$B,2,FALSE),"")</f>
        <v/>
      </c>
      <c r="F1287" s="42"/>
      <c r="G1287" s="42"/>
      <c r="H1287" s="31" t="str">
        <f t="shared" si="60"/>
        <v/>
      </c>
      <c r="I1287" s="43">
        <f ca="1">IFERROR(SUMPRODUCT((참고!$A$31:$A$130=C1287)*(참고!$B$31:$B$130&lt;=A1287)*(참고!$B$31:$B$130=_xludf.MAXIFS(참고!$B$31:$B$130,참고!$A$31:$A$130,C1287,참고!$B$31:$B$130,"&lt;="&amp;A1287))*참고!$C$31:$C$130)/100,0)</f>
        <v>0</v>
      </c>
      <c r="J1287" s="31" t="str">
        <f t="shared" si="61"/>
        <v/>
      </c>
      <c r="K1287" s="43">
        <f>IF(B1287="매도",IFERROR(SUMPRODUCT((참고!$A$31:$A$130=C1287)*(참고!$B$31:$B$130&lt;=A1287)*(참고!$B$31:$B$130=_xludf.MAXIFS(참고!$B$31:$B$130,참고!$A$31:$A$130,C1287,참고!$B$31:$B$130,"&lt;="&amp;A1287))*참고!$D$31:$D$130)/100,0),0)</f>
        <v>0</v>
      </c>
      <c r="L1287" s="31" t="str">
        <f t="shared" si="62"/>
        <v/>
      </c>
      <c r="M1287" s="39"/>
    </row>
    <row r="1288" spans="1:13" ht="18" customHeight="1" x14ac:dyDescent="0.45">
      <c r="A1288" s="37"/>
      <c r="B1288" s="29"/>
      <c r="C1288" s="29"/>
      <c r="D1288" s="28"/>
      <c r="E1288" s="30" t="str">
        <f>IFERROR(VLOOKUP(D1288,KRX종목마스터!$A:$B,2,FALSE),"")</f>
        <v/>
      </c>
      <c r="F1288" s="42"/>
      <c r="G1288" s="42"/>
      <c r="H1288" s="31" t="str">
        <f t="shared" si="60"/>
        <v/>
      </c>
      <c r="I1288" s="43">
        <f ca="1">IFERROR(SUMPRODUCT((참고!$A$31:$A$130=C1288)*(참고!$B$31:$B$130&lt;=A1288)*(참고!$B$31:$B$130=_xludf.MAXIFS(참고!$B$31:$B$130,참고!$A$31:$A$130,C1288,참고!$B$31:$B$130,"&lt;="&amp;A1288))*참고!$C$31:$C$130)/100,0)</f>
        <v>0</v>
      </c>
      <c r="J1288" s="31" t="str">
        <f t="shared" si="61"/>
        <v/>
      </c>
      <c r="K1288" s="43">
        <f>IF(B1288="매도",IFERROR(SUMPRODUCT((참고!$A$31:$A$130=C1288)*(참고!$B$31:$B$130&lt;=A1288)*(참고!$B$31:$B$130=_xludf.MAXIFS(참고!$B$31:$B$130,참고!$A$31:$A$130,C1288,참고!$B$31:$B$130,"&lt;="&amp;A1288))*참고!$D$31:$D$130)/100,0),0)</f>
        <v>0</v>
      </c>
      <c r="L1288" s="31" t="str">
        <f t="shared" si="62"/>
        <v/>
      </c>
      <c r="M1288" s="39"/>
    </row>
    <row r="1289" spans="1:13" ht="18" customHeight="1" x14ac:dyDescent="0.45">
      <c r="A1289" s="37"/>
      <c r="B1289" s="29"/>
      <c r="C1289" s="29"/>
      <c r="D1289" s="28"/>
      <c r="E1289" s="30" t="str">
        <f>IFERROR(VLOOKUP(D1289,KRX종목마스터!$A:$B,2,FALSE),"")</f>
        <v/>
      </c>
      <c r="F1289" s="42"/>
      <c r="G1289" s="42"/>
      <c r="H1289" s="31" t="str">
        <f t="shared" si="60"/>
        <v/>
      </c>
      <c r="I1289" s="43">
        <f ca="1">IFERROR(SUMPRODUCT((참고!$A$31:$A$130=C1289)*(참고!$B$31:$B$130&lt;=A1289)*(참고!$B$31:$B$130=_xludf.MAXIFS(참고!$B$31:$B$130,참고!$A$31:$A$130,C1289,참고!$B$31:$B$130,"&lt;="&amp;A1289))*참고!$C$31:$C$130)/100,0)</f>
        <v>0</v>
      </c>
      <c r="J1289" s="31" t="str">
        <f t="shared" si="61"/>
        <v/>
      </c>
      <c r="K1289" s="43">
        <f>IF(B1289="매도",IFERROR(SUMPRODUCT((참고!$A$31:$A$130=C1289)*(참고!$B$31:$B$130&lt;=A1289)*(참고!$B$31:$B$130=_xludf.MAXIFS(참고!$B$31:$B$130,참고!$A$31:$A$130,C1289,참고!$B$31:$B$130,"&lt;="&amp;A1289))*참고!$D$31:$D$130)/100,0),0)</f>
        <v>0</v>
      </c>
      <c r="L1289" s="31" t="str">
        <f t="shared" si="62"/>
        <v/>
      </c>
      <c r="M1289" s="39"/>
    </row>
    <row r="1290" spans="1:13" ht="18" customHeight="1" x14ac:dyDescent="0.45">
      <c r="A1290" s="37"/>
      <c r="B1290" s="29"/>
      <c r="C1290" s="29"/>
      <c r="D1290" s="28"/>
      <c r="E1290" s="30" t="str">
        <f>IFERROR(VLOOKUP(D1290,KRX종목마스터!$A:$B,2,FALSE),"")</f>
        <v/>
      </c>
      <c r="F1290" s="42"/>
      <c r="G1290" s="42"/>
      <c r="H1290" s="31" t="str">
        <f t="shared" si="60"/>
        <v/>
      </c>
      <c r="I1290" s="43">
        <f ca="1">IFERROR(SUMPRODUCT((참고!$A$31:$A$130=C1290)*(참고!$B$31:$B$130&lt;=A1290)*(참고!$B$31:$B$130=_xludf.MAXIFS(참고!$B$31:$B$130,참고!$A$31:$A$130,C1290,참고!$B$31:$B$130,"&lt;="&amp;A1290))*참고!$C$31:$C$130)/100,0)</f>
        <v>0</v>
      </c>
      <c r="J1290" s="31" t="str">
        <f t="shared" si="61"/>
        <v/>
      </c>
      <c r="K1290" s="43">
        <f>IF(B1290="매도",IFERROR(SUMPRODUCT((참고!$A$31:$A$130=C1290)*(참고!$B$31:$B$130&lt;=A1290)*(참고!$B$31:$B$130=_xludf.MAXIFS(참고!$B$31:$B$130,참고!$A$31:$A$130,C1290,참고!$B$31:$B$130,"&lt;="&amp;A1290))*참고!$D$31:$D$130)/100,0),0)</f>
        <v>0</v>
      </c>
      <c r="L1290" s="31" t="str">
        <f t="shared" si="62"/>
        <v/>
      </c>
      <c r="M1290" s="39"/>
    </row>
    <row r="1291" spans="1:13" ht="18" customHeight="1" x14ac:dyDescent="0.45">
      <c r="A1291" s="37"/>
      <c r="B1291" s="29"/>
      <c r="C1291" s="29"/>
      <c r="D1291" s="28"/>
      <c r="E1291" s="30" t="str">
        <f>IFERROR(VLOOKUP(D1291,KRX종목마스터!$A:$B,2,FALSE),"")</f>
        <v/>
      </c>
      <c r="F1291" s="42"/>
      <c r="G1291" s="42"/>
      <c r="H1291" s="31" t="str">
        <f t="shared" si="60"/>
        <v/>
      </c>
      <c r="I1291" s="43">
        <f ca="1">IFERROR(SUMPRODUCT((참고!$A$31:$A$130=C1291)*(참고!$B$31:$B$130&lt;=A1291)*(참고!$B$31:$B$130=_xludf.MAXIFS(참고!$B$31:$B$130,참고!$A$31:$A$130,C1291,참고!$B$31:$B$130,"&lt;="&amp;A1291))*참고!$C$31:$C$130)/100,0)</f>
        <v>0</v>
      </c>
      <c r="J1291" s="31" t="str">
        <f t="shared" si="61"/>
        <v/>
      </c>
      <c r="K1291" s="43">
        <f>IF(B1291="매도",IFERROR(SUMPRODUCT((참고!$A$31:$A$130=C1291)*(참고!$B$31:$B$130&lt;=A1291)*(참고!$B$31:$B$130=_xludf.MAXIFS(참고!$B$31:$B$130,참고!$A$31:$A$130,C1291,참고!$B$31:$B$130,"&lt;="&amp;A1291))*참고!$D$31:$D$130)/100,0),0)</f>
        <v>0</v>
      </c>
      <c r="L1291" s="31" t="str">
        <f t="shared" si="62"/>
        <v/>
      </c>
      <c r="M1291" s="39"/>
    </row>
    <row r="1292" spans="1:13" ht="18" customHeight="1" x14ac:dyDescent="0.45">
      <c r="A1292" s="37"/>
      <c r="B1292" s="29"/>
      <c r="C1292" s="29"/>
      <c r="D1292" s="28"/>
      <c r="E1292" s="30" t="str">
        <f>IFERROR(VLOOKUP(D1292,KRX종목마스터!$A:$B,2,FALSE),"")</f>
        <v/>
      </c>
      <c r="F1292" s="42"/>
      <c r="G1292" s="42"/>
      <c r="H1292" s="31" t="str">
        <f t="shared" si="60"/>
        <v/>
      </c>
      <c r="I1292" s="43">
        <f ca="1">IFERROR(SUMPRODUCT((참고!$A$31:$A$130=C1292)*(참고!$B$31:$B$130&lt;=A1292)*(참고!$B$31:$B$130=_xludf.MAXIFS(참고!$B$31:$B$130,참고!$A$31:$A$130,C1292,참고!$B$31:$B$130,"&lt;="&amp;A1292))*참고!$C$31:$C$130)/100,0)</f>
        <v>0</v>
      </c>
      <c r="J1292" s="31" t="str">
        <f t="shared" si="61"/>
        <v/>
      </c>
      <c r="K1292" s="43">
        <f>IF(B1292="매도",IFERROR(SUMPRODUCT((참고!$A$31:$A$130=C1292)*(참고!$B$31:$B$130&lt;=A1292)*(참고!$B$31:$B$130=_xludf.MAXIFS(참고!$B$31:$B$130,참고!$A$31:$A$130,C1292,참고!$B$31:$B$130,"&lt;="&amp;A1292))*참고!$D$31:$D$130)/100,0),0)</f>
        <v>0</v>
      </c>
      <c r="L1292" s="31" t="str">
        <f t="shared" si="62"/>
        <v/>
      </c>
      <c r="M1292" s="39"/>
    </row>
    <row r="1293" spans="1:13" ht="18" customHeight="1" x14ac:dyDescent="0.45">
      <c r="A1293" s="37"/>
      <c r="B1293" s="29"/>
      <c r="C1293" s="29"/>
      <c r="D1293" s="28"/>
      <c r="E1293" s="30" t="str">
        <f>IFERROR(VLOOKUP(D1293,KRX종목마스터!$A:$B,2,FALSE),"")</f>
        <v/>
      </c>
      <c r="F1293" s="42"/>
      <c r="G1293" s="42"/>
      <c r="H1293" s="31" t="str">
        <f t="shared" si="60"/>
        <v/>
      </c>
      <c r="I1293" s="43">
        <f ca="1">IFERROR(SUMPRODUCT((참고!$A$31:$A$130=C1293)*(참고!$B$31:$B$130&lt;=A1293)*(참고!$B$31:$B$130=_xludf.MAXIFS(참고!$B$31:$B$130,참고!$A$31:$A$130,C1293,참고!$B$31:$B$130,"&lt;="&amp;A1293))*참고!$C$31:$C$130)/100,0)</f>
        <v>0</v>
      </c>
      <c r="J1293" s="31" t="str">
        <f t="shared" si="61"/>
        <v/>
      </c>
      <c r="K1293" s="43">
        <f>IF(B1293="매도",IFERROR(SUMPRODUCT((참고!$A$31:$A$130=C1293)*(참고!$B$31:$B$130&lt;=A1293)*(참고!$B$31:$B$130=_xludf.MAXIFS(참고!$B$31:$B$130,참고!$A$31:$A$130,C1293,참고!$B$31:$B$130,"&lt;="&amp;A1293))*참고!$D$31:$D$130)/100,0),0)</f>
        <v>0</v>
      </c>
      <c r="L1293" s="31" t="str">
        <f t="shared" si="62"/>
        <v/>
      </c>
      <c r="M1293" s="39"/>
    </row>
    <row r="1294" spans="1:13" ht="18" customHeight="1" x14ac:dyDescent="0.45">
      <c r="A1294" s="37"/>
      <c r="B1294" s="29"/>
      <c r="C1294" s="29"/>
      <c r="D1294" s="28"/>
      <c r="E1294" s="30" t="str">
        <f>IFERROR(VLOOKUP(D1294,KRX종목마스터!$A:$B,2,FALSE),"")</f>
        <v/>
      </c>
      <c r="F1294" s="42"/>
      <c r="G1294" s="42"/>
      <c r="H1294" s="31" t="str">
        <f t="shared" si="60"/>
        <v/>
      </c>
      <c r="I1294" s="43">
        <f ca="1">IFERROR(SUMPRODUCT((참고!$A$31:$A$130=C1294)*(참고!$B$31:$B$130&lt;=A1294)*(참고!$B$31:$B$130=_xludf.MAXIFS(참고!$B$31:$B$130,참고!$A$31:$A$130,C1294,참고!$B$31:$B$130,"&lt;="&amp;A1294))*참고!$C$31:$C$130)/100,0)</f>
        <v>0</v>
      </c>
      <c r="J1294" s="31" t="str">
        <f t="shared" si="61"/>
        <v/>
      </c>
      <c r="K1294" s="43">
        <f>IF(B1294="매도",IFERROR(SUMPRODUCT((참고!$A$31:$A$130=C1294)*(참고!$B$31:$B$130&lt;=A1294)*(참고!$B$31:$B$130=_xludf.MAXIFS(참고!$B$31:$B$130,참고!$A$31:$A$130,C1294,참고!$B$31:$B$130,"&lt;="&amp;A1294))*참고!$D$31:$D$130)/100,0),0)</f>
        <v>0</v>
      </c>
      <c r="L1294" s="31" t="str">
        <f t="shared" si="62"/>
        <v/>
      </c>
      <c r="M1294" s="39"/>
    </row>
    <row r="1295" spans="1:13" ht="18" customHeight="1" x14ac:dyDescent="0.45">
      <c r="A1295" s="37"/>
      <c r="B1295" s="29"/>
      <c r="C1295" s="29"/>
      <c r="D1295" s="28"/>
      <c r="E1295" s="30" t="str">
        <f>IFERROR(VLOOKUP(D1295,KRX종목마스터!$A:$B,2,FALSE),"")</f>
        <v/>
      </c>
      <c r="F1295" s="42"/>
      <c r="G1295" s="42"/>
      <c r="H1295" s="31" t="str">
        <f t="shared" si="60"/>
        <v/>
      </c>
      <c r="I1295" s="43">
        <f ca="1">IFERROR(SUMPRODUCT((참고!$A$31:$A$130=C1295)*(참고!$B$31:$B$130&lt;=A1295)*(참고!$B$31:$B$130=_xludf.MAXIFS(참고!$B$31:$B$130,참고!$A$31:$A$130,C1295,참고!$B$31:$B$130,"&lt;="&amp;A1295))*참고!$C$31:$C$130)/100,0)</f>
        <v>0</v>
      </c>
      <c r="J1295" s="31" t="str">
        <f t="shared" si="61"/>
        <v/>
      </c>
      <c r="K1295" s="43">
        <f>IF(B1295="매도",IFERROR(SUMPRODUCT((참고!$A$31:$A$130=C1295)*(참고!$B$31:$B$130&lt;=A1295)*(참고!$B$31:$B$130=_xludf.MAXIFS(참고!$B$31:$B$130,참고!$A$31:$A$130,C1295,참고!$B$31:$B$130,"&lt;="&amp;A1295))*참고!$D$31:$D$130)/100,0),0)</f>
        <v>0</v>
      </c>
      <c r="L1295" s="31" t="str">
        <f t="shared" si="62"/>
        <v/>
      </c>
      <c r="M1295" s="39"/>
    </row>
    <row r="1296" spans="1:13" ht="18" customHeight="1" x14ac:dyDescent="0.45">
      <c r="A1296" s="37"/>
      <c r="B1296" s="29"/>
      <c r="C1296" s="29"/>
      <c r="D1296" s="28"/>
      <c r="E1296" s="30" t="str">
        <f>IFERROR(VLOOKUP(D1296,KRX종목마스터!$A:$B,2,FALSE),"")</f>
        <v/>
      </c>
      <c r="F1296" s="42"/>
      <c r="G1296" s="42"/>
      <c r="H1296" s="31" t="str">
        <f t="shared" si="60"/>
        <v/>
      </c>
      <c r="I1296" s="43">
        <f ca="1">IFERROR(SUMPRODUCT((참고!$A$31:$A$130=C1296)*(참고!$B$31:$B$130&lt;=A1296)*(참고!$B$31:$B$130=_xludf.MAXIFS(참고!$B$31:$B$130,참고!$A$31:$A$130,C1296,참고!$B$31:$B$130,"&lt;="&amp;A1296))*참고!$C$31:$C$130)/100,0)</f>
        <v>0</v>
      </c>
      <c r="J1296" s="31" t="str">
        <f t="shared" si="61"/>
        <v/>
      </c>
      <c r="K1296" s="43">
        <f>IF(B1296="매도",IFERROR(SUMPRODUCT((참고!$A$31:$A$130=C1296)*(참고!$B$31:$B$130&lt;=A1296)*(참고!$B$31:$B$130=_xludf.MAXIFS(참고!$B$31:$B$130,참고!$A$31:$A$130,C1296,참고!$B$31:$B$130,"&lt;="&amp;A1296))*참고!$D$31:$D$130)/100,0),0)</f>
        <v>0</v>
      </c>
      <c r="L1296" s="31" t="str">
        <f t="shared" si="62"/>
        <v/>
      </c>
      <c r="M1296" s="39"/>
    </row>
    <row r="1297" spans="1:13" ht="18" customHeight="1" x14ac:dyDescent="0.45">
      <c r="A1297" s="37"/>
      <c r="B1297" s="29"/>
      <c r="C1297" s="29"/>
      <c r="D1297" s="28"/>
      <c r="E1297" s="30" t="str">
        <f>IFERROR(VLOOKUP(D1297,KRX종목마스터!$A:$B,2,FALSE),"")</f>
        <v/>
      </c>
      <c r="F1297" s="42"/>
      <c r="G1297" s="42"/>
      <c r="H1297" s="31" t="str">
        <f t="shared" si="60"/>
        <v/>
      </c>
      <c r="I1297" s="43">
        <f ca="1">IFERROR(SUMPRODUCT((참고!$A$31:$A$130=C1297)*(참고!$B$31:$B$130&lt;=A1297)*(참고!$B$31:$B$130=_xludf.MAXIFS(참고!$B$31:$B$130,참고!$A$31:$A$130,C1297,참고!$B$31:$B$130,"&lt;="&amp;A1297))*참고!$C$31:$C$130)/100,0)</f>
        <v>0</v>
      </c>
      <c r="J1297" s="31" t="str">
        <f t="shared" si="61"/>
        <v/>
      </c>
      <c r="K1297" s="43">
        <f>IF(B1297="매도",IFERROR(SUMPRODUCT((참고!$A$31:$A$130=C1297)*(참고!$B$31:$B$130&lt;=A1297)*(참고!$B$31:$B$130=_xludf.MAXIFS(참고!$B$31:$B$130,참고!$A$31:$A$130,C1297,참고!$B$31:$B$130,"&lt;="&amp;A1297))*참고!$D$31:$D$130)/100,0),0)</f>
        <v>0</v>
      </c>
      <c r="L1297" s="31" t="str">
        <f t="shared" si="62"/>
        <v/>
      </c>
      <c r="M1297" s="39"/>
    </row>
    <row r="1298" spans="1:13" ht="18" customHeight="1" x14ac:dyDescent="0.45">
      <c r="A1298" s="37"/>
      <c r="B1298" s="29"/>
      <c r="C1298" s="29"/>
      <c r="D1298" s="28"/>
      <c r="E1298" s="30" t="str">
        <f>IFERROR(VLOOKUP(D1298,KRX종목마스터!$A:$B,2,FALSE),"")</f>
        <v/>
      </c>
      <c r="F1298" s="42"/>
      <c r="G1298" s="42"/>
      <c r="H1298" s="31" t="str">
        <f t="shared" si="60"/>
        <v/>
      </c>
      <c r="I1298" s="43">
        <f ca="1">IFERROR(SUMPRODUCT((참고!$A$31:$A$130=C1298)*(참고!$B$31:$B$130&lt;=A1298)*(참고!$B$31:$B$130=_xludf.MAXIFS(참고!$B$31:$B$130,참고!$A$31:$A$130,C1298,참고!$B$31:$B$130,"&lt;="&amp;A1298))*참고!$C$31:$C$130)/100,0)</f>
        <v>0</v>
      </c>
      <c r="J1298" s="31" t="str">
        <f t="shared" si="61"/>
        <v/>
      </c>
      <c r="K1298" s="43">
        <f>IF(B1298="매도",IFERROR(SUMPRODUCT((참고!$A$31:$A$130=C1298)*(참고!$B$31:$B$130&lt;=A1298)*(참고!$B$31:$B$130=_xludf.MAXIFS(참고!$B$31:$B$130,참고!$A$31:$A$130,C1298,참고!$B$31:$B$130,"&lt;="&amp;A1298))*참고!$D$31:$D$130)/100,0),0)</f>
        <v>0</v>
      </c>
      <c r="L1298" s="31" t="str">
        <f t="shared" si="62"/>
        <v/>
      </c>
      <c r="M1298" s="39"/>
    </row>
    <row r="1299" spans="1:13" ht="18" customHeight="1" x14ac:dyDescent="0.45">
      <c r="A1299" s="37"/>
      <c r="B1299" s="29"/>
      <c r="C1299" s="29"/>
      <c r="D1299" s="28"/>
      <c r="E1299" s="30" t="str">
        <f>IFERROR(VLOOKUP(D1299,KRX종목마스터!$A:$B,2,FALSE),"")</f>
        <v/>
      </c>
      <c r="F1299" s="42"/>
      <c r="G1299" s="42"/>
      <c r="H1299" s="31" t="str">
        <f t="shared" si="60"/>
        <v/>
      </c>
      <c r="I1299" s="43">
        <f ca="1">IFERROR(SUMPRODUCT((참고!$A$31:$A$130=C1299)*(참고!$B$31:$B$130&lt;=A1299)*(참고!$B$31:$B$130=_xludf.MAXIFS(참고!$B$31:$B$130,참고!$A$31:$A$130,C1299,참고!$B$31:$B$130,"&lt;="&amp;A1299))*참고!$C$31:$C$130)/100,0)</f>
        <v>0</v>
      </c>
      <c r="J1299" s="31" t="str">
        <f t="shared" si="61"/>
        <v/>
      </c>
      <c r="K1299" s="43">
        <f>IF(B1299="매도",IFERROR(SUMPRODUCT((참고!$A$31:$A$130=C1299)*(참고!$B$31:$B$130&lt;=A1299)*(참고!$B$31:$B$130=_xludf.MAXIFS(참고!$B$31:$B$130,참고!$A$31:$A$130,C1299,참고!$B$31:$B$130,"&lt;="&amp;A1299))*참고!$D$31:$D$130)/100,0),0)</f>
        <v>0</v>
      </c>
      <c r="L1299" s="31" t="str">
        <f t="shared" si="62"/>
        <v/>
      </c>
      <c r="M1299" s="39"/>
    </row>
    <row r="1300" spans="1:13" ht="18" customHeight="1" x14ac:dyDescent="0.45">
      <c r="A1300" s="37"/>
      <c r="B1300" s="29"/>
      <c r="C1300" s="29"/>
      <c r="D1300" s="28"/>
      <c r="E1300" s="30" t="str">
        <f>IFERROR(VLOOKUP(D1300,KRX종목마스터!$A:$B,2,FALSE),"")</f>
        <v/>
      </c>
      <c r="F1300" s="42"/>
      <c r="G1300" s="42"/>
      <c r="H1300" s="31" t="str">
        <f t="shared" si="60"/>
        <v/>
      </c>
      <c r="I1300" s="43">
        <f ca="1">IFERROR(SUMPRODUCT((참고!$A$31:$A$130=C1300)*(참고!$B$31:$B$130&lt;=A1300)*(참고!$B$31:$B$130=_xludf.MAXIFS(참고!$B$31:$B$130,참고!$A$31:$A$130,C1300,참고!$B$31:$B$130,"&lt;="&amp;A1300))*참고!$C$31:$C$130)/100,0)</f>
        <v>0</v>
      </c>
      <c r="J1300" s="31" t="str">
        <f t="shared" si="61"/>
        <v/>
      </c>
      <c r="K1300" s="43">
        <f>IF(B1300="매도",IFERROR(SUMPRODUCT((참고!$A$31:$A$130=C1300)*(참고!$B$31:$B$130&lt;=A1300)*(참고!$B$31:$B$130=_xludf.MAXIFS(참고!$B$31:$B$130,참고!$A$31:$A$130,C1300,참고!$B$31:$B$130,"&lt;="&amp;A1300))*참고!$D$31:$D$130)/100,0),0)</f>
        <v>0</v>
      </c>
      <c r="L1300" s="31" t="str">
        <f t="shared" si="62"/>
        <v/>
      </c>
      <c r="M1300" s="39"/>
    </row>
    <row r="1301" spans="1:13" ht="18" customHeight="1" x14ac:dyDescent="0.45">
      <c r="A1301" s="37"/>
      <c r="B1301" s="29"/>
      <c r="C1301" s="29"/>
      <c r="D1301" s="28"/>
      <c r="E1301" s="30" t="str">
        <f>IFERROR(VLOOKUP(D1301,KRX종목마스터!$A:$B,2,FALSE),"")</f>
        <v/>
      </c>
      <c r="F1301" s="42"/>
      <c r="G1301" s="42"/>
      <c r="H1301" s="31" t="str">
        <f t="shared" si="60"/>
        <v/>
      </c>
      <c r="I1301" s="43">
        <f ca="1">IFERROR(SUMPRODUCT((참고!$A$31:$A$130=C1301)*(참고!$B$31:$B$130&lt;=A1301)*(참고!$B$31:$B$130=_xludf.MAXIFS(참고!$B$31:$B$130,참고!$A$31:$A$130,C1301,참고!$B$31:$B$130,"&lt;="&amp;A1301))*참고!$C$31:$C$130)/100,0)</f>
        <v>0</v>
      </c>
      <c r="J1301" s="31" t="str">
        <f t="shared" si="61"/>
        <v/>
      </c>
      <c r="K1301" s="43">
        <f>IF(B1301="매도",IFERROR(SUMPRODUCT((참고!$A$31:$A$130=C1301)*(참고!$B$31:$B$130&lt;=A1301)*(참고!$B$31:$B$130=_xludf.MAXIFS(참고!$B$31:$B$130,참고!$A$31:$A$130,C1301,참고!$B$31:$B$130,"&lt;="&amp;A1301))*참고!$D$31:$D$130)/100,0),0)</f>
        <v>0</v>
      </c>
      <c r="L1301" s="31" t="str">
        <f t="shared" si="62"/>
        <v/>
      </c>
      <c r="M1301" s="39"/>
    </row>
    <row r="1302" spans="1:13" ht="18" customHeight="1" x14ac:dyDescent="0.45">
      <c r="A1302" s="37"/>
      <c r="B1302" s="29"/>
      <c r="C1302" s="29"/>
      <c r="D1302" s="28"/>
      <c r="E1302" s="30" t="str">
        <f>IFERROR(VLOOKUP(D1302,KRX종목마스터!$A:$B,2,FALSE),"")</f>
        <v/>
      </c>
      <c r="F1302" s="42"/>
      <c r="G1302" s="42"/>
      <c r="H1302" s="31" t="str">
        <f t="shared" si="60"/>
        <v/>
      </c>
      <c r="I1302" s="43">
        <f ca="1">IFERROR(SUMPRODUCT((참고!$A$31:$A$130=C1302)*(참고!$B$31:$B$130&lt;=A1302)*(참고!$B$31:$B$130=_xludf.MAXIFS(참고!$B$31:$B$130,참고!$A$31:$A$130,C1302,참고!$B$31:$B$130,"&lt;="&amp;A1302))*참고!$C$31:$C$130)/100,0)</f>
        <v>0</v>
      </c>
      <c r="J1302" s="31" t="str">
        <f t="shared" si="61"/>
        <v/>
      </c>
      <c r="K1302" s="43">
        <f>IF(B1302="매도",IFERROR(SUMPRODUCT((참고!$A$31:$A$130=C1302)*(참고!$B$31:$B$130&lt;=A1302)*(참고!$B$31:$B$130=_xludf.MAXIFS(참고!$B$31:$B$130,참고!$A$31:$A$130,C1302,참고!$B$31:$B$130,"&lt;="&amp;A1302))*참고!$D$31:$D$130)/100,0),0)</f>
        <v>0</v>
      </c>
      <c r="L1302" s="31" t="str">
        <f t="shared" si="62"/>
        <v/>
      </c>
      <c r="M1302" s="39"/>
    </row>
    <row r="1303" spans="1:13" ht="18" customHeight="1" x14ac:dyDescent="0.45">
      <c r="A1303" s="37"/>
      <c r="B1303" s="29"/>
      <c r="C1303" s="29"/>
      <c r="D1303" s="28"/>
      <c r="E1303" s="30" t="str">
        <f>IFERROR(VLOOKUP(D1303,KRX종목마스터!$A:$B,2,FALSE),"")</f>
        <v/>
      </c>
      <c r="F1303" s="42"/>
      <c r="G1303" s="42"/>
      <c r="H1303" s="31" t="str">
        <f t="shared" si="60"/>
        <v/>
      </c>
      <c r="I1303" s="43">
        <f ca="1">IFERROR(SUMPRODUCT((참고!$A$31:$A$130=C1303)*(참고!$B$31:$B$130&lt;=A1303)*(참고!$B$31:$B$130=_xludf.MAXIFS(참고!$B$31:$B$130,참고!$A$31:$A$130,C1303,참고!$B$31:$B$130,"&lt;="&amp;A1303))*참고!$C$31:$C$130)/100,0)</f>
        <v>0</v>
      </c>
      <c r="J1303" s="31" t="str">
        <f t="shared" si="61"/>
        <v/>
      </c>
      <c r="K1303" s="43">
        <f>IF(B1303="매도",IFERROR(SUMPRODUCT((참고!$A$31:$A$130=C1303)*(참고!$B$31:$B$130&lt;=A1303)*(참고!$B$31:$B$130=_xludf.MAXIFS(참고!$B$31:$B$130,참고!$A$31:$A$130,C1303,참고!$B$31:$B$130,"&lt;="&amp;A1303))*참고!$D$31:$D$130)/100,0),0)</f>
        <v>0</v>
      </c>
      <c r="L1303" s="31" t="str">
        <f t="shared" si="62"/>
        <v/>
      </c>
      <c r="M1303" s="39"/>
    </row>
    <row r="1304" spans="1:13" ht="18" customHeight="1" x14ac:dyDescent="0.45">
      <c r="A1304" s="37"/>
      <c r="B1304" s="29"/>
      <c r="C1304" s="29"/>
      <c r="D1304" s="28"/>
      <c r="E1304" s="30" t="str">
        <f>IFERROR(VLOOKUP(D1304,KRX종목마스터!$A:$B,2,FALSE),"")</f>
        <v/>
      </c>
      <c r="F1304" s="42"/>
      <c r="G1304" s="42"/>
      <c r="H1304" s="31" t="str">
        <f t="shared" si="60"/>
        <v/>
      </c>
      <c r="I1304" s="43">
        <f ca="1">IFERROR(SUMPRODUCT((참고!$A$31:$A$130=C1304)*(참고!$B$31:$B$130&lt;=A1304)*(참고!$B$31:$B$130=_xludf.MAXIFS(참고!$B$31:$B$130,참고!$A$31:$A$130,C1304,참고!$B$31:$B$130,"&lt;="&amp;A1304))*참고!$C$31:$C$130)/100,0)</f>
        <v>0</v>
      </c>
      <c r="J1304" s="31" t="str">
        <f t="shared" si="61"/>
        <v/>
      </c>
      <c r="K1304" s="43">
        <f>IF(B1304="매도",IFERROR(SUMPRODUCT((참고!$A$31:$A$130=C1304)*(참고!$B$31:$B$130&lt;=A1304)*(참고!$B$31:$B$130=_xludf.MAXIFS(참고!$B$31:$B$130,참고!$A$31:$A$130,C1304,참고!$B$31:$B$130,"&lt;="&amp;A1304))*참고!$D$31:$D$130)/100,0),0)</f>
        <v>0</v>
      </c>
      <c r="L1304" s="31" t="str">
        <f t="shared" si="62"/>
        <v/>
      </c>
      <c r="M1304" s="39"/>
    </row>
    <row r="1305" spans="1:13" ht="18" customHeight="1" x14ac:dyDescent="0.45">
      <c r="A1305" s="37"/>
      <c r="B1305" s="29"/>
      <c r="C1305" s="29"/>
      <c r="D1305" s="28"/>
      <c r="E1305" s="30" t="str">
        <f>IFERROR(VLOOKUP(D1305,KRX종목마스터!$A:$B,2,FALSE),"")</f>
        <v/>
      </c>
      <c r="F1305" s="42"/>
      <c r="G1305" s="42"/>
      <c r="H1305" s="31" t="str">
        <f t="shared" si="60"/>
        <v/>
      </c>
      <c r="I1305" s="43">
        <f ca="1">IFERROR(SUMPRODUCT((참고!$A$31:$A$130=C1305)*(참고!$B$31:$B$130&lt;=A1305)*(참고!$B$31:$B$130=_xludf.MAXIFS(참고!$B$31:$B$130,참고!$A$31:$A$130,C1305,참고!$B$31:$B$130,"&lt;="&amp;A1305))*참고!$C$31:$C$130)/100,0)</f>
        <v>0</v>
      </c>
      <c r="J1305" s="31" t="str">
        <f t="shared" si="61"/>
        <v/>
      </c>
      <c r="K1305" s="43">
        <f>IF(B1305="매도",IFERROR(SUMPRODUCT((참고!$A$31:$A$130=C1305)*(참고!$B$31:$B$130&lt;=A1305)*(참고!$B$31:$B$130=_xludf.MAXIFS(참고!$B$31:$B$130,참고!$A$31:$A$130,C1305,참고!$B$31:$B$130,"&lt;="&amp;A1305))*참고!$D$31:$D$130)/100,0),0)</f>
        <v>0</v>
      </c>
      <c r="L1305" s="31" t="str">
        <f t="shared" si="62"/>
        <v/>
      </c>
      <c r="M1305" s="39"/>
    </row>
    <row r="1306" spans="1:13" ht="18" customHeight="1" x14ac:dyDescent="0.45">
      <c r="A1306" s="37"/>
      <c r="B1306" s="29"/>
      <c r="C1306" s="29"/>
      <c r="D1306" s="28"/>
      <c r="E1306" s="30" t="str">
        <f>IFERROR(VLOOKUP(D1306,KRX종목마스터!$A:$B,2,FALSE),"")</f>
        <v/>
      </c>
      <c r="F1306" s="42"/>
      <c r="G1306" s="42"/>
      <c r="H1306" s="31" t="str">
        <f t="shared" si="60"/>
        <v/>
      </c>
      <c r="I1306" s="43">
        <f ca="1">IFERROR(SUMPRODUCT((참고!$A$31:$A$130=C1306)*(참고!$B$31:$B$130&lt;=A1306)*(참고!$B$31:$B$130=_xludf.MAXIFS(참고!$B$31:$B$130,참고!$A$31:$A$130,C1306,참고!$B$31:$B$130,"&lt;="&amp;A1306))*참고!$C$31:$C$130)/100,0)</f>
        <v>0</v>
      </c>
      <c r="J1306" s="31" t="str">
        <f t="shared" si="61"/>
        <v/>
      </c>
      <c r="K1306" s="43">
        <f>IF(B1306="매도",IFERROR(SUMPRODUCT((참고!$A$31:$A$130=C1306)*(참고!$B$31:$B$130&lt;=A1306)*(참고!$B$31:$B$130=_xludf.MAXIFS(참고!$B$31:$B$130,참고!$A$31:$A$130,C1306,참고!$B$31:$B$130,"&lt;="&amp;A1306))*참고!$D$31:$D$130)/100,0),0)</f>
        <v>0</v>
      </c>
      <c r="L1306" s="31" t="str">
        <f t="shared" si="62"/>
        <v/>
      </c>
      <c r="M1306" s="39"/>
    </row>
    <row r="1307" spans="1:13" ht="18" customHeight="1" x14ac:dyDescent="0.45">
      <c r="A1307" s="37"/>
      <c r="B1307" s="29"/>
      <c r="C1307" s="29"/>
      <c r="D1307" s="28"/>
      <c r="E1307" s="30" t="str">
        <f>IFERROR(VLOOKUP(D1307,KRX종목마스터!$A:$B,2,FALSE),"")</f>
        <v/>
      </c>
      <c r="F1307" s="42"/>
      <c r="G1307" s="42"/>
      <c r="H1307" s="31" t="str">
        <f t="shared" si="60"/>
        <v/>
      </c>
      <c r="I1307" s="43">
        <f ca="1">IFERROR(SUMPRODUCT((참고!$A$31:$A$130=C1307)*(참고!$B$31:$B$130&lt;=A1307)*(참고!$B$31:$B$130=_xludf.MAXIFS(참고!$B$31:$B$130,참고!$A$31:$A$130,C1307,참고!$B$31:$B$130,"&lt;="&amp;A1307))*참고!$C$31:$C$130)/100,0)</f>
        <v>0</v>
      </c>
      <c r="J1307" s="31" t="str">
        <f t="shared" si="61"/>
        <v/>
      </c>
      <c r="K1307" s="43">
        <f>IF(B1307="매도",IFERROR(SUMPRODUCT((참고!$A$31:$A$130=C1307)*(참고!$B$31:$B$130&lt;=A1307)*(참고!$B$31:$B$130=_xludf.MAXIFS(참고!$B$31:$B$130,참고!$A$31:$A$130,C1307,참고!$B$31:$B$130,"&lt;="&amp;A1307))*참고!$D$31:$D$130)/100,0),0)</f>
        <v>0</v>
      </c>
      <c r="L1307" s="31" t="str">
        <f t="shared" si="62"/>
        <v/>
      </c>
      <c r="M1307" s="39"/>
    </row>
    <row r="1308" spans="1:13" ht="18" customHeight="1" x14ac:dyDescent="0.45">
      <c r="A1308" s="37"/>
      <c r="B1308" s="29"/>
      <c r="C1308" s="29"/>
      <c r="D1308" s="28"/>
      <c r="E1308" s="30" t="str">
        <f>IFERROR(VLOOKUP(D1308,KRX종목마스터!$A:$B,2,FALSE),"")</f>
        <v/>
      </c>
      <c r="F1308" s="42"/>
      <c r="G1308" s="42"/>
      <c r="H1308" s="31" t="str">
        <f t="shared" si="60"/>
        <v/>
      </c>
      <c r="I1308" s="43">
        <f ca="1">IFERROR(SUMPRODUCT((참고!$A$31:$A$130=C1308)*(참고!$B$31:$B$130&lt;=A1308)*(참고!$B$31:$B$130=_xludf.MAXIFS(참고!$B$31:$B$130,참고!$A$31:$A$130,C1308,참고!$B$31:$B$130,"&lt;="&amp;A1308))*참고!$C$31:$C$130)/100,0)</f>
        <v>0</v>
      </c>
      <c r="J1308" s="31" t="str">
        <f t="shared" si="61"/>
        <v/>
      </c>
      <c r="K1308" s="43">
        <f>IF(B1308="매도",IFERROR(SUMPRODUCT((참고!$A$31:$A$130=C1308)*(참고!$B$31:$B$130&lt;=A1308)*(참고!$B$31:$B$130=_xludf.MAXIFS(참고!$B$31:$B$130,참고!$A$31:$A$130,C1308,참고!$B$31:$B$130,"&lt;="&amp;A1308))*참고!$D$31:$D$130)/100,0),0)</f>
        <v>0</v>
      </c>
      <c r="L1308" s="31" t="str">
        <f t="shared" si="62"/>
        <v/>
      </c>
      <c r="M1308" s="39"/>
    </row>
    <row r="1309" spans="1:13" ht="18" customHeight="1" x14ac:dyDescent="0.45">
      <c r="A1309" s="37"/>
      <c r="B1309" s="29"/>
      <c r="C1309" s="29"/>
      <c r="D1309" s="28"/>
      <c r="E1309" s="30" t="str">
        <f>IFERROR(VLOOKUP(D1309,KRX종목마스터!$A:$B,2,FALSE),"")</f>
        <v/>
      </c>
      <c r="F1309" s="42"/>
      <c r="G1309" s="42"/>
      <c r="H1309" s="31" t="str">
        <f t="shared" si="60"/>
        <v/>
      </c>
      <c r="I1309" s="43">
        <f ca="1">IFERROR(SUMPRODUCT((참고!$A$31:$A$130=C1309)*(참고!$B$31:$B$130&lt;=A1309)*(참고!$B$31:$B$130=_xludf.MAXIFS(참고!$B$31:$B$130,참고!$A$31:$A$130,C1309,참고!$B$31:$B$130,"&lt;="&amp;A1309))*참고!$C$31:$C$130)/100,0)</f>
        <v>0</v>
      </c>
      <c r="J1309" s="31" t="str">
        <f t="shared" si="61"/>
        <v/>
      </c>
      <c r="K1309" s="43">
        <f>IF(B1309="매도",IFERROR(SUMPRODUCT((참고!$A$31:$A$130=C1309)*(참고!$B$31:$B$130&lt;=A1309)*(참고!$B$31:$B$130=_xludf.MAXIFS(참고!$B$31:$B$130,참고!$A$31:$A$130,C1309,참고!$B$31:$B$130,"&lt;="&amp;A1309))*참고!$D$31:$D$130)/100,0),0)</f>
        <v>0</v>
      </c>
      <c r="L1309" s="31" t="str">
        <f t="shared" si="62"/>
        <v/>
      </c>
      <c r="M1309" s="39"/>
    </row>
    <row r="1310" spans="1:13" ht="18" customHeight="1" x14ac:dyDescent="0.45">
      <c r="A1310" s="37"/>
      <c r="B1310" s="29"/>
      <c r="C1310" s="29"/>
      <c r="D1310" s="28"/>
      <c r="E1310" s="30" t="str">
        <f>IFERROR(VLOOKUP(D1310,KRX종목마스터!$A:$B,2,FALSE),"")</f>
        <v/>
      </c>
      <c r="F1310" s="42"/>
      <c r="G1310" s="42"/>
      <c r="H1310" s="31" t="str">
        <f t="shared" si="60"/>
        <v/>
      </c>
      <c r="I1310" s="43">
        <f ca="1">IFERROR(SUMPRODUCT((참고!$A$31:$A$130=C1310)*(참고!$B$31:$B$130&lt;=A1310)*(참고!$B$31:$B$130=_xludf.MAXIFS(참고!$B$31:$B$130,참고!$A$31:$A$130,C1310,참고!$B$31:$B$130,"&lt;="&amp;A1310))*참고!$C$31:$C$130)/100,0)</f>
        <v>0</v>
      </c>
      <c r="J1310" s="31" t="str">
        <f t="shared" si="61"/>
        <v/>
      </c>
      <c r="K1310" s="43">
        <f>IF(B1310="매도",IFERROR(SUMPRODUCT((참고!$A$31:$A$130=C1310)*(참고!$B$31:$B$130&lt;=A1310)*(참고!$B$31:$B$130=_xludf.MAXIFS(참고!$B$31:$B$130,참고!$A$31:$A$130,C1310,참고!$B$31:$B$130,"&lt;="&amp;A1310))*참고!$D$31:$D$130)/100,0),0)</f>
        <v>0</v>
      </c>
      <c r="L1310" s="31" t="str">
        <f t="shared" si="62"/>
        <v/>
      </c>
      <c r="M1310" s="39"/>
    </row>
    <row r="1311" spans="1:13" ht="18" customHeight="1" x14ac:dyDescent="0.45">
      <c r="A1311" s="37"/>
      <c r="B1311" s="29"/>
      <c r="C1311" s="29"/>
      <c r="D1311" s="28"/>
      <c r="E1311" s="30" t="str">
        <f>IFERROR(VLOOKUP(D1311,KRX종목마스터!$A:$B,2,FALSE),"")</f>
        <v/>
      </c>
      <c r="F1311" s="42"/>
      <c r="G1311" s="42"/>
      <c r="H1311" s="31" t="str">
        <f t="shared" si="60"/>
        <v/>
      </c>
      <c r="I1311" s="43">
        <f ca="1">IFERROR(SUMPRODUCT((참고!$A$31:$A$130=C1311)*(참고!$B$31:$B$130&lt;=A1311)*(참고!$B$31:$B$130=_xludf.MAXIFS(참고!$B$31:$B$130,참고!$A$31:$A$130,C1311,참고!$B$31:$B$130,"&lt;="&amp;A1311))*참고!$C$31:$C$130)/100,0)</f>
        <v>0</v>
      </c>
      <c r="J1311" s="31" t="str">
        <f t="shared" si="61"/>
        <v/>
      </c>
      <c r="K1311" s="43">
        <f>IF(B1311="매도",IFERROR(SUMPRODUCT((참고!$A$31:$A$130=C1311)*(참고!$B$31:$B$130&lt;=A1311)*(참고!$B$31:$B$130=_xludf.MAXIFS(참고!$B$31:$B$130,참고!$A$31:$A$130,C1311,참고!$B$31:$B$130,"&lt;="&amp;A1311))*참고!$D$31:$D$130)/100,0),0)</f>
        <v>0</v>
      </c>
      <c r="L1311" s="31" t="str">
        <f t="shared" si="62"/>
        <v/>
      </c>
      <c r="M1311" s="39"/>
    </row>
    <row r="1312" spans="1:13" ht="18" customHeight="1" x14ac:dyDescent="0.45">
      <c r="A1312" s="37"/>
      <c r="B1312" s="29"/>
      <c r="C1312" s="29"/>
      <c r="D1312" s="28"/>
      <c r="E1312" s="30" t="str">
        <f>IFERROR(VLOOKUP(D1312,KRX종목마스터!$A:$B,2,FALSE),"")</f>
        <v/>
      </c>
      <c r="F1312" s="42"/>
      <c r="G1312" s="42"/>
      <c r="H1312" s="31" t="str">
        <f t="shared" si="60"/>
        <v/>
      </c>
      <c r="I1312" s="43">
        <f ca="1">IFERROR(SUMPRODUCT((참고!$A$31:$A$130=C1312)*(참고!$B$31:$B$130&lt;=A1312)*(참고!$B$31:$B$130=_xludf.MAXIFS(참고!$B$31:$B$130,참고!$A$31:$A$130,C1312,참고!$B$31:$B$130,"&lt;="&amp;A1312))*참고!$C$31:$C$130)/100,0)</f>
        <v>0</v>
      </c>
      <c r="J1312" s="31" t="str">
        <f t="shared" si="61"/>
        <v/>
      </c>
      <c r="K1312" s="43">
        <f>IF(B1312="매도",IFERROR(SUMPRODUCT((참고!$A$31:$A$130=C1312)*(참고!$B$31:$B$130&lt;=A1312)*(참고!$B$31:$B$130=_xludf.MAXIFS(참고!$B$31:$B$130,참고!$A$31:$A$130,C1312,참고!$B$31:$B$130,"&lt;="&amp;A1312))*참고!$D$31:$D$130)/100,0),0)</f>
        <v>0</v>
      </c>
      <c r="L1312" s="31" t="str">
        <f t="shared" si="62"/>
        <v/>
      </c>
      <c r="M1312" s="39"/>
    </row>
    <row r="1313" spans="1:13" ht="18" customHeight="1" x14ac:dyDescent="0.45">
      <c r="A1313" s="37"/>
      <c r="B1313" s="29"/>
      <c r="C1313" s="29"/>
      <c r="D1313" s="28"/>
      <c r="E1313" s="30" t="str">
        <f>IFERROR(VLOOKUP(D1313,KRX종목마스터!$A:$B,2,FALSE),"")</f>
        <v/>
      </c>
      <c r="F1313" s="42"/>
      <c r="G1313" s="42"/>
      <c r="H1313" s="31" t="str">
        <f t="shared" si="60"/>
        <v/>
      </c>
      <c r="I1313" s="43">
        <f ca="1">IFERROR(SUMPRODUCT((참고!$A$31:$A$130=C1313)*(참고!$B$31:$B$130&lt;=A1313)*(참고!$B$31:$B$130=_xludf.MAXIFS(참고!$B$31:$B$130,참고!$A$31:$A$130,C1313,참고!$B$31:$B$130,"&lt;="&amp;A1313))*참고!$C$31:$C$130)/100,0)</f>
        <v>0</v>
      </c>
      <c r="J1313" s="31" t="str">
        <f t="shared" si="61"/>
        <v/>
      </c>
      <c r="K1313" s="43">
        <f>IF(B1313="매도",IFERROR(SUMPRODUCT((참고!$A$31:$A$130=C1313)*(참고!$B$31:$B$130&lt;=A1313)*(참고!$B$31:$B$130=_xludf.MAXIFS(참고!$B$31:$B$130,참고!$A$31:$A$130,C1313,참고!$B$31:$B$130,"&lt;="&amp;A1313))*참고!$D$31:$D$130)/100,0),0)</f>
        <v>0</v>
      </c>
      <c r="L1313" s="31" t="str">
        <f t="shared" si="62"/>
        <v/>
      </c>
      <c r="M1313" s="39"/>
    </row>
    <row r="1314" spans="1:13" ht="18" customHeight="1" x14ac:dyDescent="0.45">
      <c r="A1314" s="37"/>
      <c r="B1314" s="29"/>
      <c r="C1314" s="29"/>
      <c r="D1314" s="28"/>
      <c r="E1314" s="30" t="str">
        <f>IFERROR(VLOOKUP(D1314,KRX종목마스터!$A:$B,2,FALSE),"")</f>
        <v/>
      </c>
      <c r="F1314" s="42"/>
      <c r="G1314" s="42"/>
      <c r="H1314" s="31" t="str">
        <f t="shared" si="60"/>
        <v/>
      </c>
      <c r="I1314" s="43">
        <f ca="1">IFERROR(SUMPRODUCT((참고!$A$31:$A$130=C1314)*(참고!$B$31:$B$130&lt;=A1314)*(참고!$B$31:$B$130=_xludf.MAXIFS(참고!$B$31:$B$130,참고!$A$31:$A$130,C1314,참고!$B$31:$B$130,"&lt;="&amp;A1314))*참고!$C$31:$C$130)/100,0)</f>
        <v>0</v>
      </c>
      <c r="J1314" s="31" t="str">
        <f t="shared" si="61"/>
        <v/>
      </c>
      <c r="K1314" s="43">
        <f>IF(B1314="매도",IFERROR(SUMPRODUCT((참고!$A$31:$A$130=C1314)*(참고!$B$31:$B$130&lt;=A1314)*(참고!$B$31:$B$130=_xludf.MAXIFS(참고!$B$31:$B$130,참고!$A$31:$A$130,C1314,참고!$B$31:$B$130,"&lt;="&amp;A1314))*참고!$D$31:$D$130)/100,0),0)</f>
        <v>0</v>
      </c>
      <c r="L1314" s="31" t="str">
        <f t="shared" si="62"/>
        <v/>
      </c>
      <c r="M1314" s="39"/>
    </row>
    <row r="1315" spans="1:13" ht="18" customHeight="1" x14ac:dyDescent="0.45">
      <c r="A1315" s="37"/>
      <c r="B1315" s="29"/>
      <c r="C1315" s="29"/>
      <c r="D1315" s="28"/>
      <c r="E1315" s="30" t="str">
        <f>IFERROR(VLOOKUP(D1315,KRX종목마스터!$A:$B,2,FALSE),"")</f>
        <v/>
      </c>
      <c r="F1315" s="42"/>
      <c r="G1315" s="42"/>
      <c r="H1315" s="31" t="str">
        <f t="shared" si="60"/>
        <v/>
      </c>
      <c r="I1315" s="43">
        <f ca="1">IFERROR(SUMPRODUCT((참고!$A$31:$A$130=C1315)*(참고!$B$31:$B$130&lt;=A1315)*(참고!$B$31:$B$130=_xludf.MAXIFS(참고!$B$31:$B$130,참고!$A$31:$A$130,C1315,참고!$B$31:$B$130,"&lt;="&amp;A1315))*참고!$C$31:$C$130)/100,0)</f>
        <v>0</v>
      </c>
      <c r="J1315" s="31" t="str">
        <f t="shared" si="61"/>
        <v/>
      </c>
      <c r="K1315" s="43">
        <f>IF(B1315="매도",IFERROR(SUMPRODUCT((참고!$A$31:$A$130=C1315)*(참고!$B$31:$B$130&lt;=A1315)*(참고!$B$31:$B$130=_xludf.MAXIFS(참고!$B$31:$B$130,참고!$A$31:$A$130,C1315,참고!$B$31:$B$130,"&lt;="&amp;A1315))*참고!$D$31:$D$130)/100,0),0)</f>
        <v>0</v>
      </c>
      <c r="L1315" s="31" t="str">
        <f t="shared" si="62"/>
        <v/>
      </c>
      <c r="M1315" s="39"/>
    </row>
    <row r="1316" spans="1:13" ht="18" customHeight="1" x14ac:dyDescent="0.45">
      <c r="A1316" s="37"/>
      <c r="B1316" s="29"/>
      <c r="C1316" s="29"/>
      <c r="D1316" s="28"/>
      <c r="E1316" s="30" t="str">
        <f>IFERROR(VLOOKUP(D1316,KRX종목마스터!$A:$B,2,FALSE),"")</f>
        <v/>
      </c>
      <c r="F1316" s="42"/>
      <c r="G1316" s="42"/>
      <c r="H1316" s="31" t="str">
        <f t="shared" si="60"/>
        <v/>
      </c>
      <c r="I1316" s="43">
        <f ca="1">IFERROR(SUMPRODUCT((참고!$A$31:$A$130=C1316)*(참고!$B$31:$B$130&lt;=A1316)*(참고!$B$31:$B$130=_xludf.MAXIFS(참고!$B$31:$B$130,참고!$A$31:$A$130,C1316,참고!$B$31:$B$130,"&lt;="&amp;A1316))*참고!$C$31:$C$130)/100,0)</f>
        <v>0</v>
      </c>
      <c r="J1316" s="31" t="str">
        <f t="shared" si="61"/>
        <v/>
      </c>
      <c r="K1316" s="43">
        <f>IF(B1316="매도",IFERROR(SUMPRODUCT((참고!$A$31:$A$130=C1316)*(참고!$B$31:$B$130&lt;=A1316)*(참고!$B$31:$B$130=_xludf.MAXIFS(참고!$B$31:$B$130,참고!$A$31:$A$130,C1316,참고!$B$31:$B$130,"&lt;="&amp;A1316))*참고!$D$31:$D$130)/100,0),0)</f>
        <v>0</v>
      </c>
      <c r="L1316" s="31" t="str">
        <f t="shared" si="62"/>
        <v/>
      </c>
      <c r="M1316" s="39"/>
    </row>
    <row r="1317" spans="1:13" ht="18" customHeight="1" x14ac:dyDescent="0.45">
      <c r="A1317" s="37"/>
      <c r="B1317" s="29"/>
      <c r="C1317" s="29"/>
      <c r="D1317" s="28"/>
      <c r="E1317" s="30" t="str">
        <f>IFERROR(VLOOKUP(D1317,KRX종목마스터!$A:$B,2,FALSE),"")</f>
        <v/>
      </c>
      <c r="F1317" s="42"/>
      <c r="G1317" s="42"/>
      <c r="H1317" s="31" t="str">
        <f t="shared" si="60"/>
        <v/>
      </c>
      <c r="I1317" s="43">
        <f ca="1">IFERROR(SUMPRODUCT((참고!$A$31:$A$130=C1317)*(참고!$B$31:$B$130&lt;=A1317)*(참고!$B$31:$B$130=_xludf.MAXIFS(참고!$B$31:$B$130,참고!$A$31:$A$130,C1317,참고!$B$31:$B$130,"&lt;="&amp;A1317))*참고!$C$31:$C$130)/100,0)</f>
        <v>0</v>
      </c>
      <c r="J1317" s="31" t="str">
        <f t="shared" si="61"/>
        <v/>
      </c>
      <c r="K1317" s="43">
        <f>IF(B1317="매도",IFERROR(SUMPRODUCT((참고!$A$31:$A$130=C1317)*(참고!$B$31:$B$130&lt;=A1317)*(참고!$B$31:$B$130=_xludf.MAXIFS(참고!$B$31:$B$130,참고!$A$31:$A$130,C1317,참고!$B$31:$B$130,"&lt;="&amp;A1317))*참고!$D$31:$D$130)/100,0),0)</f>
        <v>0</v>
      </c>
      <c r="L1317" s="31" t="str">
        <f t="shared" si="62"/>
        <v/>
      </c>
      <c r="M1317" s="39"/>
    </row>
    <row r="1318" spans="1:13" ht="18" customHeight="1" x14ac:dyDescent="0.45">
      <c r="A1318" s="37"/>
      <c r="B1318" s="29"/>
      <c r="C1318" s="29"/>
      <c r="D1318" s="28"/>
      <c r="E1318" s="30" t="str">
        <f>IFERROR(VLOOKUP(D1318,KRX종목마스터!$A:$B,2,FALSE),"")</f>
        <v/>
      </c>
      <c r="F1318" s="42"/>
      <c r="G1318" s="42"/>
      <c r="H1318" s="31" t="str">
        <f t="shared" si="60"/>
        <v/>
      </c>
      <c r="I1318" s="43">
        <f ca="1">IFERROR(SUMPRODUCT((참고!$A$31:$A$130=C1318)*(참고!$B$31:$B$130&lt;=A1318)*(참고!$B$31:$B$130=_xludf.MAXIFS(참고!$B$31:$B$130,참고!$A$31:$A$130,C1318,참고!$B$31:$B$130,"&lt;="&amp;A1318))*참고!$C$31:$C$130)/100,0)</f>
        <v>0</v>
      </c>
      <c r="J1318" s="31" t="str">
        <f t="shared" si="61"/>
        <v/>
      </c>
      <c r="K1318" s="43">
        <f>IF(B1318="매도",IFERROR(SUMPRODUCT((참고!$A$31:$A$130=C1318)*(참고!$B$31:$B$130&lt;=A1318)*(참고!$B$31:$B$130=_xludf.MAXIFS(참고!$B$31:$B$130,참고!$A$31:$A$130,C1318,참고!$B$31:$B$130,"&lt;="&amp;A1318))*참고!$D$31:$D$130)/100,0),0)</f>
        <v>0</v>
      </c>
      <c r="L1318" s="31" t="str">
        <f t="shared" si="62"/>
        <v/>
      </c>
      <c r="M1318" s="39"/>
    </row>
    <row r="1319" spans="1:13" ht="18" customHeight="1" x14ac:dyDescent="0.45">
      <c r="A1319" s="37"/>
      <c r="B1319" s="29"/>
      <c r="C1319" s="29"/>
      <c r="D1319" s="28"/>
      <c r="E1319" s="30" t="str">
        <f>IFERROR(VLOOKUP(D1319,KRX종목마스터!$A:$B,2,FALSE),"")</f>
        <v/>
      </c>
      <c r="F1319" s="42"/>
      <c r="G1319" s="42"/>
      <c r="H1319" s="31" t="str">
        <f t="shared" si="60"/>
        <v/>
      </c>
      <c r="I1319" s="43">
        <f ca="1">IFERROR(SUMPRODUCT((참고!$A$31:$A$130=C1319)*(참고!$B$31:$B$130&lt;=A1319)*(참고!$B$31:$B$130=_xludf.MAXIFS(참고!$B$31:$B$130,참고!$A$31:$A$130,C1319,참고!$B$31:$B$130,"&lt;="&amp;A1319))*참고!$C$31:$C$130)/100,0)</f>
        <v>0</v>
      </c>
      <c r="J1319" s="31" t="str">
        <f t="shared" si="61"/>
        <v/>
      </c>
      <c r="K1319" s="43">
        <f>IF(B1319="매도",IFERROR(SUMPRODUCT((참고!$A$31:$A$130=C1319)*(참고!$B$31:$B$130&lt;=A1319)*(참고!$B$31:$B$130=_xludf.MAXIFS(참고!$B$31:$B$130,참고!$A$31:$A$130,C1319,참고!$B$31:$B$130,"&lt;="&amp;A1319))*참고!$D$31:$D$130)/100,0),0)</f>
        <v>0</v>
      </c>
      <c r="L1319" s="31" t="str">
        <f t="shared" si="62"/>
        <v/>
      </c>
      <c r="M1319" s="39"/>
    </row>
    <row r="1320" spans="1:13" ht="18" customHeight="1" x14ac:dyDescent="0.45">
      <c r="A1320" s="37"/>
      <c r="B1320" s="29"/>
      <c r="C1320" s="29"/>
      <c r="D1320" s="28"/>
      <c r="E1320" s="30" t="str">
        <f>IFERROR(VLOOKUP(D1320,KRX종목마스터!$A:$B,2,FALSE),"")</f>
        <v/>
      </c>
      <c r="F1320" s="42"/>
      <c r="G1320" s="42"/>
      <c r="H1320" s="31" t="str">
        <f t="shared" si="60"/>
        <v/>
      </c>
      <c r="I1320" s="43">
        <f ca="1">IFERROR(SUMPRODUCT((참고!$A$31:$A$130=C1320)*(참고!$B$31:$B$130&lt;=A1320)*(참고!$B$31:$B$130=_xludf.MAXIFS(참고!$B$31:$B$130,참고!$A$31:$A$130,C1320,참고!$B$31:$B$130,"&lt;="&amp;A1320))*참고!$C$31:$C$130)/100,0)</f>
        <v>0</v>
      </c>
      <c r="J1320" s="31" t="str">
        <f t="shared" si="61"/>
        <v/>
      </c>
      <c r="K1320" s="43">
        <f>IF(B1320="매도",IFERROR(SUMPRODUCT((참고!$A$31:$A$130=C1320)*(참고!$B$31:$B$130&lt;=A1320)*(참고!$B$31:$B$130=_xludf.MAXIFS(참고!$B$31:$B$130,참고!$A$31:$A$130,C1320,참고!$B$31:$B$130,"&lt;="&amp;A1320))*참고!$D$31:$D$130)/100,0),0)</f>
        <v>0</v>
      </c>
      <c r="L1320" s="31" t="str">
        <f t="shared" si="62"/>
        <v/>
      </c>
      <c r="M1320" s="39"/>
    </row>
    <row r="1321" spans="1:13" ht="18" customHeight="1" x14ac:dyDescent="0.45">
      <c r="A1321" s="37"/>
      <c r="B1321" s="29"/>
      <c r="C1321" s="29"/>
      <c r="D1321" s="28"/>
      <c r="E1321" s="30" t="str">
        <f>IFERROR(VLOOKUP(D1321,KRX종목마스터!$A:$B,2,FALSE),"")</f>
        <v/>
      </c>
      <c r="F1321" s="42"/>
      <c r="G1321" s="42"/>
      <c r="H1321" s="31" t="str">
        <f t="shared" si="60"/>
        <v/>
      </c>
      <c r="I1321" s="43">
        <f ca="1">IFERROR(SUMPRODUCT((참고!$A$31:$A$130=C1321)*(참고!$B$31:$B$130&lt;=A1321)*(참고!$B$31:$B$130=_xludf.MAXIFS(참고!$B$31:$B$130,참고!$A$31:$A$130,C1321,참고!$B$31:$B$130,"&lt;="&amp;A1321))*참고!$C$31:$C$130)/100,0)</f>
        <v>0</v>
      </c>
      <c r="J1321" s="31" t="str">
        <f t="shared" si="61"/>
        <v/>
      </c>
      <c r="K1321" s="43">
        <f>IF(B1321="매도",IFERROR(SUMPRODUCT((참고!$A$31:$A$130=C1321)*(참고!$B$31:$B$130&lt;=A1321)*(참고!$B$31:$B$130=_xludf.MAXIFS(참고!$B$31:$B$130,참고!$A$31:$A$130,C1321,참고!$B$31:$B$130,"&lt;="&amp;A1321))*참고!$D$31:$D$130)/100,0),0)</f>
        <v>0</v>
      </c>
      <c r="L1321" s="31" t="str">
        <f t="shared" si="62"/>
        <v/>
      </c>
      <c r="M1321" s="39"/>
    </row>
    <row r="1322" spans="1:13" ht="18" customHeight="1" x14ac:dyDescent="0.45">
      <c r="A1322" s="37"/>
      <c r="B1322" s="29"/>
      <c r="C1322" s="29"/>
      <c r="D1322" s="28"/>
      <c r="E1322" s="30" t="str">
        <f>IFERROR(VLOOKUP(D1322,KRX종목마스터!$A:$B,2,FALSE),"")</f>
        <v/>
      </c>
      <c r="F1322" s="42"/>
      <c r="G1322" s="42"/>
      <c r="H1322" s="31" t="str">
        <f t="shared" si="60"/>
        <v/>
      </c>
      <c r="I1322" s="43">
        <f ca="1">IFERROR(SUMPRODUCT((참고!$A$31:$A$130=C1322)*(참고!$B$31:$B$130&lt;=A1322)*(참고!$B$31:$B$130=_xludf.MAXIFS(참고!$B$31:$B$130,참고!$A$31:$A$130,C1322,참고!$B$31:$B$130,"&lt;="&amp;A1322))*참고!$C$31:$C$130)/100,0)</f>
        <v>0</v>
      </c>
      <c r="J1322" s="31" t="str">
        <f t="shared" si="61"/>
        <v/>
      </c>
      <c r="K1322" s="43">
        <f>IF(B1322="매도",IFERROR(SUMPRODUCT((참고!$A$31:$A$130=C1322)*(참고!$B$31:$B$130&lt;=A1322)*(참고!$B$31:$B$130=_xludf.MAXIFS(참고!$B$31:$B$130,참고!$A$31:$A$130,C1322,참고!$B$31:$B$130,"&lt;="&amp;A1322))*참고!$D$31:$D$130)/100,0),0)</f>
        <v>0</v>
      </c>
      <c r="L1322" s="31" t="str">
        <f t="shared" si="62"/>
        <v/>
      </c>
      <c r="M1322" s="39"/>
    </row>
    <row r="1323" spans="1:13" ht="18" customHeight="1" x14ac:dyDescent="0.45">
      <c r="A1323" s="37"/>
      <c r="B1323" s="29"/>
      <c r="C1323" s="29"/>
      <c r="D1323" s="28"/>
      <c r="E1323" s="30" t="str">
        <f>IFERROR(VLOOKUP(D1323,KRX종목마스터!$A:$B,2,FALSE),"")</f>
        <v/>
      </c>
      <c r="F1323" s="42"/>
      <c r="G1323" s="42"/>
      <c r="H1323" s="31" t="str">
        <f t="shared" si="60"/>
        <v/>
      </c>
      <c r="I1323" s="43">
        <f ca="1">IFERROR(SUMPRODUCT((참고!$A$31:$A$130=C1323)*(참고!$B$31:$B$130&lt;=A1323)*(참고!$B$31:$B$130=_xludf.MAXIFS(참고!$B$31:$B$130,참고!$A$31:$A$130,C1323,참고!$B$31:$B$130,"&lt;="&amp;A1323))*참고!$C$31:$C$130)/100,0)</f>
        <v>0</v>
      </c>
      <c r="J1323" s="31" t="str">
        <f t="shared" si="61"/>
        <v/>
      </c>
      <c r="K1323" s="43">
        <f>IF(B1323="매도",IFERROR(SUMPRODUCT((참고!$A$31:$A$130=C1323)*(참고!$B$31:$B$130&lt;=A1323)*(참고!$B$31:$B$130=_xludf.MAXIFS(참고!$B$31:$B$130,참고!$A$31:$A$130,C1323,참고!$B$31:$B$130,"&lt;="&amp;A1323))*참고!$D$31:$D$130)/100,0),0)</f>
        <v>0</v>
      </c>
      <c r="L1323" s="31" t="str">
        <f t="shared" si="62"/>
        <v/>
      </c>
      <c r="M1323" s="39"/>
    </row>
    <row r="1324" spans="1:13" ht="18" customHeight="1" x14ac:dyDescent="0.45">
      <c r="A1324" s="37"/>
      <c r="B1324" s="29"/>
      <c r="C1324" s="29"/>
      <c r="D1324" s="28"/>
      <c r="E1324" s="30" t="str">
        <f>IFERROR(VLOOKUP(D1324,KRX종목마스터!$A:$B,2,FALSE),"")</f>
        <v/>
      </c>
      <c r="F1324" s="42"/>
      <c r="G1324" s="42"/>
      <c r="H1324" s="31" t="str">
        <f t="shared" si="60"/>
        <v/>
      </c>
      <c r="I1324" s="43">
        <f ca="1">IFERROR(SUMPRODUCT((참고!$A$31:$A$130=C1324)*(참고!$B$31:$B$130&lt;=A1324)*(참고!$B$31:$B$130=_xludf.MAXIFS(참고!$B$31:$B$130,참고!$A$31:$A$130,C1324,참고!$B$31:$B$130,"&lt;="&amp;A1324))*참고!$C$31:$C$130)/100,0)</f>
        <v>0</v>
      </c>
      <c r="J1324" s="31" t="str">
        <f t="shared" si="61"/>
        <v/>
      </c>
      <c r="K1324" s="43">
        <f>IF(B1324="매도",IFERROR(SUMPRODUCT((참고!$A$31:$A$130=C1324)*(참고!$B$31:$B$130&lt;=A1324)*(참고!$B$31:$B$130=_xludf.MAXIFS(참고!$B$31:$B$130,참고!$A$31:$A$130,C1324,참고!$B$31:$B$130,"&lt;="&amp;A1324))*참고!$D$31:$D$130)/100,0),0)</f>
        <v>0</v>
      </c>
      <c r="L1324" s="31" t="str">
        <f t="shared" si="62"/>
        <v/>
      </c>
      <c r="M1324" s="39"/>
    </row>
    <row r="1325" spans="1:13" ht="18" customHeight="1" x14ac:dyDescent="0.45">
      <c r="A1325" s="37"/>
      <c r="B1325" s="29"/>
      <c r="C1325" s="29"/>
      <c r="D1325" s="28"/>
      <c r="E1325" s="30" t="str">
        <f>IFERROR(VLOOKUP(D1325,KRX종목마스터!$A:$B,2,FALSE),"")</f>
        <v/>
      </c>
      <c r="F1325" s="42"/>
      <c r="G1325" s="42"/>
      <c r="H1325" s="31" t="str">
        <f t="shared" si="60"/>
        <v/>
      </c>
      <c r="I1325" s="43">
        <f ca="1">IFERROR(SUMPRODUCT((참고!$A$31:$A$130=C1325)*(참고!$B$31:$B$130&lt;=A1325)*(참고!$B$31:$B$130=_xludf.MAXIFS(참고!$B$31:$B$130,참고!$A$31:$A$130,C1325,참고!$B$31:$B$130,"&lt;="&amp;A1325))*참고!$C$31:$C$130)/100,0)</f>
        <v>0</v>
      </c>
      <c r="J1325" s="31" t="str">
        <f t="shared" si="61"/>
        <v/>
      </c>
      <c r="K1325" s="43">
        <f>IF(B1325="매도",IFERROR(SUMPRODUCT((참고!$A$31:$A$130=C1325)*(참고!$B$31:$B$130&lt;=A1325)*(참고!$B$31:$B$130=_xludf.MAXIFS(참고!$B$31:$B$130,참고!$A$31:$A$130,C1325,참고!$B$31:$B$130,"&lt;="&amp;A1325))*참고!$D$31:$D$130)/100,0),0)</f>
        <v>0</v>
      </c>
      <c r="L1325" s="31" t="str">
        <f t="shared" si="62"/>
        <v/>
      </c>
      <c r="M1325" s="39"/>
    </row>
    <row r="1326" spans="1:13" ht="18" customHeight="1" x14ac:dyDescent="0.45">
      <c r="A1326" s="37"/>
      <c r="B1326" s="29"/>
      <c r="C1326" s="29"/>
      <c r="D1326" s="28"/>
      <c r="E1326" s="30" t="str">
        <f>IFERROR(VLOOKUP(D1326,KRX종목마스터!$A:$B,2,FALSE),"")</f>
        <v/>
      </c>
      <c r="F1326" s="42"/>
      <c r="G1326" s="42"/>
      <c r="H1326" s="31" t="str">
        <f t="shared" si="60"/>
        <v/>
      </c>
      <c r="I1326" s="43">
        <f ca="1">IFERROR(SUMPRODUCT((참고!$A$31:$A$130=C1326)*(참고!$B$31:$B$130&lt;=A1326)*(참고!$B$31:$B$130=_xludf.MAXIFS(참고!$B$31:$B$130,참고!$A$31:$A$130,C1326,참고!$B$31:$B$130,"&lt;="&amp;A1326))*참고!$C$31:$C$130)/100,0)</f>
        <v>0</v>
      </c>
      <c r="J1326" s="31" t="str">
        <f t="shared" si="61"/>
        <v/>
      </c>
      <c r="K1326" s="43">
        <f>IF(B1326="매도",IFERROR(SUMPRODUCT((참고!$A$31:$A$130=C1326)*(참고!$B$31:$B$130&lt;=A1326)*(참고!$B$31:$B$130=_xludf.MAXIFS(참고!$B$31:$B$130,참고!$A$31:$A$130,C1326,참고!$B$31:$B$130,"&lt;="&amp;A1326))*참고!$D$31:$D$130)/100,0),0)</f>
        <v>0</v>
      </c>
      <c r="L1326" s="31" t="str">
        <f t="shared" si="62"/>
        <v/>
      </c>
      <c r="M1326" s="39"/>
    </row>
    <row r="1327" spans="1:13" ht="18" customHeight="1" x14ac:dyDescent="0.45">
      <c r="A1327" s="37"/>
      <c r="B1327" s="29"/>
      <c r="C1327" s="29"/>
      <c r="D1327" s="28"/>
      <c r="E1327" s="30" t="str">
        <f>IFERROR(VLOOKUP(D1327,KRX종목마스터!$A:$B,2,FALSE),"")</f>
        <v/>
      </c>
      <c r="F1327" s="42"/>
      <c r="G1327" s="42"/>
      <c r="H1327" s="31" t="str">
        <f t="shared" si="60"/>
        <v/>
      </c>
      <c r="I1327" s="43">
        <f ca="1">IFERROR(SUMPRODUCT((참고!$A$31:$A$130=C1327)*(참고!$B$31:$B$130&lt;=A1327)*(참고!$B$31:$B$130=_xludf.MAXIFS(참고!$B$31:$B$130,참고!$A$31:$A$130,C1327,참고!$B$31:$B$130,"&lt;="&amp;A1327))*참고!$C$31:$C$130)/100,0)</f>
        <v>0</v>
      </c>
      <c r="J1327" s="31" t="str">
        <f t="shared" si="61"/>
        <v/>
      </c>
      <c r="K1327" s="43">
        <f>IF(B1327="매도",IFERROR(SUMPRODUCT((참고!$A$31:$A$130=C1327)*(참고!$B$31:$B$130&lt;=A1327)*(참고!$B$31:$B$130=_xludf.MAXIFS(참고!$B$31:$B$130,참고!$A$31:$A$130,C1327,참고!$B$31:$B$130,"&lt;="&amp;A1327))*참고!$D$31:$D$130)/100,0),0)</f>
        <v>0</v>
      </c>
      <c r="L1327" s="31" t="str">
        <f t="shared" si="62"/>
        <v/>
      </c>
      <c r="M1327" s="39"/>
    </row>
    <row r="1328" spans="1:13" ht="18" customHeight="1" x14ac:dyDescent="0.45">
      <c r="A1328" s="37"/>
      <c r="B1328" s="29"/>
      <c r="C1328" s="29"/>
      <c r="D1328" s="28"/>
      <c r="E1328" s="30" t="str">
        <f>IFERROR(VLOOKUP(D1328,KRX종목마스터!$A:$B,2,FALSE),"")</f>
        <v/>
      </c>
      <c r="F1328" s="42"/>
      <c r="G1328" s="42"/>
      <c r="H1328" s="31" t="str">
        <f t="shared" si="60"/>
        <v/>
      </c>
      <c r="I1328" s="43">
        <f ca="1">IFERROR(SUMPRODUCT((참고!$A$31:$A$130=C1328)*(참고!$B$31:$B$130&lt;=A1328)*(참고!$B$31:$B$130=_xludf.MAXIFS(참고!$B$31:$B$130,참고!$A$31:$A$130,C1328,참고!$B$31:$B$130,"&lt;="&amp;A1328))*참고!$C$31:$C$130)/100,0)</f>
        <v>0</v>
      </c>
      <c r="J1328" s="31" t="str">
        <f t="shared" si="61"/>
        <v/>
      </c>
      <c r="K1328" s="43">
        <f>IF(B1328="매도",IFERROR(SUMPRODUCT((참고!$A$31:$A$130=C1328)*(참고!$B$31:$B$130&lt;=A1328)*(참고!$B$31:$B$130=_xludf.MAXIFS(참고!$B$31:$B$130,참고!$A$31:$A$130,C1328,참고!$B$31:$B$130,"&lt;="&amp;A1328))*참고!$D$31:$D$130)/100,0),0)</f>
        <v>0</v>
      </c>
      <c r="L1328" s="31" t="str">
        <f t="shared" si="62"/>
        <v/>
      </c>
      <c r="M1328" s="39"/>
    </row>
    <row r="1329" spans="1:13" ht="18" customHeight="1" x14ac:dyDescent="0.45">
      <c r="A1329" s="37"/>
      <c r="B1329" s="29"/>
      <c r="C1329" s="29"/>
      <c r="D1329" s="28"/>
      <c r="E1329" s="30" t="str">
        <f>IFERROR(VLOOKUP(D1329,KRX종목마스터!$A:$B,2,FALSE),"")</f>
        <v/>
      </c>
      <c r="F1329" s="42"/>
      <c r="G1329" s="42"/>
      <c r="H1329" s="31" t="str">
        <f t="shared" si="60"/>
        <v/>
      </c>
      <c r="I1329" s="43">
        <f ca="1">IFERROR(SUMPRODUCT((참고!$A$31:$A$130=C1329)*(참고!$B$31:$B$130&lt;=A1329)*(참고!$B$31:$B$130=_xludf.MAXIFS(참고!$B$31:$B$130,참고!$A$31:$A$130,C1329,참고!$B$31:$B$130,"&lt;="&amp;A1329))*참고!$C$31:$C$130)/100,0)</f>
        <v>0</v>
      </c>
      <c r="J1329" s="31" t="str">
        <f t="shared" si="61"/>
        <v/>
      </c>
      <c r="K1329" s="43">
        <f>IF(B1329="매도",IFERROR(SUMPRODUCT((참고!$A$31:$A$130=C1329)*(참고!$B$31:$B$130&lt;=A1329)*(참고!$B$31:$B$130=_xludf.MAXIFS(참고!$B$31:$B$130,참고!$A$31:$A$130,C1329,참고!$B$31:$B$130,"&lt;="&amp;A1329))*참고!$D$31:$D$130)/100,0),0)</f>
        <v>0</v>
      </c>
      <c r="L1329" s="31" t="str">
        <f t="shared" si="62"/>
        <v/>
      </c>
      <c r="M1329" s="39"/>
    </row>
    <row r="1330" spans="1:13" ht="18" customHeight="1" x14ac:dyDescent="0.45">
      <c r="A1330" s="37"/>
      <c r="B1330" s="29"/>
      <c r="C1330" s="29"/>
      <c r="D1330" s="28"/>
      <c r="E1330" s="30" t="str">
        <f>IFERROR(VLOOKUP(D1330,KRX종목마스터!$A:$B,2,FALSE),"")</f>
        <v/>
      </c>
      <c r="F1330" s="42"/>
      <c r="G1330" s="42"/>
      <c r="H1330" s="31" t="str">
        <f t="shared" si="60"/>
        <v/>
      </c>
      <c r="I1330" s="43">
        <f ca="1">IFERROR(SUMPRODUCT((참고!$A$31:$A$130=C1330)*(참고!$B$31:$B$130&lt;=A1330)*(참고!$B$31:$B$130=_xludf.MAXIFS(참고!$B$31:$B$130,참고!$A$31:$A$130,C1330,참고!$B$31:$B$130,"&lt;="&amp;A1330))*참고!$C$31:$C$130)/100,0)</f>
        <v>0</v>
      </c>
      <c r="J1330" s="31" t="str">
        <f t="shared" si="61"/>
        <v/>
      </c>
      <c r="K1330" s="43">
        <f>IF(B1330="매도",IFERROR(SUMPRODUCT((참고!$A$31:$A$130=C1330)*(참고!$B$31:$B$130&lt;=A1330)*(참고!$B$31:$B$130=_xludf.MAXIFS(참고!$B$31:$B$130,참고!$A$31:$A$130,C1330,참고!$B$31:$B$130,"&lt;="&amp;A1330))*참고!$D$31:$D$130)/100,0),0)</f>
        <v>0</v>
      </c>
      <c r="L1330" s="31" t="str">
        <f t="shared" si="62"/>
        <v/>
      </c>
      <c r="M1330" s="39"/>
    </row>
    <row r="1331" spans="1:13" ht="18" customHeight="1" x14ac:dyDescent="0.45">
      <c r="A1331" s="37"/>
      <c r="B1331" s="29"/>
      <c r="C1331" s="29"/>
      <c r="D1331" s="28"/>
      <c r="E1331" s="30" t="str">
        <f>IFERROR(VLOOKUP(D1331,KRX종목마스터!$A:$B,2,FALSE),"")</f>
        <v/>
      </c>
      <c r="F1331" s="42"/>
      <c r="G1331" s="42"/>
      <c r="H1331" s="31" t="str">
        <f t="shared" si="60"/>
        <v/>
      </c>
      <c r="I1331" s="43">
        <f ca="1">IFERROR(SUMPRODUCT((참고!$A$31:$A$130=C1331)*(참고!$B$31:$B$130&lt;=A1331)*(참고!$B$31:$B$130=_xludf.MAXIFS(참고!$B$31:$B$130,참고!$A$31:$A$130,C1331,참고!$B$31:$B$130,"&lt;="&amp;A1331))*참고!$C$31:$C$130)/100,0)</f>
        <v>0</v>
      </c>
      <c r="J1331" s="31" t="str">
        <f t="shared" si="61"/>
        <v/>
      </c>
      <c r="K1331" s="43">
        <f>IF(B1331="매도",IFERROR(SUMPRODUCT((참고!$A$31:$A$130=C1331)*(참고!$B$31:$B$130&lt;=A1331)*(참고!$B$31:$B$130=_xludf.MAXIFS(참고!$B$31:$B$130,참고!$A$31:$A$130,C1331,참고!$B$31:$B$130,"&lt;="&amp;A1331))*참고!$D$31:$D$130)/100,0),0)</f>
        <v>0</v>
      </c>
      <c r="L1331" s="31" t="str">
        <f t="shared" si="62"/>
        <v/>
      </c>
      <c r="M1331" s="39"/>
    </row>
    <row r="1332" spans="1:13" ht="18" customHeight="1" x14ac:dyDescent="0.45">
      <c r="A1332" s="37"/>
      <c r="B1332" s="29"/>
      <c r="C1332" s="29"/>
      <c r="D1332" s="28"/>
      <c r="E1332" s="30" t="str">
        <f>IFERROR(VLOOKUP(D1332,KRX종목마스터!$A:$B,2,FALSE),"")</f>
        <v/>
      </c>
      <c r="F1332" s="42"/>
      <c r="G1332" s="42"/>
      <c r="H1332" s="31" t="str">
        <f t="shared" si="60"/>
        <v/>
      </c>
      <c r="I1332" s="43">
        <f ca="1">IFERROR(SUMPRODUCT((참고!$A$31:$A$130=C1332)*(참고!$B$31:$B$130&lt;=A1332)*(참고!$B$31:$B$130=_xludf.MAXIFS(참고!$B$31:$B$130,참고!$A$31:$A$130,C1332,참고!$B$31:$B$130,"&lt;="&amp;A1332))*참고!$C$31:$C$130)/100,0)</f>
        <v>0</v>
      </c>
      <c r="J1332" s="31" t="str">
        <f t="shared" si="61"/>
        <v/>
      </c>
      <c r="K1332" s="43">
        <f>IF(B1332="매도",IFERROR(SUMPRODUCT((참고!$A$31:$A$130=C1332)*(참고!$B$31:$B$130&lt;=A1332)*(참고!$B$31:$B$130=_xludf.MAXIFS(참고!$B$31:$B$130,참고!$A$31:$A$130,C1332,참고!$B$31:$B$130,"&lt;="&amp;A1332))*참고!$D$31:$D$130)/100,0),0)</f>
        <v>0</v>
      </c>
      <c r="L1332" s="31" t="str">
        <f t="shared" si="62"/>
        <v/>
      </c>
      <c r="M1332" s="39"/>
    </row>
    <row r="1333" spans="1:13" ht="18" customHeight="1" x14ac:dyDescent="0.45">
      <c r="A1333" s="37"/>
      <c r="B1333" s="29"/>
      <c r="C1333" s="29"/>
      <c r="D1333" s="28"/>
      <c r="E1333" s="30" t="str">
        <f>IFERROR(VLOOKUP(D1333,KRX종목마스터!$A:$B,2,FALSE),"")</f>
        <v/>
      </c>
      <c r="F1333" s="42"/>
      <c r="G1333" s="42"/>
      <c r="H1333" s="31" t="str">
        <f t="shared" si="60"/>
        <v/>
      </c>
      <c r="I1333" s="43">
        <f ca="1">IFERROR(SUMPRODUCT((참고!$A$31:$A$130=C1333)*(참고!$B$31:$B$130&lt;=A1333)*(참고!$B$31:$B$130=_xludf.MAXIFS(참고!$B$31:$B$130,참고!$A$31:$A$130,C1333,참고!$B$31:$B$130,"&lt;="&amp;A1333))*참고!$C$31:$C$130)/100,0)</f>
        <v>0</v>
      </c>
      <c r="J1333" s="31" t="str">
        <f t="shared" si="61"/>
        <v/>
      </c>
      <c r="K1333" s="43">
        <f>IF(B1333="매도",IFERROR(SUMPRODUCT((참고!$A$31:$A$130=C1333)*(참고!$B$31:$B$130&lt;=A1333)*(참고!$B$31:$B$130=_xludf.MAXIFS(참고!$B$31:$B$130,참고!$A$31:$A$130,C1333,참고!$B$31:$B$130,"&lt;="&amp;A1333))*참고!$D$31:$D$130)/100,0),0)</f>
        <v>0</v>
      </c>
      <c r="L1333" s="31" t="str">
        <f t="shared" si="62"/>
        <v/>
      </c>
      <c r="M1333" s="39"/>
    </row>
    <row r="1334" spans="1:13" ht="18" customHeight="1" x14ac:dyDescent="0.45">
      <c r="A1334" s="37"/>
      <c r="B1334" s="29"/>
      <c r="C1334" s="29"/>
      <c r="D1334" s="28"/>
      <c r="E1334" s="30" t="str">
        <f>IFERROR(VLOOKUP(D1334,KRX종목마스터!$A:$B,2,FALSE),"")</f>
        <v/>
      </c>
      <c r="F1334" s="42"/>
      <c r="G1334" s="42"/>
      <c r="H1334" s="31" t="str">
        <f t="shared" si="60"/>
        <v/>
      </c>
      <c r="I1334" s="43">
        <f ca="1">IFERROR(SUMPRODUCT((참고!$A$31:$A$130=C1334)*(참고!$B$31:$B$130&lt;=A1334)*(참고!$B$31:$B$130=_xludf.MAXIFS(참고!$B$31:$B$130,참고!$A$31:$A$130,C1334,참고!$B$31:$B$130,"&lt;="&amp;A1334))*참고!$C$31:$C$130)/100,0)</f>
        <v>0</v>
      </c>
      <c r="J1334" s="31" t="str">
        <f t="shared" si="61"/>
        <v/>
      </c>
      <c r="K1334" s="43">
        <f>IF(B1334="매도",IFERROR(SUMPRODUCT((참고!$A$31:$A$130=C1334)*(참고!$B$31:$B$130&lt;=A1334)*(참고!$B$31:$B$130=_xludf.MAXIFS(참고!$B$31:$B$130,참고!$A$31:$A$130,C1334,참고!$B$31:$B$130,"&lt;="&amp;A1334))*참고!$D$31:$D$130)/100,0),0)</f>
        <v>0</v>
      </c>
      <c r="L1334" s="31" t="str">
        <f t="shared" si="62"/>
        <v/>
      </c>
      <c r="M1334" s="39"/>
    </row>
    <row r="1335" spans="1:13" ht="18" customHeight="1" x14ac:dyDescent="0.45">
      <c r="A1335" s="37"/>
      <c r="B1335" s="29"/>
      <c r="C1335" s="29"/>
      <c r="D1335" s="28"/>
      <c r="E1335" s="30" t="str">
        <f>IFERROR(VLOOKUP(D1335,KRX종목마스터!$A:$B,2,FALSE),"")</f>
        <v/>
      </c>
      <c r="F1335" s="42"/>
      <c r="G1335" s="42"/>
      <c r="H1335" s="31" t="str">
        <f t="shared" si="60"/>
        <v/>
      </c>
      <c r="I1335" s="43">
        <f ca="1">IFERROR(SUMPRODUCT((참고!$A$31:$A$130=C1335)*(참고!$B$31:$B$130&lt;=A1335)*(참고!$B$31:$B$130=_xludf.MAXIFS(참고!$B$31:$B$130,참고!$A$31:$A$130,C1335,참고!$B$31:$B$130,"&lt;="&amp;A1335))*참고!$C$31:$C$130)/100,0)</f>
        <v>0</v>
      </c>
      <c r="J1335" s="31" t="str">
        <f t="shared" si="61"/>
        <v/>
      </c>
      <c r="K1335" s="43">
        <f>IF(B1335="매도",IFERROR(SUMPRODUCT((참고!$A$31:$A$130=C1335)*(참고!$B$31:$B$130&lt;=A1335)*(참고!$B$31:$B$130=_xludf.MAXIFS(참고!$B$31:$B$130,참고!$A$31:$A$130,C1335,참고!$B$31:$B$130,"&lt;="&amp;A1335))*참고!$D$31:$D$130)/100,0),0)</f>
        <v>0</v>
      </c>
      <c r="L1335" s="31" t="str">
        <f t="shared" si="62"/>
        <v/>
      </c>
      <c r="M1335" s="39"/>
    </row>
    <row r="1336" spans="1:13" ht="18" customHeight="1" x14ac:dyDescent="0.45">
      <c r="A1336" s="37"/>
      <c r="B1336" s="29"/>
      <c r="C1336" s="29"/>
      <c r="D1336" s="28"/>
      <c r="E1336" s="30" t="str">
        <f>IFERROR(VLOOKUP(D1336,KRX종목마스터!$A:$B,2,FALSE),"")</f>
        <v/>
      </c>
      <c r="F1336" s="42"/>
      <c r="G1336" s="42"/>
      <c r="H1336" s="31" t="str">
        <f t="shared" si="60"/>
        <v/>
      </c>
      <c r="I1336" s="43">
        <f ca="1">IFERROR(SUMPRODUCT((참고!$A$31:$A$130=C1336)*(참고!$B$31:$B$130&lt;=A1336)*(참고!$B$31:$B$130=_xludf.MAXIFS(참고!$B$31:$B$130,참고!$A$31:$A$130,C1336,참고!$B$31:$B$130,"&lt;="&amp;A1336))*참고!$C$31:$C$130)/100,0)</f>
        <v>0</v>
      </c>
      <c r="J1336" s="31" t="str">
        <f t="shared" si="61"/>
        <v/>
      </c>
      <c r="K1336" s="43">
        <f>IF(B1336="매도",IFERROR(SUMPRODUCT((참고!$A$31:$A$130=C1336)*(참고!$B$31:$B$130&lt;=A1336)*(참고!$B$31:$B$130=_xludf.MAXIFS(참고!$B$31:$B$130,참고!$A$31:$A$130,C1336,참고!$B$31:$B$130,"&lt;="&amp;A1336))*참고!$D$31:$D$130)/100,0),0)</f>
        <v>0</v>
      </c>
      <c r="L1336" s="31" t="str">
        <f t="shared" si="62"/>
        <v/>
      </c>
      <c r="M1336" s="39"/>
    </row>
    <row r="1337" spans="1:13" ht="18" customHeight="1" x14ac:dyDescent="0.45">
      <c r="A1337" s="37"/>
      <c r="B1337" s="29"/>
      <c r="C1337" s="29"/>
      <c r="D1337" s="28"/>
      <c r="E1337" s="30" t="str">
        <f>IFERROR(VLOOKUP(D1337,KRX종목마스터!$A:$B,2,FALSE),"")</f>
        <v/>
      </c>
      <c r="F1337" s="42"/>
      <c r="G1337" s="42"/>
      <c r="H1337" s="31" t="str">
        <f t="shared" si="60"/>
        <v/>
      </c>
      <c r="I1337" s="43">
        <f ca="1">IFERROR(SUMPRODUCT((참고!$A$31:$A$130=C1337)*(참고!$B$31:$B$130&lt;=A1337)*(참고!$B$31:$B$130=_xludf.MAXIFS(참고!$B$31:$B$130,참고!$A$31:$A$130,C1337,참고!$B$31:$B$130,"&lt;="&amp;A1337))*참고!$C$31:$C$130)/100,0)</f>
        <v>0</v>
      </c>
      <c r="J1337" s="31" t="str">
        <f t="shared" si="61"/>
        <v/>
      </c>
      <c r="K1337" s="43">
        <f>IF(B1337="매도",IFERROR(SUMPRODUCT((참고!$A$31:$A$130=C1337)*(참고!$B$31:$B$130&lt;=A1337)*(참고!$B$31:$B$130=_xludf.MAXIFS(참고!$B$31:$B$130,참고!$A$31:$A$130,C1337,참고!$B$31:$B$130,"&lt;="&amp;A1337))*참고!$D$31:$D$130)/100,0),0)</f>
        <v>0</v>
      </c>
      <c r="L1337" s="31" t="str">
        <f t="shared" si="62"/>
        <v/>
      </c>
      <c r="M1337" s="39"/>
    </row>
    <row r="1338" spans="1:13" ht="18" customHeight="1" x14ac:dyDescent="0.45">
      <c r="A1338" s="37"/>
      <c r="B1338" s="29"/>
      <c r="C1338" s="29"/>
      <c r="D1338" s="28"/>
      <c r="E1338" s="30" t="str">
        <f>IFERROR(VLOOKUP(D1338,KRX종목마스터!$A:$B,2,FALSE),"")</f>
        <v/>
      </c>
      <c r="F1338" s="42"/>
      <c r="G1338" s="42"/>
      <c r="H1338" s="31" t="str">
        <f t="shared" si="60"/>
        <v/>
      </c>
      <c r="I1338" s="43">
        <f ca="1">IFERROR(SUMPRODUCT((참고!$A$31:$A$130=C1338)*(참고!$B$31:$B$130&lt;=A1338)*(참고!$B$31:$B$130=_xludf.MAXIFS(참고!$B$31:$B$130,참고!$A$31:$A$130,C1338,참고!$B$31:$B$130,"&lt;="&amp;A1338))*참고!$C$31:$C$130)/100,0)</f>
        <v>0</v>
      </c>
      <c r="J1338" s="31" t="str">
        <f t="shared" si="61"/>
        <v/>
      </c>
      <c r="K1338" s="43">
        <f>IF(B1338="매도",IFERROR(SUMPRODUCT((참고!$A$31:$A$130=C1338)*(참고!$B$31:$B$130&lt;=A1338)*(참고!$B$31:$B$130=_xludf.MAXIFS(참고!$B$31:$B$130,참고!$A$31:$A$130,C1338,참고!$B$31:$B$130,"&lt;="&amp;A1338))*참고!$D$31:$D$130)/100,0),0)</f>
        <v>0</v>
      </c>
      <c r="L1338" s="31" t="str">
        <f t="shared" si="62"/>
        <v/>
      </c>
      <c r="M1338" s="39"/>
    </row>
    <row r="1339" spans="1:13" ht="18" customHeight="1" x14ac:dyDescent="0.45">
      <c r="A1339" s="37"/>
      <c r="B1339" s="29"/>
      <c r="C1339" s="29"/>
      <c r="D1339" s="28"/>
      <c r="E1339" s="30" t="str">
        <f>IFERROR(VLOOKUP(D1339,KRX종목마스터!$A:$B,2,FALSE),"")</f>
        <v/>
      </c>
      <c r="F1339" s="42"/>
      <c r="G1339" s="42"/>
      <c r="H1339" s="31" t="str">
        <f t="shared" si="60"/>
        <v/>
      </c>
      <c r="I1339" s="43">
        <f ca="1">IFERROR(SUMPRODUCT((참고!$A$31:$A$130=C1339)*(참고!$B$31:$B$130&lt;=A1339)*(참고!$B$31:$B$130=_xludf.MAXIFS(참고!$B$31:$B$130,참고!$A$31:$A$130,C1339,참고!$B$31:$B$130,"&lt;="&amp;A1339))*참고!$C$31:$C$130)/100,0)</f>
        <v>0</v>
      </c>
      <c r="J1339" s="31" t="str">
        <f t="shared" si="61"/>
        <v/>
      </c>
      <c r="K1339" s="43">
        <f>IF(B1339="매도",IFERROR(SUMPRODUCT((참고!$A$31:$A$130=C1339)*(참고!$B$31:$B$130&lt;=A1339)*(참고!$B$31:$B$130=_xludf.MAXIFS(참고!$B$31:$B$130,참고!$A$31:$A$130,C1339,참고!$B$31:$B$130,"&lt;="&amp;A1339))*참고!$D$31:$D$130)/100,0),0)</f>
        <v>0</v>
      </c>
      <c r="L1339" s="31" t="str">
        <f t="shared" si="62"/>
        <v/>
      </c>
      <c r="M1339" s="39"/>
    </row>
    <row r="1340" spans="1:13" ht="18" customHeight="1" x14ac:dyDescent="0.45">
      <c r="A1340" s="37"/>
      <c r="B1340" s="29"/>
      <c r="C1340" s="29"/>
      <c r="D1340" s="28"/>
      <c r="E1340" s="30" t="str">
        <f>IFERROR(VLOOKUP(D1340,KRX종목마스터!$A:$B,2,FALSE),"")</f>
        <v/>
      </c>
      <c r="F1340" s="42"/>
      <c r="G1340" s="42"/>
      <c r="H1340" s="31" t="str">
        <f t="shared" si="60"/>
        <v/>
      </c>
      <c r="I1340" s="43">
        <f ca="1">IFERROR(SUMPRODUCT((참고!$A$31:$A$130=C1340)*(참고!$B$31:$B$130&lt;=A1340)*(참고!$B$31:$B$130=_xludf.MAXIFS(참고!$B$31:$B$130,참고!$A$31:$A$130,C1340,참고!$B$31:$B$130,"&lt;="&amp;A1340))*참고!$C$31:$C$130)/100,0)</f>
        <v>0</v>
      </c>
      <c r="J1340" s="31" t="str">
        <f t="shared" si="61"/>
        <v/>
      </c>
      <c r="K1340" s="43">
        <f>IF(B1340="매도",IFERROR(SUMPRODUCT((참고!$A$31:$A$130=C1340)*(참고!$B$31:$B$130&lt;=A1340)*(참고!$B$31:$B$130=_xludf.MAXIFS(참고!$B$31:$B$130,참고!$A$31:$A$130,C1340,참고!$B$31:$B$130,"&lt;="&amp;A1340))*참고!$D$31:$D$130)/100,0),0)</f>
        <v>0</v>
      </c>
      <c r="L1340" s="31" t="str">
        <f t="shared" si="62"/>
        <v/>
      </c>
      <c r="M1340" s="39"/>
    </row>
    <row r="1341" spans="1:13" ht="18" customHeight="1" x14ac:dyDescent="0.45">
      <c r="A1341" s="37"/>
      <c r="B1341" s="29"/>
      <c r="C1341" s="29"/>
      <c r="D1341" s="28"/>
      <c r="E1341" s="30" t="str">
        <f>IFERROR(VLOOKUP(D1341,KRX종목마스터!$A:$B,2,FALSE),"")</f>
        <v/>
      </c>
      <c r="F1341" s="42"/>
      <c r="G1341" s="42"/>
      <c r="H1341" s="31" t="str">
        <f t="shared" si="60"/>
        <v/>
      </c>
      <c r="I1341" s="43">
        <f ca="1">IFERROR(SUMPRODUCT((참고!$A$31:$A$130=C1341)*(참고!$B$31:$B$130&lt;=A1341)*(참고!$B$31:$B$130=_xludf.MAXIFS(참고!$B$31:$B$130,참고!$A$31:$A$130,C1341,참고!$B$31:$B$130,"&lt;="&amp;A1341))*참고!$C$31:$C$130)/100,0)</f>
        <v>0</v>
      </c>
      <c r="J1341" s="31" t="str">
        <f t="shared" si="61"/>
        <v/>
      </c>
      <c r="K1341" s="43">
        <f>IF(B1341="매도",IFERROR(SUMPRODUCT((참고!$A$31:$A$130=C1341)*(참고!$B$31:$B$130&lt;=A1341)*(참고!$B$31:$B$130=_xludf.MAXIFS(참고!$B$31:$B$130,참고!$A$31:$A$130,C1341,참고!$B$31:$B$130,"&lt;="&amp;A1341))*참고!$D$31:$D$130)/100,0),0)</f>
        <v>0</v>
      </c>
      <c r="L1341" s="31" t="str">
        <f t="shared" si="62"/>
        <v/>
      </c>
      <c r="M1341" s="39"/>
    </row>
    <row r="1342" spans="1:13" ht="18" customHeight="1" x14ac:dyDescent="0.45">
      <c r="A1342" s="37"/>
      <c r="B1342" s="29"/>
      <c r="C1342" s="29"/>
      <c r="D1342" s="28"/>
      <c r="E1342" s="30" t="str">
        <f>IFERROR(VLOOKUP(D1342,KRX종목마스터!$A:$B,2,FALSE),"")</f>
        <v/>
      </c>
      <c r="F1342" s="42"/>
      <c r="G1342" s="42"/>
      <c r="H1342" s="31" t="str">
        <f t="shared" si="60"/>
        <v/>
      </c>
      <c r="I1342" s="43">
        <f ca="1">IFERROR(SUMPRODUCT((참고!$A$31:$A$130=C1342)*(참고!$B$31:$B$130&lt;=A1342)*(참고!$B$31:$B$130=_xludf.MAXIFS(참고!$B$31:$B$130,참고!$A$31:$A$130,C1342,참고!$B$31:$B$130,"&lt;="&amp;A1342))*참고!$C$31:$C$130)/100,0)</f>
        <v>0</v>
      </c>
      <c r="J1342" s="31" t="str">
        <f t="shared" si="61"/>
        <v/>
      </c>
      <c r="K1342" s="43">
        <f>IF(B1342="매도",IFERROR(SUMPRODUCT((참고!$A$31:$A$130=C1342)*(참고!$B$31:$B$130&lt;=A1342)*(참고!$B$31:$B$130=_xludf.MAXIFS(참고!$B$31:$B$130,참고!$A$31:$A$130,C1342,참고!$B$31:$B$130,"&lt;="&amp;A1342))*참고!$D$31:$D$130)/100,0),0)</f>
        <v>0</v>
      </c>
      <c r="L1342" s="31" t="str">
        <f t="shared" si="62"/>
        <v/>
      </c>
      <c r="M1342" s="39"/>
    </row>
    <row r="1343" spans="1:13" ht="18" customHeight="1" x14ac:dyDescent="0.45">
      <c r="A1343" s="37"/>
      <c r="B1343" s="29"/>
      <c r="C1343" s="29"/>
      <c r="D1343" s="28"/>
      <c r="E1343" s="30" t="str">
        <f>IFERROR(VLOOKUP(D1343,KRX종목마스터!$A:$B,2,FALSE),"")</f>
        <v/>
      </c>
      <c r="F1343" s="42"/>
      <c r="G1343" s="42"/>
      <c r="H1343" s="31" t="str">
        <f t="shared" si="60"/>
        <v/>
      </c>
      <c r="I1343" s="43">
        <f ca="1">IFERROR(SUMPRODUCT((참고!$A$31:$A$130=C1343)*(참고!$B$31:$B$130&lt;=A1343)*(참고!$B$31:$B$130=_xludf.MAXIFS(참고!$B$31:$B$130,참고!$A$31:$A$130,C1343,참고!$B$31:$B$130,"&lt;="&amp;A1343))*참고!$C$31:$C$130)/100,0)</f>
        <v>0</v>
      </c>
      <c r="J1343" s="31" t="str">
        <f t="shared" si="61"/>
        <v/>
      </c>
      <c r="K1343" s="43">
        <f>IF(B1343="매도",IFERROR(SUMPRODUCT((참고!$A$31:$A$130=C1343)*(참고!$B$31:$B$130&lt;=A1343)*(참고!$B$31:$B$130=_xludf.MAXIFS(참고!$B$31:$B$130,참고!$A$31:$A$130,C1343,참고!$B$31:$B$130,"&lt;="&amp;A1343))*참고!$D$31:$D$130)/100,0),0)</f>
        <v>0</v>
      </c>
      <c r="L1343" s="31" t="str">
        <f t="shared" si="62"/>
        <v/>
      </c>
      <c r="M1343" s="39"/>
    </row>
    <row r="1344" spans="1:13" ht="18" customHeight="1" x14ac:dyDescent="0.45">
      <c r="A1344" s="37"/>
      <c r="B1344" s="29"/>
      <c r="C1344" s="29"/>
      <c r="D1344" s="28"/>
      <c r="E1344" s="30" t="str">
        <f>IFERROR(VLOOKUP(D1344,KRX종목마스터!$A:$B,2,FALSE),"")</f>
        <v/>
      </c>
      <c r="F1344" s="42"/>
      <c r="G1344" s="42"/>
      <c r="H1344" s="31" t="str">
        <f t="shared" si="60"/>
        <v/>
      </c>
      <c r="I1344" s="43">
        <f ca="1">IFERROR(SUMPRODUCT((참고!$A$31:$A$130=C1344)*(참고!$B$31:$B$130&lt;=A1344)*(참고!$B$31:$B$130=_xludf.MAXIFS(참고!$B$31:$B$130,참고!$A$31:$A$130,C1344,참고!$B$31:$B$130,"&lt;="&amp;A1344))*참고!$C$31:$C$130)/100,0)</f>
        <v>0</v>
      </c>
      <c r="J1344" s="31" t="str">
        <f t="shared" si="61"/>
        <v/>
      </c>
      <c r="K1344" s="43">
        <f>IF(B1344="매도",IFERROR(SUMPRODUCT((참고!$A$31:$A$130=C1344)*(참고!$B$31:$B$130&lt;=A1344)*(참고!$B$31:$B$130=_xludf.MAXIFS(참고!$B$31:$B$130,참고!$A$31:$A$130,C1344,참고!$B$31:$B$130,"&lt;="&amp;A1344))*참고!$D$31:$D$130)/100,0),0)</f>
        <v>0</v>
      </c>
      <c r="L1344" s="31" t="str">
        <f t="shared" si="62"/>
        <v/>
      </c>
      <c r="M1344" s="39"/>
    </row>
    <row r="1345" spans="1:13" ht="18" customHeight="1" x14ac:dyDescent="0.45">
      <c r="A1345" s="37"/>
      <c r="B1345" s="29"/>
      <c r="C1345" s="29"/>
      <c r="D1345" s="28"/>
      <c r="E1345" s="30" t="str">
        <f>IFERROR(VLOOKUP(D1345,KRX종목마스터!$A:$B,2,FALSE),"")</f>
        <v/>
      </c>
      <c r="F1345" s="42"/>
      <c r="G1345" s="42"/>
      <c r="H1345" s="31" t="str">
        <f t="shared" si="60"/>
        <v/>
      </c>
      <c r="I1345" s="43">
        <f ca="1">IFERROR(SUMPRODUCT((참고!$A$31:$A$130=C1345)*(참고!$B$31:$B$130&lt;=A1345)*(참고!$B$31:$B$130=_xludf.MAXIFS(참고!$B$31:$B$130,참고!$A$31:$A$130,C1345,참고!$B$31:$B$130,"&lt;="&amp;A1345))*참고!$C$31:$C$130)/100,0)</f>
        <v>0</v>
      </c>
      <c r="J1345" s="31" t="str">
        <f t="shared" si="61"/>
        <v/>
      </c>
      <c r="K1345" s="43">
        <f>IF(B1345="매도",IFERROR(SUMPRODUCT((참고!$A$31:$A$130=C1345)*(참고!$B$31:$B$130&lt;=A1345)*(참고!$B$31:$B$130=_xludf.MAXIFS(참고!$B$31:$B$130,참고!$A$31:$A$130,C1345,참고!$B$31:$B$130,"&lt;="&amp;A1345))*참고!$D$31:$D$130)/100,0),0)</f>
        <v>0</v>
      </c>
      <c r="L1345" s="31" t="str">
        <f t="shared" si="62"/>
        <v/>
      </c>
      <c r="M1345" s="39"/>
    </row>
    <row r="1346" spans="1:13" ht="18" customHeight="1" x14ac:dyDescent="0.45">
      <c r="A1346" s="37"/>
      <c r="B1346" s="29"/>
      <c r="C1346" s="29"/>
      <c r="D1346" s="28"/>
      <c r="E1346" s="30" t="str">
        <f>IFERROR(VLOOKUP(D1346,KRX종목마스터!$A:$B,2,FALSE),"")</f>
        <v/>
      </c>
      <c r="F1346" s="42"/>
      <c r="G1346" s="42"/>
      <c r="H1346" s="31" t="str">
        <f t="shared" si="60"/>
        <v/>
      </c>
      <c r="I1346" s="43">
        <f ca="1">IFERROR(SUMPRODUCT((참고!$A$31:$A$130=C1346)*(참고!$B$31:$B$130&lt;=A1346)*(참고!$B$31:$B$130=_xludf.MAXIFS(참고!$B$31:$B$130,참고!$A$31:$A$130,C1346,참고!$B$31:$B$130,"&lt;="&amp;A1346))*참고!$C$31:$C$130)/100,0)</f>
        <v>0</v>
      </c>
      <c r="J1346" s="31" t="str">
        <f t="shared" si="61"/>
        <v/>
      </c>
      <c r="K1346" s="43">
        <f>IF(B1346="매도",IFERROR(SUMPRODUCT((참고!$A$31:$A$130=C1346)*(참고!$B$31:$B$130&lt;=A1346)*(참고!$B$31:$B$130=_xludf.MAXIFS(참고!$B$31:$B$130,참고!$A$31:$A$130,C1346,참고!$B$31:$B$130,"&lt;="&amp;A1346))*참고!$D$31:$D$130)/100,0),0)</f>
        <v>0</v>
      </c>
      <c r="L1346" s="31" t="str">
        <f t="shared" si="62"/>
        <v/>
      </c>
      <c r="M1346" s="39"/>
    </row>
    <row r="1347" spans="1:13" ht="18" customHeight="1" x14ac:dyDescent="0.45">
      <c r="A1347" s="37"/>
      <c r="B1347" s="29"/>
      <c r="C1347" s="29"/>
      <c r="D1347" s="28"/>
      <c r="E1347" s="30" t="str">
        <f>IFERROR(VLOOKUP(D1347,KRX종목마스터!$A:$B,2,FALSE),"")</f>
        <v/>
      </c>
      <c r="F1347" s="42"/>
      <c r="G1347" s="42"/>
      <c r="H1347" s="31" t="str">
        <f t="shared" si="60"/>
        <v/>
      </c>
      <c r="I1347" s="43">
        <f ca="1">IFERROR(SUMPRODUCT((참고!$A$31:$A$130=C1347)*(참고!$B$31:$B$130&lt;=A1347)*(참고!$B$31:$B$130=_xludf.MAXIFS(참고!$B$31:$B$130,참고!$A$31:$A$130,C1347,참고!$B$31:$B$130,"&lt;="&amp;A1347))*참고!$C$31:$C$130)/100,0)</f>
        <v>0</v>
      </c>
      <c r="J1347" s="31" t="str">
        <f t="shared" si="61"/>
        <v/>
      </c>
      <c r="K1347" s="43">
        <f>IF(B1347="매도",IFERROR(SUMPRODUCT((참고!$A$31:$A$130=C1347)*(참고!$B$31:$B$130&lt;=A1347)*(참고!$B$31:$B$130=_xludf.MAXIFS(참고!$B$31:$B$130,참고!$A$31:$A$130,C1347,참고!$B$31:$B$130,"&lt;="&amp;A1347))*참고!$D$31:$D$130)/100,0),0)</f>
        <v>0</v>
      </c>
      <c r="L1347" s="31" t="str">
        <f t="shared" si="62"/>
        <v/>
      </c>
      <c r="M1347" s="39"/>
    </row>
    <row r="1348" spans="1:13" ht="18" customHeight="1" x14ac:dyDescent="0.45">
      <c r="A1348" s="37"/>
      <c r="B1348" s="29"/>
      <c r="C1348" s="29"/>
      <c r="D1348" s="28"/>
      <c r="E1348" s="30" t="str">
        <f>IFERROR(VLOOKUP(D1348,KRX종목마스터!$A:$B,2,FALSE),"")</f>
        <v/>
      </c>
      <c r="F1348" s="42"/>
      <c r="G1348" s="42"/>
      <c r="H1348" s="31" t="str">
        <f t="shared" si="60"/>
        <v/>
      </c>
      <c r="I1348" s="43">
        <f ca="1">IFERROR(SUMPRODUCT((참고!$A$31:$A$130=C1348)*(참고!$B$31:$B$130&lt;=A1348)*(참고!$B$31:$B$130=_xludf.MAXIFS(참고!$B$31:$B$130,참고!$A$31:$A$130,C1348,참고!$B$31:$B$130,"&lt;="&amp;A1348))*참고!$C$31:$C$130)/100,0)</f>
        <v>0</v>
      </c>
      <c r="J1348" s="31" t="str">
        <f t="shared" si="61"/>
        <v/>
      </c>
      <c r="K1348" s="43">
        <f>IF(B1348="매도",IFERROR(SUMPRODUCT((참고!$A$31:$A$130=C1348)*(참고!$B$31:$B$130&lt;=A1348)*(참고!$B$31:$B$130=_xludf.MAXIFS(참고!$B$31:$B$130,참고!$A$31:$A$130,C1348,참고!$B$31:$B$130,"&lt;="&amp;A1348))*참고!$D$31:$D$130)/100,0),0)</f>
        <v>0</v>
      </c>
      <c r="L1348" s="31" t="str">
        <f t="shared" si="62"/>
        <v/>
      </c>
      <c r="M1348" s="39"/>
    </row>
    <row r="1349" spans="1:13" ht="18" customHeight="1" x14ac:dyDescent="0.45">
      <c r="A1349" s="37"/>
      <c r="B1349" s="29"/>
      <c r="C1349" s="29"/>
      <c r="D1349" s="28"/>
      <c r="E1349" s="30" t="str">
        <f>IFERROR(VLOOKUP(D1349,KRX종목마스터!$A:$B,2,FALSE),"")</f>
        <v/>
      </c>
      <c r="F1349" s="42"/>
      <c r="G1349" s="42"/>
      <c r="H1349" s="31" t="str">
        <f t="shared" ref="H1349:H1412" si="63">IF(AND(F1349&lt;&gt;"",G1349&lt;&gt;""),F1349*G1349,"")</f>
        <v/>
      </c>
      <c r="I1349" s="43">
        <f ca="1">IFERROR(SUMPRODUCT((참고!$A$31:$A$130=C1349)*(참고!$B$31:$B$130&lt;=A1349)*(참고!$B$31:$B$130=_xludf.MAXIFS(참고!$B$31:$B$130,참고!$A$31:$A$130,C1349,참고!$B$31:$B$130,"&lt;="&amp;A1349))*참고!$C$31:$C$130)/100,0)</f>
        <v>0</v>
      </c>
      <c r="J1349" s="31" t="str">
        <f t="shared" ref="J1349:J1412" si="64">IF(H1349="","",ROUND(H1349*I1349,0))</f>
        <v/>
      </c>
      <c r="K1349" s="43">
        <f>IF(B1349="매도",IFERROR(SUMPRODUCT((참고!$A$31:$A$130=C1349)*(참고!$B$31:$B$130&lt;=A1349)*(참고!$B$31:$B$130=_xludf.MAXIFS(참고!$B$31:$B$130,참고!$A$31:$A$130,C1349,참고!$B$31:$B$130,"&lt;="&amp;A1349))*참고!$D$31:$D$130)/100,0),0)</f>
        <v>0</v>
      </c>
      <c r="L1349" s="31" t="str">
        <f t="shared" ref="L1349:L1412" si="65">IF(H1349="","",ROUND(H1349*K1349,0))</f>
        <v/>
      </c>
      <c r="M1349" s="39"/>
    </row>
    <row r="1350" spans="1:13" ht="18" customHeight="1" x14ac:dyDescent="0.45">
      <c r="A1350" s="37"/>
      <c r="B1350" s="29"/>
      <c r="C1350" s="29"/>
      <c r="D1350" s="28"/>
      <c r="E1350" s="30" t="str">
        <f>IFERROR(VLOOKUP(D1350,KRX종목마스터!$A:$B,2,FALSE),"")</f>
        <v/>
      </c>
      <c r="F1350" s="42"/>
      <c r="G1350" s="42"/>
      <c r="H1350" s="31" t="str">
        <f t="shared" si="63"/>
        <v/>
      </c>
      <c r="I1350" s="43">
        <f ca="1">IFERROR(SUMPRODUCT((참고!$A$31:$A$130=C1350)*(참고!$B$31:$B$130&lt;=A1350)*(참고!$B$31:$B$130=_xludf.MAXIFS(참고!$B$31:$B$130,참고!$A$31:$A$130,C1350,참고!$B$31:$B$130,"&lt;="&amp;A1350))*참고!$C$31:$C$130)/100,0)</f>
        <v>0</v>
      </c>
      <c r="J1350" s="31" t="str">
        <f t="shared" si="64"/>
        <v/>
      </c>
      <c r="K1350" s="43">
        <f>IF(B1350="매도",IFERROR(SUMPRODUCT((참고!$A$31:$A$130=C1350)*(참고!$B$31:$B$130&lt;=A1350)*(참고!$B$31:$B$130=_xludf.MAXIFS(참고!$B$31:$B$130,참고!$A$31:$A$130,C1350,참고!$B$31:$B$130,"&lt;="&amp;A1350))*참고!$D$31:$D$130)/100,0),0)</f>
        <v>0</v>
      </c>
      <c r="L1350" s="31" t="str">
        <f t="shared" si="65"/>
        <v/>
      </c>
      <c r="M1350" s="39"/>
    </row>
    <row r="1351" spans="1:13" ht="18" customHeight="1" x14ac:dyDescent="0.45">
      <c r="A1351" s="37"/>
      <c r="B1351" s="29"/>
      <c r="C1351" s="29"/>
      <c r="D1351" s="28"/>
      <c r="E1351" s="30" t="str">
        <f>IFERROR(VLOOKUP(D1351,KRX종목마스터!$A:$B,2,FALSE),"")</f>
        <v/>
      </c>
      <c r="F1351" s="42"/>
      <c r="G1351" s="42"/>
      <c r="H1351" s="31" t="str">
        <f t="shared" si="63"/>
        <v/>
      </c>
      <c r="I1351" s="43">
        <f ca="1">IFERROR(SUMPRODUCT((참고!$A$31:$A$130=C1351)*(참고!$B$31:$B$130&lt;=A1351)*(참고!$B$31:$B$130=_xludf.MAXIFS(참고!$B$31:$B$130,참고!$A$31:$A$130,C1351,참고!$B$31:$B$130,"&lt;="&amp;A1351))*참고!$C$31:$C$130)/100,0)</f>
        <v>0</v>
      </c>
      <c r="J1351" s="31" t="str">
        <f t="shared" si="64"/>
        <v/>
      </c>
      <c r="K1351" s="43">
        <f>IF(B1351="매도",IFERROR(SUMPRODUCT((참고!$A$31:$A$130=C1351)*(참고!$B$31:$B$130&lt;=A1351)*(참고!$B$31:$B$130=_xludf.MAXIFS(참고!$B$31:$B$130,참고!$A$31:$A$130,C1351,참고!$B$31:$B$130,"&lt;="&amp;A1351))*참고!$D$31:$D$130)/100,0),0)</f>
        <v>0</v>
      </c>
      <c r="L1351" s="31" t="str">
        <f t="shared" si="65"/>
        <v/>
      </c>
      <c r="M1351" s="39"/>
    </row>
    <row r="1352" spans="1:13" ht="18" customHeight="1" x14ac:dyDescent="0.45">
      <c r="A1352" s="37"/>
      <c r="B1352" s="29"/>
      <c r="C1352" s="29"/>
      <c r="D1352" s="28"/>
      <c r="E1352" s="30" t="str">
        <f>IFERROR(VLOOKUP(D1352,KRX종목마스터!$A:$B,2,FALSE),"")</f>
        <v/>
      </c>
      <c r="F1352" s="42"/>
      <c r="G1352" s="42"/>
      <c r="H1352" s="31" t="str">
        <f t="shared" si="63"/>
        <v/>
      </c>
      <c r="I1352" s="43">
        <f ca="1">IFERROR(SUMPRODUCT((참고!$A$31:$A$130=C1352)*(참고!$B$31:$B$130&lt;=A1352)*(참고!$B$31:$B$130=_xludf.MAXIFS(참고!$B$31:$B$130,참고!$A$31:$A$130,C1352,참고!$B$31:$B$130,"&lt;="&amp;A1352))*참고!$C$31:$C$130)/100,0)</f>
        <v>0</v>
      </c>
      <c r="J1352" s="31" t="str">
        <f t="shared" si="64"/>
        <v/>
      </c>
      <c r="K1352" s="43">
        <f>IF(B1352="매도",IFERROR(SUMPRODUCT((참고!$A$31:$A$130=C1352)*(참고!$B$31:$B$130&lt;=A1352)*(참고!$B$31:$B$130=_xludf.MAXIFS(참고!$B$31:$B$130,참고!$A$31:$A$130,C1352,참고!$B$31:$B$130,"&lt;="&amp;A1352))*참고!$D$31:$D$130)/100,0),0)</f>
        <v>0</v>
      </c>
      <c r="L1352" s="31" t="str">
        <f t="shared" si="65"/>
        <v/>
      </c>
      <c r="M1352" s="39"/>
    </row>
    <row r="1353" spans="1:13" ht="18" customHeight="1" x14ac:dyDescent="0.45">
      <c r="A1353" s="37"/>
      <c r="B1353" s="29"/>
      <c r="C1353" s="29"/>
      <c r="D1353" s="28"/>
      <c r="E1353" s="30" t="str">
        <f>IFERROR(VLOOKUP(D1353,KRX종목마스터!$A:$B,2,FALSE),"")</f>
        <v/>
      </c>
      <c r="F1353" s="42"/>
      <c r="G1353" s="42"/>
      <c r="H1353" s="31" t="str">
        <f t="shared" si="63"/>
        <v/>
      </c>
      <c r="I1353" s="43">
        <f ca="1">IFERROR(SUMPRODUCT((참고!$A$31:$A$130=C1353)*(참고!$B$31:$B$130&lt;=A1353)*(참고!$B$31:$B$130=_xludf.MAXIFS(참고!$B$31:$B$130,참고!$A$31:$A$130,C1353,참고!$B$31:$B$130,"&lt;="&amp;A1353))*참고!$C$31:$C$130)/100,0)</f>
        <v>0</v>
      </c>
      <c r="J1353" s="31" t="str">
        <f t="shared" si="64"/>
        <v/>
      </c>
      <c r="K1353" s="43">
        <f>IF(B1353="매도",IFERROR(SUMPRODUCT((참고!$A$31:$A$130=C1353)*(참고!$B$31:$B$130&lt;=A1353)*(참고!$B$31:$B$130=_xludf.MAXIFS(참고!$B$31:$B$130,참고!$A$31:$A$130,C1353,참고!$B$31:$B$130,"&lt;="&amp;A1353))*참고!$D$31:$D$130)/100,0),0)</f>
        <v>0</v>
      </c>
      <c r="L1353" s="31" t="str">
        <f t="shared" si="65"/>
        <v/>
      </c>
      <c r="M1353" s="39"/>
    </row>
    <row r="1354" spans="1:13" ht="18" customHeight="1" x14ac:dyDescent="0.45">
      <c r="A1354" s="37"/>
      <c r="B1354" s="29"/>
      <c r="C1354" s="29"/>
      <c r="D1354" s="28"/>
      <c r="E1354" s="30" t="str">
        <f>IFERROR(VLOOKUP(D1354,KRX종목마스터!$A:$B,2,FALSE),"")</f>
        <v/>
      </c>
      <c r="F1354" s="42"/>
      <c r="G1354" s="42"/>
      <c r="H1354" s="31" t="str">
        <f t="shared" si="63"/>
        <v/>
      </c>
      <c r="I1354" s="43">
        <f ca="1">IFERROR(SUMPRODUCT((참고!$A$31:$A$130=C1354)*(참고!$B$31:$B$130&lt;=A1354)*(참고!$B$31:$B$130=_xludf.MAXIFS(참고!$B$31:$B$130,참고!$A$31:$A$130,C1354,참고!$B$31:$B$130,"&lt;="&amp;A1354))*참고!$C$31:$C$130)/100,0)</f>
        <v>0</v>
      </c>
      <c r="J1354" s="31" t="str">
        <f t="shared" si="64"/>
        <v/>
      </c>
      <c r="K1354" s="43">
        <f>IF(B1354="매도",IFERROR(SUMPRODUCT((참고!$A$31:$A$130=C1354)*(참고!$B$31:$B$130&lt;=A1354)*(참고!$B$31:$B$130=_xludf.MAXIFS(참고!$B$31:$B$130,참고!$A$31:$A$130,C1354,참고!$B$31:$B$130,"&lt;="&amp;A1354))*참고!$D$31:$D$130)/100,0),0)</f>
        <v>0</v>
      </c>
      <c r="L1354" s="31" t="str">
        <f t="shared" si="65"/>
        <v/>
      </c>
      <c r="M1354" s="39"/>
    </row>
    <row r="1355" spans="1:13" ht="18" customHeight="1" x14ac:dyDescent="0.45">
      <c r="A1355" s="37"/>
      <c r="B1355" s="29"/>
      <c r="C1355" s="29"/>
      <c r="D1355" s="28"/>
      <c r="E1355" s="30" t="str">
        <f>IFERROR(VLOOKUP(D1355,KRX종목마스터!$A:$B,2,FALSE),"")</f>
        <v/>
      </c>
      <c r="F1355" s="42"/>
      <c r="G1355" s="42"/>
      <c r="H1355" s="31" t="str">
        <f t="shared" si="63"/>
        <v/>
      </c>
      <c r="I1355" s="43">
        <f ca="1">IFERROR(SUMPRODUCT((참고!$A$31:$A$130=C1355)*(참고!$B$31:$B$130&lt;=A1355)*(참고!$B$31:$B$130=_xludf.MAXIFS(참고!$B$31:$B$130,참고!$A$31:$A$130,C1355,참고!$B$31:$B$130,"&lt;="&amp;A1355))*참고!$C$31:$C$130)/100,0)</f>
        <v>0</v>
      </c>
      <c r="J1355" s="31" t="str">
        <f t="shared" si="64"/>
        <v/>
      </c>
      <c r="K1355" s="43">
        <f>IF(B1355="매도",IFERROR(SUMPRODUCT((참고!$A$31:$A$130=C1355)*(참고!$B$31:$B$130&lt;=A1355)*(참고!$B$31:$B$130=_xludf.MAXIFS(참고!$B$31:$B$130,참고!$A$31:$A$130,C1355,참고!$B$31:$B$130,"&lt;="&amp;A1355))*참고!$D$31:$D$130)/100,0),0)</f>
        <v>0</v>
      </c>
      <c r="L1355" s="31" t="str">
        <f t="shared" si="65"/>
        <v/>
      </c>
      <c r="M1355" s="39"/>
    </row>
    <row r="1356" spans="1:13" ht="18" customHeight="1" x14ac:dyDescent="0.45">
      <c r="A1356" s="37"/>
      <c r="B1356" s="29"/>
      <c r="C1356" s="29"/>
      <c r="D1356" s="28"/>
      <c r="E1356" s="30" t="str">
        <f>IFERROR(VLOOKUP(D1356,KRX종목마스터!$A:$B,2,FALSE),"")</f>
        <v/>
      </c>
      <c r="F1356" s="42"/>
      <c r="G1356" s="42"/>
      <c r="H1356" s="31" t="str">
        <f t="shared" si="63"/>
        <v/>
      </c>
      <c r="I1356" s="43">
        <f ca="1">IFERROR(SUMPRODUCT((참고!$A$31:$A$130=C1356)*(참고!$B$31:$B$130&lt;=A1356)*(참고!$B$31:$B$130=_xludf.MAXIFS(참고!$B$31:$B$130,참고!$A$31:$A$130,C1356,참고!$B$31:$B$130,"&lt;="&amp;A1356))*참고!$C$31:$C$130)/100,0)</f>
        <v>0</v>
      </c>
      <c r="J1356" s="31" t="str">
        <f t="shared" si="64"/>
        <v/>
      </c>
      <c r="K1356" s="43">
        <f>IF(B1356="매도",IFERROR(SUMPRODUCT((참고!$A$31:$A$130=C1356)*(참고!$B$31:$B$130&lt;=A1356)*(참고!$B$31:$B$130=_xludf.MAXIFS(참고!$B$31:$B$130,참고!$A$31:$A$130,C1356,참고!$B$31:$B$130,"&lt;="&amp;A1356))*참고!$D$31:$D$130)/100,0),0)</f>
        <v>0</v>
      </c>
      <c r="L1356" s="31" t="str">
        <f t="shared" si="65"/>
        <v/>
      </c>
      <c r="M1356" s="39"/>
    </row>
    <row r="1357" spans="1:13" ht="18" customHeight="1" x14ac:dyDescent="0.45">
      <c r="A1357" s="37"/>
      <c r="B1357" s="29"/>
      <c r="C1357" s="29"/>
      <c r="D1357" s="28"/>
      <c r="E1357" s="30" t="str">
        <f>IFERROR(VLOOKUP(D1357,KRX종목마스터!$A:$B,2,FALSE),"")</f>
        <v/>
      </c>
      <c r="F1357" s="42"/>
      <c r="G1357" s="42"/>
      <c r="H1357" s="31" t="str">
        <f t="shared" si="63"/>
        <v/>
      </c>
      <c r="I1357" s="43">
        <f ca="1">IFERROR(SUMPRODUCT((참고!$A$31:$A$130=C1357)*(참고!$B$31:$B$130&lt;=A1357)*(참고!$B$31:$B$130=_xludf.MAXIFS(참고!$B$31:$B$130,참고!$A$31:$A$130,C1357,참고!$B$31:$B$130,"&lt;="&amp;A1357))*참고!$C$31:$C$130)/100,0)</f>
        <v>0</v>
      </c>
      <c r="J1357" s="31" t="str">
        <f t="shared" si="64"/>
        <v/>
      </c>
      <c r="K1357" s="43">
        <f>IF(B1357="매도",IFERROR(SUMPRODUCT((참고!$A$31:$A$130=C1357)*(참고!$B$31:$B$130&lt;=A1357)*(참고!$B$31:$B$130=_xludf.MAXIFS(참고!$B$31:$B$130,참고!$A$31:$A$130,C1357,참고!$B$31:$B$130,"&lt;="&amp;A1357))*참고!$D$31:$D$130)/100,0),0)</f>
        <v>0</v>
      </c>
      <c r="L1357" s="31" t="str">
        <f t="shared" si="65"/>
        <v/>
      </c>
      <c r="M1357" s="39"/>
    </row>
    <row r="1358" spans="1:13" ht="18" customHeight="1" x14ac:dyDescent="0.45">
      <c r="A1358" s="37"/>
      <c r="B1358" s="29"/>
      <c r="C1358" s="29"/>
      <c r="D1358" s="28"/>
      <c r="E1358" s="30" t="str">
        <f>IFERROR(VLOOKUP(D1358,KRX종목마스터!$A:$B,2,FALSE),"")</f>
        <v/>
      </c>
      <c r="F1358" s="42"/>
      <c r="G1358" s="42"/>
      <c r="H1358" s="31" t="str">
        <f t="shared" si="63"/>
        <v/>
      </c>
      <c r="I1358" s="43">
        <f ca="1">IFERROR(SUMPRODUCT((참고!$A$31:$A$130=C1358)*(참고!$B$31:$B$130&lt;=A1358)*(참고!$B$31:$B$130=_xludf.MAXIFS(참고!$B$31:$B$130,참고!$A$31:$A$130,C1358,참고!$B$31:$B$130,"&lt;="&amp;A1358))*참고!$C$31:$C$130)/100,0)</f>
        <v>0</v>
      </c>
      <c r="J1358" s="31" t="str">
        <f t="shared" si="64"/>
        <v/>
      </c>
      <c r="K1358" s="43">
        <f>IF(B1358="매도",IFERROR(SUMPRODUCT((참고!$A$31:$A$130=C1358)*(참고!$B$31:$B$130&lt;=A1358)*(참고!$B$31:$B$130=_xludf.MAXIFS(참고!$B$31:$B$130,참고!$A$31:$A$130,C1358,참고!$B$31:$B$130,"&lt;="&amp;A1358))*참고!$D$31:$D$130)/100,0),0)</f>
        <v>0</v>
      </c>
      <c r="L1358" s="31" t="str">
        <f t="shared" si="65"/>
        <v/>
      </c>
      <c r="M1358" s="39"/>
    </row>
    <row r="1359" spans="1:13" ht="18" customHeight="1" x14ac:dyDescent="0.45">
      <c r="A1359" s="37"/>
      <c r="B1359" s="29"/>
      <c r="C1359" s="29"/>
      <c r="D1359" s="28"/>
      <c r="E1359" s="30" t="str">
        <f>IFERROR(VLOOKUP(D1359,KRX종목마스터!$A:$B,2,FALSE),"")</f>
        <v/>
      </c>
      <c r="F1359" s="42"/>
      <c r="G1359" s="42"/>
      <c r="H1359" s="31" t="str">
        <f t="shared" si="63"/>
        <v/>
      </c>
      <c r="I1359" s="43">
        <f ca="1">IFERROR(SUMPRODUCT((참고!$A$31:$A$130=C1359)*(참고!$B$31:$B$130&lt;=A1359)*(참고!$B$31:$B$130=_xludf.MAXIFS(참고!$B$31:$B$130,참고!$A$31:$A$130,C1359,참고!$B$31:$B$130,"&lt;="&amp;A1359))*참고!$C$31:$C$130)/100,0)</f>
        <v>0</v>
      </c>
      <c r="J1359" s="31" t="str">
        <f t="shared" si="64"/>
        <v/>
      </c>
      <c r="K1359" s="43">
        <f>IF(B1359="매도",IFERROR(SUMPRODUCT((참고!$A$31:$A$130=C1359)*(참고!$B$31:$B$130&lt;=A1359)*(참고!$B$31:$B$130=_xludf.MAXIFS(참고!$B$31:$B$130,참고!$A$31:$A$130,C1359,참고!$B$31:$B$130,"&lt;="&amp;A1359))*참고!$D$31:$D$130)/100,0),0)</f>
        <v>0</v>
      </c>
      <c r="L1359" s="31" t="str">
        <f t="shared" si="65"/>
        <v/>
      </c>
      <c r="M1359" s="39"/>
    </row>
    <row r="1360" spans="1:13" ht="18" customHeight="1" x14ac:dyDescent="0.45">
      <c r="A1360" s="37"/>
      <c r="B1360" s="29"/>
      <c r="C1360" s="29"/>
      <c r="D1360" s="28"/>
      <c r="E1360" s="30" t="str">
        <f>IFERROR(VLOOKUP(D1360,KRX종목마스터!$A:$B,2,FALSE),"")</f>
        <v/>
      </c>
      <c r="F1360" s="42"/>
      <c r="G1360" s="42"/>
      <c r="H1360" s="31" t="str">
        <f t="shared" si="63"/>
        <v/>
      </c>
      <c r="I1360" s="43">
        <f ca="1">IFERROR(SUMPRODUCT((참고!$A$31:$A$130=C1360)*(참고!$B$31:$B$130&lt;=A1360)*(참고!$B$31:$B$130=_xludf.MAXIFS(참고!$B$31:$B$130,참고!$A$31:$A$130,C1360,참고!$B$31:$B$130,"&lt;="&amp;A1360))*참고!$C$31:$C$130)/100,0)</f>
        <v>0</v>
      </c>
      <c r="J1360" s="31" t="str">
        <f t="shared" si="64"/>
        <v/>
      </c>
      <c r="K1360" s="43">
        <f>IF(B1360="매도",IFERROR(SUMPRODUCT((참고!$A$31:$A$130=C1360)*(참고!$B$31:$B$130&lt;=A1360)*(참고!$B$31:$B$130=_xludf.MAXIFS(참고!$B$31:$B$130,참고!$A$31:$A$130,C1360,참고!$B$31:$B$130,"&lt;="&amp;A1360))*참고!$D$31:$D$130)/100,0),0)</f>
        <v>0</v>
      </c>
      <c r="L1360" s="31" t="str">
        <f t="shared" si="65"/>
        <v/>
      </c>
      <c r="M1360" s="39"/>
    </row>
    <row r="1361" spans="1:13" ht="18" customHeight="1" x14ac:dyDescent="0.45">
      <c r="A1361" s="37"/>
      <c r="B1361" s="29"/>
      <c r="C1361" s="29"/>
      <c r="D1361" s="28"/>
      <c r="E1361" s="30" t="str">
        <f>IFERROR(VLOOKUP(D1361,KRX종목마스터!$A:$B,2,FALSE),"")</f>
        <v/>
      </c>
      <c r="F1361" s="42"/>
      <c r="G1361" s="42"/>
      <c r="H1361" s="31" t="str">
        <f t="shared" si="63"/>
        <v/>
      </c>
      <c r="I1361" s="43">
        <f ca="1">IFERROR(SUMPRODUCT((참고!$A$31:$A$130=C1361)*(참고!$B$31:$B$130&lt;=A1361)*(참고!$B$31:$B$130=_xludf.MAXIFS(참고!$B$31:$B$130,참고!$A$31:$A$130,C1361,참고!$B$31:$B$130,"&lt;="&amp;A1361))*참고!$C$31:$C$130)/100,0)</f>
        <v>0</v>
      </c>
      <c r="J1361" s="31" t="str">
        <f t="shared" si="64"/>
        <v/>
      </c>
      <c r="K1361" s="43">
        <f>IF(B1361="매도",IFERROR(SUMPRODUCT((참고!$A$31:$A$130=C1361)*(참고!$B$31:$B$130&lt;=A1361)*(참고!$B$31:$B$130=_xludf.MAXIFS(참고!$B$31:$B$130,참고!$A$31:$A$130,C1361,참고!$B$31:$B$130,"&lt;="&amp;A1361))*참고!$D$31:$D$130)/100,0),0)</f>
        <v>0</v>
      </c>
      <c r="L1361" s="31" t="str">
        <f t="shared" si="65"/>
        <v/>
      </c>
      <c r="M1361" s="39"/>
    </row>
    <row r="1362" spans="1:13" ht="18" customHeight="1" x14ac:dyDescent="0.45">
      <c r="A1362" s="37"/>
      <c r="B1362" s="29"/>
      <c r="C1362" s="29"/>
      <c r="D1362" s="28"/>
      <c r="E1362" s="30" t="str">
        <f>IFERROR(VLOOKUP(D1362,KRX종목마스터!$A:$B,2,FALSE),"")</f>
        <v/>
      </c>
      <c r="F1362" s="42"/>
      <c r="G1362" s="42"/>
      <c r="H1362" s="31" t="str">
        <f t="shared" si="63"/>
        <v/>
      </c>
      <c r="I1362" s="43">
        <f ca="1">IFERROR(SUMPRODUCT((참고!$A$31:$A$130=C1362)*(참고!$B$31:$B$130&lt;=A1362)*(참고!$B$31:$B$130=_xludf.MAXIFS(참고!$B$31:$B$130,참고!$A$31:$A$130,C1362,참고!$B$31:$B$130,"&lt;="&amp;A1362))*참고!$C$31:$C$130)/100,0)</f>
        <v>0</v>
      </c>
      <c r="J1362" s="31" t="str">
        <f t="shared" si="64"/>
        <v/>
      </c>
      <c r="K1362" s="43">
        <f>IF(B1362="매도",IFERROR(SUMPRODUCT((참고!$A$31:$A$130=C1362)*(참고!$B$31:$B$130&lt;=A1362)*(참고!$B$31:$B$130=_xludf.MAXIFS(참고!$B$31:$B$130,참고!$A$31:$A$130,C1362,참고!$B$31:$B$130,"&lt;="&amp;A1362))*참고!$D$31:$D$130)/100,0),0)</f>
        <v>0</v>
      </c>
      <c r="L1362" s="31" t="str">
        <f t="shared" si="65"/>
        <v/>
      </c>
      <c r="M1362" s="39"/>
    </row>
    <row r="1363" spans="1:13" ht="18" customHeight="1" x14ac:dyDescent="0.45">
      <c r="A1363" s="37"/>
      <c r="B1363" s="29"/>
      <c r="C1363" s="29"/>
      <c r="D1363" s="28"/>
      <c r="E1363" s="30" t="str">
        <f>IFERROR(VLOOKUP(D1363,KRX종목마스터!$A:$B,2,FALSE),"")</f>
        <v/>
      </c>
      <c r="F1363" s="42"/>
      <c r="G1363" s="42"/>
      <c r="H1363" s="31" t="str">
        <f t="shared" si="63"/>
        <v/>
      </c>
      <c r="I1363" s="43">
        <f ca="1">IFERROR(SUMPRODUCT((참고!$A$31:$A$130=C1363)*(참고!$B$31:$B$130&lt;=A1363)*(참고!$B$31:$B$130=_xludf.MAXIFS(참고!$B$31:$B$130,참고!$A$31:$A$130,C1363,참고!$B$31:$B$130,"&lt;="&amp;A1363))*참고!$C$31:$C$130)/100,0)</f>
        <v>0</v>
      </c>
      <c r="J1363" s="31" t="str">
        <f t="shared" si="64"/>
        <v/>
      </c>
      <c r="K1363" s="43">
        <f>IF(B1363="매도",IFERROR(SUMPRODUCT((참고!$A$31:$A$130=C1363)*(참고!$B$31:$B$130&lt;=A1363)*(참고!$B$31:$B$130=_xludf.MAXIFS(참고!$B$31:$B$130,참고!$A$31:$A$130,C1363,참고!$B$31:$B$130,"&lt;="&amp;A1363))*참고!$D$31:$D$130)/100,0),0)</f>
        <v>0</v>
      </c>
      <c r="L1363" s="31" t="str">
        <f t="shared" si="65"/>
        <v/>
      </c>
      <c r="M1363" s="39"/>
    </row>
    <row r="1364" spans="1:13" ht="18" customHeight="1" x14ac:dyDescent="0.45">
      <c r="A1364" s="37"/>
      <c r="B1364" s="29"/>
      <c r="C1364" s="29"/>
      <c r="D1364" s="28"/>
      <c r="E1364" s="30" t="str">
        <f>IFERROR(VLOOKUP(D1364,KRX종목마스터!$A:$B,2,FALSE),"")</f>
        <v/>
      </c>
      <c r="F1364" s="42"/>
      <c r="G1364" s="42"/>
      <c r="H1364" s="31" t="str">
        <f t="shared" si="63"/>
        <v/>
      </c>
      <c r="I1364" s="43">
        <f ca="1">IFERROR(SUMPRODUCT((참고!$A$31:$A$130=C1364)*(참고!$B$31:$B$130&lt;=A1364)*(참고!$B$31:$B$130=_xludf.MAXIFS(참고!$B$31:$B$130,참고!$A$31:$A$130,C1364,참고!$B$31:$B$130,"&lt;="&amp;A1364))*참고!$C$31:$C$130)/100,0)</f>
        <v>0</v>
      </c>
      <c r="J1364" s="31" t="str">
        <f t="shared" si="64"/>
        <v/>
      </c>
      <c r="K1364" s="43">
        <f>IF(B1364="매도",IFERROR(SUMPRODUCT((참고!$A$31:$A$130=C1364)*(참고!$B$31:$B$130&lt;=A1364)*(참고!$B$31:$B$130=_xludf.MAXIFS(참고!$B$31:$B$130,참고!$A$31:$A$130,C1364,참고!$B$31:$B$130,"&lt;="&amp;A1364))*참고!$D$31:$D$130)/100,0),0)</f>
        <v>0</v>
      </c>
      <c r="L1364" s="31" t="str">
        <f t="shared" si="65"/>
        <v/>
      </c>
      <c r="M1364" s="39"/>
    </row>
    <row r="1365" spans="1:13" ht="18" customHeight="1" x14ac:dyDescent="0.45">
      <c r="A1365" s="37"/>
      <c r="B1365" s="29"/>
      <c r="C1365" s="29"/>
      <c r="D1365" s="28"/>
      <c r="E1365" s="30" t="str">
        <f>IFERROR(VLOOKUP(D1365,KRX종목마스터!$A:$B,2,FALSE),"")</f>
        <v/>
      </c>
      <c r="F1365" s="42"/>
      <c r="G1365" s="42"/>
      <c r="H1365" s="31" t="str">
        <f t="shared" si="63"/>
        <v/>
      </c>
      <c r="I1365" s="43">
        <f ca="1">IFERROR(SUMPRODUCT((참고!$A$31:$A$130=C1365)*(참고!$B$31:$B$130&lt;=A1365)*(참고!$B$31:$B$130=_xludf.MAXIFS(참고!$B$31:$B$130,참고!$A$31:$A$130,C1365,참고!$B$31:$B$130,"&lt;="&amp;A1365))*참고!$C$31:$C$130)/100,0)</f>
        <v>0</v>
      </c>
      <c r="J1365" s="31" t="str">
        <f t="shared" si="64"/>
        <v/>
      </c>
      <c r="K1365" s="43">
        <f>IF(B1365="매도",IFERROR(SUMPRODUCT((참고!$A$31:$A$130=C1365)*(참고!$B$31:$B$130&lt;=A1365)*(참고!$B$31:$B$130=_xludf.MAXIFS(참고!$B$31:$B$130,참고!$A$31:$A$130,C1365,참고!$B$31:$B$130,"&lt;="&amp;A1365))*참고!$D$31:$D$130)/100,0),0)</f>
        <v>0</v>
      </c>
      <c r="L1365" s="31" t="str">
        <f t="shared" si="65"/>
        <v/>
      </c>
      <c r="M1365" s="39"/>
    </row>
    <row r="1366" spans="1:13" ht="18" customHeight="1" x14ac:dyDescent="0.45">
      <c r="A1366" s="37"/>
      <c r="B1366" s="29"/>
      <c r="C1366" s="29"/>
      <c r="D1366" s="28"/>
      <c r="E1366" s="30" t="str">
        <f>IFERROR(VLOOKUP(D1366,KRX종목마스터!$A:$B,2,FALSE),"")</f>
        <v/>
      </c>
      <c r="F1366" s="42"/>
      <c r="G1366" s="42"/>
      <c r="H1366" s="31" t="str">
        <f t="shared" si="63"/>
        <v/>
      </c>
      <c r="I1366" s="43">
        <f ca="1">IFERROR(SUMPRODUCT((참고!$A$31:$A$130=C1366)*(참고!$B$31:$B$130&lt;=A1366)*(참고!$B$31:$B$130=_xludf.MAXIFS(참고!$B$31:$B$130,참고!$A$31:$A$130,C1366,참고!$B$31:$B$130,"&lt;="&amp;A1366))*참고!$C$31:$C$130)/100,0)</f>
        <v>0</v>
      </c>
      <c r="J1366" s="31" t="str">
        <f t="shared" si="64"/>
        <v/>
      </c>
      <c r="K1366" s="43">
        <f>IF(B1366="매도",IFERROR(SUMPRODUCT((참고!$A$31:$A$130=C1366)*(참고!$B$31:$B$130&lt;=A1366)*(참고!$B$31:$B$130=_xludf.MAXIFS(참고!$B$31:$B$130,참고!$A$31:$A$130,C1366,참고!$B$31:$B$130,"&lt;="&amp;A1366))*참고!$D$31:$D$130)/100,0),0)</f>
        <v>0</v>
      </c>
      <c r="L1366" s="31" t="str">
        <f t="shared" si="65"/>
        <v/>
      </c>
      <c r="M1366" s="39"/>
    </row>
    <row r="1367" spans="1:13" ht="18" customHeight="1" x14ac:dyDescent="0.45">
      <c r="A1367" s="37"/>
      <c r="B1367" s="29"/>
      <c r="C1367" s="29"/>
      <c r="D1367" s="28"/>
      <c r="E1367" s="30" t="str">
        <f>IFERROR(VLOOKUP(D1367,KRX종목마스터!$A:$B,2,FALSE),"")</f>
        <v/>
      </c>
      <c r="F1367" s="42"/>
      <c r="G1367" s="42"/>
      <c r="H1367" s="31" t="str">
        <f t="shared" si="63"/>
        <v/>
      </c>
      <c r="I1367" s="43">
        <f ca="1">IFERROR(SUMPRODUCT((참고!$A$31:$A$130=C1367)*(참고!$B$31:$B$130&lt;=A1367)*(참고!$B$31:$B$130=_xludf.MAXIFS(참고!$B$31:$B$130,참고!$A$31:$A$130,C1367,참고!$B$31:$B$130,"&lt;="&amp;A1367))*참고!$C$31:$C$130)/100,0)</f>
        <v>0</v>
      </c>
      <c r="J1367" s="31" t="str">
        <f t="shared" si="64"/>
        <v/>
      </c>
      <c r="K1367" s="43">
        <f>IF(B1367="매도",IFERROR(SUMPRODUCT((참고!$A$31:$A$130=C1367)*(참고!$B$31:$B$130&lt;=A1367)*(참고!$B$31:$B$130=_xludf.MAXIFS(참고!$B$31:$B$130,참고!$A$31:$A$130,C1367,참고!$B$31:$B$130,"&lt;="&amp;A1367))*참고!$D$31:$D$130)/100,0),0)</f>
        <v>0</v>
      </c>
      <c r="L1367" s="31" t="str">
        <f t="shared" si="65"/>
        <v/>
      </c>
      <c r="M1367" s="39"/>
    </row>
    <row r="1368" spans="1:13" ht="18" customHeight="1" x14ac:dyDescent="0.45">
      <c r="A1368" s="37"/>
      <c r="B1368" s="29"/>
      <c r="C1368" s="29"/>
      <c r="D1368" s="28"/>
      <c r="E1368" s="30" t="str">
        <f>IFERROR(VLOOKUP(D1368,KRX종목마스터!$A:$B,2,FALSE),"")</f>
        <v/>
      </c>
      <c r="F1368" s="42"/>
      <c r="G1368" s="42"/>
      <c r="H1368" s="31" t="str">
        <f t="shared" si="63"/>
        <v/>
      </c>
      <c r="I1368" s="43">
        <f ca="1">IFERROR(SUMPRODUCT((참고!$A$31:$A$130=C1368)*(참고!$B$31:$B$130&lt;=A1368)*(참고!$B$31:$B$130=_xludf.MAXIFS(참고!$B$31:$B$130,참고!$A$31:$A$130,C1368,참고!$B$31:$B$130,"&lt;="&amp;A1368))*참고!$C$31:$C$130)/100,0)</f>
        <v>0</v>
      </c>
      <c r="J1368" s="31" t="str">
        <f t="shared" si="64"/>
        <v/>
      </c>
      <c r="K1368" s="43">
        <f>IF(B1368="매도",IFERROR(SUMPRODUCT((참고!$A$31:$A$130=C1368)*(참고!$B$31:$B$130&lt;=A1368)*(참고!$B$31:$B$130=_xludf.MAXIFS(참고!$B$31:$B$130,참고!$A$31:$A$130,C1368,참고!$B$31:$B$130,"&lt;="&amp;A1368))*참고!$D$31:$D$130)/100,0),0)</f>
        <v>0</v>
      </c>
      <c r="L1368" s="31" t="str">
        <f t="shared" si="65"/>
        <v/>
      </c>
      <c r="M1368" s="39"/>
    </row>
    <row r="1369" spans="1:13" ht="18" customHeight="1" x14ac:dyDescent="0.45">
      <c r="A1369" s="37"/>
      <c r="B1369" s="29"/>
      <c r="C1369" s="29"/>
      <c r="D1369" s="28"/>
      <c r="E1369" s="30" t="str">
        <f>IFERROR(VLOOKUP(D1369,KRX종목마스터!$A:$B,2,FALSE),"")</f>
        <v/>
      </c>
      <c r="F1369" s="42"/>
      <c r="G1369" s="42"/>
      <c r="H1369" s="31" t="str">
        <f t="shared" si="63"/>
        <v/>
      </c>
      <c r="I1369" s="43">
        <f ca="1">IFERROR(SUMPRODUCT((참고!$A$31:$A$130=C1369)*(참고!$B$31:$B$130&lt;=A1369)*(참고!$B$31:$B$130=_xludf.MAXIFS(참고!$B$31:$B$130,참고!$A$31:$A$130,C1369,참고!$B$31:$B$130,"&lt;="&amp;A1369))*참고!$C$31:$C$130)/100,0)</f>
        <v>0</v>
      </c>
      <c r="J1369" s="31" t="str">
        <f t="shared" si="64"/>
        <v/>
      </c>
      <c r="K1369" s="43">
        <f>IF(B1369="매도",IFERROR(SUMPRODUCT((참고!$A$31:$A$130=C1369)*(참고!$B$31:$B$130&lt;=A1369)*(참고!$B$31:$B$130=_xludf.MAXIFS(참고!$B$31:$B$130,참고!$A$31:$A$130,C1369,참고!$B$31:$B$130,"&lt;="&amp;A1369))*참고!$D$31:$D$130)/100,0),0)</f>
        <v>0</v>
      </c>
      <c r="L1369" s="31" t="str">
        <f t="shared" si="65"/>
        <v/>
      </c>
      <c r="M1369" s="39"/>
    </row>
    <row r="1370" spans="1:13" ht="18" customHeight="1" x14ac:dyDescent="0.45">
      <c r="A1370" s="37"/>
      <c r="B1370" s="29"/>
      <c r="C1370" s="29"/>
      <c r="D1370" s="28"/>
      <c r="E1370" s="30" t="str">
        <f>IFERROR(VLOOKUP(D1370,KRX종목마스터!$A:$B,2,FALSE),"")</f>
        <v/>
      </c>
      <c r="F1370" s="42"/>
      <c r="G1370" s="42"/>
      <c r="H1370" s="31" t="str">
        <f t="shared" si="63"/>
        <v/>
      </c>
      <c r="I1370" s="43">
        <f ca="1">IFERROR(SUMPRODUCT((참고!$A$31:$A$130=C1370)*(참고!$B$31:$B$130&lt;=A1370)*(참고!$B$31:$B$130=_xludf.MAXIFS(참고!$B$31:$B$130,참고!$A$31:$A$130,C1370,참고!$B$31:$B$130,"&lt;="&amp;A1370))*참고!$C$31:$C$130)/100,0)</f>
        <v>0</v>
      </c>
      <c r="J1370" s="31" t="str">
        <f t="shared" si="64"/>
        <v/>
      </c>
      <c r="K1370" s="43">
        <f>IF(B1370="매도",IFERROR(SUMPRODUCT((참고!$A$31:$A$130=C1370)*(참고!$B$31:$B$130&lt;=A1370)*(참고!$B$31:$B$130=_xludf.MAXIFS(참고!$B$31:$B$130,참고!$A$31:$A$130,C1370,참고!$B$31:$B$130,"&lt;="&amp;A1370))*참고!$D$31:$D$130)/100,0),0)</f>
        <v>0</v>
      </c>
      <c r="L1370" s="31" t="str">
        <f t="shared" si="65"/>
        <v/>
      </c>
      <c r="M1370" s="39"/>
    </row>
    <row r="1371" spans="1:13" ht="18" customHeight="1" x14ac:dyDescent="0.45">
      <c r="A1371" s="37"/>
      <c r="B1371" s="29"/>
      <c r="C1371" s="29"/>
      <c r="D1371" s="28"/>
      <c r="E1371" s="30" t="str">
        <f>IFERROR(VLOOKUP(D1371,KRX종목마스터!$A:$B,2,FALSE),"")</f>
        <v/>
      </c>
      <c r="F1371" s="42"/>
      <c r="G1371" s="42"/>
      <c r="H1371" s="31" t="str">
        <f t="shared" si="63"/>
        <v/>
      </c>
      <c r="I1371" s="43">
        <f ca="1">IFERROR(SUMPRODUCT((참고!$A$31:$A$130=C1371)*(참고!$B$31:$B$130&lt;=A1371)*(참고!$B$31:$B$130=_xludf.MAXIFS(참고!$B$31:$B$130,참고!$A$31:$A$130,C1371,참고!$B$31:$B$130,"&lt;="&amp;A1371))*참고!$C$31:$C$130)/100,0)</f>
        <v>0</v>
      </c>
      <c r="J1371" s="31" t="str">
        <f t="shared" si="64"/>
        <v/>
      </c>
      <c r="K1371" s="43">
        <f>IF(B1371="매도",IFERROR(SUMPRODUCT((참고!$A$31:$A$130=C1371)*(참고!$B$31:$B$130&lt;=A1371)*(참고!$B$31:$B$130=_xludf.MAXIFS(참고!$B$31:$B$130,참고!$A$31:$A$130,C1371,참고!$B$31:$B$130,"&lt;="&amp;A1371))*참고!$D$31:$D$130)/100,0),0)</f>
        <v>0</v>
      </c>
      <c r="L1371" s="31" t="str">
        <f t="shared" si="65"/>
        <v/>
      </c>
      <c r="M1371" s="39"/>
    </row>
    <row r="1372" spans="1:13" ht="18" customHeight="1" x14ac:dyDescent="0.45">
      <c r="A1372" s="37"/>
      <c r="B1372" s="29"/>
      <c r="C1372" s="29"/>
      <c r="D1372" s="28"/>
      <c r="E1372" s="30" t="str">
        <f>IFERROR(VLOOKUP(D1372,KRX종목마스터!$A:$B,2,FALSE),"")</f>
        <v/>
      </c>
      <c r="F1372" s="42"/>
      <c r="G1372" s="42"/>
      <c r="H1372" s="31" t="str">
        <f t="shared" si="63"/>
        <v/>
      </c>
      <c r="I1372" s="43">
        <f ca="1">IFERROR(SUMPRODUCT((참고!$A$31:$A$130=C1372)*(참고!$B$31:$B$130&lt;=A1372)*(참고!$B$31:$B$130=_xludf.MAXIFS(참고!$B$31:$B$130,참고!$A$31:$A$130,C1372,참고!$B$31:$B$130,"&lt;="&amp;A1372))*참고!$C$31:$C$130)/100,0)</f>
        <v>0</v>
      </c>
      <c r="J1372" s="31" t="str">
        <f t="shared" si="64"/>
        <v/>
      </c>
      <c r="K1372" s="43">
        <f>IF(B1372="매도",IFERROR(SUMPRODUCT((참고!$A$31:$A$130=C1372)*(참고!$B$31:$B$130&lt;=A1372)*(참고!$B$31:$B$130=_xludf.MAXIFS(참고!$B$31:$B$130,참고!$A$31:$A$130,C1372,참고!$B$31:$B$130,"&lt;="&amp;A1372))*참고!$D$31:$D$130)/100,0),0)</f>
        <v>0</v>
      </c>
      <c r="L1372" s="31" t="str">
        <f t="shared" si="65"/>
        <v/>
      </c>
      <c r="M1372" s="39"/>
    </row>
    <row r="1373" spans="1:13" ht="18" customHeight="1" x14ac:dyDescent="0.45">
      <c r="A1373" s="37"/>
      <c r="B1373" s="29"/>
      <c r="C1373" s="29"/>
      <c r="D1373" s="28"/>
      <c r="E1373" s="30" t="str">
        <f>IFERROR(VLOOKUP(D1373,KRX종목마스터!$A:$B,2,FALSE),"")</f>
        <v/>
      </c>
      <c r="F1373" s="42"/>
      <c r="G1373" s="42"/>
      <c r="H1373" s="31" t="str">
        <f t="shared" si="63"/>
        <v/>
      </c>
      <c r="I1373" s="43">
        <f ca="1">IFERROR(SUMPRODUCT((참고!$A$31:$A$130=C1373)*(참고!$B$31:$B$130&lt;=A1373)*(참고!$B$31:$B$130=_xludf.MAXIFS(참고!$B$31:$B$130,참고!$A$31:$A$130,C1373,참고!$B$31:$B$130,"&lt;="&amp;A1373))*참고!$C$31:$C$130)/100,0)</f>
        <v>0</v>
      </c>
      <c r="J1373" s="31" t="str">
        <f t="shared" si="64"/>
        <v/>
      </c>
      <c r="K1373" s="43">
        <f>IF(B1373="매도",IFERROR(SUMPRODUCT((참고!$A$31:$A$130=C1373)*(참고!$B$31:$B$130&lt;=A1373)*(참고!$B$31:$B$130=_xludf.MAXIFS(참고!$B$31:$B$130,참고!$A$31:$A$130,C1373,참고!$B$31:$B$130,"&lt;="&amp;A1373))*참고!$D$31:$D$130)/100,0),0)</f>
        <v>0</v>
      </c>
      <c r="L1373" s="31" t="str">
        <f t="shared" si="65"/>
        <v/>
      </c>
      <c r="M1373" s="39"/>
    </row>
    <row r="1374" spans="1:13" ht="18" customHeight="1" x14ac:dyDescent="0.45">
      <c r="A1374" s="37"/>
      <c r="B1374" s="29"/>
      <c r="C1374" s="29"/>
      <c r="D1374" s="28"/>
      <c r="E1374" s="30" t="str">
        <f>IFERROR(VLOOKUP(D1374,KRX종목마스터!$A:$B,2,FALSE),"")</f>
        <v/>
      </c>
      <c r="F1374" s="42"/>
      <c r="G1374" s="42"/>
      <c r="H1374" s="31" t="str">
        <f t="shared" si="63"/>
        <v/>
      </c>
      <c r="I1374" s="43">
        <f ca="1">IFERROR(SUMPRODUCT((참고!$A$31:$A$130=C1374)*(참고!$B$31:$B$130&lt;=A1374)*(참고!$B$31:$B$130=_xludf.MAXIFS(참고!$B$31:$B$130,참고!$A$31:$A$130,C1374,참고!$B$31:$B$130,"&lt;="&amp;A1374))*참고!$C$31:$C$130)/100,0)</f>
        <v>0</v>
      </c>
      <c r="J1374" s="31" t="str">
        <f t="shared" si="64"/>
        <v/>
      </c>
      <c r="K1374" s="43">
        <f>IF(B1374="매도",IFERROR(SUMPRODUCT((참고!$A$31:$A$130=C1374)*(참고!$B$31:$B$130&lt;=A1374)*(참고!$B$31:$B$130=_xludf.MAXIFS(참고!$B$31:$B$130,참고!$A$31:$A$130,C1374,참고!$B$31:$B$130,"&lt;="&amp;A1374))*참고!$D$31:$D$130)/100,0),0)</f>
        <v>0</v>
      </c>
      <c r="L1374" s="31" t="str">
        <f t="shared" si="65"/>
        <v/>
      </c>
      <c r="M1374" s="39"/>
    </row>
    <row r="1375" spans="1:13" ht="18" customHeight="1" x14ac:dyDescent="0.45">
      <c r="A1375" s="37"/>
      <c r="B1375" s="29"/>
      <c r="C1375" s="29"/>
      <c r="D1375" s="28"/>
      <c r="E1375" s="30" t="str">
        <f>IFERROR(VLOOKUP(D1375,KRX종목마스터!$A:$B,2,FALSE),"")</f>
        <v/>
      </c>
      <c r="F1375" s="42"/>
      <c r="G1375" s="42"/>
      <c r="H1375" s="31" t="str">
        <f t="shared" si="63"/>
        <v/>
      </c>
      <c r="I1375" s="43">
        <f ca="1">IFERROR(SUMPRODUCT((참고!$A$31:$A$130=C1375)*(참고!$B$31:$B$130&lt;=A1375)*(참고!$B$31:$B$130=_xludf.MAXIFS(참고!$B$31:$B$130,참고!$A$31:$A$130,C1375,참고!$B$31:$B$130,"&lt;="&amp;A1375))*참고!$C$31:$C$130)/100,0)</f>
        <v>0</v>
      </c>
      <c r="J1375" s="31" t="str">
        <f t="shared" si="64"/>
        <v/>
      </c>
      <c r="K1375" s="43">
        <f>IF(B1375="매도",IFERROR(SUMPRODUCT((참고!$A$31:$A$130=C1375)*(참고!$B$31:$B$130&lt;=A1375)*(참고!$B$31:$B$130=_xludf.MAXIFS(참고!$B$31:$B$130,참고!$A$31:$A$130,C1375,참고!$B$31:$B$130,"&lt;="&amp;A1375))*참고!$D$31:$D$130)/100,0),0)</f>
        <v>0</v>
      </c>
      <c r="L1375" s="31" t="str">
        <f t="shared" si="65"/>
        <v/>
      </c>
      <c r="M1375" s="39"/>
    </row>
    <row r="1376" spans="1:13" ht="18" customHeight="1" x14ac:dyDescent="0.45">
      <c r="A1376" s="37"/>
      <c r="B1376" s="29"/>
      <c r="C1376" s="29"/>
      <c r="D1376" s="28"/>
      <c r="E1376" s="30" t="str">
        <f>IFERROR(VLOOKUP(D1376,KRX종목마스터!$A:$B,2,FALSE),"")</f>
        <v/>
      </c>
      <c r="F1376" s="42"/>
      <c r="G1376" s="42"/>
      <c r="H1376" s="31" t="str">
        <f t="shared" si="63"/>
        <v/>
      </c>
      <c r="I1376" s="43">
        <f ca="1">IFERROR(SUMPRODUCT((참고!$A$31:$A$130=C1376)*(참고!$B$31:$B$130&lt;=A1376)*(참고!$B$31:$B$130=_xludf.MAXIFS(참고!$B$31:$B$130,참고!$A$31:$A$130,C1376,참고!$B$31:$B$130,"&lt;="&amp;A1376))*참고!$C$31:$C$130)/100,0)</f>
        <v>0</v>
      </c>
      <c r="J1376" s="31" t="str">
        <f t="shared" si="64"/>
        <v/>
      </c>
      <c r="K1376" s="43">
        <f>IF(B1376="매도",IFERROR(SUMPRODUCT((참고!$A$31:$A$130=C1376)*(참고!$B$31:$B$130&lt;=A1376)*(참고!$B$31:$B$130=_xludf.MAXIFS(참고!$B$31:$B$130,참고!$A$31:$A$130,C1376,참고!$B$31:$B$130,"&lt;="&amp;A1376))*참고!$D$31:$D$130)/100,0),0)</f>
        <v>0</v>
      </c>
      <c r="L1376" s="31" t="str">
        <f t="shared" si="65"/>
        <v/>
      </c>
      <c r="M1376" s="39"/>
    </row>
    <row r="1377" spans="1:13" ht="18" customHeight="1" x14ac:dyDescent="0.45">
      <c r="A1377" s="37"/>
      <c r="B1377" s="29"/>
      <c r="C1377" s="29"/>
      <c r="D1377" s="28"/>
      <c r="E1377" s="30" t="str">
        <f>IFERROR(VLOOKUP(D1377,KRX종목마스터!$A:$B,2,FALSE),"")</f>
        <v/>
      </c>
      <c r="F1377" s="42"/>
      <c r="G1377" s="42"/>
      <c r="H1377" s="31" t="str">
        <f t="shared" si="63"/>
        <v/>
      </c>
      <c r="I1377" s="43">
        <f ca="1">IFERROR(SUMPRODUCT((참고!$A$31:$A$130=C1377)*(참고!$B$31:$B$130&lt;=A1377)*(참고!$B$31:$B$130=_xludf.MAXIFS(참고!$B$31:$B$130,참고!$A$31:$A$130,C1377,참고!$B$31:$B$130,"&lt;="&amp;A1377))*참고!$C$31:$C$130)/100,0)</f>
        <v>0</v>
      </c>
      <c r="J1377" s="31" t="str">
        <f t="shared" si="64"/>
        <v/>
      </c>
      <c r="K1377" s="43">
        <f>IF(B1377="매도",IFERROR(SUMPRODUCT((참고!$A$31:$A$130=C1377)*(참고!$B$31:$B$130&lt;=A1377)*(참고!$B$31:$B$130=_xludf.MAXIFS(참고!$B$31:$B$130,참고!$A$31:$A$130,C1377,참고!$B$31:$B$130,"&lt;="&amp;A1377))*참고!$D$31:$D$130)/100,0),0)</f>
        <v>0</v>
      </c>
      <c r="L1377" s="31" t="str">
        <f t="shared" si="65"/>
        <v/>
      </c>
      <c r="M1377" s="39"/>
    </row>
    <row r="1378" spans="1:13" ht="18" customHeight="1" x14ac:dyDescent="0.45">
      <c r="A1378" s="37"/>
      <c r="B1378" s="29"/>
      <c r="C1378" s="29"/>
      <c r="D1378" s="28"/>
      <c r="E1378" s="30" t="str">
        <f>IFERROR(VLOOKUP(D1378,KRX종목마스터!$A:$B,2,FALSE),"")</f>
        <v/>
      </c>
      <c r="F1378" s="42"/>
      <c r="G1378" s="42"/>
      <c r="H1378" s="31" t="str">
        <f t="shared" si="63"/>
        <v/>
      </c>
      <c r="I1378" s="43">
        <f ca="1">IFERROR(SUMPRODUCT((참고!$A$31:$A$130=C1378)*(참고!$B$31:$B$130&lt;=A1378)*(참고!$B$31:$B$130=_xludf.MAXIFS(참고!$B$31:$B$130,참고!$A$31:$A$130,C1378,참고!$B$31:$B$130,"&lt;="&amp;A1378))*참고!$C$31:$C$130)/100,0)</f>
        <v>0</v>
      </c>
      <c r="J1378" s="31" t="str">
        <f t="shared" si="64"/>
        <v/>
      </c>
      <c r="K1378" s="43">
        <f>IF(B1378="매도",IFERROR(SUMPRODUCT((참고!$A$31:$A$130=C1378)*(참고!$B$31:$B$130&lt;=A1378)*(참고!$B$31:$B$130=_xludf.MAXIFS(참고!$B$31:$B$130,참고!$A$31:$A$130,C1378,참고!$B$31:$B$130,"&lt;="&amp;A1378))*참고!$D$31:$D$130)/100,0),0)</f>
        <v>0</v>
      </c>
      <c r="L1378" s="31" t="str">
        <f t="shared" si="65"/>
        <v/>
      </c>
      <c r="M1378" s="39"/>
    </row>
    <row r="1379" spans="1:13" ht="18" customHeight="1" x14ac:dyDescent="0.45">
      <c r="A1379" s="37"/>
      <c r="B1379" s="29"/>
      <c r="C1379" s="29"/>
      <c r="D1379" s="28"/>
      <c r="E1379" s="30" t="str">
        <f>IFERROR(VLOOKUP(D1379,KRX종목마스터!$A:$B,2,FALSE),"")</f>
        <v/>
      </c>
      <c r="F1379" s="42"/>
      <c r="G1379" s="42"/>
      <c r="H1379" s="31" t="str">
        <f t="shared" si="63"/>
        <v/>
      </c>
      <c r="I1379" s="43">
        <f ca="1">IFERROR(SUMPRODUCT((참고!$A$31:$A$130=C1379)*(참고!$B$31:$B$130&lt;=A1379)*(참고!$B$31:$B$130=_xludf.MAXIFS(참고!$B$31:$B$130,참고!$A$31:$A$130,C1379,참고!$B$31:$B$130,"&lt;="&amp;A1379))*참고!$C$31:$C$130)/100,0)</f>
        <v>0</v>
      </c>
      <c r="J1379" s="31" t="str">
        <f t="shared" si="64"/>
        <v/>
      </c>
      <c r="K1379" s="43">
        <f>IF(B1379="매도",IFERROR(SUMPRODUCT((참고!$A$31:$A$130=C1379)*(참고!$B$31:$B$130&lt;=A1379)*(참고!$B$31:$B$130=_xludf.MAXIFS(참고!$B$31:$B$130,참고!$A$31:$A$130,C1379,참고!$B$31:$B$130,"&lt;="&amp;A1379))*참고!$D$31:$D$130)/100,0),0)</f>
        <v>0</v>
      </c>
      <c r="L1379" s="31" t="str">
        <f t="shared" si="65"/>
        <v/>
      </c>
      <c r="M1379" s="39"/>
    </row>
    <row r="1380" spans="1:13" ht="18" customHeight="1" x14ac:dyDescent="0.45">
      <c r="A1380" s="37"/>
      <c r="B1380" s="29"/>
      <c r="C1380" s="29"/>
      <c r="D1380" s="28"/>
      <c r="E1380" s="30" t="str">
        <f>IFERROR(VLOOKUP(D1380,KRX종목마스터!$A:$B,2,FALSE),"")</f>
        <v/>
      </c>
      <c r="F1380" s="42"/>
      <c r="G1380" s="42"/>
      <c r="H1380" s="31" t="str">
        <f t="shared" si="63"/>
        <v/>
      </c>
      <c r="I1380" s="43">
        <f ca="1">IFERROR(SUMPRODUCT((참고!$A$31:$A$130=C1380)*(참고!$B$31:$B$130&lt;=A1380)*(참고!$B$31:$B$130=_xludf.MAXIFS(참고!$B$31:$B$130,참고!$A$31:$A$130,C1380,참고!$B$31:$B$130,"&lt;="&amp;A1380))*참고!$C$31:$C$130)/100,0)</f>
        <v>0</v>
      </c>
      <c r="J1380" s="31" t="str">
        <f t="shared" si="64"/>
        <v/>
      </c>
      <c r="K1380" s="43">
        <f>IF(B1380="매도",IFERROR(SUMPRODUCT((참고!$A$31:$A$130=C1380)*(참고!$B$31:$B$130&lt;=A1380)*(참고!$B$31:$B$130=_xludf.MAXIFS(참고!$B$31:$B$130,참고!$A$31:$A$130,C1380,참고!$B$31:$B$130,"&lt;="&amp;A1380))*참고!$D$31:$D$130)/100,0),0)</f>
        <v>0</v>
      </c>
      <c r="L1380" s="31" t="str">
        <f t="shared" si="65"/>
        <v/>
      </c>
      <c r="M1380" s="39"/>
    </row>
    <row r="1381" spans="1:13" ht="18" customHeight="1" x14ac:dyDescent="0.45">
      <c r="A1381" s="37"/>
      <c r="B1381" s="29"/>
      <c r="C1381" s="29"/>
      <c r="D1381" s="28"/>
      <c r="E1381" s="30" t="str">
        <f>IFERROR(VLOOKUP(D1381,KRX종목마스터!$A:$B,2,FALSE),"")</f>
        <v/>
      </c>
      <c r="F1381" s="42"/>
      <c r="G1381" s="42"/>
      <c r="H1381" s="31" t="str">
        <f t="shared" si="63"/>
        <v/>
      </c>
      <c r="I1381" s="43">
        <f ca="1">IFERROR(SUMPRODUCT((참고!$A$31:$A$130=C1381)*(참고!$B$31:$B$130&lt;=A1381)*(참고!$B$31:$B$130=_xludf.MAXIFS(참고!$B$31:$B$130,참고!$A$31:$A$130,C1381,참고!$B$31:$B$130,"&lt;="&amp;A1381))*참고!$C$31:$C$130)/100,0)</f>
        <v>0</v>
      </c>
      <c r="J1381" s="31" t="str">
        <f t="shared" si="64"/>
        <v/>
      </c>
      <c r="K1381" s="43">
        <f>IF(B1381="매도",IFERROR(SUMPRODUCT((참고!$A$31:$A$130=C1381)*(참고!$B$31:$B$130&lt;=A1381)*(참고!$B$31:$B$130=_xludf.MAXIFS(참고!$B$31:$B$130,참고!$A$31:$A$130,C1381,참고!$B$31:$B$130,"&lt;="&amp;A1381))*참고!$D$31:$D$130)/100,0),0)</f>
        <v>0</v>
      </c>
      <c r="L1381" s="31" t="str">
        <f t="shared" si="65"/>
        <v/>
      </c>
      <c r="M1381" s="39"/>
    </row>
    <row r="1382" spans="1:13" ht="18" customHeight="1" x14ac:dyDescent="0.45">
      <c r="A1382" s="37"/>
      <c r="B1382" s="29"/>
      <c r="C1382" s="29"/>
      <c r="D1382" s="28"/>
      <c r="E1382" s="30" t="str">
        <f>IFERROR(VLOOKUP(D1382,KRX종목마스터!$A:$B,2,FALSE),"")</f>
        <v/>
      </c>
      <c r="F1382" s="42"/>
      <c r="G1382" s="42"/>
      <c r="H1382" s="31" t="str">
        <f t="shared" si="63"/>
        <v/>
      </c>
      <c r="I1382" s="43">
        <f ca="1">IFERROR(SUMPRODUCT((참고!$A$31:$A$130=C1382)*(참고!$B$31:$B$130&lt;=A1382)*(참고!$B$31:$B$130=_xludf.MAXIFS(참고!$B$31:$B$130,참고!$A$31:$A$130,C1382,참고!$B$31:$B$130,"&lt;="&amp;A1382))*참고!$C$31:$C$130)/100,0)</f>
        <v>0</v>
      </c>
      <c r="J1382" s="31" t="str">
        <f t="shared" si="64"/>
        <v/>
      </c>
      <c r="K1382" s="43">
        <f>IF(B1382="매도",IFERROR(SUMPRODUCT((참고!$A$31:$A$130=C1382)*(참고!$B$31:$B$130&lt;=A1382)*(참고!$B$31:$B$130=_xludf.MAXIFS(참고!$B$31:$B$130,참고!$A$31:$A$130,C1382,참고!$B$31:$B$130,"&lt;="&amp;A1382))*참고!$D$31:$D$130)/100,0),0)</f>
        <v>0</v>
      </c>
      <c r="L1382" s="31" t="str">
        <f t="shared" si="65"/>
        <v/>
      </c>
      <c r="M1382" s="39"/>
    </row>
    <row r="1383" spans="1:13" ht="18" customHeight="1" x14ac:dyDescent="0.45">
      <c r="A1383" s="37"/>
      <c r="B1383" s="29"/>
      <c r="C1383" s="29"/>
      <c r="D1383" s="28"/>
      <c r="E1383" s="30" t="str">
        <f>IFERROR(VLOOKUP(D1383,KRX종목마스터!$A:$B,2,FALSE),"")</f>
        <v/>
      </c>
      <c r="F1383" s="42"/>
      <c r="G1383" s="42"/>
      <c r="H1383" s="31" t="str">
        <f t="shared" si="63"/>
        <v/>
      </c>
      <c r="I1383" s="43">
        <f ca="1">IFERROR(SUMPRODUCT((참고!$A$31:$A$130=C1383)*(참고!$B$31:$B$130&lt;=A1383)*(참고!$B$31:$B$130=_xludf.MAXIFS(참고!$B$31:$B$130,참고!$A$31:$A$130,C1383,참고!$B$31:$B$130,"&lt;="&amp;A1383))*참고!$C$31:$C$130)/100,0)</f>
        <v>0</v>
      </c>
      <c r="J1383" s="31" t="str">
        <f t="shared" si="64"/>
        <v/>
      </c>
      <c r="K1383" s="43">
        <f>IF(B1383="매도",IFERROR(SUMPRODUCT((참고!$A$31:$A$130=C1383)*(참고!$B$31:$B$130&lt;=A1383)*(참고!$B$31:$B$130=_xludf.MAXIFS(참고!$B$31:$B$130,참고!$A$31:$A$130,C1383,참고!$B$31:$B$130,"&lt;="&amp;A1383))*참고!$D$31:$D$130)/100,0),0)</f>
        <v>0</v>
      </c>
      <c r="L1383" s="31" t="str">
        <f t="shared" si="65"/>
        <v/>
      </c>
      <c r="M1383" s="39"/>
    </row>
    <row r="1384" spans="1:13" ht="18" customHeight="1" x14ac:dyDescent="0.45">
      <c r="A1384" s="37"/>
      <c r="B1384" s="29"/>
      <c r="C1384" s="29"/>
      <c r="D1384" s="28"/>
      <c r="E1384" s="30" t="str">
        <f>IFERROR(VLOOKUP(D1384,KRX종목마스터!$A:$B,2,FALSE),"")</f>
        <v/>
      </c>
      <c r="F1384" s="42"/>
      <c r="G1384" s="42"/>
      <c r="H1384" s="31" t="str">
        <f t="shared" si="63"/>
        <v/>
      </c>
      <c r="I1384" s="43">
        <f ca="1">IFERROR(SUMPRODUCT((참고!$A$31:$A$130=C1384)*(참고!$B$31:$B$130&lt;=A1384)*(참고!$B$31:$B$130=_xludf.MAXIFS(참고!$B$31:$B$130,참고!$A$31:$A$130,C1384,참고!$B$31:$B$130,"&lt;="&amp;A1384))*참고!$C$31:$C$130)/100,0)</f>
        <v>0</v>
      </c>
      <c r="J1384" s="31" t="str">
        <f t="shared" si="64"/>
        <v/>
      </c>
      <c r="K1384" s="43">
        <f>IF(B1384="매도",IFERROR(SUMPRODUCT((참고!$A$31:$A$130=C1384)*(참고!$B$31:$B$130&lt;=A1384)*(참고!$B$31:$B$130=_xludf.MAXIFS(참고!$B$31:$B$130,참고!$A$31:$A$130,C1384,참고!$B$31:$B$130,"&lt;="&amp;A1384))*참고!$D$31:$D$130)/100,0),0)</f>
        <v>0</v>
      </c>
      <c r="L1384" s="31" t="str">
        <f t="shared" si="65"/>
        <v/>
      </c>
      <c r="M1384" s="39"/>
    </row>
    <row r="1385" spans="1:13" ht="18" customHeight="1" x14ac:dyDescent="0.45">
      <c r="A1385" s="37"/>
      <c r="B1385" s="29"/>
      <c r="C1385" s="29"/>
      <c r="D1385" s="28"/>
      <c r="E1385" s="30" t="str">
        <f>IFERROR(VLOOKUP(D1385,KRX종목마스터!$A:$B,2,FALSE),"")</f>
        <v/>
      </c>
      <c r="F1385" s="42"/>
      <c r="G1385" s="42"/>
      <c r="H1385" s="31" t="str">
        <f t="shared" si="63"/>
        <v/>
      </c>
      <c r="I1385" s="43">
        <f ca="1">IFERROR(SUMPRODUCT((참고!$A$31:$A$130=C1385)*(참고!$B$31:$B$130&lt;=A1385)*(참고!$B$31:$B$130=_xludf.MAXIFS(참고!$B$31:$B$130,참고!$A$31:$A$130,C1385,참고!$B$31:$B$130,"&lt;="&amp;A1385))*참고!$C$31:$C$130)/100,0)</f>
        <v>0</v>
      </c>
      <c r="J1385" s="31" t="str">
        <f t="shared" si="64"/>
        <v/>
      </c>
      <c r="K1385" s="43">
        <f>IF(B1385="매도",IFERROR(SUMPRODUCT((참고!$A$31:$A$130=C1385)*(참고!$B$31:$B$130&lt;=A1385)*(참고!$B$31:$B$130=_xludf.MAXIFS(참고!$B$31:$B$130,참고!$A$31:$A$130,C1385,참고!$B$31:$B$130,"&lt;="&amp;A1385))*참고!$D$31:$D$130)/100,0),0)</f>
        <v>0</v>
      </c>
      <c r="L1385" s="31" t="str">
        <f t="shared" si="65"/>
        <v/>
      </c>
      <c r="M1385" s="39"/>
    </row>
    <row r="1386" spans="1:13" ht="18" customHeight="1" x14ac:dyDescent="0.45">
      <c r="A1386" s="37"/>
      <c r="B1386" s="29"/>
      <c r="C1386" s="29"/>
      <c r="D1386" s="28"/>
      <c r="E1386" s="30" t="str">
        <f>IFERROR(VLOOKUP(D1386,KRX종목마스터!$A:$B,2,FALSE),"")</f>
        <v/>
      </c>
      <c r="F1386" s="42"/>
      <c r="G1386" s="42"/>
      <c r="H1386" s="31" t="str">
        <f t="shared" si="63"/>
        <v/>
      </c>
      <c r="I1386" s="43">
        <f ca="1">IFERROR(SUMPRODUCT((참고!$A$31:$A$130=C1386)*(참고!$B$31:$B$130&lt;=A1386)*(참고!$B$31:$B$130=_xludf.MAXIFS(참고!$B$31:$B$130,참고!$A$31:$A$130,C1386,참고!$B$31:$B$130,"&lt;="&amp;A1386))*참고!$C$31:$C$130)/100,0)</f>
        <v>0</v>
      </c>
      <c r="J1386" s="31" t="str">
        <f t="shared" si="64"/>
        <v/>
      </c>
      <c r="K1386" s="43">
        <f>IF(B1386="매도",IFERROR(SUMPRODUCT((참고!$A$31:$A$130=C1386)*(참고!$B$31:$B$130&lt;=A1386)*(참고!$B$31:$B$130=_xludf.MAXIFS(참고!$B$31:$B$130,참고!$A$31:$A$130,C1386,참고!$B$31:$B$130,"&lt;="&amp;A1386))*참고!$D$31:$D$130)/100,0),0)</f>
        <v>0</v>
      </c>
      <c r="L1386" s="31" t="str">
        <f t="shared" si="65"/>
        <v/>
      </c>
      <c r="M1386" s="39"/>
    </row>
    <row r="1387" spans="1:13" ht="18" customHeight="1" x14ac:dyDescent="0.45">
      <c r="A1387" s="37"/>
      <c r="B1387" s="29"/>
      <c r="C1387" s="29"/>
      <c r="D1387" s="28"/>
      <c r="E1387" s="30" t="str">
        <f>IFERROR(VLOOKUP(D1387,KRX종목마스터!$A:$B,2,FALSE),"")</f>
        <v/>
      </c>
      <c r="F1387" s="42"/>
      <c r="G1387" s="42"/>
      <c r="H1387" s="31" t="str">
        <f t="shared" si="63"/>
        <v/>
      </c>
      <c r="I1387" s="43">
        <f ca="1">IFERROR(SUMPRODUCT((참고!$A$31:$A$130=C1387)*(참고!$B$31:$B$130&lt;=A1387)*(참고!$B$31:$B$130=_xludf.MAXIFS(참고!$B$31:$B$130,참고!$A$31:$A$130,C1387,참고!$B$31:$B$130,"&lt;="&amp;A1387))*참고!$C$31:$C$130)/100,0)</f>
        <v>0</v>
      </c>
      <c r="J1387" s="31" t="str">
        <f t="shared" si="64"/>
        <v/>
      </c>
      <c r="K1387" s="43">
        <f>IF(B1387="매도",IFERROR(SUMPRODUCT((참고!$A$31:$A$130=C1387)*(참고!$B$31:$B$130&lt;=A1387)*(참고!$B$31:$B$130=_xludf.MAXIFS(참고!$B$31:$B$130,참고!$A$31:$A$130,C1387,참고!$B$31:$B$130,"&lt;="&amp;A1387))*참고!$D$31:$D$130)/100,0),0)</f>
        <v>0</v>
      </c>
      <c r="L1387" s="31" t="str">
        <f t="shared" si="65"/>
        <v/>
      </c>
      <c r="M1387" s="39"/>
    </row>
    <row r="1388" spans="1:13" ht="18" customHeight="1" x14ac:dyDescent="0.45">
      <c r="A1388" s="37"/>
      <c r="B1388" s="29"/>
      <c r="C1388" s="29"/>
      <c r="D1388" s="28"/>
      <c r="E1388" s="30" t="str">
        <f>IFERROR(VLOOKUP(D1388,KRX종목마스터!$A:$B,2,FALSE),"")</f>
        <v/>
      </c>
      <c r="F1388" s="42"/>
      <c r="G1388" s="42"/>
      <c r="H1388" s="31" t="str">
        <f t="shared" si="63"/>
        <v/>
      </c>
      <c r="I1388" s="43">
        <f ca="1">IFERROR(SUMPRODUCT((참고!$A$31:$A$130=C1388)*(참고!$B$31:$B$130&lt;=A1388)*(참고!$B$31:$B$130=_xludf.MAXIFS(참고!$B$31:$B$130,참고!$A$31:$A$130,C1388,참고!$B$31:$B$130,"&lt;="&amp;A1388))*참고!$C$31:$C$130)/100,0)</f>
        <v>0</v>
      </c>
      <c r="J1388" s="31" t="str">
        <f t="shared" si="64"/>
        <v/>
      </c>
      <c r="K1388" s="43">
        <f>IF(B1388="매도",IFERROR(SUMPRODUCT((참고!$A$31:$A$130=C1388)*(참고!$B$31:$B$130&lt;=A1388)*(참고!$B$31:$B$130=_xludf.MAXIFS(참고!$B$31:$B$130,참고!$A$31:$A$130,C1388,참고!$B$31:$B$130,"&lt;="&amp;A1388))*참고!$D$31:$D$130)/100,0),0)</f>
        <v>0</v>
      </c>
      <c r="L1388" s="31" t="str">
        <f t="shared" si="65"/>
        <v/>
      </c>
      <c r="M1388" s="39"/>
    </row>
    <row r="1389" spans="1:13" ht="18" customHeight="1" x14ac:dyDescent="0.45">
      <c r="A1389" s="37"/>
      <c r="B1389" s="29"/>
      <c r="C1389" s="29"/>
      <c r="D1389" s="28"/>
      <c r="E1389" s="30" t="str">
        <f>IFERROR(VLOOKUP(D1389,KRX종목마스터!$A:$B,2,FALSE),"")</f>
        <v/>
      </c>
      <c r="F1389" s="42"/>
      <c r="G1389" s="42"/>
      <c r="H1389" s="31" t="str">
        <f t="shared" si="63"/>
        <v/>
      </c>
      <c r="I1389" s="43">
        <f ca="1">IFERROR(SUMPRODUCT((참고!$A$31:$A$130=C1389)*(참고!$B$31:$B$130&lt;=A1389)*(참고!$B$31:$B$130=_xludf.MAXIFS(참고!$B$31:$B$130,참고!$A$31:$A$130,C1389,참고!$B$31:$B$130,"&lt;="&amp;A1389))*참고!$C$31:$C$130)/100,0)</f>
        <v>0</v>
      </c>
      <c r="J1389" s="31" t="str">
        <f t="shared" si="64"/>
        <v/>
      </c>
      <c r="K1389" s="43">
        <f>IF(B1389="매도",IFERROR(SUMPRODUCT((참고!$A$31:$A$130=C1389)*(참고!$B$31:$B$130&lt;=A1389)*(참고!$B$31:$B$130=_xludf.MAXIFS(참고!$B$31:$B$130,참고!$A$31:$A$130,C1389,참고!$B$31:$B$130,"&lt;="&amp;A1389))*참고!$D$31:$D$130)/100,0),0)</f>
        <v>0</v>
      </c>
      <c r="L1389" s="31" t="str">
        <f t="shared" si="65"/>
        <v/>
      </c>
      <c r="M1389" s="39"/>
    </row>
    <row r="1390" spans="1:13" ht="18" customHeight="1" x14ac:dyDescent="0.45">
      <c r="A1390" s="37"/>
      <c r="B1390" s="29"/>
      <c r="C1390" s="29"/>
      <c r="D1390" s="28"/>
      <c r="E1390" s="30" t="str">
        <f>IFERROR(VLOOKUP(D1390,KRX종목마스터!$A:$B,2,FALSE),"")</f>
        <v/>
      </c>
      <c r="F1390" s="42"/>
      <c r="G1390" s="42"/>
      <c r="H1390" s="31" t="str">
        <f t="shared" si="63"/>
        <v/>
      </c>
      <c r="I1390" s="43">
        <f ca="1">IFERROR(SUMPRODUCT((참고!$A$31:$A$130=C1390)*(참고!$B$31:$B$130&lt;=A1390)*(참고!$B$31:$B$130=_xludf.MAXIFS(참고!$B$31:$B$130,참고!$A$31:$A$130,C1390,참고!$B$31:$B$130,"&lt;="&amp;A1390))*참고!$C$31:$C$130)/100,0)</f>
        <v>0</v>
      </c>
      <c r="J1390" s="31" t="str">
        <f t="shared" si="64"/>
        <v/>
      </c>
      <c r="K1390" s="43">
        <f>IF(B1390="매도",IFERROR(SUMPRODUCT((참고!$A$31:$A$130=C1390)*(참고!$B$31:$B$130&lt;=A1390)*(참고!$B$31:$B$130=_xludf.MAXIFS(참고!$B$31:$B$130,참고!$A$31:$A$130,C1390,참고!$B$31:$B$130,"&lt;="&amp;A1390))*참고!$D$31:$D$130)/100,0),0)</f>
        <v>0</v>
      </c>
      <c r="L1390" s="31" t="str">
        <f t="shared" si="65"/>
        <v/>
      </c>
      <c r="M1390" s="39"/>
    </row>
    <row r="1391" spans="1:13" ht="18" customHeight="1" x14ac:dyDescent="0.45">
      <c r="A1391" s="37"/>
      <c r="B1391" s="29"/>
      <c r="C1391" s="29"/>
      <c r="D1391" s="28"/>
      <c r="E1391" s="30" t="str">
        <f>IFERROR(VLOOKUP(D1391,KRX종목마스터!$A:$B,2,FALSE),"")</f>
        <v/>
      </c>
      <c r="F1391" s="42"/>
      <c r="G1391" s="42"/>
      <c r="H1391" s="31" t="str">
        <f t="shared" si="63"/>
        <v/>
      </c>
      <c r="I1391" s="43">
        <f ca="1">IFERROR(SUMPRODUCT((참고!$A$31:$A$130=C1391)*(참고!$B$31:$B$130&lt;=A1391)*(참고!$B$31:$B$130=_xludf.MAXIFS(참고!$B$31:$B$130,참고!$A$31:$A$130,C1391,참고!$B$31:$B$130,"&lt;="&amp;A1391))*참고!$C$31:$C$130)/100,0)</f>
        <v>0</v>
      </c>
      <c r="J1391" s="31" t="str">
        <f t="shared" si="64"/>
        <v/>
      </c>
      <c r="K1391" s="43">
        <f>IF(B1391="매도",IFERROR(SUMPRODUCT((참고!$A$31:$A$130=C1391)*(참고!$B$31:$B$130&lt;=A1391)*(참고!$B$31:$B$130=_xludf.MAXIFS(참고!$B$31:$B$130,참고!$A$31:$A$130,C1391,참고!$B$31:$B$130,"&lt;="&amp;A1391))*참고!$D$31:$D$130)/100,0),0)</f>
        <v>0</v>
      </c>
      <c r="L1391" s="31" t="str">
        <f t="shared" si="65"/>
        <v/>
      </c>
      <c r="M1391" s="39"/>
    </row>
    <row r="1392" spans="1:13" ht="18" customHeight="1" x14ac:dyDescent="0.45">
      <c r="A1392" s="37"/>
      <c r="B1392" s="29"/>
      <c r="C1392" s="29"/>
      <c r="D1392" s="28"/>
      <c r="E1392" s="30" t="str">
        <f>IFERROR(VLOOKUP(D1392,KRX종목마스터!$A:$B,2,FALSE),"")</f>
        <v/>
      </c>
      <c r="F1392" s="42"/>
      <c r="G1392" s="42"/>
      <c r="H1392" s="31" t="str">
        <f t="shared" si="63"/>
        <v/>
      </c>
      <c r="I1392" s="43">
        <f ca="1">IFERROR(SUMPRODUCT((참고!$A$31:$A$130=C1392)*(참고!$B$31:$B$130&lt;=A1392)*(참고!$B$31:$B$130=_xludf.MAXIFS(참고!$B$31:$B$130,참고!$A$31:$A$130,C1392,참고!$B$31:$B$130,"&lt;="&amp;A1392))*참고!$C$31:$C$130)/100,0)</f>
        <v>0</v>
      </c>
      <c r="J1392" s="31" t="str">
        <f t="shared" si="64"/>
        <v/>
      </c>
      <c r="K1392" s="43">
        <f>IF(B1392="매도",IFERROR(SUMPRODUCT((참고!$A$31:$A$130=C1392)*(참고!$B$31:$B$130&lt;=A1392)*(참고!$B$31:$B$130=_xludf.MAXIFS(참고!$B$31:$B$130,참고!$A$31:$A$130,C1392,참고!$B$31:$B$130,"&lt;="&amp;A1392))*참고!$D$31:$D$130)/100,0),0)</f>
        <v>0</v>
      </c>
      <c r="L1392" s="31" t="str">
        <f t="shared" si="65"/>
        <v/>
      </c>
      <c r="M1392" s="39"/>
    </row>
    <row r="1393" spans="1:13" ht="18" customHeight="1" x14ac:dyDescent="0.45">
      <c r="A1393" s="37"/>
      <c r="B1393" s="29"/>
      <c r="C1393" s="29"/>
      <c r="D1393" s="28"/>
      <c r="E1393" s="30" t="str">
        <f>IFERROR(VLOOKUP(D1393,KRX종목마스터!$A:$B,2,FALSE),"")</f>
        <v/>
      </c>
      <c r="F1393" s="42"/>
      <c r="G1393" s="42"/>
      <c r="H1393" s="31" t="str">
        <f t="shared" si="63"/>
        <v/>
      </c>
      <c r="I1393" s="43">
        <f ca="1">IFERROR(SUMPRODUCT((참고!$A$31:$A$130=C1393)*(참고!$B$31:$B$130&lt;=A1393)*(참고!$B$31:$B$130=_xludf.MAXIFS(참고!$B$31:$B$130,참고!$A$31:$A$130,C1393,참고!$B$31:$B$130,"&lt;="&amp;A1393))*참고!$C$31:$C$130)/100,0)</f>
        <v>0</v>
      </c>
      <c r="J1393" s="31" t="str">
        <f t="shared" si="64"/>
        <v/>
      </c>
      <c r="K1393" s="43">
        <f>IF(B1393="매도",IFERROR(SUMPRODUCT((참고!$A$31:$A$130=C1393)*(참고!$B$31:$B$130&lt;=A1393)*(참고!$B$31:$B$130=_xludf.MAXIFS(참고!$B$31:$B$130,참고!$A$31:$A$130,C1393,참고!$B$31:$B$130,"&lt;="&amp;A1393))*참고!$D$31:$D$130)/100,0),0)</f>
        <v>0</v>
      </c>
      <c r="L1393" s="31" t="str">
        <f t="shared" si="65"/>
        <v/>
      </c>
      <c r="M1393" s="39"/>
    </row>
    <row r="1394" spans="1:13" ht="18" customHeight="1" x14ac:dyDescent="0.45">
      <c r="A1394" s="37"/>
      <c r="B1394" s="29"/>
      <c r="C1394" s="29"/>
      <c r="D1394" s="28"/>
      <c r="E1394" s="30" t="str">
        <f>IFERROR(VLOOKUP(D1394,KRX종목마스터!$A:$B,2,FALSE),"")</f>
        <v/>
      </c>
      <c r="F1394" s="42"/>
      <c r="G1394" s="42"/>
      <c r="H1394" s="31" t="str">
        <f t="shared" si="63"/>
        <v/>
      </c>
      <c r="I1394" s="43">
        <f ca="1">IFERROR(SUMPRODUCT((참고!$A$31:$A$130=C1394)*(참고!$B$31:$B$130&lt;=A1394)*(참고!$B$31:$B$130=_xludf.MAXIFS(참고!$B$31:$B$130,참고!$A$31:$A$130,C1394,참고!$B$31:$B$130,"&lt;="&amp;A1394))*참고!$C$31:$C$130)/100,0)</f>
        <v>0</v>
      </c>
      <c r="J1394" s="31" t="str">
        <f t="shared" si="64"/>
        <v/>
      </c>
      <c r="K1394" s="43">
        <f>IF(B1394="매도",IFERROR(SUMPRODUCT((참고!$A$31:$A$130=C1394)*(참고!$B$31:$B$130&lt;=A1394)*(참고!$B$31:$B$130=_xludf.MAXIFS(참고!$B$31:$B$130,참고!$A$31:$A$130,C1394,참고!$B$31:$B$130,"&lt;="&amp;A1394))*참고!$D$31:$D$130)/100,0),0)</f>
        <v>0</v>
      </c>
      <c r="L1394" s="31" t="str">
        <f t="shared" si="65"/>
        <v/>
      </c>
      <c r="M1394" s="39"/>
    </row>
    <row r="1395" spans="1:13" ht="18" customHeight="1" x14ac:dyDescent="0.45">
      <c r="A1395" s="37"/>
      <c r="B1395" s="29"/>
      <c r="C1395" s="29"/>
      <c r="D1395" s="28"/>
      <c r="E1395" s="30" t="str">
        <f>IFERROR(VLOOKUP(D1395,KRX종목마스터!$A:$B,2,FALSE),"")</f>
        <v/>
      </c>
      <c r="F1395" s="42"/>
      <c r="G1395" s="42"/>
      <c r="H1395" s="31" t="str">
        <f t="shared" si="63"/>
        <v/>
      </c>
      <c r="I1395" s="43">
        <f ca="1">IFERROR(SUMPRODUCT((참고!$A$31:$A$130=C1395)*(참고!$B$31:$B$130&lt;=A1395)*(참고!$B$31:$B$130=_xludf.MAXIFS(참고!$B$31:$B$130,참고!$A$31:$A$130,C1395,참고!$B$31:$B$130,"&lt;="&amp;A1395))*참고!$C$31:$C$130)/100,0)</f>
        <v>0</v>
      </c>
      <c r="J1395" s="31" t="str">
        <f t="shared" si="64"/>
        <v/>
      </c>
      <c r="K1395" s="43">
        <f>IF(B1395="매도",IFERROR(SUMPRODUCT((참고!$A$31:$A$130=C1395)*(참고!$B$31:$B$130&lt;=A1395)*(참고!$B$31:$B$130=_xludf.MAXIFS(참고!$B$31:$B$130,참고!$A$31:$A$130,C1395,참고!$B$31:$B$130,"&lt;="&amp;A1395))*참고!$D$31:$D$130)/100,0),0)</f>
        <v>0</v>
      </c>
      <c r="L1395" s="31" t="str">
        <f t="shared" si="65"/>
        <v/>
      </c>
      <c r="M1395" s="39"/>
    </row>
    <row r="1396" spans="1:13" ht="18" customHeight="1" x14ac:dyDescent="0.45">
      <c r="A1396" s="37"/>
      <c r="B1396" s="29"/>
      <c r="C1396" s="29"/>
      <c r="D1396" s="28"/>
      <c r="E1396" s="30" t="str">
        <f>IFERROR(VLOOKUP(D1396,KRX종목마스터!$A:$B,2,FALSE),"")</f>
        <v/>
      </c>
      <c r="F1396" s="42"/>
      <c r="G1396" s="42"/>
      <c r="H1396" s="31" t="str">
        <f t="shared" si="63"/>
        <v/>
      </c>
      <c r="I1396" s="43">
        <f ca="1">IFERROR(SUMPRODUCT((참고!$A$31:$A$130=C1396)*(참고!$B$31:$B$130&lt;=A1396)*(참고!$B$31:$B$130=_xludf.MAXIFS(참고!$B$31:$B$130,참고!$A$31:$A$130,C1396,참고!$B$31:$B$130,"&lt;="&amp;A1396))*참고!$C$31:$C$130)/100,0)</f>
        <v>0</v>
      </c>
      <c r="J1396" s="31" t="str">
        <f t="shared" si="64"/>
        <v/>
      </c>
      <c r="K1396" s="43">
        <f>IF(B1396="매도",IFERROR(SUMPRODUCT((참고!$A$31:$A$130=C1396)*(참고!$B$31:$B$130&lt;=A1396)*(참고!$B$31:$B$130=_xludf.MAXIFS(참고!$B$31:$B$130,참고!$A$31:$A$130,C1396,참고!$B$31:$B$130,"&lt;="&amp;A1396))*참고!$D$31:$D$130)/100,0),0)</f>
        <v>0</v>
      </c>
      <c r="L1396" s="31" t="str">
        <f t="shared" si="65"/>
        <v/>
      </c>
      <c r="M1396" s="39"/>
    </row>
    <row r="1397" spans="1:13" ht="18" customHeight="1" x14ac:dyDescent="0.45">
      <c r="A1397" s="37"/>
      <c r="B1397" s="29"/>
      <c r="C1397" s="29"/>
      <c r="D1397" s="28"/>
      <c r="E1397" s="30" t="str">
        <f>IFERROR(VLOOKUP(D1397,KRX종목마스터!$A:$B,2,FALSE),"")</f>
        <v/>
      </c>
      <c r="F1397" s="42"/>
      <c r="G1397" s="42"/>
      <c r="H1397" s="31" t="str">
        <f t="shared" si="63"/>
        <v/>
      </c>
      <c r="I1397" s="43">
        <f ca="1">IFERROR(SUMPRODUCT((참고!$A$31:$A$130=C1397)*(참고!$B$31:$B$130&lt;=A1397)*(참고!$B$31:$B$130=_xludf.MAXIFS(참고!$B$31:$B$130,참고!$A$31:$A$130,C1397,참고!$B$31:$B$130,"&lt;="&amp;A1397))*참고!$C$31:$C$130)/100,0)</f>
        <v>0</v>
      </c>
      <c r="J1397" s="31" t="str">
        <f t="shared" si="64"/>
        <v/>
      </c>
      <c r="K1397" s="43">
        <f>IF(B1397="매도",IFERROR(SUMPRODUCT((참고!$A$31:$A$130=C1397)*(참고!$B$31:$B$130&lt;=A1397)*(참고!$B$31:$B$130=_xludf.MAXIFS(참고!$B$31:$B$130,참고!$A$31:$A$130,C1397,참고!$B$31:$B$130,"&lt;="&amp;A1397))*참고!$D$31:$D$130)/100,0),0)</f>
        <v>0</v>
      </c>
      <c r="L1397" s="31" t="str">
        <f t="shared" si="65"/>
        <v/>
      </c>
      <c r="M1397" s="39"/>
    </row>
    <row r="1398" spans="1:13" ht="18" customHeight="1" x14ac:dyDescent="0.45">
      <c r="A1398" s="37"/>
      <c r="B1398" s="29"/>
      <c r="C1398" s="29"/>
      <c r="D1398" s="28"/>
      <c r="E1398" s="30" t="str">
        <f>IFERROR(VLOOKUP(D1398,KRX종목마스터!$A:$B,2,FALSE),"")</f>
        <v/>
      </c>
      <c r="F1398" s="42"/>
      <c r="G1398" s="42"/>
      <c r="H1398" s="31" t="str">
        <f t="shared" si="63"/>
        <v/>
      </c>
      <c r="I1398" s="43">
        <f ca="1">IFERROR(SUMPRODUCT((참고!$A$31:$A$130=C1398)*(참고!$B$31:$B$130&lt;=A1398)*(참고!$B$31:$B$130=_xludf.MAXIFS(참고!$B$31:$B$130,참고!$A$31:$A$130,C1398,참고!$B$31:$B$130,"&lt;="&amp;A1398))*참고!$C$31:$C$130)/100,0)</f>
        <v>0</v>
      </c>
      <c r="J1398" s="31" t="str">
        <f t="shared" si="64"/>
        <v/>
      </c>
      <c r="K1398" s="43">
        <f>IF(B1398="매도",IFERROR(SUMPRODUCT((참고!$A$31:$A$130=C1398)*(참고!$B$31:$B$130&lt;=A1398)*(참고!$B$31:$B$130=_xludf.MAXIFS(참고!$B$31:$B$130,참고!$A$31:$A$130,C1398,참고!$B$31:$B$130,"&lt;="&amp;A1398))*참고!$D$31:$D$130)/100,0),0)</f>
        <v>0</v>
      </c>
      <c r="L1398" s="31" t="str">
        <f t="shared" si="65"/>
        <v/>
      </c>
      <c r="M1398" s="39"/>
    </row>
    <row r="1399" spans="1:13" ht="18" customHeight="1" x14ac:dyDescent="0.45">
      <c r="A1399" s="37"/>
      <c r="B1399" s="29"/>
      <c r="C1399" s="29"/>
      <c r="D1399" s="28"/>
      <c r="E1399" s="30" t="str">
        <f>IFERROR(VLOOKUP(D1399,KRX종목마스터!$A:$B,2,FALSE),"")</f>
        <v/>
      </c>
      <c r="F1399" s="42"/>
      <c r="G1399" s="42"/>
      <c r="H1399" s="31" t="str">
        <f t="shared" si="63"/>
        <v/>
      </c>
      <c r="I1399" s="43">
        <f ca="1">IFERROR(SUMPRODUCT((참고!$A$31:$A$130=C1399)*(참고!$B$31:$B$130&lt;=A1399)*(참고!$B$31:$B$130=_xludf.MAXIFS(참고!$B$31:$B$130,참고!$A$31:$A$130,C1399,참고!$B$31:$B$130,"&lt;="&amp;A1399))*참고!$C$31:$C$130)/100,0)</f>
        <v>0</v>
      </c>
      <c r="J1399" s="31" t="str">
        <f t="shared" si="64"/>
        <v/>
      </c>
      <c r="K1399" s="43">
        <f>IF(B1399="매도",IFERROR(SUMPRODUCT((참고!$A$31:$A$130=C1399)*(참고!$B$31:$B$130&lt;=A1399)*(참고!$B$31:$B$130=_xludf.MAXIFS(참고!$B$31:$B$130,참고!$A$31:$A$130,C1399,참고!$B$31:$B$130,"&lt;="&amp;A1399))*참고!$D$31:$D$130)/100,0),0)</f>
        <v>0</v>
      </c>
      <c r="L1399" s="31" t="str">
        <f t="shared" si="65"/>
        <v/>
      </c>
      <c r="M1399" s="39"/>
    </row>
    <row r="1400" spans="1:13" ht="18" customHeight="1" x14ac:dyDescent="0.45">
      <c r="A1400" s="37"/>
      <c r="B1400" s="29"/>
      <c r="C1400" s="29"/>
      <c r="D1400" s="28"/>
      <c r="E1400" s="30" t="str">
        <f>IFERROR(VLOOKUP(D1400,KRX종목마스터!$A:$B,2,FALSE),"")</f>
        <v/>
      </c>
      <c r="F1400" s="42"/>
      <c r="G1400" s="42"/>
      <c r="H1400" s="31" t="str">
        <f t="shared" si="63"/>
        <v/>
      </c>
      <c r="I1400" s="43">
        <f ca="1">IFERROR(SUMPRODUCT((참고!$A$31:$A$130=C1400)*(참고!$B$31:$B$130&lt;=A1400)*(참고!$B$31:$B$130=_xludf.MAXIFS(참고!$B$31:$B$130,참고!$A$31:$A$130,C1400,참고!$B$31:$B$130,"&lt;="&amp;A1400))*참고!$C$31:$C$130)/100,0)</f>
        <v>0</v>
      </c>
      <c r="J1400" s="31" t="str">
        <f t="shared" si="64"/>
        <v/>
      </c>
      <c r="K1400" s="43">
        <f>IF(B1400="매도",IFERROR(SUMPRODUCT((참고!$A$31:$A$130=C1400)*(참고!$B$31:$B$130&lt;=A1400)*(참고!$B$31:$B$130=_xludf.MAXIFS(참고!$B$31:$B$130,참고!$A$31:$A$130,C1400,참고!$B$31:$B$130,"&lt;="&amp;A1400))*참고!$D$31:$D$130)/100,0),0)</f>
        <v>0</v>
      </c>
      <c r="L1400" s="31" t="str">
        <f t="shared" si="65"/>
        <v/>
      </c>
      <c r="M1400" s="39"/>
    </row>
    <row r="1401" spans="1:13" ht="18" customHeight="1" x14ac:dyDescent="0.45">
      <c r="A1401" s="37"/>
      <c r="B1401" s="29"/>
      <c r="C1401" s="29"/>
      <c r="D1401" s="28"/>
      <c r="E1401" s="30" t="str">
        <f>IFERROR(VLOOKUP(D1401,KRX종목마스터!$A:$B,2,FALSE),"")</f>
        <v/>
      </c>
      <c r="F1401" s="42"/>
      <c r="G1401" s="42"/>
      <c r="H1401" s="31" t="str">
        <f t="shared" si="63"/>
        <v/>
      </c>
      <c r="I1401" s="43">
        <f ca="1">IFERROR(SUMPRODUCT((참고!$A$31:$A$130=C1401)*(참고!$B$31:$B$130&lt;=A1401)*(참고!$B$31:$B$130=_xludf.MAXIFS(참고!$B$31:$B$130,참고!$A$31:$A$130,C1401,참고!$B$31:$B$130,"&lt;="&amp;A1401))*참고!$C$31:$C$130)/100,0)</f>
        <v>0</v>
      </c>
      <c r="J1401" s="31" t="str">
        <f t="shared" si="64"/>
        <v/>
      </c>
      <c r="K1401" s="43">
        <f>IF(B1401="매도",IFERROR(SUMPRODUCT((참고!$A$31:$A$130=C1401)*(참고!$B$31:$B$130&lt;=A1401)*(참고!$B$31:$B$130=_xludf.MAXIFS(참고!$B$31:$B$130,참고!$A$31:$A$130,C1401,참고!$B$31:$B$130,"&lt;="&amp;A1401))*참고!$D$31:$D$130)/100,0),0)</f>
        <v>0</v>
      </c>
      <c r="L1401" s="31" t="str">
        <f t="shared" si="65"/>
        <v/>
      </c>
      <c r="M1401" s="39"/>
    </row>
    <row r="1402" spans="1:13" ht="18" customHeight="1" x14ac:dyDescent="0.45">
      <c r="A1402" s="37"/>
      <c r="B1402" s="29"/>
      <c r="C1402" s="29"/>
      <c r="D1402" s="28"/>
      <c r="E1402" s="30" t="str">
        <f>IFERROR(VLOOKUP(D1402,KRX종목마스터!$A:$B,2,FALSE),"")</f>
        <v/>
      </c>
      <c r="F1402" s="42"/>
      <c r="G1402" s="42"/>
      <c r="H1402" s="31" t="str">
        <f t="shared" si="63"/>
        <v/>
      </c>
      <c r="I1402" s="43">
        <f ca="1">IFERROR(SUMPRODUCT((참고!$A$31:$A$130=C1402)*(참고!$B$31:$B$130&lt;=A1402)*(참고!$B$31:$B$130=_xludf.MAXIFS(참고!$B$31:$B$130,참고!$A$31:$A$130,C1402,참고!$B$31:$B$130,"&lt;="&amp;A1402))*참고!$C$31:$C$130)/100,0)</f>
        <v>0</v>
      </c>
      <c r="J1402" s="31" t="str">
        <f t="shared" si="64"/>
        <v/>
      </c>
      <c r="K1402" s="43">
        <f>IF(B1402="매도",IFERROR(SUMPRODUCT((참고!$A$31:$A$130=C1402)*(참고!$B$31:$B$130&lt;=A1402)*(참고!$B$31:$B$130=_xludf.MAXIFS(참고!$B$31:$B$130,참고!$A$31:$A$130,C1402,참고!$B$31:$B$130,"&lt;="&amp;A1402))*참고!$D$31:$D$130)/100,0),0)</f>
        <v>0</v>
      </c>
      <c r="L1402" s="31" t="str">
        <f t="shared" si="65"/>
        <v/>
      </c>
      <c r="M1402" s="39"/>
    </row>
    <row r="1403" spans="1:13" ht="18" customHeight="1" x14ac:dyDescent="0.45">
      <c r="A1403" s="37"/>
      <c r="B1403" s="29"/>
      <c r="C1403" s="29"/>
      <c r="D1403" s="28"/>
      <c r="E1403" s="30" t="str">
        <f>IFERROR(VLOOKUP(D1403,KRX종목마스터!$A:$B,2,FALSE),"")</f>
        <v/>
      </c>
      <c r="F1403" s="42"/>
      <c r="G1403" s="42"/>
      <c r="H1403" s="31" t="str">
        <f t="shared" si="63"/>
        <v/>
      </c>
      <c r="I1403" s="43">
        <f ca="1">IFERROR(SUMPRODUCT((참고!$A$31:$A$130=C1403)*(참고!$B$31:$B$130&lt;=A1403)*(참고!$B$31:$B$130=_xludf.MAXIFS(참고!$B$31:$B$130,참고!$A$31:$A$130,C1403,참고!$B$31:$B$130,"&lt;="&amp;A1403))*참고!$C$31:$C$130)/100,0)</f>
        <v>0</v>
      </c>
      <c r="J1403" s="31" t="str">
        <f t="shared" si="64"/>
        <v/>
      </c>
      <c r="K1403" s="43">
        <f>IF(B1403="매도",IFERROR(SUMPRODUCT((참고!$A$31:$A$130=C1403)*(참고!$B$31:$B$130&lt;=A1403)*(참고!$B$31:$B$130=_xludf.MAXIFS(참고!$B$31:$B$130,참고!$A$31:$A$130,C1403,참고!$B$31:$B$130,"&lt;="&amp;A1403))*참고!$D$31:$D$130)/100,0),0)</f>
        <v>0</v>
      </c>
      <c r="L1403" s="31" t="str">
        <f t="shared" si="65"/>
        <v/>
      </c>
      <c r="M1403" s="39"/>
    </row>
    <row r="1404" spans="1:13" ht="18" customHeight="1" x14ac:dyDescent="0.45">
      <c r="A1404" s="37"/>
      <c r="B1404" s="29"/>
      <c r="C1404" s="29"/>
      <c r="D1404" s="28"/>
      <c r="E1404" s="30" t="str">
        <f>IFERROR(VLOOKUP(D1404,KRX종목마스터!$A:$B,2,FALSE),"")</f>
        <v/>
      </c>
      <c r="F1404" s="42"/>
      <c r="G1404" s="42"/>
      <c r="H1404" s="31" t="str">
        <f t="shared" si="63"/>
        <v/>
      </c>
      <c r="I1404" s="43">
        <f ca="1">IFERROR(SUMPRODUCT((참고!$A$31:$A$130=C1404)*(참고!$B$31:$B$130&lt;=A1404)*(참고!$B$31:$B$130=_xludf.MAXIFS(참고!$B$31:$B$130,참고!$A$31:$A$130,C1404,참고!$B$31:$B$130,"&lt;="&amp;A1404))*참고!$C$31:$C$130)/100,0)</f>
        <v>0</v>
      </c>
      <c r="J1404" s="31" t="str">
        <f t="shared" si="64"/>
        <v/>
      </c>
      <c r="K1404" s="43">
        <f>IF(B1404="매도",IFERROR(SUMPRODUCT((참고!$A$31:$A$130=C1404)*(참고!$B$31:$B$130&lt;=A1404)*(참고!$B$31:$B$130=_xludf.MAXIFS(참고!$B$31:$B$130,참고!$A$31:$A$130,C1404,참고!$B$31:$B$130,"&lt;="&amp;A1404))*참고!$D$31:$D$130)/100,0),0)</f>
        <v>0</v>
      </c>
      <c r="L1404" s="31" t="str">
        <f t="shared" si="65"/>
        <v/>
      </c>
      <c r="M1404" s="39"/>
    </row>
    <row r="1405" spans="1:13" ht="18" customHeight="1" x14ac:dyDescent="0.45">
      <c r="A1405" s="37"/>
      <c r="B1405" s="29"/>
      <c r="C1405" s="29"/>
      <c r="D1405" s="28"/>
      <c r="E1405" s="30" t="str">
        <f>IFERROR(VLOOKUP(D1405,KRX종목마스터!$A:$B,2,FALSE),"")</f>
        <v/>
      </c>
      <c r="F1405" s="42"/>
      <c r="G1405" s="42"/>
      <c r="H1405" s="31" t="str">
        <f t="shared" si="63"/>
        <v/>
      </c>
      <c r="I1405" s="43">
        <f ca="1">IFERROR(SUMPRODUCT((참고!$A$31:$A$130=C1405)*(참고!$B$31:$B$130&lt;=A1405)*(참고!$B$31:$B$130=_xludf.MAXIFS(참고!$B$31:$B$130,참고!$A$31:$A$130,C1405,참고!$B$31:$B$130,"&lt;="&amp;A1405))*참고!$C$31:$C$130)/100,0)</f>
        <v>0</v>
      </c>
      <c r="J1405" s="31" t="str">
        <f t="shared" si="64"/>
        <v/>
      </c>
      <c r="K1405" s="43">
        <f>IF(B1405="매도",IFERROR(SUMPRODUCT((참고!$A$31:$A$130=C1405)*(참고!$B$31:$B$130&lt;=A1405)*(참고!$B$31:$B$130=_xludf.MAXIFS(참고!$B$31:$B$130,참고!$A$31:$A$130,C1405,참고!$B$31:$B$130,"&lt;="&amp;A1405))*참고!$D$31:$D$130)/100,0),0)</f>
        <v>0</v>
      </c>
      <c r="L1405" s="31" t="str">
        <f t="shared" si="65"/>
        <v/>
      </c>
      <c r="M1405" s="39"/>
    </row>
    <row r="1406" spans="1:13" ht="18" customHeight="1" x14ac:dyDescent="0.45">
      <c r="A1406" s="37"/>
      <c r="B1406" s="29"/>
      <c r="C1406" s="29"/>
      <c r="D1406" s="28"/>
      <c r="E1406" s="30" t="str">
        <f>IFERROR(VLOOKUP(D1406,KRX종목마스터!$A:$B,2,FALSE),"")</f>
        <v/>
      </c>
      <c r="F1406" s="42"/>
      <c r="G1406" s="42"/>
      <c r="H1406" s="31" t="str">
        <f t="shared" si="63"/>
        <v/>
      </c>
      <c r="I1406" s="43">
        <f ca="1">IFERROR(SUMPRODUCT((참고!$A$31:$A$130=C1406)*(참고!$B$31:$B$130&lt;=A1406)*(참고!$B$31:$B$130=_xludf.MAXIFS(참고!$B$31:$B$130,참고!$A$31:$A$130,C1406,참고!$B$31:$B$130,"&lt;="&amp;A1406))*참고!$C$31:$C$130)/100,0)</f>
        <v>0</v>
      </c>
      <c r="J1406" s="31" t="str">
        <f t="shared" si="64"/>
        <v/>
      </c>
      <c r="K1406" s="43">
        <f>IF(B1406="매도",IFERROR(SUMPRODUCT((참고!$A$31:$A$130=C1406)*(참고!$B$31:$B$130&lt;=A1406)*(참고!$B$31:$B$130=_xludf.MAXIFS(참고!$B$31:$B$130,참고!$A$31:$A$130,C1406,참고!$B$31:$B$130,"&lt;="&amp;A1406))*참고!$D$31:$D$130)/100,0),0)</f>
        <v>0</v>
      </c>
      <c r="L1406" s="31" t="str">
        <f t="shared" si="65"/>
        <v/>
      </c>
      <c r="M1406" s="39"/>
    </row>
    <row r="1407" spans="1:13" ht="18" customHeight="1" x14ac:dyDescent="0.45">
      <c r="A1407" s="37"/>
      <c r="B1407" s="29"/>
      <c r="C1407" s="29"/>
      <c r="D1407" s="28"/>
      <c r="E1407" s="30" t="str">
        <f>IFERROR(VLOOKUP(D1407,KRX종목마스터!$A:$B,2,FALSE),"")</f>
        <v/>
      </c>
      <c r="F1407" s="42"/>
      <c r="G1407" s="42"/>
      <c r="H1407" s="31" t="str">
        <f t="shared" si="63"/>
        <v/>
      </c>
      <c r="I1407" s="43">
        <f ca="1">IFERROR(SUMPRODUCT((참고!$A$31:$A$130=C1407)*(참고!$B$31:$B$130&lt;=A1407)*(참고!$B$31:$B$130=_xludf.MAXIFS(참고!$B$31:$B$130,참고!$A$31:$A$130,C1407,참고!$B$31:$B$130,"&lt;="&amp;A1407))*참고!$C$31:$C$130)/100,0)</f>
        <v>0</v>
      </c>
      <c r="J1407" s="31" t="str">
        <f t="shared" si="64"/>
        <v/>
      </c>
      <c r="K1407" s="43">
        <f>IF(B1407="매도",IFERROR(SUMPRODUCT((참고!$A$31:$A$130=C1407)*(참고!$B$31:$B$130&lt;=A1407)*(참고!$B$31:$B$130=_xludf.MAXIFS(참고!$B$31:$B$130,참고!$A$31:$A$130,C1407,참고!$B$31:$B$130,"&lt;="&amp;A1407))*참고!$D$31:$D$130)/100,0),0)</f>
        <v>0</v>
      </c>
      <c r="L1407" s="31" t="str">
        <f t="shared" si="65"/>
        <v/>
      </c>
      <c r="M1407" s="39"/>
    </row>
    <row r="1408" spans="1:13" ht="18" customHeight="1" x14ac:dyDescent="0.45">
      <c r="A1408" s="37"/>
      <c r="B1408" s="29"/>
      <c r="C1408" s="29"/>
      <c r="D1408" s="28"/>
      <c r="E1408" s="30" t="str">
        <f>IFERROR(VLOOKUP(D1408,KRX종목마스터!$A:$B,2,FALSE),"")</f>
        <v/>
      </c>
      <c r="F1408" s="42"/>
      <c r="G1408" s="42"/>
      <c r="H1408" s="31" t="str">
        <f t="shared" si="63"/>
        <v/>
      </c>
      <c r="I1408" s="43">
        <f ca="1">IFERROR(SUMPRODUCT((참고!$A$31:$A$130=C1408)*(참고!$B$31:$B$130&lt;=A1408)*(참고!$B$31:$B$130=_xludf.MAXIFS(참고!$B$31:$B$130,참고!$A$31:$A$130,C1408,참고!$B$31:$B$130,"&lt;="&amp;A1408))*참고!$C$31:$C$130)/100,0)</f>
        <v>0</v>
      </c>
      <c r="J1408" s="31" t="str">
        <f t="shared" si="64"/>
        <v/>
      </c>
      <c r="K1408" s="43">
        <f>IF(B1408="매도",IFERROR(SUMPRODUCT((참고!$A$31:$A$130=C1408)*(참고!$B$31:$B$130&lt;=A1408)*(참고!$B$31:$B$130=_xludf.MAXIFS(참고!$B$31:$B$130,참고!$A$31:$A$130,C1408,참고!$B$31:$B$130,"&lt;="&amp;A1408))*참고!$D$31:$D$130)/100,0),0)</f>
        <v>0</v>
      </c>
      <c r="L1408" s="31" t="str">
        <f t="shared" si="65"/>
        <v/>
      </c>
      <c r="M1408" s="39"/>
    </row>
    <row r="1409" spans="1:13" ht="18" customHeight="1" x14ac:dyDescent="0.45">
      <c r="A1409" s="37"/>
      <c r="B1409" s="29"/>
      <c r="C1409" s="29"/>
      <c r="D1409" s="28"/>
      <c r="E1409" s="30" t="str">
        <f>IFERROR(VLOOKUP(D1409,KRX종목마스터!$A:$B,2,FALSE),"")</f>
        <v/>
      </c>
      <c r="F1409" s="42"/>
      <c r="G1409" s="42"/>
      <c r="H1409" s="31" t="str">
        <f t="shared" si="63"/>
        <v/>
      </c>
      <c r="I1409" s="43">
        <f ca="1">IFERROR(SUMPRODUCT((참고!$A$31:$A$130=C1409)*(참고!$B$31:$B$130&lt;=A1409)*(참고!$B$31:$B$130=_xludf.MAXIFS(참고!$B$31:$B$130,참고!$A$31:$A$130,C1409,참고!$B$31:$B$130,"&lt;="&amp;A1409))*참고!$C$31:$C$130)/100,0)</f>
        <v>0</v>
      </c>
      <c r="J1409" s="31" t="str">
        <f t="shared" si="64"/>
        <v/>
      </c>
      <c r="K1409" s="43">
        <f>IF(B1409="매도",IFERROR(SUMPRODUCT((참고!$A$31:$A$130=C1409)*(참고!$B$31:$B$130&lt;=A1409)*(참고!$B$31:$B$130=_xludf.MAXIFS(참고!$B$31:$B$130,참고!$A$31:$A$130,C1409,참고!$B$31:$B$130,"&lt;="&amp;A1409))*참고!$D$31:$D$130)/100,0),0)</f>
        <v>0</v>
      </c>
      <c r="L1409" s="31" t="str">
        <f t="shared" si="65"/>
        <v/>
      </c>
      <c r="M1409" s="39"/>
    </row>
    <row r="1410" spans="1:13" ht="18" customHeight="1" x14ac:dyDescent="0.45">
      <c r="A1410" s="37"/>
      <c r="B1410" s="29"/>
      <c r="C1410" s="29"/>
      <c r="D1410" s="28"/>
      <c r="E1410" s="30" t="str">
        <f>IFERROR(VLOOKUP(D1410,KRX종목마스터!$A:$B,2,FALSE),"")</f>
        <v/>
      </c>
      <c r="F1410" s="42"/>
      <c r="G1410" s="42"/>
      <c r="H1410" s="31" t="str">
        <f t="shared" si="63"/>
        <v/>
      </c>
      <c r="I1410" s="43">
        <f ca="1">IFERROR(SUMPRODUCT((참고!$A$31:$A$130=C1410)*(참고!$B$31:$B$130&lt;=A1410)*(참고!$B$31:$B$130=_xludf.MAXIFS(참고!$B$31:$B$130,참고!$A$31:$A$130,C1410,참고!$B$31:$B$130,"&lt;="&amp;A1410))*참고!$C$31:$C$130)/100,0)</f>
        <v>0</v>
      </c>
      <c r="J1410" s="31" t="str">
        <f t="shared" si="64"/>
        <v/>
      </c>
      <c r="K1410" s="43">
        <f>IF(B1410="매도",IFERROR(SUMPRODUCT((참고!$A$31:$A$130=C1410)*(참고!$B$31:$B$130&lt;=A1410)*(참고!$B$31:$B$130=_xludf.MAXIFS(참고!$B$31:$B$130,참고!$A$31:$A$130,C1410,참고!$B$31:$B$130,"&lt;="&amp;A1410))*참고!$D$31:$D$130)/100,0),0)</f>
        <v>0</v>
      </c>
      <c r="L1410" s="31" t="str">
        <f t="shared" si="65"/>
        <v/>
      </c>
      <c r="M1410" s="39"/>
    </row>
    <row r="1411" spans="1:13" ht="18" customHeight="1" x14ac:dyDescent="0.45">
      <c r="A1411" s="37"/>
      <c r="B1411" s="29"/>
      <c r="C1411" s="29"/>
      <c r="D1411" s="28"/>
      <c r="E1411" s="30" t="str">
        <f>IFERROR(VLOOKUP(D1411,KRX종목마스터!$A:$B,2,FALSE),"")</f>
        <v/>
      </c>
      <c r="F1411" s="42"/>
      <c r="G1411" s="42"/>
      <c r="H1411" s="31" t="str">
        <f t="shared" si="63"/>
        <v/>
      </c>
      <c r="I1411" s="43">
        <f ca="1">IFERROR(SUMPRODUCT((참고!$A$31:$A$130=C1411)*(참고!$B$31:$B$130&lt;=A1411)*(참고!$B$31:$B$130=_xludf.MAXIFS(참고!$B$31:$B$130,참고!$A$31:$A$130,C1411,참고!$B$31:$B$130,"&lt;="&amp;A1411))*참고!$C$31:$C$130)/100,0)</f>
        <v>0</v>
      </c>
      <c r="J1411" s="31" t="str">
        <f t="shared" si="64"/>
        <v/>
      </c>
      <c r="K1411" s="43">
        <f>IF(B1411="매도",IFERROR(SUMPRODUCT((참고!$A$31:$A$130=C1411)*(참고!$B$31:$B$130&lt;=A1411)*(참고!$B$31:$B$130=_xludf.MAXIFS(참고!$B$31:$B$130,참고!$A$31:$A$130,C1411,참고!$B$31:$B$130,"&lt;="&amp;A1411))*참고!$D$31:$D$130)/100,0),0)</f>
        <v>0</v>
      </c>
      <c r="L1411" s="31" t="str">
        <f t="shared" si="65"/>
        <v/>
      </c>
      <c r="M1411" s="39"/>
    </row>
    <row r="1412" spans="1:13" ht="18" customHeight="1" x14ac:dyDescent="0.45">
      <c r="A1412" s="37"/>
      <c r="B1412" s="29"/>
      <c r="C1412" s="29"/>
      <c r="D1412" s="28"/>
      <c r="E1412" s="30" t="str">
        <f>IFERROR(VLOOKUP(D1412,KRX종목마스터!$A:$B,2,FALSE),"")</f>
        <v/>
      </c>
      <c r="F1412" s="42"/>
      <c r="G1412" s="42"/>
      <c r="H1412" s="31" t="str">
        <f t="shared" si="63"/>
        <v/>
      </c>
      <c r="I1412" s="43">
        <f ca="1">IFERROR(SUMPRODUCT((참고!$A$31:$A$130=C1412)*(참고!$B$31:$B$130&lt;=A1412)*(참고!$B$31:$B$130=_xludf.MAXIFS(참고!$B$31:$B$130,참고!$A$31:$A$130,C1412,참고!$B$31:$B$130,"&lt;="&amp;A1412))*참고!$C$31:$C$130)/100,0)</f>
        <v>0</v>
      </c>
      <c r="J1412" s="31" t="str">
        <f t="shared" si="64"/>
        <v/>
      </c>
      <c r="K1412" s="43">
        <f>IF(B1412="매도",IFERROR(SUMPRODUCT((참고!$A$31:$A$130=C1412)*(참고!$B$31:$B$130&lt;=A1412)*(참고!$B$31:$B$130=_xludf.MAXIFS(참고!$B$31:$B$130,참고!$A$31:$A$130,C1412,참고!$B$31:$B$130,"&lt;="&amp;A1412))*참고!$D$31:$D$130)/100,0),0)</f>
        <v>0</v>
      </c>
      <c r="L1412" s="31" t="str">
        <f t="shared" si="65"/>
        <v/>
      </c>
      <c r="M1412" s="39"/>
    </row>
    <row r="1413" spans="1:13" ht="18" customHeight="1" x14ac:dyDescent="0.45">
      <c r="A1413" s="37"/>
      <c r="B1413" s="29"/>
      <c r="C1413" s="29"/>
      <c r="D1413" s="28"/>
      <c r="E1413" s="30" t="str">
        <f>IFERROR(VLOOKUP(D1413,KRX종목마스터!$A:$B,2,FALSE),"")</f>
        <v/>
      </c>
      <c r="F1413" s="42"/>
      <c r="G1413" s="42"/>
      <c r="H1413" s="31" t="str">
        <f t="shared" ref="H1413:H1476" si="66">IF(AND(F1413&lt;&gt;"",G1413&lt;&gt;""),F1413*G1413,"")</f>
        <v/>
      </c>
      <c r="I1413" s="43">
        <f ca="1">IFERROR(SUMPRODUCT((참고!$A$31:$A$130=C1413)*(참고!$B$31:$B$130&lt;=A1413)*(참고!$B$31:$B$130=_xludf.MAXIFS(참고!$B$31:$B$130,참고!$A$31:$A$130,C1413,참고!$B$31:$B$130,"&lt;="&amp;A1413))*참고!$C$31:$C$130)/100,0)</f>
        <v>0</v>
      </c>
      <c r="J1413" s="31" t="str">
        <f t="shared" ref="J1413:J1476" si="67">IF(H1413="","",ROUND(H1413*I1413,0))</f>
        <v/>
      </c>
      <c r="K1413" s="43">
        <f>IF(B1413="매도",IFERROR(SUMPRODUCT((참고!$A$31:$A$130=C1413)*(참고!$B$31:$B$130&lt;=A1413)*(참고!$B$31:$B$130=_xludf.MAXIFS(참고!$B$31:$B$130,참고!$A$31:$A$130,C1413,참고!$B$31:$B$130,"&lt;="&amp;A1413))*참고!$D$31:$D$130)/100,0),0)</f>
        <v>0</v>
      </c>
      <c r="L1413" s="31" t="str">
        <f t="shared" ref="L1413:L1476" si="68">IF(H1413="","",ROUND(H1413*K1413,0))</f>
        <v/>
      </c>
      <c r="M1413" s="39"/>
    </row>
    <row r="1414" spans="1:13" ht="18" customHeight="1" x14ac:dyDescent="0.45">
      <c r="A1414" s="37"/>
      <c r="B1414" s="29"/>
      <c r="C1414" s="29"/>
      <c r="D1414" s="28"/>
      <c r="E1414" s="30" t="str">
        <f>IFERROR(VLOOKUP(D1414,KRX종목마스터!$A:$B,2,FALSE),"")</f>
        <v/>
      </c>
      <c r="F1414" s="42"/>
      <c r="G1414" s="42"/>
      <c r="H1414" s="31" t="str">
        <f t="shared" si="66"/>
        <v/>
      </c>
      <c r="I1414" s="43">
        <f ca="1">IFERROR(SUMPRODUCT((참고!$A$31:$A$130=C1414)*(참고!$B$31:$B$130&lt;=A1414)*(참고!$B$31:$B$130=_xludf.MAXIFS(참고!$B$31:$B$130,참고!$A$31:$A$130,C1414,참고!$B$31:$B$130,"&lt;="&amp;A1414))*참고!$C$31:$C$130)/100,0)</f>
        <v>0</v>
      </c>
      <c r="J1414" s="31" t="str">
        <f t="shared" si="67"/>
        <v/>
      </c>
      <c r="K1414" s="43">
        <f>IF(B1414="매도",IFERROR(SUMPRODUCT((참고!$A$31:$A$130=C1414)*(참고!$B$31:$B$130&lt;=A1414)*(참고!$B$31:$B$130=_xludf.MAXIFS(참고!$B$31:$B$130,참고!$A$31:$A$130,C1414,참고!$B$31:$B$130,"&lt;="&amp;A1414))*참고!$D$31:$D$130)/100,0),0)</f>
        <v>0</v>
      </c>
      <c r="L1414" s="31" t="str">
        <f t="shared" si="68"/>
        <v/>
      </c>
      <c r="M1414" s="39"/>
    </row>
    <row r="1415" spans="1:13" ht="18" customHeight="1" x14ac:dyDescent="0.45">
      <c r="A1415" s="37"/>
      <c r="B1415" s="29"/>
      <c r="C1415" s="29"/>
      <c r="D1415" s="28"/>
      <c r="E1415" s="30" t="str">
        <f>IFERROR(VLOOKUP(D1415,KRX종목마스터!$A:$B,2,FALSE),"")</f>
        <v/>
      </c>
      <c r="F1415" s="42"/>
      <c r="G1415" s="42"/>
      <c r="H1415" s="31" t="str">
        <f t="shared" si="66"/>
        <v/>
      </c>
      <c r="I1415" s="43">
        <f ca="1">IFERROR(SUMPRODUCT((참고!$A$31:$A$130=C1415)*(참고!$B$31:$B$130&lt;=A1415)*(참고!$B$31:$B$130=_xludf.MAXIFS(참고!$B$31:$B$130,참고!$A$31:$A$130,C1415,참고!$B$31:$B$130,"&lt;="&amp;A1415))*참고!$C$31:$C$130)/100,0)</f>
        <v>0</v>
      </c>
      <c r="J1415" s="31" t="str">
        <f t="shared" si="67"/>
        <v/>
      </c>
      <c r="K1415" s="43">
        <f>IF(B1415="매도",IFERROR(SUMPRODUCT((참고!$A$31:$A$130=C1415)*(참고!$B$31:$B$130&lt;=A1415)*(참고!$B$31:$B$130=_xludf.MAXIFS(참고!$B$31:$B$130,참고!$A$31:$A$130,C1415,참고!$B$31:$B$130,"&lt;="&amp;A1415))*참고!$D$31:$D$130)/100,0),0)</f>
        <v>0</v>
      </c>
      <c r="L1415" s="31" t="str">
        <f t="shared" si="68"/>
        <v/>
      </c>
      <c r="M1415" s="39"/>
    </row>
    <row r="1416" spans="1:13" ht="18" customHeight="1" x14ac:dyDescent="0.45">
      <c r="A1416" s="37"/>
      <c r="B1416" s="29"/>
      <c r="C1416" s="29"/>
      <c r="D1416" s="28"/>
      <c r="E1416" s="30" t="str">
        <f>IFERROR(VLOOKUP(D1416,KRX종목마스터!$A:$B,2,FALSE),"")</f>
        <v/>
      </c>
      <c r="F1416" s="42"/>
      <c r="G1416" s="42"/>
      <c r="H1416" s="31" t="str">
        <f t="shared" si="66"/>
        <v/>
      </c>
      <c r="I1416" s="43">
        <f ca="1">IFERROR(SUMPRODUCT((참고!$A$31:$A$130=C1416)*(참고!$B$31:$B$130&lt;=A1416)*(참고!$B$31:$B$130=_xludf.MAXIFS(참고!$B$31:$B$130,참고!$A$31:$A$130,C1416,참고!$B$31:$B$130,"&lt;="&amp;A1416))*참고!$C$31:$C$130)/100,0)</f>
        <v>0</v>
      </c>
      <c r="J1416" s="31" t="str">
        <f t="shared" si="67"/>
        <v/>
      </c>
      <c r="K1416" s="43">
        <f>IF(B1416="매도",IFERROR(SUMPRODUCT((참고!$A$31:$A$130=C1416)*(참고!$B$31:$B$130&lt;=A1416)*(참고!$B$31:$B$130=_xludf.MAXIFS(참고!$B$31:$B$130,참고!$A$31:$A$130,C1416,참고!$B$31:$B$130,"&lt;="&amp;A1416))*참고!$D$31:$D$130)/100,0),0)</f>
        <v>0</v>
      </c>
      <c r="L1416" s="31" t="str">
        <f t="shared" si="68"/>
        <v/>
      </c>
      <c r="M1416" s="39"/>
    </row>
    <row r="1417" spans="1:13" ht="18" customHeight="1" x14ac:dyDescent="0.45">
      <c r="A1417" s="37"/>
      <c r="B1417" s="29"/>
      <c r="C1417" s="29"/>
      <c r="D1417" s="28"/>
      <c r="E1417" s="30" t="str">
        <f>IFERROR(VLOOKUP(D1417,KRX종목마스터!$A:$B,2,FALSE),"")</f>
        <v/>
      </c>
      <c r="F1417" s="42"/>
      <c r="G1417" s="42"/>
      <c r="H1417" s="31" t="str">
        <f t="shared" si="66"/>
        <v/>
      </c>
      <c r="I1417" s="43">
        <f ca="1">IFERROR(SUMPRODUCT((참고!$A$31:$A$130=C1417)*(참고!$B$31:$B$130&lt;=A1417)*(참고!$B$31:$B$130=_xludf.MAXIFS(참고!$B$31:$B$130,참고!$A$31:$A$130,C1417,참고!$B$31:$B$130,"&lt;="&amp;A1417))*참고!$C$31:$C$130)/100,0)</f>
        <v>0</v>
      </c>
      <c r="J1417" s="31" t="str">
        <f t="shared" si="67"/>
        <v/>
      </c>
      <c r="K1417" s="43">
        <f>IF(B1417="매도",IFERROR(SUMPRODUCT((참고!$A$31:$A$130=C1417)*(참고!$B$31:$B$130&lt;=A1417)*(참고!$B$31:$B$130=_xludf.MAXIFS(참고!$B$31:$B$130,참고!$A$31:$A$130,C1417,참고!$B$31:$B$130,"&lt;="&amp;A1417))*참고!$D$31:$D$130)/100,0),0)</f>
        <v>0</v>
      </c>
      <c r="L1417" s="31" t="str">
        <f t="shared" si="68"/>
        <v/>
      </c>
      <c r="M1417" s="39"/>
    </row>
    <row r="1418" spans="1:13" ht="18" customHeight="1" x14ac:dyDescent="0.45">
      <c r="A1418" s="37"/>
      <c r="B1418" s="29"/>
      <c r="C1418" s="29"/>
      <c r="D1418" s="28"/>
      <c r="E1418" s="30" t="str">
        <f>IFERROR(VLOOKUP(D1418,KRX종목마스터!$A:$B,2,FALSE),"")</f>
        <v/>
      </c>
      <c r="F1418" s="42"/>
      <c r="G1418" s="42"/>
      <c r="H1418" s="31" t="str">
        <f t="shared" si="66"/>
        <v/>
      </c>
      <c r="I1418" s="43">
        <f ca="1">IFERROR(SUMPRODUCT((참고!$A$31:$A$130=C1418)*(참고!$B$31:$B$130&lt;=A1418)*(참고!$B$31:$B$130=_xludf.MAXIFS(참고!$B$31:$B$130,참고!$A$31:$A$130,C1418,참고!$B$31:$B$130,"&lt;="&amp;A1418))*참고!$C$31:$C$130)/100,0)</f>
        <v>0</v>
      </c>
      <c r="J1418" s="31" t="str">
        <f t="shared" si="67"/>
        <v/>
      </c>
      <c r="K1418" s="43">
        <f>IF(B1418="매도",IFERROR(SUMPRODUCT((참고!$A$31:$A$130=C1418)*(참고!$B$31:$B$130&lt;=A1418)*(참고!$B$31:$B$130=_xludf.MAXIFS(참고!$B$31:$B$130,참고!$A$31:$A$130,C1418,참고!$B$31:$B$130,"&lt;="&amp;A1418))*참고!$D$31:$D$130)/100,0),0)</f>
        <v>0</v>
      </c>
      <c r="L1418" s="31" t="str">
        <f t="shared" si="68"/>
        <v/>
      </c>
      <c r="M1418" s="39"/>
    </row>
    <row r="1419" spans="1:13" ht="18" customHeight="1" x14ac:dyDescent="0.45">
      <c r="A1419" s="37"/>
      <c r="B1419" s="29"/>
      <c r="C1419" s="29"/>
      <c r="D1419" s="28"/>
      <c r="E1419" s="30" t="str">
        <f>IFERROR(VLOOKUP(D1419,KRX종목마스터!$A:$B,2,FALSE),"")</f>
        <v/>
      </c>
      <c r="F1419" s="42"/>
      <c r="G1419" s="42"/>
      <c r="H1419" s="31" t="str">
        <f t="shared" si="66"/>
        <v/>
      </c>
      <c r="I1419" s="43">
        <f ca="1">IFERROR(SUMPRODUCT((참고!$A$31:$A$130=C1419)*(참고!$B$31:$B$130&lt;=A1419)*(참고!$B$31:$B$130=_xludf.MAXIFS(참고!$B$31:$B$130,참고!$A$31:$A$130,C1419,참고!$B$31:$B$130,"&lt;="&amp;A1419))*참고!$C$31:$C$130)/100,0)</f>
        <v>0</v>
      </c>
      <c r="J1419" s="31" t="str">
        <f t="shared" si="67"/>
        <v/>
      </c>
      <c r="K1419" s="43">
        <f>IF(B1419="매도",IFERROR(SUMPRODUCT((참고!$A$31:$A$130=C1419)*(참고!$B$31:$B$130&lt;=A1419)*(참고!$B$31:$B$130=_xludf.MAXIFS(참고!$B$31:$B$130,참고!$A$31:$A$130,C1419,참고!$B$31:$B$130,"&lt;="&amp;A1419))*참고!$D$31:$D$130)/100,0),0)</f>
        <v>0</v>
      </c>
      <c r="L1419" s="31" t="str">
        <f t="shared" si="68"/>
        <v/>
      </c>
      <c r="M1419" s="39"/>
    </row>
    <row r="1420" spans="1:13" ht="18" customHeight="1" x14ac:dyDescent="0.45">
      <c r="A1420" s="37"/>
      <c r="B1420" s="29"/>
      <c r="C1420" s="29"/>
      <c r="D1420" s="28"/>
      <c r="E1420" s="30" t="str">
        <f>IFERROR(VLOOKUP(D1420,KRX종목마스터!$A:$B,2,FALSE),"")</f>
        <v/>
      </c>
      <c r="F1420" s="42"/>
      <c r="G1420" s="42"/>
      <c r="H1420" s="31" t="str">
        <f t="shared" si="66"/>
        <v/>
      </c>
      <c r="I1420" s="43">
        <f ca="1">IFERROR(SUMPRODUCT((참고!$A$31:$A$130=C1420)*(참고!$B$31:$B$130&lt;=A1420)*(참고!$B$31:$B$130=_xludf.MAXIFS(참고!$B$31:$B$130,참고!$A$31:$A$130,C1420,참고!$B$31:$B$130,"&lt;="&amp;A1420))*참고!$C$31:$C$130)/100,0)</f>
        <v>0</v>
      </c>
      <c r="J1420" s="31" t="str">
        <f t="shared" si="67"/>
        <v/>
      </c>
      <c r="K1420" s="43">
        <f>IF(B1420="매도",IFERROR(SUMPRODUCT((참고!$A$31:$A$130=C1420)*(참고!$B$31:$B$130&lt;=A1420)*(참고!$B$31:$B$130=_xludf.MAXIFS(참고!$B$31:$B$130,참고!$A$31:$A$130,C1420,참고!$B$31:$B$130,"&lt;="&amp;A1420))*참고!$D$31:$D$130)/100,0),0)</f>
        <v>0</v>
      </c>
      <c r="L1420" s="31" t="str">
        <f t="shared" si="68"/>
        <v/>
      </c>
      <c r="M1420" s="39"/>
    </row>
    <row r="1421" spans="1:13" ht="18" customHeight="1" x14ac:dyDescent="0.45">
      <c r="A1421" s="37"/>
      <c r="B1421" s="29"/>
      <c r="C1421" s="29"/>
      <c r="D1421" s="28"/>
      <c r="E1421" s="30" t="str">
        <f>IFERROR(VLOOKUP(D1421,KRX종목마스터!$A:$B,2,FALSE),"")</f>
        <v/>
      </c>
      <c r="F1421" s="42"/>
      <c r="G1421" s="42"/>
      <c r="H1421" s="31" t="str">
        <f t="shared" si="66"/>
        <v/>
      </c>
      <c r="I1421" s="43">
        <f ca="1">IFERROR(SUMPRODUCT((참고!$A$31:$A$130=C1421)*(참고!$B$31:$B$130&lt;=A1421)*(참고!$B$31:$B$130=_xludf.MAXIFS(참고!$B$31:$B$130,참고!$A$31:$A$130,C1421,참고!$B$31:$B$130,"&lt;="&amp;A1421))*참고!$C$31:$C$130)/100,0)</f>
        <v>0</v>
      </c>
      <c r="J1421" s="31" t="str">
        <f t="shared" si="67"/>
        <v/>
      </c>
      <c r="K1421" s="43">
        <f>IF(B1421="매도",IFERROR(SUMPRODUCT((참고!$A$31:$A$130=C1421)*(참고!$B$31:$B$130&lt;=A1421)*(참고!$B$31:$B$130=_xludf.MAXIFS(참고!$B$31:$B$130,참고!$A$31:$A$130,C1421,참고!$B$31:$B$130,"&lt;="&amp;A1421))*참고!$D$31:$D$130)/100,0),0)</f>
        <v>0</v>
      </c>
      <c r="L1421" s="31" t="str">
        <f t="shared" si="68"/>
        <v/>
      </c>
      <c r="M1421" s="39"/>
    </row>
    <row r="1422" spans="1:13" ht="18" customHeight="1" x14ac:dyDescent="0.45">
      <c r="A1422" s="37"/>
      <c r="B1422" s="29"/>
      <c r="C1422" s="29"/>
      <c r="D1422" s="28"/>
      <c r="E1422" s="30" t="str">
        <f>IFERROR(VLOOKUP(D1422,KRX종목마스터!$A:$B,2,FALSE),"")</f>
        <v/>
      </c>
      <c r="F1422" s="42"/>
      <c r="G1422" s="42"/>
      <c r="H1422" s="31" t="str">
        <f t="shared" si="66"/>
        <v/>
      </c>
      <c r="I1422" s="43">
        <f ca="1">IFERROR(SUMPRODUCT((참고!$A$31:$A$130=C1422)*(참고!$B$31:$B$130&lt;=A1422)*(참고!$B$31:$B$130=_xludf.MAXIFS(참고!$B$31:$B$130,참고!$A$31:$A$130,C1422,참고!$B$31:$B$130,"&lt;="&amp;A1422))*참고!$C$31:$C$130)/100,0)</f>
        <v>0</v>
      </c>
      <c r="J1422" s="31" t="str">
        <f t="shared" si="67"/>
        <v/>
      </c>
      <c r="K1422" s="43">
        <f>IF(B1422="매도",IFERROR(SUMPRODUCT((참고!$A$31:$A$130=C1422)*(참고!$B$31:$B$130&lt;=A1422)*(참고!$B$31:$B$130=_xludf.MAXIFS(참고!$B$31:$B$130,참고!$A$31:$A$130,C1422,참고!$B$31:$B$130,"&lt;="&amp;A1422))*참고!$D$31:$D$130)/100,0),0)</f>
        <v>0</v>
      </c>
      <c r="L1422" s="31" t="str">
        <f t="shared" si="68"/>
        <v/>
      </c>
      <c r="M1422" s="39"/>
    </row>
    <row r="1423" spans="1:13" ht="18" customHeight="1" x14ac:dyDescent="0.45">
      <c r="A1423" s="37"/>
      <c r="B1423" s="29"/>
      <c r="C1423" s="29"/>
      <c r="D1423" s="28"/>
      <c r="E1423" s="30" t="str">
        <f>IFERROR(VLOOKUP(D1423,KRX종목마스터!$A:$B,2,FALSE),"")</f>
        <v/>
      </c>
      <c r="F1423" s="42"/>
      <c r="G1423" s="42"/>
      <c r="H1423" s="31" t="str">
        <f t="shared" si="66"/>
        <v/>
      </c>
      <c r="I1423" s="43">
        <f ca="1">IFERROR(SUMPRODUCT((참고!$A$31:$A$130=C1423)*(참고!$B$31:$B$130&lt;=A1423)*(참고!$B$31:$B$130=_xludf.MAXIFS(참고!$B$31:$B$130,참고!$A$31:$A$130,C1423,참고!$B$31:$B$130,"&lt;="&amp;A1423))*참고!$C$31:$C$130)/100,0)</f>
        <v>0</v>
      </c>
      <c r="J1423" s="31" t="str">
        <f t="shared" si="67"/>
        <v/>
      </c>
      <c r="K1423" s="43">
        <f>IF(B1423="매도",IFERROR(SUMPRODUCT((참고!$A$31:$A$130=C1423)*(참고!$B$31:$B$130&lt;=A1423)*(참고!$B$31:$B$130=_xludf.MAXIFS(참고!$B$31:$B$130,참고!$A$31:$A$130,C1423,참고!$B$31:$B$130,"&lt;="&amp;A1423))*참고!$D$31:$D$130)/100,0),0)</f>
        <v>0</v>
      </c>
      <c r="L1423" s="31" t="str">
        <f t="shared" si="68"/>
        <v/>
      </c>
      <c r="M1423" s="39"/>
    </row>
    <row r="1424" spans="1:13" ht="18" customHeight="1" x14ac:dyDescent="0.45">
      <c r="A1424" s="37"/>
      <c r="B1424" s="29"/>
      <c r="C1424" s="29"/>
      <c r="D1424" s="28"/>
      <c r="E1424" s="30" t="str">
        <f>IFERROR(VLOOKUP(D1424,KRX종목마스터!$A:$B,2,FALSE),"")</f>
        <v/>
      </c>
      <c r="F1424" s="42"/>
      <c r="G1424" s="42"/>
      <c r="H1424" s="31" t="str">
        <f t="shared" si="66"/>
        <v/>
      </c>
      <c r="I1424" s="43">
        <f ca="1">IFERROR(SUMPRODUCT((참고!$A$31:$A$130=C1424)*(참고!$B$31:$B$130&lt;=A1424)*(참고!$B$31:$B$130=_xludf.MAXIFS(참고!$B$31:$B$130,참고!$A$31:$A$130,C1424,참고!$B$31:$B$130,"&lt;="&amp;A1424))*참고!$C$31:$C$130)/100,0)</f>
        <v>0</v>
      </c>
      <c r="J1424" s="31" t="str">
        <f t="shared" si="67"/>
        <v/>
      </c>
      <c r="K1424" s="43">
        <f>IF(B1424="매도",IFERROR(SUMPRODUCT((참고!$A$31:$A$130=C1424)*(참고!$B$31:$B$130&lt;=A1424)*(참고!$B$31:$B$130=_xludf.MAXIFS(참고!$B$31:$B$130,참고!$A$31:$A$130,C1424,참고!$B$31:$B$130,"&lt;="&amp;A1424))*참고!$D$31:$D$130)/100,0),0)</f>
        <v>0</v>
      </c>
      <c r="L1424" s="31" t="str">
        <f t="shared" si="68"/>
        <v/>
      </c>
      <c r="M1424" s="39"/>
    </row>
    <row r="1425" spans="1:13" ht="18" customHeight="1" x14ac:dyDescent="0.45">
      <c r="A1425" s="37"/>
      <c r="B1425" s="29"/>
      <c r="C1425" s="29"/>
      <c r="D1425" s="28"/>
      <c r="E1425" s="30" t="str">
        <f>IFERROR(VLOOKUP(D1425,KRX종목마스터!$A:$B,2,FALSE),"")</f>
        <v/>
      </c>
      <c r="F1425" s="42"/>
      <c r="G1425" s="42"/>
      <c r="H1425" s="31" t="str">
        <f t="shared" si="66"/>
        <v/>
      </c>
      <c r="I1425" s="43">
        <f ca="1">IFERROR(SUMPRODUCT((참고!$A$31:$A$130=C1425)*(참고!$B$31:$B$130&lt;=A1425)*(참고!$B$31:$B$130=_xludf.MAXIFS(참고!$B$31:$B$130,참고!$A$31:$A$130,C1425,참고!$B$31:$B$130,"&lt;="&amp;A1425))*참고!$C$31:$C$130)/100,0)</f>
        <v>0</v>
      </c>
      <c r="J1425" s="31" t="str">
        <f t="shared" si="67"/>
        <v/>
      </c>
      <c r="K1425" s="43">
        <f>IF(B1425="매도",IFERROR(SUMPRODUCT((참고!$A$31:$A$130=C1425)*(참고!$B$31:$B$130&lt;=A1425)*(참고!$B$31:$B$130=_xludf.MAXIFS(참고!$B$31:$B$130,참고!$A$31:$A$130,C1425,참고!$B$31:$B$130,"&lt;="&amp;A1425))*참고!$D$31:$D$130)/100,0),0)</f>
        <v>0</v>
      </c>
      <c r="L1425" s="31" t="str">
        <f t="shared" si="68"/>
        <v/>
      </c>
      <c r="M1425" s="39"/>
    </row>
    <row r="1426" spans="1:13" ht="18" customHeight="1" x14ac:dyDescent="0.45">
      <c r="A1426" s="37"/>
      <c r="B1426" s="29"/>
      <c r="C1426" s="29"/>
      <c r="D1426" s="28"/>
      <c r="E1426" s="30" t="str">
        <f>IFERROR(VLOOKUP(D1426,KRX종목마스터!$A:$B,2,FALSE),"")</f>
        <v/>
      </c>
      <c r="F1426" s="42"/>
      <c r="G1426" s="42"/>
      <c r="H1426" s="31" t="str">
        <f t="shared" si="66"/>
        <v/>
      </c>
      <c r="I1426" s="43">
        <f ca="1">IFERROR(SUMPRODUCT((참고!$A$31:$A$130=C1426)*(참고!$B$31:$B$130&lt;=A1426)*(참고!$B$31:$B$130=_xludf.MAXIFS(참고!$B$31:$B$130,참고!$A$31:$A$130,C1426,참고!$B$31:$B$130,"&lt;="&amp;A1426))*참고!$C$31:$C$130)/100,0)</f>
        <v>0</v>
      </c>
      <c r="J1426" s="31" t="str">
        <f t="shared" si="67"/>
        <v/>
      </c>
      <c r="K1426" s="43">
        <f>IF(B1426="매도",IFERROR(SUMPRODUCT((참고!$A$31:$A$130=C1426)*(참고!$B$31:$B$130&lt;=A1426)*(참고!$B$31:$B$130=_xludf.MAXIFS(참고!$B$31:$B$130,참고!$A$31:$A$130,C1426,참고!$B$31:$B$130,"&lt;="&amp;A1426))*참고!$D$31:$D$130)/100,0),0)</f>
        <v>0</v>
      </c>
      <c r="L1426" s="31" t="str">
        <f t="shared" si="68"/>
        <v/>
      </c>
      <c r="M1426" s="39"/>
    </row>
    <row r="1427" spans="1:13" ht="18" customHeight="1" x14ac:dyDescent="0.45">
      <c r="A1427" s="37"/>
      <c r="B1427" s="29"/>
      <c r="C1427" s="29"/>
      <c r="D1427" s="28"/>
      <c r="E1427" s="30" t="str">
        <f>IFERROR(VLOOKUP(D1427,KRX종목마스터!$A:$B,2,FALSE),"")</f>
        <v/>
      </c>
      <c r="F1427" s="42"/>
      <c r="G1427" s="42"/>
      <c r="H1427" s="31" t="str">
        <f t="shared" si="66"/>
        <v/>
      </c>
      <c r="I1427" s="43">
        <f ca="1">IFERROR(SUMPRODUCT((참고!$A$31:$A$130=C1427)*(참고!$B$31:$B$130&lt;=A1427)*(참고!$B$31:$B$130=_xludf.MAXIFS(참고!$B$31:$B$130,참고!$A$31:$A$130,C1427,참고!$B$31:$B$130,"&lt;="&amp;A1427))*참고!$C$31:$C$130)/100,0)</f>
        <v>0</v>
      </c>
      <c r="J1427" s="31" t="str">
        <f t="shared" si="67"/>
        <v/>
      </c>
      <c r="K1427" s="43">
        <f>IF(B1427="매도",IFERROR(SUMPRODUCT((참고!$A$31:$A$130=C1427)*(참고!$B$31:$B$130&lt;=A1427)*(참고!$B$31:$B$130=_xludf.MAXIFS(참고!$B$31:$B$130,참고!$A$31:$A$130,C1427,참고!$B$31:$B$130,"&lt;="&amp;A1427))*참고!$D$31:$D$130)/100,0),0)</f>
        <v>0</v>
      </c>
      <c r="L1427" s="31" t="str">
        <f t="shared" si="68"/>
        <v/>
      </c>
      <c r="M1427" s="39"/>
    </row>
    <row r="1428" spans="1:13" ht="18" customHeight="1" x14ac:dyDescent="0.45">
      <c r="A1428" s="37"/>
      <c r="B1428" s="29"/>
      <c r="C1428" s="29"/>
      <c r="D1428" s="28"/>
      <c r="E1428" s="30" t="str">
        <f>IFERROR(VLOOKUP(D1428,KRX종목마스터!$A:$B,2,FALSE),"")</f>
        <v/>
      </c>
      <c r="F1428" s="42"/>
      <c r="G1428" s="42"/>
      <c r="H1428" s="31" t="str">
        <f t="shared" si="66"/>
        <v/>
      </c>
      <c r="I1428" s="43">
        <f ca="1">IFERROR(SUMPRODUCT((참고!$A$31:$A$130=C1428)*(참고!$B$31:$B$130&lt;=A1428)*(참고!$B$31:$B$130=_xludf.MAXIFS(참고!$B$31:$B$130,참고!$A$31:$A$130,C1428,참고!$B$31:$B$130,"&lt;="&amp;A1428))*참고!$C$31:$C$130)/100,0)</f>
        <v>0</v>
      </c>
      <c r="J1428" s="31" t="str">
        <f t="shared" si="67"/>
        <v/>
      </c>
      <c r="K1428" s="43">
        <f>IF(B1428="매도",IFERROR(SUMPRODUCT((참고!$A$31:$A$130=C1428)*(참고!$B$31:$B$130&lt;=A1428)*(참고!$B$31:$B$130=_xludf.MAXIFS(참고!$B$31:$B$130,참고!$A$31:$A$130,C1428,참고!$B$31:$B$130,"&lt;="&amp;A1428))*참고!$D$31:$D$130)/100,0),0)</f>
        <v>0</v>
      </c>
      <c r="L1428" s="31" t="str">
        <f t="shared" si="68"/>
        <v/>
      </c>
      <c r="M1428" s="39"/>
    </row>
    <row r="1429" spans="1:13" ht="18" customHeight="1" x14ac:dyDescent="0.45">
      <c r="A1429" s="37"/>
      <c r="B1429" s="29"/>
      <c r="C1429" s="29"/>
      <c r="D1429" s="28"/>
      <c r="E1429" s="30" t="str">
        <f>IFERROR(VLOOKUP(D1429,KRX종목마스터!$A:$B,2,FALSE),"")</f>
        <v/>
      </c>
      <c r="F1429" s="42"/>
      <c r="G1429" s="42"/>
      <c r="H1429" s="31" t="str">
        <f t="shared" si="66"/>
        <v/>
      </c>
      <c r="I1429" s="43">
        <f ca="1">IFERROR(SUMPRODUCT((참고!$A$31:$A$130=C1429)*(참고!$B$31:$B$130&lt;=A1429)*(참고!$B$31:$B$130=_xludf.MAXIFS(참고!$B$31:$B$130,참고!$A$31:$A$130,C1429,참고!$B$31:$B$130,"&lt;="&amp;A1429))*참고!$C$31:$C$130)/100,0)</f>
        <v>0</v>
      </c>
      <c r="J1429" s="31" t="str">
        <f t="shared" si="67"/>
        <v/>
      </c>
      <c r="K1429" s="43">
        <f>IF(B1429="매도",IFERROR(SUMPRODUCT((참고!$A$31:$A$130=C1429)*(참고!$B$31:$B$130&lt;=A1429)*(참고!$B$31:$B$130=_xludf.MAXIFS(참고!$B$31:$B$130,참고!$A$31:$A$130,C1429,참고!$B$31:$B$130,"&lt;="&amp;A1429))*참고!$D$31:$D$130)/100,0),0)</f>
        <v>0</v>
      </c>
      <c r="L1429" s="31" t="str">
        <f t="shared" si="68"/>
        <v/>
      </c>
      <c r="M1429" s="39"/>
    </row>
    <row r="1430" spans="1:13" ht="18" customHeight="1" x14ac:dyDescent="0.45">
      <c r="A1430" s="37"/>
      <c r="B1430" s="29"/>
      <c r="C1430" s="29"/>
      <c r="D1430" s="28"/>
      <c r="E1430" s="30" t="str">
        <f>IFERROR(VLOOKUP(D1430,KRX종목마스터!$A:$B,2,FALSE),"")</f>
        <v/>
      </c>
      <c r="F1430" s="42"/>
      <c r="G1430" s="42"/>
      <c r="H1430" s="31" t="str">
        <f t="shared" si="66"/>
        <v/>
      </c>
      <c r="I1430" s="43">
        <f ca="1">IFERROR(SUMPRODUCT((참고!$A$31:$A$130=C1430)*(참고!$B$31:$B$130&lt;=A1430)*(참고!$B$31:$B$130=_xludf.MAXIFS(참고!$B$31:$B$130,참고!$A$31:$A$130,C1430,참고!$B$31:$B$130,"&lt;="&amp;A1430))*참고!$C$31:$C$130)/100,0)</f>
        <v>0</v>
      </c>
      <c r="J1430" s="31" t="str">
        <f t="shared" si="67"/>
        <v/>
      </c>
      <c r="K1430" s="43">
        <f>IF(B1430="매도",IFERROR(SUMPRODUCT((참고!$A$31:$A$130=C1430)*(참고!$B$31:$B$130&lt;=A1430)*(참고!$B$31:$B$130=_xludf.MAXIFS(참고!$B$31:$B$130,참고!$A$31:$A$130,C1430,참고!$B$31:$B$130,"&lt;="&amp;A1430))*참고!$D$31:$D$130)/100,0),0)</f>
        <v>0</v>
      </c>
      <c r="L1430" s="31" t="str">
        <f t="shared" si="68"/>
        <v/>
      </c>
      <c r="M1430" s="39"/>
    </row>
    <row r="1431" spans="1:13" ht="18" customHeight="1" x14ac:dyDescent="0.45">
      <c r="A1431" s="37"/>
      <c r="B1431" s="29"/>
      <c r="C1431" s="29"/>
      <c r="D1431" s="28"/>
      <c r="E1431" s="30" t="str">
        <f>IFERROR(VLOOKUP(D1431,KRX종목마스터!$A:$B,2,FALSE),"")</f>
        <v/>
      </c>
      <c r="F1431" s="42"/>
      <c r="G1431" s="42"/>
      <c r="H1431" s="31" t="str">
        <f t="shared" si="66"/>
        <v/>
      </c>
      <c r="I1431" s="43">
        <f ca="1">IFERROR(SUMPRODUCT((참고!$A$31:$A$130=C1431)*(참고!$B$31:$B$130&lt;=A1431)*(참고!$B$31:$B$130=_xludf.MAXIFS(참고!$B$31:$B$130,참고!$A$31:$A$130,C1431,참고!$B$31:$B$130,"&lt;="&amp;A1431))*참고!$C$31:$C$130)/100,0)</f>
        <v>0</v>
      </c>
      <c r="J1431" s="31" t="str">
        <f t="shared" si="67"/>
        <v/>
      </c>
      <c r="K1431" s="43">
        <f>IF(B1431="매도",IFERROR(SUMPRODUCT((참고!$A$31:$A$130=C1431)*(참고!$B$31:$B$130&lt;=A1431)*(참고!$B$31:$B$130=_xludf.MAXIFS(참고!$B$31:$B$130,참고!$A$31:$A$130,C1431,참고!$B$31:$B$130,"&lt;="&amp;A1431))*참고!$D$31:$D$130)/100,0),0)</f>
        <v>0</v>
      </c>
      <c r="L1431" s="31" t="str">
        <f t="shared" si="68"/>
        <v/>
      </c>
      <c r="M1431" s="39"/>
    </row>
    <row r="1432" spans="1:13" ht="18" customHeight="1" x14ac:dyDescent="0.45">
      <c r="A1432" s="37"/>
      <c r="B1432" s="29"/>
      <c r="C1432" s="29"/>
      <c r="D1432" s="28"/>
      <c r="E1432" s="30" t="str">
        <f>IFERROR(VLOOKUP(D1432,KRX종목마스터!$A:$B,2,FALSE),"")</f>
        <v/>
      </c>
      <c r="F1432" s="42"/>
      <c r="G1432" s="42"/>
      <c r="H1432" s="31" t="str">
        <f t="shared" si="66"/>
        <v/>
      </c>
      <c r="I1432" s="43">
        <f ca="1">IFERROR(SUMPRODUCT((참고!$A$31:$A$130=C1432)*(참고!$B$31:$B$130&lt;=A1432)*(참고!$B$31:$B$130=_xludf.MAXIFS(참고!$B$31:$B$130,참고!$A$31:$A$130,C1432,참고!$B$31:$B$130,"&lt;="&amp;A1432))*참고!$C$31:$C$130)/100,0)</f>
        <v>0</v>
      </c>
      <c r="J1432" s="31" t="str">
        <f t="shared" si="67"/>
        <v/>
      </c>
      <c r="K1432" s="43">
        <f>IF(B1432="매도",IFERROR(SUMPRODUCT((참고!$A$31:$A$130=C1432)*(참고!$B$31:$B$130&lt;=A1432)*(참고!$B$31:$B$130=_xludf.MAXIFS(참고!$B$31:$B$130,참고!$A$31:$A$130,C1432,참고!$B$31:$B$130,"&lt;="&amp;A1432))*참고!$D$31:$D$130)/100,0),0)</f>
        <v>0</v>
      </c>
      <c r="L1432" s="31" t="str">
        <f t="shared" si="68"/>
        <v/>
      </c>
      <c r="M1432" s="39"/>
    </row>
    <row r="1433" spans="1:13" ht="18" customHeight="1" x14ac:dyDescent="0.45">
      <c r="A1433" s="37"/>
      <c r="B1433" s="29"/>
      <c r="C1433" s="29"/>
      <c r="D1433" s="28"/>
      <c r="E1433" s="30" t="str">
        <f>IFERROR(VLOOKUP(D1433,KRX종목마스터!$A:$B,2,FALSE),"")</f>
        <v/>
      </c>
      <c r="F1433" s="42"/>
      <c r="G1433" s="42"/>
      <c r="H1433" s="31" t="str">
        <f t="shared" si="66"/>
        <v/>
      </c>
      <c r="I1433" s="43">
        <f ca="1">IFERROR(SUMPRODUCT((참고!$A$31:$A$130=C1433)*(참고!$B$31:$B$130&lt;=A1433)*(참고!$B$31:$B$130=_xludf.MAXIFS(참고!$B$31:$B$130,참고!$A$31:$A$130,C1433,참고!$B$31:$B$130,"&lt;="&amp;A1433))*참고!$C$31:$C$130)/100,0)</f>
        <v>0</v>
      </c>
      <c r="J1433" s="31" t="str">
        <f t="shared" si="67"/>
        <v/>
      </c>
      <c r="K1433" s="43">
        <f>IF(B1433="매도",IFERROR(SUMPRODUCT((참고!$A$31:$A$130=C1433)*(참고!$B$31:$B$130&lt;=A1433)*(참고!$B$31:$B$130=_xludf.MAXIFS(참고!$B$31:$B$130,참고!$A$31:$A$130,C1433,참고!$B$31:$B$130,"&lt;="&amp;A1433))*참고!$D$31:$D$130)/100,0),0)</f>
        <v>0</v>
      </c>
      <c r="L1433" s="31" t="str">
        <f t="shared" si="68"/>
        <v/>
      </c>
      <c r="M1433" s="39"/>
    </row>
    <row r="1434" spans="1:13" ht="18" customHeight="1" x14ac:dyDescent="0.45">
      <c r="A1434" s="37"/>
      <c r="B1434" s="29"/>
      <c r="C1434" s="29"/>
      <c r="D1434" s="28"/>
      <c r="E1434" s="30" t="str">
        <f>IFERROR(VLOOKUP(D1434,KRX종목마스터!$A:$B,2,FALSE),"")</f>
        <v/>
      </c>
      <c r="F1434" s="42"/>
      <c r="G1434" s="42"/>
      <c r="H1434" s="31" t="str">
        <f t="shared" si="66"/>
        <v/>
      </c>
      <c r="I1434" s="43">
        <f ca="1">IFERROR(SUMPRODUCT((참고!$A$31:$A$130=C1434)*(참고!$B$31:$B$130&lt;=A1434)*(참고!$B$31:$B$130=_xludf.MAXIFS(참고!$B$31:$B$130,참고!$A$31:$A$130,C1434,참고!$B$31:$B$130,"&lt;="&amp;A1434))*참고!$C$31:$C$130)/100,0)</f>
        <v>0</v>
      </c>
      <c r="J1434" s="31" t="str">
        <f t="shared" si="67"/>
        <v/>
      </c>
      <c r="K1434" s="43">
        <f>IF(B1434="매도",IFERROR(SUMPRODUCT((참고!$A$31:$A$130=C1434)*(참고!$B$31:$B$130&lt;=A1434)*(참고!$B$31:$B$130=_xludf.MAXIFS(참고!$B$31:$B$130,참고!$A$31:$A$130,C1434,참고!$B$31:$B$130,"&lt;="&amp;A1434))*참고!$D$31:$D$130)/100,0),0)</f>
        <v>0</v>
      </c>
      <c r="L1434" s="31" t="str">
        <f t="shared" si="68"/>
        <v/>
      </c>
      <c r="M1434" s="39"/>
    </row>
    <row r="1435" spans="1:13" ht="18" customHeight="1" x14ac:dyDescent="0.45">
      <c r="A1435" s="37"/>
      <c r="B1435" s="29"/>
      <c r="C1435" s="29"/>
      <c r="D1435" s="28"/>
      <c r="E1435" s="30" t="str">
        <f>IFERROR(VLOOKUP(D1435,KRX종목마스터!$A:$B,2,FALSE),"")</f>
        <v/>
      </c>
      <c r="F1435" s="42"/>
      <c r="G1435" s="42"/>
      <c r="H1435" s="31" t="str">
        <f t="shared" si="66"/>
        <v/>
      </c>
      <c r="I1435" s="43">
        <f ca="1">IFERROR(SUMPRODUCT((참고!$A$31:$A$130=C1435)*(참고!$B$31:$B$130&lt;=A1435)*(참고!$B$31:$B$130=_xludf.MAXIFS(참고!$B$31:$B$130,참고!$A$31:$A$130,C1435,참고!$B$31:$B$130,"&lt;="&amp;A1435))*참고!$C$31:$C$130)/100,0)</f>
        <v>0</v>
      </c>
      <c r="J1435" s="31" t="str">
        <f t="shared" si="67"/>
        <v/>
      </c>
      <c r="K1435" s="43">
        <f>IF(B1435="매도",IFERROR(SUMPRODUCT((참고!$A$31:$A$130=C1435)*(참고!$B$31:$B$130&lt;=A1435)*(참고!$B$31:$B$130=_xludf.MAXIFS(참고!$B$31:$B$130,참고!$A$31:$A$130,C1435,참고!$B$31:$B$130,"&lt;="&amp;A1435))*참고!$D$31:$D$130)/100,0),0)</f>
        <v>0</v>
      </c>
      <c r="L1435" s="31" t="str">
        <f t="shared" si="68"/>
        <v/>
      </c>
      <c r="M1435" s="39"/>
    </row>
    <row r="1436" spans="1:13" ht="18" customHeight="1" x14ac:dyDescent="0.45">
      <c r="A1436" s="37"/>
      <c r="B1436" s="29"/>
      <c r="C1436" s="29"/>
      <c r="D1436" s="28"/>
      <c r="E1436" s="30" t="str">
        <f>IFERROR(VLOOKUP(D1436,KRX종목마스터!$A:$B,2,FALSE),"")</f>
        <v/>
      </c>
      <c r="F1436" s="42"/>
      <c r="G1436" s="42"/>
      <c r="H1436" s="31" t="str">
        <f t="shared" si="66"/>
        <v/>
      </c>
      <c r="I1436" s="43">
        <f ca="1">IFERROR(SUMPRODUCT((참고!$A$31:$A$130=C1436)*(참고!$B$31:$B$130&lt;=A1436)*(참고!$B$31:$B$130=_xludf.MAXIFS(참고!$B$31:$B$130,참고!$A$31:$A$130,C1436,참고!$B$31:$B$130,"&lt;="&amp;A1436))*참고!$C$31:$C$130)/100,0)</f>
        <v>0</v>
      </c>
      <c r="J1436" s="31" t="str">
        <f t="shared" si="67"/>
        <v/>
      </c>
      <c r="K1436" s="43">
        <f>IF(B1436="매도",IFERROR(SUMPRODUCT((참고!$A$31:$A$130=C1436)*(참고!$B$31:$B$130&lt;=A1436)*(참고!$B$31:$B$130=_xludf.MAXIFS(참고!$B$31:$B$130,참고!$A$31:$A$130,C1436,참고!$B$31:$B$130,"&lt;="&amp;A1436))*참고!$D$31:$D$130)/100,0),0)</f>
        <v>0</v>
      </c>
      <c r="L1436" s="31" t="str">
        <f t="shared" si="68"/>
        <v/>
      </c>
      <c r="M1436" s="39"/>
    </row>
    <row r="1437" spans="1:13" ht="18" customHeight="1" x14ac:dyDescent="0.45">
      <c r="A1437" s="37"/>
      <c r="B1437" s="29"/>
      <c r="C1437" s="29"/>
      <c r="D1437" s="28"/>
      <c r="E1437" s="30" t="str">
        <f>IFERROR(VLOOKUP(D1437,KRX종목마스터!$A:$B,2,FALSE),"")</f>
        <v/>
      </c>
      <c r="F1437" s="42"/>
      <c r="G1437" s="42"/>
      <c r="H1437" s="31" t="str">
        <f t="shared" si="66"/>
        <v/>
      </c>
      <c r="I1437" s="43">
        <f ca="1">IFERROR(SUMPRODUCT((참고!$A$31:$A$130=C1437)*(참고!$B$31:$B$130&lt;=A1437)*(참고!$B$31:$B$130=_xludf.MAXIFS(참고!$B$31:$B$130,참고!$A$31:$A$130,C1437,참고!$B$31:$B$130,"&lt;="&amp;A1437))*참고!$C$31:$C$130)/100,0)</f>
        <v>0</v>
      </c>
      <c r="J1437" s="31" t="str">
        <f t="shared" si="67"/>
        <v/>
      </c>
      <c r="K1437" s="43">
        <f>IF(B1437="매도",IFERROR(SUMPRODUCT((참고!$A$31:$A$130=C1437)*(참고!$B$31:$B$130&lt;=A1437)*(참고!$B$31:$B$130=_xludf.MAXIFS(참고!$B$31:$B$130,참고!$A$31:$A$130,C1437,참고!$B$31:$B$130,"&lt;="&amp;A1437))*참고!$D$31:$D$130)/100,0),0)</f>
        <v>0</v>
      </c>
      <c r="L1437" s="31" t="str">
        <f t="shared" si="68"/>
        <v/>
      </c>
      <c r="M1437" s="39"/>
    </row>
    <row r="1438" spans="1:13" ht="18" customHeight="1" x14ac:dyDescent="0.45">
      <c r="A1438" s="37"/>
      <c r="B1438" s="29"/>
      <c r="C1438" s="29"/>
      <c r="D1438" s="28"/>
      <c r="E1438" s="30" t="str">
        <f>IFERROR(VLOOKUP(D1438,KRX종목마스터!$A:$B,2,FALSE),"")</f>
        <v/>
      </c>
      <c r="F1438" s="42"/>
      <c r="G1438" s="42"/>
      <c r="H1438" s="31" t="str">
        <f t="shared" si="66"/>
        <v/>
      </c>
      <c r="I1438" s="43">
        <f ca="1">IFERROR(SUMPRODUCT((참고!$A$31:$A$130=C1438)*(참고!$B$31:$B$130&lt;=A1438)*(참고!$B$31:$B$130=_xludf.MAXIFS(참고!$B$31:$B$130,참고!$A$31:$A$130,C1438,참고!$B$31:$B$130,"&lt;="&amp;A1438))*참고!$C$31:$C$130)/100,0)</f>
        <v>0</v>
      </c>
      <c r="J1438" s="31" t="str">
        <f t="shared" si="67"/>
        <v/>
      </c>
      <c r="K1438" s="43">
        <f>IF(B1438="매도",IFERROR(SUMPRODUCT((참고!$A$31:$A$130=C1438)*(참고!$B$31:$B$130&lt;=A1438)*(참고!$B$31:$B$130=_xludf.MAXIFS(참고!$B$31:$B$130,참고!$A$31:$A$130,C1438,참고!$B$31:$B$130,"&lt;="&amp;A1438))*참고!$D$31:$D$130)/100,0),0)</f>
        <v>0</v>
      </c>
      <c r="L1438" s="31" t="str">
        <f t="shared" si="68"/>
        <v/>
      </c>
      <c r="M1438" s="39"/>
    </row>
    <row r="1439" spans="1:13" ht="18" customHeight="1" x14ac:dyDescent="0.45">
      <c r="A1439" s="37"/>
      <c r="B1439" s="29"/>
      <c r="C1439" s="29"/>
      <c r="D1439" s="28"/>
      <c r="E1439" s="30" t="str">
        <f>IFERROR(VLOOKUP(D1439,KRX종목마스터!$A:$B,2,FALSE),"")</f>
        <v/>
      </c>
      <c r="F1439" s="42"/>
      <c r="G1439" s="42"/>
      <c r="H1439" s="31" t="str">
        <f t="shared" si="66"/>
        <v/>
      </c>
      <c r="I1439" s="43">
        <f ca="1">IFERROR(SUMPRODUCT((참고!$A$31:$A$130=C1439)*(참고!$B$31:$B$130&lt;=A1439)*(참고!$B$31:$B$130=_xludf.MAXIFS(참고!$B$31:$B$130,참고!$A$31:$A$130,C1439,참고!$B$31:$B$130,"&lt;="&amp;A1439))*참고!$C$31:$C$130)/100,0)</f>
        <v>0</v>
      </c>
      <c r="J1439" s="31" t="str">
        <f t="shared" si="67"/>
        <v/>
      </c>
      <c r="K1439" s="43">
        <f>IF(B1439="매도",IFERROR(SUMPRODUCT((참고!$A$31:$A$130=C1439)*(참고!$B$31:$B$130&lt;=A1439)*(참고!$B$31:$B$130=_xludf.MAXIFS(참고!$B$31:$B$130,참고!$A$31:$A$130,C1439,참고!$B$31:$B$130,"&lt;="&amp;A1439))*참고!$D$31:$D$130)/100,0),0)</f>
        <v>0</v>
      </c>
      <c r="L1439" s="31" t="str">
        <f t="shared" si="68"/>
        <v/>
      </c>
      <c r="M1439" s="39"/>
    </row>
    <row r="1440" spans="1:13" ht="18" customHeight="1" x14ac:dyDescent="0.45">
      <c r="A1440" s="37"/>
      <c r="B1440" s="29"/>
      <c r="C1440" s="29"/>
      <c r="D1440" s="28"/>
      <c r="E1440" s="30" t="str">
        <f>IFERROR(VLOOKUP(D1440,KRX종목마스터!$A:$B,2,FALSE),"")</f>
        <v/>
      </c>
      <c r="F1440" s="42"/>
      <c r="G1440" s="42"/>
      <c r="H1440" s="31" t="str">
        <f t="shared" si="66"/>
        <v/>
      </c>
      <c r="I1440" s="43">
        <f ca="1">IFERROR(SUMPRODUCT((참고!$A$31:$A$130=C1440)*(참고!$B$31:$B$130&lt;=A1440)*(참고!$B$31:$B$130=_xludf.MAXIFS(참고!$B$31:$B$130,참고!$A$31:$A$130,C1440,참고!$B$31:$B$130,"&lt;="&amp;A1440))*참고!$C$31:$C$130)/100,0)</f>
        <v>0</v>
      </c>
      <c r="J1440" s="31" t="str">
        <f t="shared" si="67"/>
        <v/>
      </c>
      <c r="K1440" s="43">
        <f>IF(B1440="매도",IFERROR(SUMPRODUCT((참고!$A$31:$A$130=C1440)*(참고!$B$31:$B$130&lt;=A1440)*(참고!$B$31:$B$130=_xludf.MAXIFS(참고!$B$31:$B$130,참고!$A$31:$A$130,C1440,참고!$B$31:$B$130,"&lt;="&amp;A1440))*참고!$D$31:$D$130)/100,0),0)</f>
        <v>0</v>
      </c>
      <c r="L1440" s="31" t="str">
        <f t="shared" si="68"/>
        <v/>
      </c>
      <c r="M1440" s="39"/>
    </row>
    <row r="1441" spans="1:13" ht="18" customHeight="1" x14ac:dyDescent="0.45">
      <c r="A1441" s="37"/>
      <c r="B1441" s="29"/>
      <c r="C1441" s="29"/>
      <c r="D1441" s="28"/>
      <c r="E1441" s="30" t="str">
        <f>IFERROR(VLOOKUP(D1441,KRX종목마스터!$A:$B,2,FALSE),"")</f>
        <v/>
      </c>
      <c r="F1441" s="42"/>
      <c r="G1441" s="42"/>
      <c r="H1441" s="31" t="str">
        <f t="shared" si="66"/>
        <v/>
      </c>
      <c r="I1441" s="43">
        <f ca="1">IFERROR(SUMPRODUCT((참고!$A$31:$A$130=C1441)*(참고!$B$31:$B$130&lt;=A1441)*(참고!$B$31:$B$130=_xludf.MAXIFS(참고!$B$31:$B$130,참고!$A$31:$A$130,C1441,참고!$B$31:$B$130,"&lt;="&amp;A1441))*참고!$C$31:$C$130)/100,0)</f>
        <v>0</v>
      </c>
      <c r="J1441" s="31" t="str">
        <f t="shared" si="67"/>
        <v/>
      </c>
      <c r="K1441" s="43">
        <f>IF(B1441="매도",IFERROR(SUMPRODUCT((참고!$A$31:$A$130=C1441)*(참고!$B$31:$B$130&lt;=A1441)*(참고!$B$31:$B$130=_xludf.MAXIFS(참고!$B$31:$B$130,참고!$A$31:$A$130,C1441,참고!$B$31:$B$130,"&lt;="&amp;A1441))*참고!$D$31:$D$130)/100,0),0)</f>
        <v>0</v>
      </c>
      <c r="L1441" s="31" t="str">
        <f t="shared" si="68"/>
        <v/>
      </c>
      <c r="M1441" s="39"/>
    </row>
    <row r="1442" spans="1:13" ht="18" customHeight="1" x14ac:dyDescent="0.45">
      <c r="A1442" s="37"/>
      <c r="B1442" s="29"/>
      <c r="C1442" s="29"/>
      <c r="D1442" s="28"/>
      <c r="E1442" s="30" t="str">
        <f>IFERROR(VLOOKUP(D1442,KRX종목마스터!$A:$B,2,FALSE),"")</f>
        <v/>
      </c>
      <c r="F1442" s="42"/>
      <c r="G1442" s="42"/>
      <c r="H1442" s="31" t="str">
        <f t="shared" si="66"/>
        <v/>
      </c>
      <c r="I1442" s="43">
        <f ca="1">IFERROR(SUMPRODUCT((참고!$A$31:$A$130=C1442)*(참고!$B$31:$B$130&lt;=A1442)*(참고!$B$31:$B$130=_xludf.MAXIFS(참고!$B$31:$B$130,참고!$A$31:$A$130,C1442,참고!$B$31:$B$130,"&lt;="&amp;A1442))*참고!$C$31:$C$130)/100,0)</f>
        <v>0</v>
      </c>
      <c r="J1442" s="31" t="str">
        <f t="shared" si="67"/>
        <v/>
      </c>
      <c r="K1442" s="43">
        <f>IF(B1442="매도",IFERROR(SUMPRODUCT((참고!$A$31:$A$130=C1442)*(참고!$B$31:$B$130&lt;=A1442)*(참고!$B$31:$B$130=_xludf.MAXIFS(참고!$B$31:$B$130,참고!$A$31:$A$130,C1442,참고!$B$31:$B$130,"&lt;="&amp;A1442))*참고!$D$31:$D$130)/100,0),0)</f>
        <v>0</v>
      </c>
      <c r="L1442" s="31" t="str">
        <f t="shared" si="68"/>
        <v/>
      </c>
      <c r="M1442" s="39"/>
    </row>
    <row r="1443" spans="1:13" ht="18" customHeight="1" x14ac:dyDescent="0.45">
      <c r="A1443" s="37"/>
      <c r="B1443" s="29"/>
      <c r="C1443" s="29"/>
      <c r="D1443" s="28"/>
      <c r="E1443" s="30" t="str">
        <f>IFERROR(VLOOKUP(D1443,KRX종목마스터!$A:$B,2,FALSE),"")</f>
        <v/>
      </c>
      <c r="F1443" s="42"/>
      <c r="G1443" s="42"/>
      <c r="H1443" s="31" t="str">
        <f t="shared" si="66"/>
        <v/>
      </c>
      <c r="I1443" s="43">
        <f ca="1">IFERROR(SUMPRODUCT((참고!$A$31:$A$130=C1443)*(참고!$B$31:$B$130&lt;=A1443)*(참고!$B$31:$B$130=_xludf.MAXIFS(참고!$B$31:$B$130,참고!$A$31:$A$130,C1443,참고!$B$31:$B$130,"&lt;="&amp;A1443))*참고!$C$31:$C$130)/100,0)</f>
        <v>0</v>
      </c>
      <c r="J1443" s="31" t="str">
        <f t="shared" si="67"/>
        <v/>
      </c>
      <c r="K1443" s="43">
        <f>IF(B1443="매도",IFERROR(SUMPRODUCT((참고!$A$31:$A$130=C1443)*(참고!$B$31:$B$130&lt;=A1443)*(참고!$B$31:$B$130=_xludf.MAXIFS(참고!$B$31:$B$130,참고!$A$31:$A$130,C1443,참고!$B$31:$B$130,"&lt;="&amp;A1443))*참고!$D$31:$D$130)/100,0),0)</f>
        <v>0</v>
      </c>
      <c r="L1443" s="31" t="str">
        <f t="shared" si="68"/>
        <v/>
      </c>
      <c r="M1443" s="39"/>
    </row>
    <row r="1444" spans="1:13" ht="18" customHeight="1" x14ac:dyDescent="0.45">
      <c r="A1444" s="37"/>
      <c r="B1444" s="29"/>
      <c r="C1444" s="29"/>
      <c r="D1444" s="28"/>
      <c r="E1444" s="30" t="str">
        <f>IFERROR(VLOOKUP(D1444,KRX종목마스터!$A:$B,2,FALSE),"")</f>
        <v/>
      </c>
      <c r="F1444" s="42"/>
      <c r="G1444" s="42"/>
      <c r="H1444" s="31" t="str">
        <f t="shared" si="66"/>
        <v/>
      </c>
      <c r="I1444" s="43">
        <f ca="1">IFERROR(SUMPRODUCT((참고!$A$31:$A$130=C1444)*(참고!$B$31:$B$130&lt;=A1444)*(참고!$B$31:$B$130=_xludf.MAXIFS(참고!$B$31:$B$130,참고!$A$31:$A$130,C1444,참고!$B$31:$B$130,"&lt;="&amp;A1444))*참고!$C$31:$C$130)/100,0)</f>
        <v>0</v>
      </c>
      <c r="J1444" s="31" t="str">
        <f t="shared" si="67"/>
        <v/>
      </c>
      <c r="K1444" s="43">
        <f>IF(B1444="매도",IFERROR(SUMPRODUCT((참고!$A$31:$A$130=C1444)*(참고!$B$31:$B$130&lt;=A1444)*(참고!$B$31:$B$130=_xludf.MAXIFS(참고!$B$31:$B$130,참고!$A$31:$A$130,C1444,참고!$B$31:$B$130,"&lt;="&amp;A1444))*참고!$D$31:$D$130)/100,0),0)</f>
        <v>0</v>
      </c>
      <c r="L1444" s="31" t="str">
        <f t="shared" si="68"/>
        <v/>
      </c>
      <c r="M1444" s="39"/>
    </row>
    <row r="1445" spans="1:13" ht="18" customHeight="1" x14ac:dyDescent="0.45">
      <c r="A1445" s="37"/>
      <c r="B1445" s="29"/>
      <c r="C1445" s="29"/>
      <c r="D1445" s="28"/>
      <c r="E1445" s="30" t="str">
        <f>IFERROR(VLOOKUP(D1445,KRX종목마스터!$A:$B,2,FALSE),"")</f>
        <v/>
      </c>
      <c r="F1445" s="42"/>
      <c r="G1445" s="42"/>
      <c r="H1445" s="31" t="str">
        <f t="shared" si="66"/>
        <v/>
      </c>
      <c r="I1445" s="43">
        <f ca="1">IFERROR(SUMPRODUCT((참고!$A$31:$A$130=C1445)*(참고!$B$31:$B$130&lt;=A1445)*(참고!$B$31:$B$130=_xludf.MAXIFS(참고!$B$31:$B$130,참고!$A$31:$A$130,C1445,참고!$B$31:$B$130,"&lt;="&amp;A1445))*참고!$C$31:$C$130)/100,0)</f>
        <v>0</v>
      </c>
      <c r="J1445" s="31" t="str">
        <f t="shared" si="67"/>
        <v/>
      </c>
      <c r="K1445" s="43">
        <f>IF(B1445="매도",IFERROR(SUMPRODUCT((참고!$A$31:$A$130=C1445)*(참고!$B$31:$B$130&lt;=A1445)*(참고!$B$31:$B$130=_xludf.MAXIFS(참고!$B$31:$B$130,참고!$A$31:$A$130,C1445,참고!$B$31:$B$130,"&lt;="&amp;A1445))*참고!$D$31:$D$130)/100,0),0)</f>
        <v>0</v>
      </c>
      <c r="L1445" s="31" t="str">
        <f t="shared" si="68"/>
        <v/>
      </c>
      <c r="M1445" s="39"/>
    </row>
    <row r="1446" spans="1:13" ht="18" customHeight="1" x14ac:dyDescent="0.45">
      <c r="A1446" s="37"/>
      <c r="B1446" s="29"/>
      <c r="C1446" s="29"/>
      <c r="D1446" s="28"/>
      <c r="E1446" s="30" t="str">
        <f>IFERROR(VLOOKUP(D1446,KRX종목마스터!$A:$B,2,FALSE),"")</f>
        <v/>
      </c>
      <c r="F1446" s="42"/>
      <c r="G1446" s="42"/>
      <c r="H1446" s="31" t="str">
        <f t="shared" si="66"/>
        <v/>
      </c>
      <c r="I1446" s="43">
        <f ca="1">IFERROR(SUMPRODUCT((참고!$A$31:$A$130=C1446)*(참고!$B$31:$B$130&lt;=A1446)*(참고!$B$31:$B$130=_xludf.MAXIFS(참고!$B$31:$B$130,참고!$A$31:$A$130,C1446,참고!$B$31:$B$130,"&lt;="&amp;A1446))*참고!$C$31:$C$130)/100,0)</f>
        <v>0</v>
      </c>
      <c r="J1446" s="31" t="str">
        <f t="shared" si="67"/>
        <v/>
      </c>
      <c r="K1446" s="43">
        <f>IF(B1446="매도",IFERROR(SUMPRODUCT((참고!$A$31:$A$130=C1446)*(참고!$B$31:$B$130&lt;=A1446)*(참고!$B$31:$B$130=_xludf.MAXIFS(참고!$B$31:$B$130,참고!$A$31:$A$130,C1446,참고!$B$31:$B$130,"&lt;="&amp;A1446))*참고!$D$31:$D$130)/100,0),0)</f>
        <v>0</v>
      </c>
      <c r="L1446" s="31" t="str">
        <f t="shared" si="68"/>
        <v/>
      </c>
      <c r="M1446" s="39"/>
    </row>
    <row r="1447" spans="1:13" ht="18" customHeight="1" x14ac:dyDescent="0.45">
      <c r="A1447" s="37"/>
      <c r="B1447" s="29"/>
      <c r="C1447" s="29"/>
      <c r="D1447" s="28"/>
      <c r="E1447" s="30" t="str">
        <f>IFERROR(VLOOKUP(D1447,KRX종목마스터!$A:$B,2,FALSE),"")</f>
        <v/>
      </c>
      <c r="F1447" s="42"/>
      <c r="G1447" s="42"/>
      <c r="H1447" s="31" t="str">
        <f t="shared" si="66"/>
        <v/>
      </c>
      <c r="I1447" s="43">
        <f ca="1">IFERROR(SUMPRODUCT((참고!$A$31:$A$130=C1447)*(참고!$B$31:$B$130&lt;=A1447)*(참고!$B$31:$B$130=_xludf.MAXIFS(참고!$B$31:$B$130,참고!$A$31:$A$130,C1447,참고!$B$31:$B$130,"&lt;="&amp;A1447))*참고!$C$31:$C$130)/100,0)</f>
        <v>0</v>
      </c>
      <c r="J1447" s="31" t="str">
        <f t="shared" si="67"/>
        <v/>
      </c>
      <c r="K1447" s="43">
        <f>IF(B1447="매도",IFERROR(SUMPRODUCT((참고!$A$31:$A$130=C1447)*(참고!$B$31:$B$130&lt;=A1447)*(참고!$B$31:$B$130=_xludf.MAXIFS(참고!$B$31:$B$130,참고!$A$31:$A$130,C1447,참고!$B$31:$B$130,"&lt;="&amp;A1447))*참고!$D$31:$D$130)/100,0),0)</f>
        <v>0</v>
      </c>
      <c r="L1447" s="31" t="str">
        <f t="shared" si="68"/>
        <v/>
      </c>
      <c r="M1447" s="39"/>
    </row>
    <row r="1448" spans="1:13" ht="18" customHeight="1" x14ac:dyDescent="0.45">
      <c r="A1448" s="37"/>
      <c r="B1448" s="29"/>
      <c r="C1448" s="29"/>
      <c r="D1448" s="28"/>
      <c r="E1448" s="30" t="str">
        <f>IFERROR(VLOOKUP(D1448,KRX종목마스터!$A:$B,2,FALSE),"")</f>
        <v/>
      </c>
      <c r="F1448" s="42"/>
      <c r="G1448" s="42"/>
      <c r="H1448" s="31" t="str">
        <f t="shared" si="66"/>
        <v/>
      </c>
      <c r="I1448" s="43">
        <f ca="1">IFERROR(SUMPRODUCT((참고!$A$31:$A$130=C1448)*(참고!$B$31:$B$130&lt;=A1448)*(참고!$B$31:$B$130=_xludf.MAXIFS(참고!$B$31:$B$130,참고!$A$31:$A$130,C1448,참고!$B$31:$B$130,"&lt;="&amp;A1448))*참고!$C$31:$C$130)/100,0)</f>
        <v>0</v>
      </c>
      <c r="J1448" s="31" t="str">
        <f t="shared" si="67"/>
        <v/>
      </c>
      <c r="K1448" s="43">
        <f>IF(B1448="매도",IFERROR(SUMPRODUCT((참고!$A$31:$A$130=C1448)*(참고!$B$31:$B$130&lt;=A1448)*(참고!$B$31:$B$130=_xludf.MAXIFS(참고!$B$31:$B$130,참고!$A$31:$A$130,C1448,참고!$B$31:$B$130,"&lt;="&amp;A1448))*참고!$D$31:$D$130)/100,0),0)</f>
        <v>0</v>
      </c>
      <c r="L1448" s="31" t="str">
        <f t="shared" si="68"/>
        <v/>
      </c>
      <c r="M1448" s="39"/>
    </row>
    <row r="1449" spans="1:13" ht="18" customHeight="1" x14ac:dyDescent="0.45">
      <c r="A1449" s="37"/>
      <c r="B1449" s="29"/>
      <c r="C1449" s="29"/>
      <c r="D1449" s="28"/>
      <c r="E1449" s="30" t="str">
        <f>IFERROR(VLOOKUP(D1449,KRX종목마스터!$A:$B,2,FALSE),"")</f>
        <v/>
      </c>
      <c r="F1449" s="42"/>
      <c r="G1449" s="42"/>
      <c r="H1449" s="31" t="str">
        <f t="shared" si="66"/>
        <v/>
      </c>
      <c r="I1449" s="43">
        <f ca="1">IFERROR(SUMPRODUCT((참고!$A$31:$A$130=C1449)*(참고!$B$31:$B$130&lt;=A1449)*(참고!$B$31:$B$130=_xludf.MAXIFS(참고!$B$31:$B$130,참고!$A$31:$A$130,C1449,참고!$B$31:$B$130,"&lt;="&amp;A1449))*참고!$C$31:$C$130)/100,0)</f>
        <v>0</v>
      </c>
      <c r="J1449" s="31" t="str">
        <f t="shared" si="67"/>
        <v/>
      </c>
      <c r="K1449" s="43">
        <f>IF(B1449="매도",IFERROR(SUMPRODUCT((참고!$A$31:$A$130=C1449)*(참고!$B$31:$B$130&lt;=A1449)*(참고!$B$31:$B$130=_xludf.MAXIFS(참고!$B$31:$B$130,참고!$A$31:$A$130,C1449,참고!$B$31:$B$130,"&lt;="&amp;A1449))*참고!$D$31:$D$130)/100,0),0)</f>
        <v>0</v>
      </c>
      <c r="L1449" s="31" t="str">
        <f t="shared" si="68"/>
        <v/>
      </c>
      <c r="M1449" s="39"/>
    </row>
    <row r="1450" spans="1:13" ht="18" customHeight="1" x14ac:dyDescent="0.45">
      <c r="A1450" s="37"/>
      <c r="B1450" s="29"/>
      <c r="C1450" s="29"/>
      <c r="D1450" s="28"/>
      <c r="E1450" s="30" t="str">
        <f>IFERROR(VLOOKUP(D1450,KRX종목마스터!$A:$B,2,FALSE),"")</f>
        <v/>
      </c>
      <c r="F1450" s="42"/>
      <c r="G1450" s="42"/>
      <c r="H1450" s="31" t="str">
        <f t="shared" si="66"/>
        <v/>
      </c>
      <c r="I1450" s="43">
        <f ca="1">IFERROR(SUMPRODUCT((참고!$A$31:$A$130=C1450)*(참고!$B$31:$B$130&lt;=A1450)*(참고!$B$31:$B$130=_xludf.MAXIFS(참고!$B$31:$B$130,참고!$A$31:$A$130,C1450,참고!$B$31:$B$130,"&lt;="&amp;A1450))*참고!$C$31:$C$130)/100,0)</f>
        <v>0</v>
      </c>
      <c r="J1450" s="31" t="str">
        <f t="shared" si="67"/>
        <v/>
      </c>
      <c r="K1450" s="43">
        <f>IF(B1450="매도",IFERROR(SUMPRODUCT((참고!$A$31:$A$130=C1450)*(참고!$B$31:$B$130&lt;=A1450)*(참고!$B$31:$B$130=_xludf.MAXIFS(참고!$B$31:$B$130,참고!$A$31:$A$130,C1450,참고!$B$31:$B$130,"&lt;="&amp;A1450))*참고!$D$31:$D$130)/100,0),0)</f>
        <v>0</v>
      </c>
      <c r="L1450" s="31" t="str">
        <f t="shared" si="68"/>
        <v/>
      </c>
      <c r="M1450" s="39"/>
    </row>
    <row r="1451" spans="1:13" ht="18" customHeight="1" x14ac:dyDescent="0.45">
      <c r="A1451" s="37"/>
      <c r="B1451" s="29"/>
      <c r="C1451" s="29"/>
      <c r="D1451" s="28"/>
      <c r="E1451" s="30" t="str">
        <f>IFERROR(VLOOKUP(D1451,KRX종목마스터!$A:$B,2,FALSE),"")</f>
        <v/>
      </c>
      <c r="F1451" s="42"/>
      <c r="G1451" s="42"/>
      <c r="H1451" s="31" t="str">
        <f t="shared" si="66"/>
        <v/>
      </c>
      <c r="I1451" s="43">
        <f ca="1">IFERROR(SUMPRODUCT((참고!$A$31:$A$130=C1451)*(참고!$B$31:$B$130&lt;=A1451)*(참고!$B$31:$B$130=_xludf.MAXIFS(참고!$B$31:$B$130,참고!$A$31:$A$130,C1451,참고!$B$31:$B$130,"&lt;="&amp;A1451))*참고!$C$31:$C$130)/100,0)</f>
        <v>0</v>
      </c>
      <c r="J1451" s="31" t="str">
        <f t="shared" si="67"/>
        <v/>
      </c>
      <c r="K1451" s="43">
        <f>IF(B1451="매도",IFERROR(SUMPRODUCT((참고!$A$31:$A$130=C1451)*(참고!$B$31:$B$130&lt;=A1451)*(참고!$B$31:$B$130=_xludf.MAXIFS(참고!$B$31:$B$130,참고!$A$31:$A$130,C1451,참고!$B$31:$B$130,"&lt;="&amp;A1451))*참고!$D$31:$D$130)/100,0),0)</f>
        <v>0</v>
      </c>
      <c r="L1451" s="31" t="str">
        <f t="shared" si="68"/>
        <v/>
      </c>
      <c r="M1451" s="39"/>
    </row>
    <row r="1452" spans="1:13" ht="18" customHeight="1" x14ac:dyDescent="0.45">
      <c r="A1452" s="37"/>
      <c r="B1452" s="29"/>
      <c r="C1452" s="29"/>
      <c r="D1452" s="28"/>
      <c r="E1452" s="30" t="str">
        <f>IFERROR(VLOOKUP(D1452,KRX종목마스터!$A:$B,2,FALSE),"")</f>
        <v/>
      </c>
      <c r="F1452" s="42"/>
      <c r="G1452" s="42"/>
      <c r="H1452" s="31" t="str">
        <f t="shared" si="66"/>
        <v/>
      </c>
      <c r="I1452" s="43">
        <f ca="1">IFERROR(SUMPRODUCT((참고!$A$31:$A$130=C1452)*(참고!$B$31:$B$130&lt;=A1452)*(참고!$B$31:$B$130=_xludf.MAXIFS(참고!$B$31:$B$130,참고!$A$31:$A$130,C1452,참고!$B$31:$B$130,"&lt;="&amp;A1452))*참고!$C$31:$C$130)/100,0)</f>
        <v>0</v>
      </c>
      <c r="J1452" s="31" t="str">
        <f t="shared" si="67"/>
        <v/>
      </c>
      <c r="K1452" s="43">
        <f>IF(B1452="매도",IFERROR(SUMPRODUCT((참고!$A$31:$A$130=C1452)*(참고!$B$31:$B$130&lt;=A1452)*(참고!$B$31:$B$130=_xludf.MAXIFS(참고!$B$31:$B$130,참고!$A$31:$A$130,C1452,참고!$B$31:$B$130,"&lt;="&amp;A1452))*참고!$D$31:$D$130)/100,0),0)</f>
        <v>0</v>
      </c>
      <c r="L1452" s="31" t="str">
        <f t="shared" si="68"/>
        <v/>
      </c>
      <c r="M1452" s="39"/>
    </row>
    <row r="1453" spans="1:13" ht="18" customHeight="1" x14ac:dyDescent="0.45">
      <c r="A1453" s="37"/>
      <c r="B1453" s="29"/>
      <c r="C1453" s="29"/>
      <c r="D1453" s="28"/>
      <c r="E1453" s="30" t="str">
        <f>IFERROR(VLOOKUP(D1453,KRX종목마스터!$A:$B,2,FALSE),"")</f>
        <v/>
      </c>
      <c r="F1453" s="42"/>
      <c r="G1453" s="42"/>
      <c r="H1453" s="31" t="str">
        <f t="shared" si="66"/>
        <v/>
      </c>
      <c r="I1453" s="43">
        <f ca="1">IFERROR(SUMPRODUCT((참고!$A$31:$A$130=C1453)*(참고!$B$31:$B$130&lt;=A1453)*(참고!$B$31:$B$130=_xludf.MAXIFS(참고!$B$31:$B$130,참고!$A$31:$A$130,C1453,참고!$B$31:$B$130,"&lt;="&amp;A1453))*참고!$C$31:$C$130)/100,0)</f>
        <v>0</v>
      </c>
      <c r="J1453" s="31" t="str">
        <f t="shared" si="67"/>
        <v/>
      </c>
      <c r="K1453" s="43">
        <f>IF(B1453="매도",IFERROR(SUMPRODUCT((참고!$A$31:$A$130=C1453)*(참고!$B$31:$B$130&lt;=A1453)*(참고!$B$31:$B$130=_xludf.MAXIFS(참고!$B$31:$B$130,참고!$A$31:$A$130,C1453,참고!$B$31:$B$130,"&lt;="&amp;A1453))*참고!$D$31:$D$130)/100,0),0)</f>
        <v>0</v>
      </c>
      <c r="L1453" s="31" t="str">
        <f t="shared" si="68"/>
        <v/>
      </c>
      <c r="M1453" s="39"/>
    </row>
    <row r="1454" spans="1:13" ht="18" customHeight="1" x14ac:dyDescent="0.45">
      <c r="A1454" s="37"/>
      <c r="B1454" s="29"/>
      <c r="C1454" s="29"/>
      <c r="D1454" s="28"/>
      <c r="E1454" s="30" t="str">
        <f>IFERROR(VLOOKUP(D1454,KRX종목마스터!$A:$B,2,FALSE),"")</f>
        <v/>
      </c>
      <c r="F1454" s="42"/>
      <c r="G1454" s="42"/>
      <c r="H1454" s="31" t="str">
        <f t="shared" si="66"/>
        <v/>
      </c>
      <c r="I1454" s="43">
        <f ca="1">IFERROR(SUMPRODUCT((참고!$A$31:$A$130=C1454)*(참고!$B$31:$B$130&lt;=A1454)*(참고!$B$31:$B$130=_xludf.MAXIFS(참고!$B$31:$B$130,참고!$A$31:$A$130,C1454,참고!$B$31:$B$130,"&lt;="&amp;A1454))*참고!$C$31:$C$130)/100,0)</f>
        <v>0</v>
      </c>
      <c r="J1454" s="31" t="str">
        <f t="shared" si="67"/>
        <v/>
      </c>
      <c r="K1454" s="43">
        <f>IF(B1454="매도",IFERROR(SUMPRODUCT((참고!$A$31:$A$130=C1454)*(참고!$B$31:$B$130&lt;=A1454)*(참고!$B$31:$B$130=_xludf.MAXIFS(참고!$B$31:$B$130,참고!$A$31:$A$130,C1454,참고!$B$31:$B$130,"&lt;="&amp;A1454))*참고!$D$31:$D$130)/100,0),0)</f>
        <v>0</v>
      </c>
      <c r="L1454" s="31" t="str">
        <f t="shared" si="68"/>
        <v/>
      </c>
      <c r="M1454" s="39"/>
    </row>
    <row r="1455" spans="1:13" ht="18" customHeight="1" x14ac:dyDescent="0.45">
      <c r="A1455" s="37"/>
      <c r="B1455" s="29"/>
      <c r="C1455" s="29"/>
      <c r="D1455" s="28"/>
      <c r="E1455" s="30" t="str">
        <f>IFERROR(VLOOKUP(D1455,KRX종목마스터!$A:$B,2,FALSE),"")</f>
        <v/>
      </c>
      <c r="F1455" s="42"/>
      <c r="G1455" s="42"/>
      <c r="H1455" s="31" t="str">
        <f t="shared" si="66"/>
        <v/>
      </c>
      <c r="I1455" s="43">
        <f ca="1">IFERROR(SUMPRODUCT((참고!$A$31:$A$130=C1455)*(참고!$B$31:$B$130&lt;=A1455)*(참고!$B$31:$B$130=_xludf.MAXIFS(참고!$B$31:$B$130,참고!$A$31:$A$130,C1455,참고!$B$31:$B$130,"&lt;="&amp;A1455))*참고!$C$31:$C$130)/100,0)</f>
        <v>0</v>
      </c>
      <c r="J1455" s="31" t="str">
        <f t="shared" si="67"/>
        <v/>
      </c>
      <c r="K1455" s="43">
        <f>IF(B1455="매도",IFERROR(SUMPRODUCT((참고!$A$31:$A$130=C1455)*(참고!$B$31:$B$130&lt;=A1455)*(참고!$B$31:$B$130=_xludf.MAXIFS(참고!$B$31:$B$130,참고!$A$31:$A$130,C1455,참고!$B$31:$B$130,"&lt;="&amp;A1455))*참고!$D$31:$D$130)/100,0),0)</f>
        <v>0</v>
      </c>
      <c r="L1455" s="31" t="str">
        <f t="shared" si="68"/>
        <v/>
      </c>
      <c r="M1455" s="39"/>
    </row>
    <row r="1456" spans="1:13" ht="18" customHeight="1" x14ac:dyDescent="0.45">
      <c r="A1456" s="37"/>
      <c r="B1456" s="29"/>
      <c r="C1456" s="29"/>
      <c r="D1456" s="28"/>
      <c r="E1456" s="30" t="str">
        <f>IFERROR(VLOOKUP(D1456,KRX종목마스터!$A:$B,2,FALSE),"")</f>
        <v/>
      </c>
      <c r="F1456" s="42"/>
      <c r="G1456" s="42"/>
      <c r="H1456" s="31" t="str">
        <f t="shared" si="66"/>
        <v/>
      </c>
      <c r="I1456" s="43">
        <f ca="1">IFERROR(SUMPRODUCT((참고!$A$31:$A$130=C1456)*(참고!$B$31:$B$130&lt;=A1456)*(참고!$B$31:$B$130=_xludf.MAXIFS(참고!$B$31:$B$130,참고!$A$31:$A$130,C1456,참고!$B$31:$B$130,"&lt;="&amp;A1456))*참고!$C$31:$C$130)/100,0)</f>
        <v>0</v>
      </c>
      <c r="J1456" s="31" t="str">
        <f t="shared" si="67"/>
        <v/>
      </c>
      <c r="K1456" s="43">
        <f>IF(B1456="매도",IFERROR(SUMPRODUCT((참고!$A$31:$A$130=C1456)*(참고!$B$31:$B$130&lt;=A1456)*(참고!$B$31:$B$130=_xludf.MAXIFS(참고!$B$31:$B$130,참고!$A$31:$A$130,C1456,참고!$B$31:$B$130,"&lt;="&amp;A1456))*참고!$D$31:$D$130)/100,0),0)</f>
        <v>0</v>
      </c>
      <c r="L1456" s="31" t="str">
        <f t="shared" si="68"/>
        <v/>
      </c>
      <c r="M1456" s="39"/>
    </row>
    <row r="1457" spans="1:13" ht="18" customHeight="1" x14ac:dyDescent="0.45">
      <c r="A1457" s="37"/>
      <c r="B1457" s="29"/>
      <c r="C1457" s="29"/>
      <c r="D1457" s="28"/>
      <c r="E1457" s="30" t="str">
        <f>IFERROR(VLOOKUP(D1457,KRX종목마스터!$A:$B,2,FALSE),"")</f>
        <v/>
      </c>
      <c r="F1457" s="42"/>
      <c r="G1457" s="42"/>
      <c r="H1457" s="31" t="str">
        <f t="shared" si="66"/>
        <v/>
      </c>
      <c r="I1457" s="43">
        <f ca="1">IFERROR(SUMPRODUCT((참고!$A$31:$A$130=C1457)*(참고!$B$31:$B$130&lt;=A1457)*(참고!$B$31:$B$130=_xludf.MAXIFS(참고!$B$31:$B$130,참고!$A$31:$A$130,C1457,참고!$B$31:$B$130,"&lt;="&amp;A1457))*참고!$C$31:$C$130)/100,0)</f>
        <v>0</v>
      </c>
      <c r="J1457" s="31" t="str">
        <f t="shared" si="67"/>
        <v/>
      </c>
      <c r="K1457" s="43">
        <f>IF(B1457="매도",IFERROR(SUMPRODUCT((참고!$A$31:$A$130=C1457)*(참고!$B$31:$B$130&lt;=A1457)*(참고!$B$31:$B$130=_xludf.MAXIFS(참고!$B$31:$B$130,참고!$A$31:$A$130,C1457,참고!$B$31:$B$130,"&lt;="&amp;A1457))*참고!$D$31:$D$130)/100,0),0)</f>
        <v>0</v>
      </c>
      <c r="L1457" s="31" t="str">
        <f t="shared" si="68"/>
        <v/>
      </c>
      <c r="M1457" s="39"/>
    </row>
    <row r="1458" spans="1:13" ht="18" customHeight="1" x14ac:dyDescent="0.45">
      <c r="A1458" s="37"/>
      <c r="B1458" s="29"/>
      <c r="C1458" s="29"/>
      <c r="D1458" s="28"/>
      <c r="E1458" s="30" t="str">
        <f>IFERROR(VLOOKUP(D1458,KRX종목마스터!$A:$B,2,FALSE),"")</f>
        <v/>
      </c>
      <c r="F1458" s="42"/>
      <c r="G1458" s="42"/>
      <c r="H1458" s="31" t="str">
        <f t="shared" si="66"/>
        <v/>
      </c>
      <c r="I1458" s="43">
        <f ca="1">IFERROR(SUMPRODUCT((참고!$A$31:$A$130=C1458)*(참고!$B$31:$B$130&lt;=A1458)*(참고!$B$31:$B$130=_xludf.MAXIFS(참고!$B$31:$B$130,참고!$A$31:$A$130,C1458,참고!$B$31:$B$130,"&lt;="&amp;A1458))*참고!$C$31:$C$130)/100,0)</f>
        <v>0</v>
      </c>
      <c r="J1458" s="31" t="str">
        <f t="shared" si="67"/>
        <v/>
      </c>
      <c r="K1458" s="43">
        <f>IF(B1458="매도",IFERROR(SUMPRODUCT((참고!$A$31:$A$130=C1458)*(참고!$B$31:$B$130&lt;=A1458)*(참고!$B$31:$B$130=_xludf.MAXIFS(참고!$B$31:$B$130,참고!$A$31:$A$130,C1458,참고!$B$31:$B$130,"&lt;="&amp;A1458))*참고!$D$31:$D$130)/100,0),0)</f>
        <v>0</v>
      </c>
      <c r="L1458" s="31" t="str">
        <f t="shared" si="68"/>
        <v/>
      </c>
      <c r="M1458" s="39"/>
    </row>
    <row r="1459" spans="1:13" ht="18" customHeight="1" x14ac:dyDescent="0.45">
      <c r="A1459" s="37"/>
      <c r="B1459" s="29"/>
      <c r="C1459" s="29"/>
      <c r="D1459" s="28"/>
      <c r="E1459" s="30" t="str">
        <f>IFERROR(VLOOKUP(D1459,KRX종목마스터!$A:$B,2,FALSE),"")</f>
        <v/>
      </c>
      <c r="F1459" s="42"/>
      <c r="G1459" s="42"/>
      <c r="H1459" s="31" t="str">
        <f t="shared" si="66"/>
        <v/>
      </c>
      <c r="I1459" s="43">
        <f ca="1">IFERROR(SUMPRODUCT((참고!$A$31:$A$130=C1459)*(참고!$B$31:$B$130&lt;=A1459)*(참고!$B$31:$B$130=_xludf.MAXIFS(참고!$B$31:$B$130,참고!$A$31:$A$130,C1459,참고!$B$31:$B$130,"&lt;="&amp;A1459))*참고!$C$31:$C$130)/100,0)</f>
        <v>0</v>
      </c>
      <c r="J1459" s="31" t="str">
        <f t="shared" si="67"/>
        <v/>
      </c>
      <c r="K1459" s="43">
        <f>IF(B1459="매도",IFERROR(SUMPRODUCT((참고!$A$31:$A$130=C1459)*(참고!$B$31:$B$130&lt;=A1459)*(참고!$B$31:$B$130=_xludf.MAXIFS(참고!$B$31:$B$130,참고!$A$31:$A$130,C1459,참고!$B$31:$B$130,"&lt;="&amp;A1459))*참고!$D$31:$D$130)/100,0),0)</f>
        <v>0</v>
      </c>
      <c r="L1459" s="31" t="str">
        <f t="shared" si="68"/>
        <v/>
      </c>
      <c r="M1459" s="39"/>
    </row>
    <row r="1460" spans="1:13" ht="18" customHeight="1" x14ac:dyDescent="0.45">
      <c r="A1460" s="37"/>
      <c r="B1460" s="29"/>
      <c r="C1460" s="29"/>
      <c r="D1460" s="28"/>
      <c r="E1460" s="30" t="str">
        <f>IFERROR(VLOOKUP(D1460,KRX종목마스터!$A:$B,2,FALSE),"")</f>
        <v/>
      </c>
      <c r="F1460" s="42"/>
      <c r="G1460" s="42"/>
      <c r="H1460" s="31" t="str">
        <f t="shared" si="66"/>
        <v/>
      </c>
      <c r="I1460" s="43">
        <f ca="1">IFERROR(SUMPRODUCT((참고!$A$31:$A$130=C1460)*(참고!$B$31:$B$130&lt;=A1460)*(참고!$B$31:$B$130=_xludf.MAXIFS(참고!$B$31:$B$130,참고!$A$31:$A$130,C1460,참고!$B$31:$B$130,"&lt;="&amp;A1460))*참고!$C$31:$C$130)/100,0)</f>
        <v>0</v>
      </c>
      <c r="J1460" s="31" t="str">
        <f t="shared" si="67"/>
        <v/>
      </c>
      <c r="K1460" s="43">
        <f>IF(B1460="매도",IFERROR(SUMPRODUCT((참고!$A$31:$A$130=C1460)*(참고!$B$31:$B$130&lt;=A1460)*(참고!$B$31:$B$130=_xludf.MAXIFS(참고!$B$31:$B$130,참고!$A$31:$A$130,C1460,참고!$B$31:$B$130,"&lt;="&amp;A1460))*참고!$D$31:$D$130)/100,0),0)</f>
        <v>0</v>
      </c>
      <c r="L1460" s="31" t="str">
        <f t="shared" si="68"/>
        <v/>
      </c>
      <c r="M1460" s="39"/>
    </row>
    <row r="1461" spans="1:13" ht="18" customHeight="1" x14ac:dyDescent="0.45">
      <c r="A1461" s="37"/>
      <c r="B1461" s="29"/>
      <c r="C1461" s="29"/>
      <c r="D1461" s="28"/>
      <c r="E1461" s="30" t="str">
        <f>IFERROR(VLOOKUP(D1461,KRX종목마스터!$A:$B,2,FALSE),"")</f>
        <v/>
      </c>
      <c r="F1461" s="42"/>
      <c r="G1461" s="42"/>
      <c r="H1461" s="31" t="str">
        <f t="shared" si="66"/>
        <v/>
      </c>
      <c r="I1461" s="43">
        <f ca="1">IFERROR(SUMPRODUCT((참고!$A$31:$A$130=C1461)*(참고!$B$31:$B$130&lt;=A1461)*(참고!$B$31:$B$130=_xludf.MAXIFS(참고!$B$31:$B$130,참고!$A$31:$A$130,C1461,참고!$B$31:$B$130,"&lt;="&amp;A1461))*참고!$C$31:$C$130)/100,0)</f>
        <v>0</v>
      </c>
      <c r="J1461" s="31" t="str">
        <f t="shared" si="67"/>
        <v/>
      </c>
      <c r="K1461" s="43">
        <f>IF(B1461="매도",IFERROR(SUMPRODUCT((참고!$A$31:$A$130=C1461)*(참고!$B$31:$B$130&lt;=A1461)*(참고!$B$31:$B$130=_xludf.MAXIFS(참고!$B$31:$B$130,참고!$A$31:$A$130,C1461,참고!$B$31:$B$130,"&lt;="&amp;A1461))*참고!$D$31:$D$130)/100,0),0)</f>
        <v>0</v>
      </c>
      <c r="L1461" s="31" t="str">
        <f t="shared" si="68"/>
        <v/>
      </c>
      <c r="M1461" s="39"/>
    </row>
    <row r="1462" spans="1:13" ht="18" customHeight="1" x14ac:dyDescent="0.45">
      <c r="A1462" s="37"/>
      <c r="B1462" s="29"/>
      <c r="C1462" s="29"/>
      <c r="D1462" s="28"/>
      <c r="E1462" s="30" t="str">
        <f>IFERROR(VLOOKUP(D1462,KRX종목마스터!$A:$B,2,FALSE),"")</f>
        <v/>
      </c>
      <c r="F1462" s="42"/>
      <c r="G1462" s="42"/>
      <c r="H1462" s="31" t="str">
        <f t="shared" si="66"/>
        <v/>
      </c>
      <c r="I1462" s="43">
        <f ca="1">IFERROR(SUMPRODUCT((참고!$A$31:$A$130=C1462)*(참고!$B$31:$B$130&lt;=A1462)*(참고!$B$31:$B$130=_xludf.MAXIFS(참고!$B$31:$B$130,참고!$A$31:$A$130,C1462,참고!$B$31:$B$130,"&lt;="&amp;A1462))*참고!$C$31:$C$130)/100,0)</f>
        <v>0</v>
      </c>
      <c r="J1462" s="31" t="str">
        <f t="shared" si="67"/>
        <v/>
      </c>
      <c r="K1462" s="43">
        <f>IF(B1462="매도",IFERROR(SUMPRODUCT((참고!$A$31:$A$130=C1462)*(참고!$B$31:$B$130&lt;=A1462)*(참고!$B$31:$B$130=_xludf.MAXIFS(참고!$B$31:$B$130,참고!$A$31:$A$130,C1462,참고!$B$31:$B$130,"&lt;="&amp;A1462))*참고!$D$31:$D$130)/100,0),0)</f>
        <v>0</v>
      </c>
      <c r="L1462" s="31" t="str">
        <f t="shared" si="68"/>
        <v/>
      </c>
      <c r="M1462" s="39"/>
    </row>
    <row r="1463" spans="1:13" ht="18" customHeight="1" x14ac:dyDescent="0.45">
      <c r="A1463" s="37"/>
      <c r="B1463" s="29"/>
      <c r="C1463" s="29"/>
      <c r="D1463" s="28"/>
      <c r="E1463" s="30" t="str">
        <f>IFERROR(VLOOKUP(D1463,KRX종목마스터!$A:$B,2,FALSE),"")</f>
        <v/>
      </c>
      <c r="F1463" s="42"/>
      <c r="G1463" s="42"/>
      <c r="H1463" s="31" t="str">
        <f t="shared" si="66"/>
        <v/>
      </c>
      <c r="I1463" s="43">
        <f ca="1">IFERROR(SUMPRODUCT((참고!$A$31:$A$130=C1463)*(참고!$B$31:$B$130&lt;=A1463)*(참고!$B$31:$B$130=_xludf.MAXIFS(참고!$B$31:$B$130,참고!$A$31:$A$130,C1463,참고!$B$31:$B$130,"&lt;="&amp;A1463))*참고!$C$31:$C$130)/100,0)</f>
        <v>0</v>
      </c>
      <c r="J1463" s="31" t="str">
        <f t="shared" si="67"/>
        <v/>
      </c>
      <c r="K1463" s="43">
        <f>IF(B1463="매도",IFERROR(SUMPRODUCT((참고!$A$31:$A$130=C1463)*(참고!$B$31:$B$130&lt;=A1463)*(참고!$B$31:$B$130=_xludf.MAXIFS(참고!$B$31:$B$130,참고!$A$31:$A$130,C1463,참고!$B$31:$B$130,"&lt;="&amp;A1463))*참고!$D$31:$D$130)/100,0),0)</f>
        <v>0</v>
      </c>
      <c r="L1463" s="31" t="str">
        <f t="shared" si="68"/>
        <v/>
      </c>
      <c r="M1463" s="39"/>
    </row>
    <row r="1464" spans="1:13" ht="18" customHeight="1" x14ac:dyDescent="0.45">
      <c r="A1464" s="37"/>
      <c r="B1464" s="29"/>
      <c r="C1464" s="29"/>
      <c r="D1464" s="28"/>
      <c r="E1464" s="30" t="str">
        <f>IFERROR(VLOOKUP(D1464,KRX종목마스터!$A:$B,2,FALSE),"")</f>
        <v/>
      </c>
      <c r="F1464" s="42"/>
      <c r="G1464" s="42"/>
      <c r="H1464" s="31" t="str">
        <f t="shared" si="66"/>
        <v/>
      </c>
      <c r="I1464" s="43">
        <f ca="1">IFERROR(SUMPRODUCT((참고!$A$31:$A$130=C1464)*(참고!$B$31:$B$130&lt;=A1464)*(참고!$B$31:$B$130=_xludf.MAXIFS(참고!$B$31:$B$130,참고!$A$31:$A$130,C1464,참고!$B$31:$B$130,"&lt;="&amp;A1464))*참고!$C$31:$C$130)/100,0)</f>
        <v>0</v>
      </c>
      <c r="J1464" s="31" t="str">
        <f t="shared" si="67"/>
        <v/>
      </c>
      <c r="K1464" s="43">
        <f>IF(B1464="매도",IFERROR(SUMPRODUCT((참고!$A$31:$A$130=C1464)*(참고!$B$31:$B$130&lt;=A1464)*(참고!$B$31:$B$130=_xludf.MAXIFS(참고!$B$31:$B$130,참고!$A$31:$A$130,C1464,참고!$B$31:$B$130,"&lt;="&amp;A1464))*참고!$D$31:$D$130)/100,0),0)</f>
        <v>0</v>
      </c>
      <c r="L1464" s="31" t="str">
        <f t="shared" si="68"/>
        <v/>
      </c>
      <c r="M1464" s="39"/>
    </row>
    <row r="1465" spans="1:13" ht="18" customHeight="1" x14ac:dyDescent="0.45">
      <c r="A1465" s="37"/>
      <c r="B1465" s="29"/>
      <c r="C1465" s="29"/>
      <c r="D1465" s="28"/>
      <c r="E1465" s="30" t="str">
        <f>IFERROR(VLOOKUP(D1465,KRX종목마스터!$A:$B,2,FALSE),"")</f>
        <v/>
      </c>
      <c r="F1465" s="42"/>
      <c r="G1465" s="42"/>
      <c r="H1465" s="31" t="str">
        <f t="shared" si="66"/>
        <v/>
      </c>
      <c r="I1465" s="43">
        <f ca="1">IFERROR(SUMPRODUCT((참고!$A$31:$A$130=C1465)*(참고!$B$31:$B$130&lt;=A1465)*(참고!$B$31:$B$130=_xludf.MAXIFS(참고!$B$31:$B$130,참고!$A$31:$A$130,C1465,참고!$B$31:$B$130,"&lt;="&amp;A1465))*참고!$C$31:$C$130)/100,0)</f>
        <v>0</v>
      </c>
      <c r="J1465" s="31" t="str">
        <f t="shared" si="67"/>
        <v/>
      </c>
      <c r="K1465" s="43">
        <f>IF(B1465="매도",IFERROR(SUMPRODUCT((참고!$A$31:$A$130=C1465)*(참고!$B$31:$B$130&lt;=A1465)*(참고!$B$31:$B$130=_xludf.MAXIFS(참고!$B$31:$B$130,참고!$A$31:$A$130,C1465,참고!$B$31:$B$130,"&lt;="&amp;A1465))*참고!$D$31:$D$130)/100,0),0)</f>
        <v>0</v>
      </c>
      <c r="L1465" s="31" t="str">
        <f t="shared" si="68"/>
        <v/>
      </c>
      <c r="M1465" s="39"/>
    </row>
    <row r="1466" spans="1:13" ht="18" customHeight="1" x14ac:dyDescent="0.45">
      <c r="A1466" s="37"/>
      <c r="B1466" s="29"/>
      <c r="C1466" s="29"/>
      <c r="D1466" s="28"/>
      <c r="E1466" s="30" t="str">
        <f>IFERROR(VLOOKUP(D1466,KRX종목마스터!$A:$B,2,FALSE),"")</f>
        <v/>
      </c>
      <c r="F1466" s="42"/>
      <c r="G1466" s="42"/>
      <c r="H1466" s="31" t="str">
        <f t="shared" si="66"/>
        <v/>
      </c>
      <c r="I1466" s="43">
        <f ca="1">IFERROR(SUMPRODUCT((참고!$A$31:$A$130=C1466)*(참고!$B$31:$B$130&lt;=A1466)*(참고!$B$31:$B$130=_xludf.MAXIFS(참고!$B$31:$B$130,참고!$A$31:$A$130,C1466,참고!$B$31:$B$130,"&lt;="&amp;A1466))*참고!$C$31:$C$130)/100,0)</f>
        <v>0</v>
      </c>
      <c r="J1466" s="31" t="str">
        <f t="shared" si="67"/>
        <v/>
      </c>
      <c r="K1466" s="43">
        <f>IF(B1466="매도",IFERROR(SUMPRODUCT((참고!$A$31:$A$130=C1466)*(참고!$B$31:$B$130&lt;=A1466)*(참고!$B$31:$B$130=_xludf.MAXIFS(참고!$B$31:$B$130,참고!$A$31:$A$130,C1466,참고!$B$31:$B$130,"&lt;="&amp;A1466))*참고!$D$31:$D$130)/100,0),0)</f>
        <v>0</v>
      </c>
      <c r="L1466" s="31" t="str">
        <f t="shared" si="68"/>
        <v/>
      </c>
      <c r="M1466" s="39"/>
    </row>
    <row r="1467" spans="1:13" ht="18" customHeight="1" x14ac:dyDescent="0.45">
      <c r="A1467" s="37"/>
      <c r="B1467" s="29"/>
      <c r="C1467" s="29"/>
      <c r="D1467" s="28"/>
      <c r="E1467" s="30" t="str">
        <f>IFERROR(VLOOKUP(D1467,KRX종목마스터!$A:$B,2,FALSE),"")</f>
        <v/>
      </c>
      <c r="F1467" s="42"/>
      <c r="G1467" s="42"/>
      <c r="H1467" s="31" t="str">
        <f t="shared" si="66"/>
        <v/>
      </c>
      <c r="I1467" s="43">
        <f ca="1">IFERROR(SUMPRODUCT((참고!$A$31:$A$130=C1467)*(참고!$B$31:$B$130&lt;=A1467)*(참고!$B$31:$B$130=_xludf.MAXIFS(참고!$B$31:$B$130,참고!$A$31:$A$130,C1467,참고!$B$31:$B$130,"&lt;="&amp;A1467))*참고!$C$31:$C$130)/100,0)</f>
        <v>0</v>
      </c>
      <c r="J1467" s="31" t="str">
        <f t="shared" si="67"/>
        <v/>
      </c>
      <c r="K1467" s="43">
        <f>IF(B1467="매도",IFERROR(SUMPRODUCT((참고!$A$31:$A$130=C1467)*(참고!$B$31:$B$130&lt;=A1467)*(참고!$B$31:$B$130=_xludf.MAXIFS(참고!$B$31:$B$130,참고!$A$31:$A$130,C1467,참고!$B$31:$B$130,"&lt;="&amp;A1467))*참고!$D$31:$D$130)/100,0),0)</f>
        <v>0</v>
      </c>
      <c r="L1467" s="31" t="str">
        <f t="shared" si="68"/>
        <v/>
      </c>
      <c r="M1467" s="39"/>
    </row>
    <row r="1468" spans="1:13" ht="18" customHeight="1" x14ac:dyDescent="0.45">
      <c r="A1468" s="37"/>
      <c r="B1468" s="29"/>
      <c r="C1468" s="29"/>
      <c r="D1468" s="28"/>
      <c r="E1468" s="30" t="str">
        <f>IFERROR(VLOOKUP(D1468,KRX종목마스터!$A:$B,2,FALSE),"")</f>
        <v/>
      </c>
      <c r="F1468" s="42"/>
      <c r="G1468" s="42"/>
      <c r="H1468" s="31" t="str">
        <f t="shared" si="66"/>
        <v/>
      </c>
      <c r="I1468" s="43">
        <f ca="1">IFERROR(SUMPRODUCT((참고!$A$31:$A$130=C1468)*(참고!$B$31:$B$130&lt;=A1468)*(참고!$B$31:$B$130=_xludf.MAXIFS(참고!$B$31:$B$130,참고!$A$31:$A$130,C1468,참고!$B$31:$B$130,"&lt;="&amp;A1468))*참고!$C$31:$C$130)/100,0)</f>
        <v>0</v>
      </c>
      <c r="J1468" s="31" t="str">
        <f t="shared" si="67"/>
        <v/>
      </c>
      <c r="K1468" s="43">
        <f>IF(B1468="매도",IFERROR(SUMPRODUCT((참고!$A$31:$A$130=C1468)*(참고!$B$31:$B$130&lt;=A1468)*(참고!$B$31:$B$130=_xludf.MAXIFS(참고!$B$31:$B$130,참고!$A$31:$A$130,C1468,참고!$B$31:$B$130,"&lt;="&amp;A1468))*참고!$D$31:$D$130)/100,0),0)</f>
        <v>0</v>
      </c>
      <c r="L1468" s="31" t="str">
        <f t="shared" si="68"/>
        <v/>
      </c>
      <c r="M1468" s="39"/>
    </row>
    <row r="1469" spans="1:13" ht="18" customHeight="1" x14ac:dyDescent="0.45">
      <c r="A1469" s="37"/>
      <c r="B1469" s="29"/>
      <c r="C1469" s="29"/>
      <c r="D1469" s="28"/>
      <c r="E1469" s="30" t="str">
        <f>IFERROR(VLOOKUP(D1469,KRX종목마스터!$A:$B,2,FALSE),"")</f>
        <v/>
      </c>
      <c r="F1469" s="42"/>
      <c r="G1469" s="42"/>
      <c r="H1469" s="31" t="str">
        <f t="shared" si="66"/>
        <v/>
      </c>
      <c r="I1469" s="43">
        <f ca="1">IFERROR(SUMPRODUCT((참고!$A$31:$A$130=C1469)*(참고!$B$31:$B$130&lt;=A1469)*(참고!$B$31:$B$130=_xludf.MAXIFS(참고!$B$31:$B$130,참고!$A$31:$A$130,C1469,참고!$B$31:$B$130,"&lt;="&amp;A1469))*참고!$C$31:$C$130)/100,0)</f>
        <v>0</v>
      </c>
      <c r="J1469" s="31" t="str">
        <f t="shared" si="67"/>
        <v/>
      </c>
      <c r="K1469" s="43">
        <f>IF(B1469="매도",IFERROR(SUMPRODUCT((참고!$A$31:$A$130=C1469)*(참고!$B$31:$B$130&lt;=A1469)*(참고!$B$31:$B$130=_xludf.MAXIFS(참고!$B$31:$B$130,참고!$A$31:$A$130,C1469,참고!$B$31:$B$130,"&lt;="&amp;A1469))*참고!$D$31:$D$130)/100,0),0)</f>
        <v>0</v>
      </c>
      <c r="L1469" s="31" t="str">
        <f t="shared" si="68"/>
        <v/>
      </c>
      <c r="M1469" s="39"/>
    </row>
    <row r="1470" spans="1:13" ht="18" customHeight="1" x14ac:dyDescent="0.45">
      <c r="A1470" s="37"/>
      <c r="B1470" s="29"/>
      <c r="C1470" s="29"/>
      <c r="D1470" s="28"/>
      <c r="E1470" s="30" t="str">
        <f>IFERROR(VLOOKUP(D1470,KRX종목마스터!$A:$B,2,FALSE),"")</f>
        <v/>
      </c>
      <c r="F1470" s="42"/>
      <c r="G1470" s="42"/>
      <c r="H1470" s="31" t="str">
        <f t="shared" si="66"/>
        <v/>
      </c>
      <c r="I1470" s="43">
        <f ca="1">IFERROR(SUMPRODUCT((참고!$A$31:$A$130=C1470)*(참고!$B$31:$B$130&lt;=A1470)*(참고!$B$31:$B$130=_xludf.MAXIFS(참고!$B$31:$B$130,참고!$A$31:$A$130,C1470,참고!$B$31:$B$130,"&lt;="&amp;A1470))*참고!$C$31:$C$130)/100,0)</f>
        <v>0</v>
      </c>
      <c r="J1470" s="31" t="str">
        <f t="shared" si="67"/>
        <v/>
      </c>
      <c r="K1470" s="43">
        <f>IF(B1470="매도",IFERROR(SUMPRODUCT((참고!$A$31:$A$130=C1470)*(참고!$B$31:$B$130&lt;=A1470)*(참고!$B$31:$B$130=_xludf.MAXIFS(참고!$B$31:$B$130,참고!$A$31:$A$130,C1470,참고!$B$31:$B$130,"&lt;="&amp;A1470))*참고!$D$31:$D$130)/100,0),0)</f>
        <v>0</v>
      </c>
      <c r="L1470" s="31" t="str">
        <f t="shared" si="68"/>
        <v/>
      </c>
      <c r="M1470" s="39"/>
    </row>
    <row r="1471" spans="1:13" ht="18" customHeight="1" x14ac:dyDescent="0.45">
      <c r="A1471" s="37"/>
      <c r="B1471" s="29"/>
      <c r="C1471" s="29"/>
      <c r="D1471" s="28"/>
      <c r="E1471" s="30" t="str">
        <f>IFERROR(VLOOKUP(D1471,KRX종목마스터!$A:$B,2,FALSE),"")</f>
        <v/>
      </c>
      <c r="F1471" s="42"/>
      <c r="G1471" s="42"/>
      <c r="H1471" s="31" t="str">
        <f t="shared" si="66"/>
        <v/>
      </c>
      <c r="I1471" s="43">
        <f ca="1">IFERROR(SUMPRODUCT((참고!$A$31:$A$130=C1471)*(참고!$B$31:$B$130&lt;=A1471)*(참고!$B$31:$B$130=_xludf.MAXIFS(참고!$B$31:$B$130,참고!$A$31:$A$130,C1471,참고!$B$31:$B$130,"&lt;="&amp;A1471))*참고!$C$31:$C$130)/100,0)</f>
        <v>0</v>
      </c>
      <c r="J1471" s="31" t="str">
        <f t="shared" si="67"/>
        <v/>
      </c>
      <c r="K1471" s="43">
        <f>IF(B1471="매도",IFERROR(SUMPRODUCT((참고!$A$31:$A$130=C1471)*(참고!$B$31:$B$130&lt;=A1471)*(참고!$B$31:$B$130=_xludf.MAXIFS(참고!$B$31:$B$130,참고!$A$31:$A$130,C1471,참고!$B$31:$B$130,"&lt;="&amp;A1471))*참고!$D$31:$D$130)/100,0),0)</f>
        <v>0</v>
      </c>
      <c r="L1471" s="31" t="str">
        <f t="shared" si="68"/>
        <v/>
      </c>
      <c r="M1471" s="39"/>
    </row>
    <row r="1472" spans="1:13" ht="18" customHeight="1" x14ac:dyDescent="0.45">
      <c r="A1472" s="37"/>
      <c r="B1472" s="29"/>
      <c r="C1472" s="29"/>
      <c r="D1472" s="28"/>
      <c r="E1472" s="30" t="str">
        <f>IFERROR(VLOOKUP(D1472,KRX종목마스터!$A:$B,2,FALSE),"")</f>
        <v/>
      </c>
      <c r="F1472" s="42"/>
      <c r="G1472" s="42"/>
      <c r="H1472" s="31" t="str">
        <f t="shared" si="66"/>
        <v/>
      </c>
      <c r="I1472" s="43">
        <f ca="1">IFERROR(SUMPRODUCT((참고!$A$31:$A$130=C1472)*(참고!$B$31:$B$130&lt;=A1472)*(참고!$B$31:$B$130=_xludf.MAXIFS(참고!$B$31:$B$130,참고!$A$31:$A$130,C1472,참고!$B$31:$B$130,"&lt;="&amp;A1472))*참고!$C$31:$C$130)/100,0)</f>
        <v>0</v>
      </c>
      <c r="J1472" s="31" t="str">
        <f t="shared" si="67"/>
        <v/>
      </c>
      <c r="K1472" s="43">
        <f>IF(B1472="매도",IFERROR(SUMPRODUCT((참고!$A$31:$A$130=C1472)*(참고!$B$31:$B$130&lt;=A1472)*(참고!$B$31:$B$130=_xludf.MAXIFS(참고!$B$31:$B$130,참고!$A$31:$A$130,C1472,참고!$B$31:$B$130,"&lt;="&amp;A1472))*참고!$D$31:$D$130)/100,0),0)</f>
        <v>0</v>
      </c>
      <c r="L1472" s="31" t="str">
        <f t="shared" si="68"/>
        <v/>
      </c>
      <c r="M1472" s="39"/>
    </row>
    <row r="1473" spans="1:13" ht="18" customHeight="1" x14ac:dyDescent="0.45">
      <c r="A1473" s="37"/>
      <c r="B1473" s="29"/>
      <c r="C1473" s="29"/>
      <c r="D1473" s="28"/>
      <c r="E1473" s="30" t="str">
        <f>IFERROR(VLOOKUP(D1473,KRX종목마스터!$A:$B,2,FALSE),"")</f>
        <v/>
      </c>
      <c r="F1473" s="42"/>
      <c r="G1473" s="42"/>
      <c r="H1473" s="31" t="str">
        <f t="shared" si="66"/>
        <v/>
      </c>
      <c r="I1473" s="43">
        <f ca="1">IFERROR(SUMPRODUCT((참고!$A$31:$A$130=C1473)*(참고!$B$31:$B$130&lt;=A1473)*(참고!$B$31:$B$130=_xludf.MAXIFS(참고!$B$31:$B$130,참고!$A$31:$A$130,C1473,참고!$B$31:$B$130,"&lt;="&amp;A1473))*참고!$C$31:$C$130)/100,0)</f>
        <v>0</v>
      </c>
      <c r="J1473" s="31" t="str">
        <f t="shared" si="67"/>
        <v/>
      </c>
      <c r="K1473" s="43">
        <f>IF(B1473="매도",IFERROR(SUMPRODUCT((참고!$A$31:$A$130=C1473)*(참고!$B$31:$B$130&lt;=A1473)*(참고!$B$31:$B$130=_xludf.MAXIFS(참고!$B$31:$B$130,참고!$A$31:$A$130,C1473,참고!$B$31:$B$130,"&lt;="&amp;A1473))*참고!$D$31:$D$130)/100,0),0)</f>
        <v>0</v>
      </c>
      <c r="L1473" s="31" t="str">
        <f t="shared" si="68"/>
        <v/>
      </c>
      <c r="M1473" s="39"/>
    </row>
    <row r="1474" spans="1:13" ht="18" customHeight="1" x14ac:dyDescent="0.45">
      <c r="A1474" s="37"/>
      <c r="B1474" s="29"/>
      <c r="C1474" s="29"/>
      <c r="D1474" s="28"/>
      <c r="E1474" s="30" t="str">
        <f>IFERROR(VLOOKUP(D1474,KRX종목마스터!$A:$B,2,FALSE),"")</f>
        <v/>
      </c>
      <c r="F1474" s="42"/>
      <c r="G1474" s="42"/>
      <c r="H1474" s="31" t="str">
        <f t="shared" si="66"/>
        <v/>
      </c>
      <c r="I1474" s="43">
        <f ca="1">IFERROR(SUMPRODUCT((참고!$A$31:$A$130=C1474)*(참고!$B$31:$B$130&lt;=A1474)*(참고!$B$31:$B$130=_xludf.MAXIFS(참고!$B$31:$B$130,참고!$A$31:$A$130,C1474,참고!$B$31:$B$130,"&lt;="&amp;A1474))*참고!$C$31:$C$130)/100,0)</f>
        <v>0</v>
      </c>
      <c r="J1474" s="31" t="str">
        <f t="shared" si="67"/>
        <v/>
      </c>
      <c r="K1474" s="43">
        <f>IF(B1474="매도",IFERROR(SUMPRODUCT((참고!$A$31:$A$130=C1474)*(참고!$B$31:$B$130&lt;=A1474)*(참고!$B$31:$B$130=_xludf.MAXIFS(참고!$B$31:$B$130,참고!$A$31:$A$130,C1474,참고!$B$31:$B$130,"&lt;="&amp;A1474))*참고!$D$31:$D$130)/100,0),0)</f>
        <v>0</v>
      </c>
      <c r="L1474" s="31" t="str">
        <f t="shared" si="68"/>
        <v/>
      </c>
      <c r="M1474" s="39"/>
    </row>
    <row r="1475" spans="1:13" ht="18" customHeight="1" x14ac:dyDescent="0.45">
      <c r="A1475" s="37"/>
      <c r="B1475" s="29"/>
      <c r="C1475" s="29"/>
      <c r="D1475" s="28"/>
      <c r="E1475" s="30" t="str">
        <f>IFERROR(VLOOKUP(D1475,KRX종목마스터!$A:$B,2,FALSE),"")</f>
        <v/>
      </c>
      <c r="F1475" s="42"/>
      <c r="G1475" s="42"/>
      <c r="H1475" s="31" t="str">
        <f t="shared" si="66"/>
        <v/>
      </c>
      <c r="I1475" s="43">
        <f ca="1">IFERROR(SUMPRODUCT((참고!$A$31:$A$130=C1475)*(참고!$B$31:$B$130&lt;=A1475)*(참고!$B$31:$B$130=_xludf.MAXIFS(참고!$B$31:$B$130,참고!$A$31:$A$130,C1475,참고!$B$31:$B$130,"&lt;="&amp;A1475))*참고!$C$31:$C$130)/100,0)</f>
        <v>0</v>
      </c>
      <c r="J1475" s="31" t="str">
        <f t="shared" si="67"/>
        <v/>
      </c>
      <c r="K1475" s="43">
        <f>IF(B1475="매도",IFERROR(SUMPRODUCT((참고!$A$31:$A$130=C1475)*(참고!$B$31:$B$130&lt;=A1475)*(참고!$B$31:$B$130=_xludf.MAXIFS(참고!$B$31:$B$130,참고!$A$31:$A$130,C1475,참고!$B$31:$B$130,"&lt;="&amp;A1475))*참고!$D$31:$D$130)/100,0),0)</f>
        <v>0</v>
      </c>
      <c r="L1475" s="31" t="str">
        <f t="shared" si="68"/>
        <v/>
      </c>
      <c r="M1475" s="39"/>
    </row>
    <row r="1476" spans="1:13" ht="18" customHeight="1" x14ac:dyDescent="0.45">
      <c r="A1476" s="37"/>
      <c r="B1476" s="29"/>
      <c r="C1476" s="29"/>
      <c r="D1476" s="28"/>
      <c r="E1476" s="30" t="str">
        <f>IFERROR(VLOOKUP(D1476,KRX종목마스터!$A:$B,2,FALSE),"")</f>
        <v/>
      </c>
      <c r="F1476" s="42"/>
      <c r="G1476" s="42"/>
      <c r="H1476" s="31" t="str">
        <f t="shared" si="66"/>
        <v/>
      </c>
      <c r="I1476" s="43">
        <f ca="1">IFERROR(SUMPRODUCT((참고!$A$31:$A$130=C1476)*(참고!$B$31:$B$130&lt;=A1476)*(참고!$B$31:$B$130=_xludf.MAXIFS(참고!$B$31:$B$130,참고!$A$31:$A$130,C1476,참고!$B$31:$B$130,"&lt;="&amp;A1476))*참고!$C$31:$C$130)/100,0)</f>
        <v>0</v>
      </c>
      <c r="J1476" s="31" t="str">
        <f t="shared" si="67"/>
        <v/>
      </c>
      <c r="K1476" s="43">
        <f>IF(B1476="매도",IFERROR(SUMPRODUCT((참고!$A$31:$A$130=C1476)*(참고!$B$31:$B$130&lt;=A1476)*(참고!$B$31:$B$130=_xludf.MAXIFS(참고!$B$31:$B$130,참고!$A$31:$A$130,C1476,참고!$B$31:$B$130,"&lt;="&amp;A1476))*참고!$D$31:$D$130)/100,0),0)</f>
        <v>0</v>
      </c>
      <c r="L1476" s="31" t="str">
        <f t="shared" si="68"/>
        <v/>
      </c>
      <c r="M1476" s="39"/>
    </row>
    <row r="1477" spans="1:13" ht="18" customHeight="1" x14ac:dyDescent="0.45">
      <c r="A1477" s="37"/>
      <c r="B1477" s="29"/>
      <c r="C1477" s="29"/>
      <c r="D1477" s="28"/>
      <c r="E1477" s="30" t="str">
        <f>IFERROR(VLOOKUP(D1477,KRX종목마스터!$A:$B,2,FALSE),"")</f>
        <v/>
      </c>
      <c r="F1477" s="42"/>
      <c r="G1477" s="42"/>
      <c r="H1477" s="31" t="str">
        <f t="shared" ref="H1477:H1540" si="69">IF(AND(F1477&lt;&gt;"",G1477&lt;&gt;""),F1477*G1477,"")</f>
        <v/>
      </c>
      <c r="I1477" s="43">
        <f ca="1">IFERROR(SUMPRODUCT((참고!$A$31:$A$130=C1477)*(참고!$B$31:$B$130&lt;=A1477)*(참고!$B$31:$B$130=_xludf.MAXIFS(참고!$B$31:$B$130,참고!$A$31:$A$130,C1477,참고!$B$31:$B$130,"&lt;="&amp;A1477))*참고!$C$31:$C$130)/100,0)</f>
        <v>0</v>
      </c>
      <c r="J1477" s="31" t="str">
        <f t="shared" ref="J1477:J1540" si="70">IF(H1477="","",ROUND(H1477*I1477,0))</f>
        <v/>
      </c>
      <c r="K1477" s="43">
        <f>IF(B1477="매도",IFERROR(SUMPRODUCT((참고!$A$31:$A$130=C1477)*(참고!$B$31:$B$130&lt;=A1477)*(참고!$B$31:$B$130=_xludf.MAXIFS(참고!$B$31:$B$130,참고!$A$31:$A$130,C1477,참고!$B$31:$B$130,"&lt;="&amp;A1477))*참고!$D$31:$D$130)/100,0),0)</f>
        <v>0</v>
      </c>
      <c r="L1477" s="31" t="str">
        <f t="shared" ref="L1477:L1540" si="71">IF(H1477="","",ROUND(H1477*K1477,0))</f>
        <v/>
      </c>
      <c r="M1477" s="39"/>
    </row>
    <row r="1478" spans="1:13" ht="18" customHeight="1" x14ac:dyDescent="0.45">
      <c r="A1478" s="37"/>
      <c r="B1478" s="29"/>
      <c r="C1478" s="29"/>
      <c r="D1478" s="28"/>
      <c r="E1478" s="30" t="str">
        <f>IFERROR(VLOOKUP(D1478,KRX종목마스터!$A:$B,2,FALSE),"")</f>
        <v/>
      </c>
      <c r="F1478" s="42"/>
      <c r="G1478" s="42"/>
      <c r="H1478" s="31" t="str">
        <f t="shared" si="69"/>
        <v/>
      </c>
      <c r="I1478" s="43">
        <f ca="1">IFERROR(SUMPRODUCT((참고!$A$31:$A$130=C1478)*(참고!$B$31:$B$130&lt;=A1478)*(참고!$B$31:$B$130=_xludf.MAXIFS(참고!$B$31:$B$130,참고!$A$31:$A$130,C1478,참고!$B$31:$B$130,"&lt;="&amp;A1478))*참고!$C$31:$C$130)/100,0)</f>
        <v>0</v>
      </c>
      <c r="J1478" s="31" t="str">
        <f t="shared" si="70"/>
        <v/>
      </c>
      <c r="K1478" s="43">
        <f>IF(B1478="매도",IFERROR(SUMPRODUCT((참고!$A$31:$A$130=C1478)*(참고!$B$31:$B$130&lt;=A1478)*(참고!$B$31:$B$130=_xludf.MAXIFS(참고!$B$31:$B$130,참고!$A$31:$A$130,C1478,참고!$B$31:$B$130,"&lt;="&amp;A1478))*참고!$D$31:$D$130)/100,0),0)</f>
        <v>0</v>
      </c>
      <c r="L1478" s="31" t="str">
        <f t="shared" si="71"/>
        <v/>
      </c>
      <c r="M1478" s="39"/>
    </row>
    <row r="1479" spans="1:13" ht="18" customHeight="1" x14ac:dyDescent="0.45">
      <c r="A1479" s="37"/>
      <c r="B1479" s="29"/>
      <c r="C1479" s="29"/>
      <c r="D1479" s="28"/>
      <c r="E1479" s="30" t="str">
        <f>IFERROR(VLOOKUP(D1479,KRX종목마스터!$A:$B,2,FALSE),"")</f>
        <v/>
      </c>
      <c r="F1479" s="42"/>
      <c r="G1479" s="42"/>
      <c r="H1479" s="31" t="str">
        <f t="shared" si="69"/>
        <v/>
      </c>
      <c r="I1479" s="43">
        <f ca="1">IFERROR(SUMPRODUCT((참고!$A$31:$A$130=C1479)*(참고!$B$31:$B$130&lt;=A1479)*(참고!$B$31:$B$130=_xludf.MAXIFS(참고!$B$31:$B$130,참고!$A$31:$A$130,C1479,참고!$B$31:$B$130,"&lt;="&amp;A1479))*참고!$C$31:$C$130)/100,0)</f>
        <v>0</v>
      </c>
      <c r="J1479" s="31" t="str">
        <f t="shared" si="70"/>
        <v/>
      </c>
      <c r="K1479" s="43">
        <f>IF(B1479="매도",IFERROR(SUMPRODUCT((참고!$A$31:$A$130=C1479)*(참고!$B$31:$B$130&lt;=A1479)*(참고!$B$31:$B$130=_xludf.MAXIFS(참고!$B$31:$B$130,참고!$A$31:$A$130,C1479,참고!$B$31:$B$130,"&lt;="&amp;A1479))*참고!$D$31:$D$130)/100,0),0)</f>
        <v>0</v>
      </c>
      <c r="L1479" s="31" t="str">
        <f t="shared" si="71"/>
        <v/>
      </c>
      <c r="M1479" s="39"/>
    </row>
    <row r="1480" spans="1:13" ht="18" customHeight="1" x14ac:dyDescent="0.45">
      <c r="A1480" s="37"/>
      <c r="B1480" s="29"/>
      <c r="C1480" s="29"/>
      <c r="D1480" s="28"/>
      <c r="E1480" s="30" t="str">
        <f>IFERROR(VLOOKUP(D1480,KRX종목마스터!$A:$B,2,FALSE),"")</f>
        <v/>
      </c>
      <c r="F1480" s="42"/>
      <c r="G1480" s="42"/>
      <c r="H1480" s="31" t="str">
        <f t="shared" si="69"/>
        <v/>
      </c>
      <c r="I1480" s="43">
        <f ca="1">IFERROR(SUMPRODUCT((참고!$A$31:$A$130=C1480)*(참고!$B$31:$B$130&lt;=A1480)*(참고!$B$31:$B$130=_xludf.MAXIFS(참고!$B$31:$B$130,참고!$A$31:$A$130,C1480,참고!$B$31:$B$130,"&lt;="&amp;A1480))*참고!$C$31:$C$130)/100,0)</f>
        <v>0</v>
      </c>
      <c r="J1480" s="31" t="str">
        <f t="shared" si="70"/>
        <v/>
      </c>
      <c r="K1480" s="43">
        <f>IF(B1480="매도",IFERROR(SUMPRODUCT((참고!$A$31:$A$130=C1480)*(참고!$B$31:$B$130&lt;=A1480)*(참고!$B$31:$B$130=_xludf.MAXIFS(참고!$B$31:$B$130,참고!$A$31:$A$130,C1480,참고!$B$31:$B$130,"&lt;="&amp;A1480))*참고!$D$31:$D$130)/100,0),0)</f>
        <v>0</v>
      </c>
      <c r="L1480" s="31" t="str">
        <f t="shared" si="71"/>
        <v/>
      </c>
      <c r="M1480" s="39"/>
    </row>
    <row r="1481" spans="1:13" ht="18" customHeight="1" x14ac:dyDescent="0.45">
      <c r="A1481" s="37"/>
      <c r="B1481" s="29"/>
      <c r="C1481" s="29"/>
      <c r="D1481" s="28"/>
      <c r="E1481" s="30" t="str">
        <f>IFERROR(VLOOKUP(D1481,KRX종목마스터!$A:$B,2,FALSE),"")</f>
        <v/>
      </c>
      <c r="F1481" s="42"/>
      <c r="G1481" s="42"/>
      <c r="H1481" s="31" t="str">
        <f t="shared" si="69"/>
        <v/>
      </c>
      <c r="I1481" s="43">
        <f ca="1">IFERROR(SUMPRODUCT((참고!$A$31:$A$130=C1481)*(참고!$B$31:$B$130&lt;=A1481)*(참고!$B$31:$B$130=_xludf.MAXIFS(참고!$B$31:$B$130,참고!$A$31:$A$130,C1481,참고!$B$31:$B$130,"&lt;="&amp;A1481))*참고!$C$31:$C$130)/100,0)</f>
        <v>0</v>
      </c>
      <c r="J1481" s="31" t="str">
        <f t="shared" si="70"/>
        <v/>
      </c>
      <c r="K1481" s="43">
        <f>IF(B1481="매도",IFERROR(SUMPRODUCT((참고!$A$31:$A$130=C1481)*(참고!$B$31:$B$130&lt;=A1481)*(참고!$B$31:$B$130=_xludf.MAXIFS(참고!$B$31:$B$130,참고!$A$31:$A$130,C1481,참고!$B$31:$B$130,"&lt;="&amp;A1481))*참고!$D$31:$D$130)/100,0),0)</f>
        <v>0</v>
      </c>
      <c r="L1481" s="31" t="str">
        <f t="shared" si="71"/>
        <v/>
      </c>
      <c r="M1481" s="39"/>
    </row>
    <row r="1482" spans="1:13" ht="18" customHeight="1" x14ac:dyDescent="0.45">
      <c r="A1482" s="37"/>
      <c r="B1482" s="29"/>
      <c r="C1482" s="29"/>
      <c r="D1482" s="28"/>
      <c r="E1482" s="30" t="str">
        <f>IFERROR(VLOOKUP(D1482,KRX종목마스터!$A:$B,2,FALSE),"")</f>
        <v/>
      </c>
      <c r="F1482" s="42"/>
      <c r="G1482" s="42"/>
      <c r="H1482" s="31" t="str">
        <f t="shared" si="69"/>
        <v/>
      </c>
      <c r="I1482" s="43">
        <f ca="1">IFERROR(SUMPRODUCT((참고!$A$31:$A$130=C1482)*(참고!$B$31:$B$130&lt;=A1482)*(참고!$B$31:$B$130=_xludf.MAXIFS(참고!$B$31:$B$130,참고!$A$31:$A$130,C1482,참고!$B$31:$B$130,"&lt;="&amp;A1482))*참고!$C$31:$C$130)/100,0)</f>
        <v>0</v>
      </c>
      <c r="J1482" s="31" t="str">
        <f t="shared" si="70"/>
        <v/>
      </c>
      <c r="K1482" s="43">
        <f>IF(B1482="매도",IFERROR(SUMPRODUCT((참고!$A$31:$A$130=C1482)*(참고!$B$31:$B$130&lt;=A1482)*(참고!$B$31:$B$130=_xludf.MAXIFS(참고!$B$31:$B$130,참고!$A$31:$A$130,C1482,참고!$B$31:$B$130,"&lt;="&amp;A1482))*참고!$D$31:$D$130)/100,0),0)</f>
        <v>0</v>
      </c>
      <c r="L1482" s="31" t="str">
        <f t="shared" si="71"/>
        <v/>
      </c>
      <c r="M1482" s="39"/>
    </row>
    <row r="1483" spans="1:13" ht="18" customHeight="1" x14ac:dyDescent="0.45">
      <c r="A1483" s="37"/>
      <c r="B1483" s="29"/>
      <c r="C1483" s="29"/>
      <c r="D1483" s="28"/>
      <c r="E1483" s="30" t="str">
        <f>IFERROR(VLOOKUP(D1483,KRX종목마스터!$A:$B,2,FALSE),"")</f>
        <v/>
      </c>
      <c r="F1483" s="42"/>
      <c r="G1483" s="42"/>
      <c r="H1483" s="31" t="str">
        <f t="shared" si="69"/>
        <v/>
      </c>
      <c r="I1483" s="43">
        <f ca="1">IFERROR(SUMPRODUCT((참고!$A$31:$A$130=C1483)*(참고!$B$31:$B$130&lt;=A1483)*(참고!$B$31:$B$130=_xludf.MAXIFS(참고!$B$31:$B$130,참고!$A$31:$A$130,C1483,참고!$B$31:$B$130,"&lt;="&amp;A1483))*참고!$C$31:$C$130)/100,0)</f>
        <v>0</v>
      </c>
      <c r="J1483" s="31" t="str">
        <f t="shared" si="70"/>
        <v/>
      </c>
      <c r="K1483" s="43">
        <f>IF(B1483="매도",IFERROR(SUMPRODUCT((참고!$A$31:$A$130=C1483)*(참고!$B$31:$B$130&lt;=A1483)*(참고!$B$31:$B$130=_xludf.MAXIFS(참고!$B$31:$B$130,참고!$A$31:$A$130,C1483,참고!$B$31:$B$130,"&lt;="&amp;A1483))*참고!$D$31:$D$130)/100,0),0)</f>
        <v>0</v>
      </c>
      <c r="L1483" s="31" t="str">
        <f t="shared" si="71"/>
        <v/>
      </c>
      <c r="M1483" s="39"/>
    </row>
    <row r="1484" spans="1:13" ht="18" customHeight="1" x14ac:dyDescent="0.45">
      <c r="A1484" s="37"/>
      <c r="B1484" s="29"/>
      <c r="C1484" s="29"/>
      <c r="D1484" s="28"/>
      <c r="E1484" s="30" t="str">
        <f>IFERROR(VLOOKUP(D1484,KRX종목마스터!$A:$B,2,FALSE),"")</f>
        <v/>
      </c>
      <c r="F1484" s="42"/>
      <c r="G1484" s="42"/>
      <c r="H1484" s="31" t="str">
        <f t="shared" si="69"/>
        <v/>
      </c>
      <c r="I1484" s="43">
        <f ca="1">IFERROR(SUMPRODUCT((참고!$A$31:$A$130=C1484)*(참고!$B$31:$B$130&lt;=A1484)*(참고!$B$31:$B$130=_xludf.MAXIFS(참고!$B$31:$B$130,참고!$A$31:$A$130,C1484,참고!$B$31:$B$130,"&lt;="&amp;A1484))*참고!$C$31:$C$130)/100,0)</f>
        <v>0</v>
      </c>
      <c r="J1484" s="31" t="str">
        <f t="shared" si="70"/>
        <v/>
      </c>
      <c r="K1484" s="43">
        <f>IF(B1484="매도",IFERROR(SUMPRODUCT((참고!$A$31:$A$130=C1484)*(참고!$B$31:$B$130&lt;=A1484)*(참고!$B$31:$B$130=_xludf.MAXIFS(참고!$B$31:$B$130,참고!$A$31:$A$130,C1484,참고!$B$31:$B$130,"&lt;="&amp;A1484))*참고!$D$31:$D$130)/100,0),0)</f>
        <v>0</v>
      </c>
      <c r="L1484" s="31" t="str">
        <f t="shared" si="71"/>
        <v/>
      </c>
      <c r="M1484" s="39"/>
    </row>
    <row r="1485" spans="1:13" ht="18" customHeight="1" x14ac:dyDescent="0.45">
      <c r="A1485" s="37"/>
      <c r="B1485" s="29"/>
      <c r="C1485" s="29"/>
      <c r="D1485" s="28"/>
      <c r="E1485" s="30" t="str">
        <f>IFERROR(VLOOKUP(D1485,KRX종목마스터!$A:$B,2,FALSE),"")</f>
        <v/>
      </c>
      <c r="F1485" s="42"/>
      <c r="G1485" s="42"/>
      <c r="H1485" s="31" t="str">
        <f t="shared" si="69"/>
        <v/>
      </c>
      <c r="I1485" s="43">
        <f ca="1">IFERROR(SUMPRODUCT((참고!$A$31:$A$130=C1485)*(참고!$B$31:$B$130&lt;=A1485)*(참고!$B$31:$B$130=_xludf.MAXIFS(참고!$B$31:$B$130,참고!$A$31:$A$130,C1485,참고!$B$31:$B$130,"&lt;="&amp;A1485))*참고!$C$31:$C$130)/100,0)</f>
        <v>0</v>
      </c>
      <c r="J1485" s="31" t="str">
        <f t="shared" si="70"/>
        <v/>
      </c>
      <c r="K1485" s="43">
        <f>IF(B1485="매도",IFERROR(SUMPRODUCT((참고!$A$31:$A$130=C1485)*(참고!$B$31:$B$130&lt;=A1485)*(참고!$B$31:$B$130=_xludf.MAXIFS(참고!$B$31:$B$130,참고!$A$31:$A$130,C1485,참고!$B$31:$B$130,"&lt;="&amp;A1485))*참고!$D$31:$D$130)/100,0),0)</f>
        <v>0</v>
      </c>
      <c r="L1485" s="31" t="str">
        <f t="shared" si="71"/>
        <v/>
      </c>
      <c r="M1485" s="39"/>
    </row>
    <row r="1486" spans="1:13" ht="18" customHeight="1" x14ac:dyDescent="0.45">
      <c r="A1486" s="37"/>
      <c r="B1486" s="29"/>
      <c r="C1486" s="29"/>
      <c r="D1486" s="28"/>
      <c r="E1486" s="30" t="str">
        <f>IFERROR(VLOOKUP(D1486,KRX종목마스터!$A:$B,2,FALSE),"")</f>
        <v/>
      </c>
      <c r="F1486" s="42"/>
      <c r="G1486" s="42"/>
      <c r="H1486" s="31" t="str">
        <f t="shared" si="69"/>
        <v/>
      </c>
      <c r="I1486" s="43">
        <f ca="1">IFERROR(SUMPRODUCT((참고!$A$31:$A$130=C1486)*(참고!$B$31:$B$130&lt;=A1486)*(참고!$B$31:$B$130=_xludf.MAXIFS(참고!$B$31:$B$130,참고!$A$31:$A$130,C1486,참고!$B$31:$B$130,"&lt;="&amp;A1486))*참고!$C$31:$C$130)/100,0)</f>
        <v>0</v>
      </c>
      <c r="J1486" s="31" t="str">
        <f t="shared" si="70"/>
        <v/>
      </c>
      <c r="K1486" s="43">
        <f>IF(B1486="매도",IFERROR(SUMPRODUCT((참고!$A$31:$A$130=C1486)*(참고!$B$31:$B$130&lt;=A1486)*(참고!$B$31:$B$130=_xludf.MAXIFS(참고!$B$31:$B$130,참고!$A$31:$A$130,C1486,참고!$B$31:$B$130,"&lt;="&amp;A1486))*참고!$D$31:$D$130)/100,0),0)</f>
        <v>0</v>
      </c>
      <c r="L1486" s="31" t="str">
        <f t="shared" si="71"/>
        <v/>
      </c>
      <c r="M1486" s="39"/>
    </row>
    <row r="1487" spans="1:13" ht="18" customHeight="1" x14ac:dyDescent="0.45">
      <c r="A1487" s="37"/>
      <c r="B1487" s="29"/>
      <c r="C1487" s="29"/>
      <c r="D1487" s="28"/>
      <c r="E1487" s="30" t="str">
        <f>IFERROR(VLOOKUP(D1487,KRX종목마스터!$A:$B,2,FALSE),"")</f>
        <v/>
      </c>
      <c r="F1487" s="42"/>
      <c r="G1487" s="42"/>
      <c r="H1487" s="31" t="str">
        <f t="shared" si="69"/>
        <v/>
      </c>
      <c r="I1487" s="43">
        <f ca="1">IFERROR(SUMPRODUCT((참고!$A$31:$A$130=C1487)*(참고!$B$31:$B$130&lt;=A1487)*(참고!$B$31:$B$130=_xludf.MAXIFS(참고!$B$31:$B$130,참고!$A$31:$A$130,C1487,참고!$B$31:$B$130,"&lt;="&amp;A1487))*참고!$C$31:$C$130)/100,0)</f>
        <v>0</v>
      </c>
      <c r="J1487" s="31" t="str">
        <f t="shared" si="70"/>
        <v/>
      </c>
      <c r="K1487" s="43">
        <f>IF(B1487="매도",IFERROR(SUMPRODUCT((참고!$A$31:$A$130=C1487)*(참고!$B$31:$B$130&lt;=A1487)*(참고!$B$31:$B$130=_xludf.MAXIFS(참고!$B$31:$B$130,참고!$A$31:$A$130,C1487,참고!$B$31:$B$130,"&lt;="&amp;A1487))*참고!$D$31:$D$130)/100,0),0)</f>
        <v>0</v>
      </c>
      <c r="L1487" s="31" t="str">
        <f t="shared" si="71"/>
        <v/>
      </c>
      <c r="M1487" s="39"/>
    </row>
    <row r="1488" spans="1:13" ht="18" customHeight="1" x14ac:dyDescent="0.45">
      <c r="A1488" s="37"/>
      <c r="B1488" s="29"/>
      <c r="C1488" s="29"/>
      <c r="D1488" s="28"/>
      <c r="E1488" s="30" t="str">
        <f>IFERROR(VLOOKUP(D1488,KRX종목마스터!$A:$B,2,FALSE),"")</f>
        <v/>
      </c>
      <c r="F1488" s="42"/>
      <c r="G1488" s="42"/>
      <c r="H1488" s="31" t="str">
        <f t="shared" si="69"/>
        <v/>
      </c>
      <c r="I1488" s="43">
        <f ca="1">IFERROR(SUMPRODUCT((참고!$A$31:$A$130=C1488)*(참고!$B$31:$B$130&lt;=A1488)*(참고!$B$31:$B$130=_xludf.MAXIFS(참고!$B$31:$B$130,참고!$A$31:$A$130,C1488,참고!$B$31:$B$130,"&lt;="&amp;A1488))*참고!$C$31:$C$130)/100,0)</f>
        <v>0</v>
      </c>
      <c r="J1488" s="31" t="str">
        <f t="shared" si="70"/>
        <v/>
      </c>
      <c r="K1488" s="43">
        <f>IF(B1488="매도",IFERROR(SUMPRODUCT((참고!$A$31:$A$130=C1488)*(참고!$B$31:$B$130&lt;=A1488)*(참고!$B$31:$B$130=_xludf.MAXIFS(참고!$B$31:$B$130,참고!$A$31:$A$130,C1488,참고!$B$31:$B$130,"&lt;="&amp;A1488))*참고!$D$31:$D$130)/100,0),0)</f>
        <v>0</v>
      </c>
      <c r="L1488" s="31" t="str">
        <f t="shared" si="71"/>
        <v/>
      </c>
      <c r="M1488" s="39"/>
    </row>
    <row r="1489" spans="1:13" ht="18" customHeight="1" x14ac:dyDescent="0.45">
      <c r="A1489" s="37"/>
      <c r="B1489" s="29"/>
      <c r="C1489" s="29"/>
      <c r="D1489" s="28"/>
      <c r="E1489" s="30" t="str">
        <f>IFERROR(VLOOKUP(D1489,KRX종목마스터!$A:$B,2,FALSE),"")</f>
        <v/>
      </c>
      <c r="F1489" s="42"/>
      <c r="G1489" s="42"/>
      <c r="H1489" s="31" t="str">
        <f t="shared" si="69"/>
        <v/>
      </c>
      <c r="I1489" s="43">
        <f ca="1">IFERROR(SUMPRODUCT((참고!$A$31:$A$130=C1489)*(참고!$B$31:$B$130&lt;=A1489)*(참고!$B$31:$B$130=_xludf.MAXIFS(참고!$B$31:$B$130,참고!$A$31:$A$130,C1489,참고!$B$31:$B$130,"&lt;="&amp;A1489))*참고!$C$31:$C$130)/100,0)</f>
        <v>0</v>
      </c>
      <c r="J1489" s="31" t="str">
        <f t="shared" si="70"/>
        <v/>
      </c>
      <c r="K1489" s="43">
        <f>IF(B1489="매도",IFERROR(SUMPRODUCT((참고!$A$31:$A$130=C1489)*(참고!$B$31:$B$130&lt;=A1489)*(참고!$B$31:$B$130=_xludf.MAXIFS(참고!$B$31:$B$130,참고!$A$31:$A$130,C1489,참고!$B$31:$B$130,"&lt;="&amp;A1489))*참고!$D$31:$D$130)/100,0),0)</f>
        <v>0</v>
      </c>
      <c r="L1489" s="31" t="str">
        <f t="shared" si="71"/>
        <v/>
      </c>
      <c r="M1489" s="39"/>
    </row>
    <row r="1490" spans="1:13" ht="18" customHeight="1" x14ac:dyDescent="0.45">
      <c r="A1490" s="37"/>
      <c r="B1490" s="29"/>
      <c r="C1490" s="29"/>
      <c r="D1490" s="28"/>
      <c r="E1490" s="30" t="str">
        <f>IFERROR(VLOOKUP(D1490,KRX종목마스터!$A:$B,2,FALSE),"")</f>
        <v/>
      </c>
      <c r="F1490" s="42"/>
      <c r="G1490" s="42"/>
      <c r="H1490" s="31" t="str">
        <f t="shared" si="69"/>
        <v/>
      </c>
      <c r="I1490" s="43">
        <f ca="1">IFERROR(SUMPRODUCT((참고!$A$31:$A$130=C1490)*(참고!$B$31:$B$130&lt;=A1490)*(참고!$B$31:$B$130=_xludf.MAXIFS(참고!$B$31:$B$130,참고!$A$31:$A$130,C1490,참고!$B$31:$B$130,"&lt;="&amp;A1490))*참고!$C$31:$C$130)/100,0)</f>
        <v>0</v>
      </c>
      <c r="J1490" s="31" t="str">
        <f t="shared" si="70"/>
        <v/>
      </c>
      <c r="K1490" s="43">
        <f>IF(B1490="매도",IFERROR(SUMPRODUCT((참고!$A$31:$A$130=C1490)*(참고!$B$31:$B$130&lt;=A1490)*(참고!$B$31:$B$130=_xludf.MAXIFS(참고!$B$31:$B$130,참고!$A$31:$A$130,C1490,참고!$B$31:$B$130,"&lt;="&amp;A1490))*참고!$D$31:$D$130)/100,0),0)</f>
        <v>0</v>
      </c>
      <c r="L1490" s="31" t="str">
        <f t="shared" si="71"/>
        <v/>
      </c>
      <c r="M1490" s="39"/>
    </row>
    <row r="1491" spans="1:13" ht="18" customHeight="1" x14ac:dyDescent="0.45">
      <c r="A1491" s="37"/>
      <c r="B1491" s="29"/>
      <c r="C1491" s="29"/>
      <c r="D1491" s="28"/>
      <c r="E1491" s="30" t="str">
        <f>IFERROR(VLOOKUP(D1491,KRX종목마스터!$A:$B,2,FALSE),"")</f>
        <v/>
      </c>
      <c r="F1491" s="42"/>
      <c r="G1491" s="42"/>
      <c r="H1491" s="31" t="str">
        <f t="shared" si="69"/>
        <v/>
      </c>
      <c r="I1491" s="43">
        <f ca="1">IFERROR(SUMPRODUCT((참고!$A$31:$A$130=C1491)*(참고!$B$31:$B$130&lt;=A1491)*(참고!$B$31:$B$130=_xludf.MAXIFS(참고!$B$31:$B$130,참고!$A$31:$A$130,C1491,참고!$B$31:$B$130,"&lt;="&amp;A1491))*참고!$C$31:$C$130)/100,0)</f>
        <v>0</v>
      </c>
      <c r="J1491" s="31" t="str">
        <f t="shared" si="70"/>
        <v/>
      </c>
      <c r="K1491" s="43">
        <f>IF(B1491="매도",IFERROR(SUMPRODUCT((참고!$A$31:$A$130=C1491)*(참고!$B$31:$B$130&lt;=A1491)*(참고!$B$31:$B$130=_xludf.MAXIFS(참고!$B$31:$B$130,참고!$A$31:$A$130,C1491,참고!$B$31:$B$130,"&lt;="&amp;A1491))*참고!$D$31:$D$130)/100,0),0)</f>
        <v>0</v>
      </c>
      <c r="L1491" s="31" t="str">
        <f t="shared" si="71"/>
        <v/>
      </c>
      <c r="M1491" s="39"/>
    </row>
    <row r="1492" spans="1:13" ht="18" customHeight="1" x14ac:dyDescent="0.45">
      <c r="A1492" s="37"/>
      <c r="B1492" s="29"/>
      <c r="C1492" s="29"/>
      <c r="D1492" s="28"/>
      <c r="E1492" s="30" t="str">
        <f>IFERROR(VLOOKUP(D1492,KRX종목마스터!$A:$B,2,FALSE),"")</f>
        <v/>
      </c>
      <c r="F1492" s="42"/>
      <c r="G1492" s="42"/>
      <c r="H1492" s="31" t="str">
        <f t="shared" si="69"/>
        <v/>
      </c>
      <c r="I1492" s="43">
        <f ca="1">IFERROR(SUMPRODUCT((참고!$A$31:$A$130=C1492)*(참고!$B$31:$B$130&lt;=A1492)*(참고!$B$31:$B$130=_xludf.MAXIFS(참고!$B$31:$B$130,참고!$A$31:$A$130,C1492,참고!$B$31:$B$130,"&lt;="&amp;A1492))*참고!$C$31:$C$130)/100,0)</f>
        <v>0</v>
      </c>
      <c r="J1492" s="31" t="str">
        <f t="shared" si="70"/>
        <v/>
      </c>
      <c r="K1492" s="43">
        <f>IF(B1492="매도",IFERROR(SUMPRODUCT((참고!$A$31:$A$130=C1492)*(참고!$B$31:$B$130&lt;=A1492)*(참고!$B$31:$B$130=_xludf.MAXIFS(참고!$B$31:$B$130,참고!$A$31:$A$130,C1492,참고!$B$31:$B$130,"&lt;="&amp;A1492))*참고!$D$31:$D$130)/100,0),0)</f>
        <v>0</v>
      </c>
      <c r="L1492" s="31" t="str">
        <f t="shared" si="71"/>
        <v/>
      </c>
      <c r="M1492" s="39"/>
    </row>
    <row r="1493" spans="1:13" ht="18" customHeight="1" x14ac:dyDescent="0.45">
      <c r="A1493" s="37"/>
      <c r="B1493" s="29"/>
      <c r="C1493" s="29"/>
      <c r="D1493" s="28"/>
      <c r="E1493" s="30" t="str">
        <f>IFERROR(VLOOKUP(D1493,KRX종목마스터!$A:$B,2,FALSE),"")</f>
        <v/>
      </c>
      <c r="F1493" s="42"/>
      <c r="G1493" s="42"/>
      <c r="H1493" s="31" t="str">
        <f t="shared" si="69"/>
        <v/>
      </c>
      <c r="I1493" s="43">
        <f ca="1">IFERROR(SUMPRODUCT((참고!$A$31:$A$130=C1493)*(참고!$B$31:$B$130&lt;=A1493)*(참고!$B$31:$B$130=_xludf.MAXIFS(참고!$B$31:$B$130,참고!$A$31:$A$130,C1493,참고!$B$31:$B$130,"&lt;="&amp;A1493))*참고!$C$31:$C$130)/100,0)</f>
        <v>0</v>
      </c>
      <c r="J1493" s="31" t="str">
        <f t="shared" si="70"/>
        <v/>
      </c>
      <c r="K1493" s="43">
        <f>IF(B1493="매도",IFERROR(SUMPRODUCT((참고!$A$31:$A$130=C1493)*(참고!$B$31:$B$130&lt;=A1493)*(참고!$B$31:$B$130=_xludf.MAXIFS(참고!$B$31:$B$130,참고!$A$31:$A$130,C1493,참고!$B$31:$B$130,"&lt;="&amp;A1493))*참고!$D$31:$D$130)/100,0),0)</f>
        <v>0</v>
      </c>
      <c r="L1493" s="31" t="str">
        <f t="shared" si="71"/>
        <v/>
      </c>
      <c r="M1493" s="39"/>
    </row>
    <row r="1494" spans="1:13" ht="18" customHeight="1" x14ac:dyDescent="0.45">
      <c r="A1494" s="37"/>
      <c r="B1494" s="29"/>
      <c r="C1494" s="29"/>
      <c r="D1494" s="28"/>
      <c r="E1494" s="30" t="str">
        <f>IFERROR(VLOOKUP(D1494,KRX종목마스터!$A:$B,2,FALSE),"")</f>
        <v/>
      </c>
      <c r="F1494" s="42"/>
      <c r="G1494" s="42"/>
      <c r="H1494" s="31" t="str">
        <f t="shared" si="69"/>
        <v/>
      </c>
      <c r="I1494" s="43">
        <f ca="1">IFERROR(SUMPRODUCT((참고!$A$31:$A$130=C1494)*(참고!$B$31:$B$130&lt;=A1494)*(참고!$B$31:$B$130=_xludf.MAXIFS(참고!$B$31:$B$130,참고!$A$31:$A$130,C1494,참고!$B$31:$B$130,"&lt;="&amp;A1494))*참고!$C$31:$C$130)/100,0)</f>
        <v>0</v>
      </c>
      <c r="J1494" s="31" t="str">
        <f t="shared" si="70"/>
        <v/>
      </c>
      <c r="K1494" s="43">
        <f>IF(B1494="매도",IFERROR(SUMPRODUCT((참고!$A$31:$A$130=C1494)*(참고!$B$31:$B$130&lt;=A1494)*(참고!$B$31:$B$130=_xludf.MAXIFS(참고!$B$31:$B$130,참고!$A$31:$A$130,C1494,참고!$B$31:$B$130,"&lt;="&amp;A1494))*참고!$D$31:$D$130)/100,0),0)</f>
        <v>0</v>
      </c>
      <c r="L1494" s="31" t="str">
        <f t="shared" si="71"/>
        <v/>
      </c>
      <c r="M1494" s="39"/>
    </row>
    <row r="1495" spans="1:13" ht="18" customHeight="1" x14ac:dyDescent="0.45">
      <c r="A1495" s="37"/>
      <c r="B1495" s="29"/>
      <c r="C1495" s="29"/>
      <c r="D1495" s="28"/>
      <c r="E1495" s="30" t="str">
        <f>IFERROR(VLOOKUP(D1495,KRX종목마스터!$A:$B,2,FALSE),"")</f>
        <v/>
      </c>
      <c r="F1495" s="42"/>
      <c r="G1495" s="42"/>
      <c r="H1495" s="31" t="str">
        <f t="shared" si="69"/>
        <v/>
      </c>
      <c r="I1495" s="43">
        <f ca="1">IFERROR(SUMPRODUCT((참고!$A$31:$A$130=C1495)*(참고!$B$31:$B$130&lt;=A1495)*(참고!$B$31:$B$130=_xludf.MAXIFS(참고!$B$31:$B$130,참고!$A$31:$A$130,C1495,참고!$B$31:$B$130,"&lt;="&amp;A1495))*참고!$C$31:$C$130)/100,0)</f>
        <v>0</v>
      </c>
      <c r="J1495" s="31" t="str">
        <f t="shared" si="70"/>
        <v/>
      </c>
      <c r="K1495" s="43">
        <f>IF(B1495="매도",IFERROR(SUMPRODUCT((참고!$A$31:$A$130=C1495)*(참고!$B$31:$B$130&lt;=A1495)*(참고!$B$31:$B$130=_xludf.MAXIFS(참고!$B$31:$B$130,참고!$A$31:$A$130,C1495,참고!$B$31:$B$130,"&lt;="&amp;A1495))*참고!$D$31:$D$130)/100,0),0)</f>
        <v>0</v>
      </c>
      <c r="L1495" s="31" t="str">
        <f t="shared" si="71"/>
        <v/>
      </c>
      <c r="M1495" s="39"/>
    </row>
    <row r="1496" spans="1:13" ht="18" customHeight="1" x14ac:dyDescent="0.45">
      <c r="A1496" s="37"/>
      <c r="B1496" s="29"/>
      <c r="C1496" s="29"/>
      <c r="D1496" s="28"/>
      <c r="E1496" s="30" t="str">
        <f>IFERROR(VLOOKUP(D1496,KRX종목마스터!$A:$B,2,FALSE),"")</f>
        <v/>
      </c>
      <c r="F1496" s="42"/>
      <c r="G1496" s="42"/>
      <c r="H1496" s="31" t="str">
        <f t="shared" si="69"/>
        <v/>
      </c>
      <c r="I1496" s="43">
        <f ca="1">IFERROR(SUMPRODUCT((참고!$A$31:$A$130=C1496)*(참고!$B$31:$B$130&lt;=A1496)*(참고!$B$31:$B$130=_xludf.MAXIFS(참고!$B$31:$B$130,참고!$A$31:$A$130,C1496,참고!$B$31:$B$130,"&lt;="&amp;A1496))*참고!$C$31:$C$130)/100,0)</f>
        <v>0</v>
      </c>
      <c r="J1496" s="31" t="str">
        <f t="shared" si="70"/>
        <v/>
      </c>
      <c r="K1496" s="43">
        <f>IF(B1496="매도",IFERROR(SUMPRODUCT((참고!$A$31:$A$130=C1496)*(참고!$B$31:$B$130&lt;=A1496)*(참고!$B$31:$B$130=_xludf.MAXIFS(참고!$B$31:$B$130,참고!$A$31:$A$130,C1496,참고!$B$31:$B$130,"&lt;="&amp;A1496))*참고!$D$31:$D$130)/100,0),0)</f>
        <v>0</v>
      </c>
      <c r="L1496" s="31" t="str">
        <f t="shared" si="71"/>
        <v/>
      </c>
      <c r="M1496" s="39"/>
    </row>
    <row r="1497" spans="1:13" ht="18" customHeight="1" x14ac:dyDescent="0.45">
      <c r="A1497" s="37"/>
      <c r="B1497" s="29"/>
      <c r="C1497" s="29"/>
      <c r="D1497" s="28"/>
      <c r="E1497" s="30" t="str">
        <f>IFERROR(VLOOKUP(D1497,KRX종목마스터!$A:$B,2,FALSE),"")</f>
        <v/>
      </c>
      <c r="F1497" s="42"/>
      <c r="G1497" s="42"/>
      <c r="H1497" s="31" t="str">
        <f t="shared" si="69"/>
        <v/>
      </c>
      <c r="I1497" s="43">
        <f ca="1">IFERROR(SUMPRODUCT((참고!$A$31:$A$130=C1497)*(참고!$B$31:$B$130&lt;=A1497)*(참고!$B$31:$B$130=_xludf.MAXIFS(참고!$B$31:$B$130,참고!$A$31:$A$130,C1497,참고!$B$31:$B$130,"&lt;="&amp;A1497))*참고!$C$31:$C$130)/100,0)</f>
        <v>0</v>
      </c>
      <c r="J1497" s="31" t="str">
        <f t="shared" si="70"/>
        <v/>
      </c>
      <c r="K1497" s="43">
        <f>IF(B1497="매도",IFERROR(SUMPRODUCT((참고!$A$31:$A$130=C1497)*(참고!$B$31:$B$130&lt;=A1497)*(참고!$B$31:$B$130=_xludf.MAXIFS(참고!$B$31:$B$130,참고!$A$31:$A$130,C1497,참고!$B$31:$B$130,"&lt;="&amp;A1497))*참고!$D$31:$D$130)/100,0),0)</f>
        <v>0</v>
      </c>
      <c r="L1497" s="31" t="str">
        <f t="shared" si="71"/>
        <v/>
      </c>
      <c r="M1497" s="39"/>
    </row>
    <row r="1498" spans="1:13" ht="18" customHeight="1" x14ac:dyDescent="0.45">
      <c r="A1498" s="37"/>
      <c r="B1498" s="29"/>
      <c r="C1498" s="29"/>
      <c r="D1498" s="28"/>
      <c r="E1498" s="30" t="str">
        <f>IFERROR(VLOOKUP(D1498,KRX종목마스터!$A:$B,2,FALSE),"")</f>
        <v/>
      </c>
      <c r="F1498" s="42"/>
      <c r="G1498" s="42"/>
      <c r="H1498" s="31" t="str">
        <f t="shared" si="69"/>
        <v/>
      </c>
      <c r="I1498" s="43">
        <f ca="1">IFERROR(SUMPRODUCT((참고!$A$31:$A$130=C1498)*(참고!$B$31:$B$130&lt;=A1498)*(참고!$B$31:$B$130=_xludf.MAXIFS(참고!$B$31:$B$130,참고!$A$31:$A$130,C1498,참고!$B$31:$B$130,"&lt;="&amp;A1498))*참고!$C$31:$C$130)/100,0)</f>
        <v>0</v>
      </c>
      <c r="J1498" s="31" t="str">
        <f t="shared" si="70"/>
        <v/>
      </c>
      <c r="K1498" s="43">
        <f>IF(B1498="매도",IFERROR(SUMPRODUCT((참고!$A$31:$A$130=C1498)*(참고!$B$31:$B$130&lt;=A1498)*(참고!$B$31:$B$130=_xludf.MAXIFS(참고!$B$31:$B$130,참고!$A$31:$A$130,C1498,참고!$B$31:$B$130,"&lt;="&amp;A1498))*참고!$D$31:$D$130)/100,0),0)</f>
        <v>0</v>
      </c>
      <c r="L1498" s="31" t="str">
        <f t="shared" si="71"/>
        <v/>
      </c>
      <c r="M1498" s="39"/>
    </row>
    <row r="1499" spans="1:13" ht="18" customHeight="1" x14ac:dyDescent="0.45">
      <c r="A1499" s="37"/>
      <c r="B1499" s="29"/>
      <c r="C1499" s="29"/>
      <c r="D1499" s="28"/>
      <c r="E1499" s="30" t="str">
        <f>IFERROR(VLOOKUP(D1499,KRX종목마스터!$A:$B,2,FALSE),"")</f>
        <v/>
      </c>
      <c r="F1499" s="42"/>
      <c r="G1499" s="42"/>
      <c r="H1499" s="31" t="str">
        <f t="shared" si="69"/>
        <v/>
      </c>
      <c r="I1499" s="43">
        <f ca="1">IFERROR(SUMPRODUCT((참고!$A$31:$A$130=C1499)*(참고!$B$31:$B$130&lt;=A1499)*(참고!$B$31:$B$130=_xludf.MAXIFS(참고!$B$31:$B$130,참고!$A$31:$A$130,C1499,참고!$B$31:$B$130,"&lt;="&amp;A1499))*참고!$C$31:$C$130)/100,0)</f>
        <v>0</v>
      </c>
      <c r="J1499" s="31" t="str">
        <f t="shared" si="70"/>
        <v/>
      </c>
      <c r="K1499" s="43">
        <f>IF(B1499="매도",IFERROR(SUMPRODUCT((참고!$A$31:$A$130=C1499)*(참고!$B$31:$B$130&lt;=A1499)*(참고!$B$31:$B$130=_xludf.MAXIFS(참고!$B$31:$B$130,참고!$A$31:$A$130,C1499,참고!$B$31:$B$130,"&lt;="&amp;A1499))*참고!$D$31:$D$130)/100,0),0)</f>
        <v>0</v>
      </c>
      <c r="L1499" s="31" t="str">
        <f t="shared" si="71"/>
        <v/>
      </c>
      <c r="M1499" s="39"/>
    </row>
    <row r="1500" spans="1:13" ht="18" customHeight="1" x14ac:dyDescent="0.45">
      <c r="A1500" s="37"/>
      <c r="B1500" s="29"/>
      <c r="C1500" s="29"/>
      <c r="D1500" s="28"/>
      <c r="E1500" s="30" t="str">
        <f>IFERROR(VLOOKUP(D1500,KRX종목마스터!$A:$B,2,FALSE),"")</f>
        <v/>
      </c>
      <c r="F1500" s="42"/>
      <c r="G1500" s="42"/>
      <c r="H1500" s="31" t="str">
        <f t="shared" si="69"/>
        <v/>
      </c>
      <c r="I1500" s="43">
        <f ca="1">IFERROR(SUMPRODUCT((참고!$A$31:$A$130=C1500)*(참고!$B$31:$B$130&lt;=A1500)*(참고!$B$31:$B$130=_xludf.MAXIFS(참고!$B$31:$B$130,참고!$A$31:$A$130,C1500,참고!$B$31:$B$130,"&lt;="&amp;A1500))*참고!$C$31:$C$130)/100,0)</f>
        <v>0</v>
      </c>
      <c r="J1500" s="31" t="str">
        <f t="shared" si="70"/>
        <v/>
      </c>
      <c r="K1500" s="43">
        <f>IF(B1500="매도",IFERROR(SUMPRODUCT((참고!$A$31:$A$130=C1500)*(참고!$B$31:$B$130&lt;=A1500)*(참고!$B$31:$B$130=_xludf.MAXIFS(참고!$B$31:$B$130,참고!$A$31:$A$130,C1500,참고!$B$31:$B$130,"&lt;="&amp;A1500))*참고!$D$31:$D$130)/100,0),0)</f>
        <v>0</v>
      </c>
      <c r="L1500" s="31" t="str">
        <f t="shared" si="71"/>
        <v/>
      </c>
      <c r="M1500" s="39"/>
    </row>
    <row r="1501" spans="1:13" ht="18" customHeight="1" x14ac:dyDescent="0.45">
      <c r="A1501" s="37"/>
      <c r="B1501" s="29"/>
      <c r="C1501" s="29"/>
      <c r="D1501" s="28"/>
      <c r="E1501" s="30" t="str">
        <f>IFERROR(VLOOKUP(D1501,KRX종목마스터!$A:$B,2,FALSE),"")</f>
        <v/>
      </c>
      <c r="F1501" s="42"/>
      <c r="G1501" s="42"/>
      <c r="H1501" s="31" t="str">
        <f t="shared" si="69"/>
        <v/>
      </c>
      <c r="I1501" s="43">
        <f ca="1">IFERROR(SUMPRODUCT((참고!$A$31:$A$130=C1501)*(참고!$B$31:$B$130&lt;=A1501)*(참고!$B$31:$B$130=_xludf.MAXIFS(참고!$B$31:$B$130,참고!$A$31:$A$130,C1501,참고!$B$31:$B$130,"&lt;="&amp;A1501))*참고!$C$31:$C$130)/100,0)</f>
        <v>0</v>
      </c>
      <c r="J1501" s="31" t="str">
        <f t="shared" si="70"/>
        <v/>
      </c>
      <c r="K1501" s="43">
        <f>IF(B1501="매도",IFERROR(SUMPRODUCT((참고!$A$31:$A$130=C1501)*(참고!$B$31:$B$130&lt;=A1501)*(참고!$B$31:$B$130=_xludf.MAXIFS(참고!$B$31:$B$130,참고!$A$31:$A$130,C1501,참고!$B$31:$B$130,"&lt;="&amp;A1501))*참고!$D$31:$D$130)/100,0),0)</f>
        <v>0</v>
      </c>
      <c r="L1501" s="31" t="str">
        <f t="shared" si="71"/>
        <v/>
      </c>
      <c r="M1501" s="39"/>
    </row>
    <row r="1502" spans="1:13" ht="18" customHeight="1" x14ac:dyDescent="0.45">
      <c r="A1502" s="37"/>
      <c r="B1502" s="29"/>
      <c r="C1502" s="29"/>
      <c r="D1502" s="28"/>
      <c r="E1502" s="30" t="str">
        <f>IFERROR(VLOOKUP(D1502,KRX종목마스터!$A:$B,2,FALSE),"")</f>
        <v/>
      </c>
      <c r="F1502" s="42"/>
      <c r="G1502" s="42"/>
      <c r="H1502" s="31" t="str">
        <f t="shared" si="69"/>
        <v/>
      </c>
      <c r="I1502" s="43">
        <f ca="1">IFERROR(SUMPRODUCT((참고!$A$31:$A$130=C1502)*(참고!$B$31:$B$130&lt;=A1502)*(참고!$B$31:$B$130=_xludf.MAXIFS(참고!$B$31:$B$130,참고!$A$31:$A$130,C1502,참고!$B$31:$B$130,"&lt;="&amp;A1502))*참고!$C$31:$C$130)/100,0)</f>
        <v>0</v>
      </c>
      <c r="J1502" s="31" t="str">
        <f t="shared" si="70"/>
        <v/>
      </c>
      <c r="K1502" s="43">
        <f>IF(B1502="매도",IFERROR(SUMPRODUCT((참고!$A$31:$A$130=C1502)*(참고!$B$31:$B$130&lt;=A1502)*(참고!$B$31:$B$130=_xludf.MAXIFS(참고!$B$31:$B$130,참고!$A$31:$A$130,C1502,참고!$B$31:$B$130,"&lt;="&amp;A1502))*참고!$D$31:$D$130)/100,0),0)</f>
        <v>0</v>
      </c>
      <c r="L1502" s="31" t="str">
        <f t="shared" si="71"/>
        <v/>
      </c>
      <c r="M1502" s="39"/>
    </row>
    <row r="1503" spans="1:13" ht="18" customHeight="1" x14ac:dyDescent="0.45">
      <c r="A1503" s="37"/>
      <c r="B1503" s="29"/>
      <c r="C1503" s="29"/>
      <c r="D1503" s="28"/>
      <c r="E1503" s="30" t="str">
        <f>IFERROR(VLOOKUP(D1503,KRX종목마스터!$A:$B,2,FALSE),"")</f>
        <v/>
      </c>
      <c r="F1503" s="42"/>
      <c r="G1503" s="42"/>
      <c r="H1503" s="31" t="str">
        <f t="shared" si="69"/>
        <v/>
      </c>
      <c r="I1503" s="43">
        <f ca="1">IFERROR(SUMPRODUCT((참고!$A$31:$A$130=C1503)*(참고!$B$31:$B$130&lt;=A1503)*(참고!$B$31:$B$130=_xludf.MAXIFS(참고!$B$31:$B$130,참고!$A$31:$A$130,C1503,참고!$B$31:$B$130,"&lt;="&amp;A1503))*참고!$C$31:$C$130)/100,0)</f>
        <v>0</v>
      </c>
      <c r="J1503" s="31" t="str">
        <f t="shared" si="70"/>
        <v/>
      </c>
      <c r="K1503" s="43">
        <f>IF(B1503="매도",IFERROR(SUMPRODUCT((참고!$A$31:$A$130=C1503)*(참고!$B$31:$B$130&lt;=A1503)*(참고!$B$31:$B$130=_xludf.MAXIFS(참고!$B$31:$B$130,참고!$A$31:$A$130,C1503,참고!$B$31:$B$130,"&lt;="&amp;A1503))*참고!$D$31:$D$130)/100,0),0)</f>
        <v>0</v>
      </c>
      <c r="L1503" s="31" t="str">
        <f t="shared" si="71"/>
        <v/>
      </c>
      <c r="M1503" s="39"/>
    </row>
    <row r="1504" spans="1:13" ht="18" customHeight="1" x14ac:dyDescent="0.45">
      <c r="A1504" s="37"/>
      <c r="B1504" s="29"/>
      <c r="C1504" s="29"/>
      <c r="D1504" s="28"/>
      <c r="E1504" s="30" t="str">
        <f>IFERROR(VLOOKUP(D1504,KRX종목마스터!$A:$B,2,FALSE),"")</f>
        <v/>
      </c>
      <c r="F1504" s="42"/>
      <c r="G1504" s="42"/>
      <c r="H1504" s="31" t="str">
        <f t="shared" si="69"/>
        <v/>
      </c>
      <c r="I1504" s="43">
        <f ca="1">IFERROR(SUMPRODUCT((참고!$A$31:$A$130=C1504)*(참고!$B$31:$B$130&lt;=A1504)*(참고!$B$31:$B$130=_xludf.MAXIFS(참고!$B$31:$B$130,참고!$A$31:$A$130,C1504,참고!$B$31:$B$130,"&lt;="&amp;A1504))*참고!$C$31:$C$130)/100,0)</f>
        <v>0</v>
      </c>
      <c r="J1504" s="31" t="str">
        <f t="shared" si="70"/>
        <v/>
      </c>
      <c r="K1504" s="43">
        <f>IF(B1504="매도",IFERROR(SUMPRODUCT((참고!$A$31:$A$130=C1504)*(참고!$B$31:$B$130&lt;=A1504)*(참고!$B$31:$B$130=_xludf.MAXIFS(참고!$B$31:$B$130,참고!$A$31:$A$130,C1504,참고!$B$31:$B$130,"&lt;="&amp;A1504))*참고!$D$31:$D$130)/100,0),0)</f>
        <v>0</v>
      </c>
      <c r="L1504" s="31" t="str">
        <f t="shared" si="71"/>
        <v/>
      </c>
      <c r="M1504" s="39"/>
    </row>
    <row r="1505" spans="1:13" ht="18" customHeight="1" x14ac:dyDescent="0.45">
      <c r="A1505" s="37"/>
      <c r="B1505" s="29"/>
      <c r="C1505" s="29"/>
      <c r="D1505" s="28"/>
      <c r="E1505" s="30" t="str">
        <f>IFERROR(VLOOKUP(D1505,KRX종목마스터!$A:$B,2,FALSE),"")</f>
        <v/>
      </c>
      <c r="F1505" s="42"/>
      <c r="G1505" s="42"/>
      <c r="H1505" s="31" t="str">
        <f t="shared" si="69"/>
        <v/>
      </c>
      <c r="I1505" s="43">
        <f ca="1">IFERROR(SUMPRODUCT((참고!$A$31:$A$130=C1505)*(참고!$B$31:$B$130&lt;=A1505)*(참고!$B$31:$B$130=_xludf.MAXIFS(참고!$B$31:$B$130,참고!$A$31:$A$130,C1505,참고!$B$31:$B$130,"&lt;="&amp;A1505))*참고!$C$31:$C$130)/100,0)</f>
        <v>0</v>
      </c>
      <c r="J1505" s="31" t="str">
        <f t="shared" si="70"/>
        <v/>
      </c>
      <c r="K1505" s="43">
        <f>IF(B1505="매도",IFERROR(SUMPRODUCT((참고!$A$31:$A$130=C1505)*(참고!$B$31:$B$130&lt;=A1505)*(참고!$B$31:$B$130=_xludf.MAXIFS(참고!$B$31:$B$130,참고!$A$31:$A$130,C1505,참고!$B$31:$B$130,"&lt;="&amp;A1505))*참고!$D$31:$D$130)/100,0),0)</f>
        <v>0</v>
      </c>
      <c r="L1505" s="31" t="str">
        <f t="shared" si="71"/>
        <v/>
      </c>
      <c r="M1505" s="39"/>
    </row>
    <row r="1506" spans="1:13" ht="18" customHeight="1" x14ac:dyDescent="0.45">
      <c r="A1506" s="37"/>
      <c r="B1506" s="29"/>
      <c r="C1506" s="29"/>
      <c r="D1506" s="28"/>
      <c r="E1506" s="30" t="str">
        <f>IFERROR(VLOOKUP(D1506,KRX종목마스터!$A:$B,2,FALSE),"")</f>
        <v/>
      </c>
      <c r="F1506" s="42"/>
      <c r="G1506" s="42"/>
      <c r="H1506" s="31" t="str">
        <f t="shared" si="69"/>
        <v/>
      </c>
      <c r="I1506" s="43">
        <f ca="1">IFERROR(SUMPRODUCT((참고!$A$31:$A$130=C1506)*(참고!$B$31:$B$130&lt;=A1506)*(참고!$B$31:$B$130=_xludf.MAXIFS(참고!$B$31:$B$130,참고!$A$31:$A$130,C1506,참고!$B$31:$B$130,"&lt;="&amp;A1506))*참고!$C$31:$C$130)/100,0)</f>
        <v>0</v>
      </c>
      <c r="J1506" s="31" t="str">
        <f t="shared" si="70"/>
        <v/>
      </c>
      <c r="K1506" s="43">
        <f>IF(B1506="매도",IFERROR(SUMPRODUCT((참고!$A$31:$A$130=C1506)*(참고!$B$31:$B$130&lt;=A1506)*(참고!$B$31:$B$130=_xludf.MAXIFS(참고!$B$31:$B$130,참고!$A$31:$A$130,C1506,참고!$B$31:$B$130,"&lt;="&amp;A1506))*참고!$D$31:$D$130)/100,0),0)</f>
        <v>0</v>
      </c>
      <c r="L1506" s="31" t="str">
        <f t="shared" si="71"/>
        <v/>
      </c>
      <c r="M1506" s="39"/>
    </row>
    <row r="1507" spans="1:13" ht="18" customHeight="1" x14ac:dyDescent="0.45">
      <c r="A1507" s="37"/>
      <c r="B1507" s="29"/>
      <c r="C1507" s="29"/>
      <c r="D1507" s="28"/>
      <c r="E1507" s="30" t="str">
        <f>IFERROR(VLOOKUP(D1507,KRX종목마스터!$A:$B,2,FALSE),"")</f>
        <v/>
      </c>
      <c r="F1507" s="42"/>
      <c r="G1507" s="42"/>
      <c r="H1507" s="31" t="str">
        <f t="shared" si="69"/>
        <v/>
      </c>
      <c r="I1507" s="43">
        <f ca="1">IFERROR(SUMPRODUCT((참고!$A$31:$A$130=C1507)*(참고!$B$31:$B$130&lt;=A1507)*(참고!$B$31:$B$130=_xludf.MAXIFS(참고!$B$31:$B$130,참고!$A$31:$A$130,C1507,참고!$B$31:$B$130,"&lt;="&amp;A1507))*참고!$C$31:$C$130)/100,0)</f>
        <v>0</v>
      </c>
      <c r="J1507" s="31" t="str">
        <f t="shared" si="70"/>
        <v/>
      </c>
      <c r="K1507" s="43">
        <f>IF(B1507="매도",IFERROR(SUMPRODUCT((참고!$A$31:$A$130=C1507)*(참고!$B$31:$B$130&lt;=A1507)*(참고!$B$31:$B$130=_xludf.MAXIFS(참고!$B$31:$B$130,참고!$A$31:$A$130,C1507,참고!$B$31:$B$130,"&lt;="&amp;A1507))*참고!$D$31:$D$130)/100,0),0)</f>
        <v>0</v>
      </c>
      <c r="L1507" s="31" t="str">
        <f t="shared" si="71"/>
        <v/>
      </c>
      <c r="M1507" s="39"/>
    </row>
    <row r="1508" spans="1:13" ht="18" customHeight="1" x14ac:dyDescent="0.45">
      <c r="A1508" s="37"/>
      <c r="B1508" s="29"/>
      <c r="C1508" s="29"/>
      <c r="D1508" s="28"/>
      <c r="E1508" s="30" t="str">
        <f>IFERROR(VLOOKUP(D1508,KRX종목마스터!$A:$B,2,FALSE),"")</f>
        <v/>
      </c>
      <c r="F1508" s="42"/>
      <c r="G1508" s="42"/>
      <c r="H1508" s="31" t="str">
        <f t="shared" si="69"/>
        <v/>
      </c>
      <c r="I1508" s="43">
        <f ca="1">IFERROR(SUMPRODUCT((참고!$A$31:$A$130=C1508)*(참고!$B$31:$B$130&lt;=A1508)*(참고!$B$31:$B$130=_xludf.MAXIFS(참고!$B$31:$B$130,참고!$A$31:$A$130,C1508,참고!$B$31:$B$130,"&lt;="&amp;A1508))*참고!$C$31:$C$130)/100,0)</f>
        <v>0</v>
      </c>
      <c r="J1508" s="31" t="str">
        <f t="shared" si="70"/>
        <v/>
      </c>
      <c r="K1508" s="43">
        <f>IF(B1508="매도",IFERROR(SUMPRODUCT((참고!$A$31:$A$130=C1508)*(참고!$B$31:$B$130&lt;=A1508)*(참고!$B$31:$B$130=_xludf.MAXIFS(참고!$B$31:$B$130,참고!$A$31:$A$130,C1508,참고!$B$31:$B$130,"&lt;="&amp;A1508))*참고!$D$31:$D$130)/100,0),0)</f>
        <v>0</v>
      </c>
      <c r="L1508" s="31" t="str">
        <f t="shared" si="71"/>
        <v/>
      </c>
      <c r="M1508" s="39"/>
    </row>
    <row r="1509" spans="1:13" ht="18" customHeight="1" x14ac:dyDescent="0.45">
      <c r="A1509" s="37"/>
      <c r="B1509" s="29"/>
      <c r="C1509" s="29"/>
      <c r="D1509" s="28"/>
      <c r="E1509" s="30" t="str">
        <f>IFERROR(VLOOKUP(D1509,KRX종목마스터!$A:$B,2,FALSE),"")</f>
        <v/>
      </c>
      <c r="F1509" s="42"/>
      <c r="G1509" s="42"/>
      <c r="H1509" s="31" t="str">
        <f t="shared" si="69"/>
        <v/>
      </c>
      <c r="I1509" s="43">
        <f ca="1">IFERROR(SUMPRODUCT((참고!$A$31:$A$130=C1509)*(참고!$B$31:$B$130&lt;=A1509)*(참고!$B$31:$B$130=_xludf.MAXIFS(참고!$B$31:$B$130,참고!$A$31:$A$130,C1509,참고!$B$31:$B$130,"&lt;="&amp;A1509))*참고!$C$31:$C$130)/100,0)</f>
        <v>0</v>
      </c>
      <c r="J1509" s="31" t="str">
        <f t="shared" si="70"/>
        <v/>
      </c>
      <c r="K1509" s="43">
        <f>IF(B1509="매도",IFERROR(SUMPRODUCT((참고!$A$31:$A$130=C1509)*(참고!$B$31:$B$130&lt;=A1509)*(참고!$B$31:$B$130=_xludf.MAXIFS(참고!$B$31:$B$130,참고!$A$31:$A$130,C1509,참고!$B$31:$B$130,"&lt;="&amp;A1509))*참고!$D$31:$D$130)/100,0),0)</f>
        <v>0</v>
      </c>
      <c r="L1509" s="31" t="str">
        <f t="shared" si="71"/>
        <v/>
      </c>
      <c r="M1509" s="39"/>
    </row>
    <row r="1510" spans="1:13" ht="18" customHeight="1" x14ac:dyDescent="0.45">
      <c r="A1510" s="37"/>
      <c r="B1510" s="29"/>
      <c r="C1510" s="29"/>
      <c r="D1510" s="28"/>
      <c r="E1510" s="30" t="str">
        <f>IFERROR(VLOOKUP(D1510,KRX종목마스터!$A:$B,2,FALSE),"")</f>
        <v/>
      </c>
      <c r="F1510" s="42"/>
      <c r="G1510" s="42"/>
      <c r="H1510" s="31" t="str">
        <f t="shared" si="69"/>
        <v/>
      </c>
      <c r="I1510" s="43">
        <f ca="1">IFERROR(SUMPRODUCT((참고!$A$31:$A$130=C1510)*(참고!$B$31:$B$130&lt;=A1510)*(참고!$B$31:$B$130=_xludf.MAXIFS(참고!$B$31:$B$130,참고!$A$31:$A$130,C1510,참고!$B$31:$B$130,"&lt;="&amp;A1510))*참고!$C$31:$C$130)/100,0)</f>
        <v>0</v>
      </c>
      <c r="J1510" s="31" t="str">
        <f t="shared" si="70"/>
        <v/>
      </c>
      <c r="K1510" s="43">
        <f>IF(B1510="매도",IFERROR(SUMPRODUCT((참고!$A$31:$A$130=C1510)*(참고!$B$31:$B$130&lt;=A1510)*(참고!$B$31:$B$130=_xludf.MAXIFS(참고!$B$31:$B$130,참고!$A$31:$A$130,C1510,참고!$B$31:$B$130,"&lt;="&amp;A1510))*참고!$D$31:$D$130)/100,0),0)</f>
        <v>0</v>
      </c>
      <c r="L1510" s="31" t="str">
        <f t="shared" si="71"/>
        <v/>
      </c>
      <c r="M1510" s="39"/>
    </row>
    <row r="1511" spans="1:13" ht="18" customHeight="1" x14ac:dyDescent="0.45">
      <c r="A1511" s="37"/>
      <c r="B1511" s="29"/>
      <c r="C1511" s="29"/>
      <c r="D1511" s="28"/>
      <c r="E1511" s="30" t="str">
        <f>IFERROR(VLOOKUP(D1511,KRX종목마스터!$A:$B,2,FALSE),"")</f>
        <v/>
      </c>
      <c r="F1511" s="42"/>
      <c r="G1511" s="42"/>
      <c r="H1511" s="31" t="str">
        <f t="shared" si="69"/>
        <v/>
      </c>
      <c r="I1511" s="43">
        <f ca="1">IFERROR(SUMPRODUCT((참고!$A$31:$A$130=C1511)*(참고!$B$31:$B$130&lt;=A1511)*(참고!$B$31:$B$130=_xludf.MAXIFS(참고!$B$31:$B$130,참고!$A$31:$A$130,C1511,참고!$B$31:$B$130,"&lt;="&amp;A1511))*참고!$C$31:$C$130)/100,0)</f>
        <v>0</v>
      </c>
      <c r="J1511" s="31" t="str">
        <f t="shared" si="70"/>
        <v/>
      </c>
      <c r="K1511" s="43">
        <f>IF(B1511="매도",IFERROR(SUMPRODUCT((참고!$A$31:$A$130=C1511)*(참고!$B$31:$B$130&lt;=A1511)*(참고!$B$31:$B$130=_xludf.MAXIFS(참고!$B$31:$B$130,참고!$A$31:$A$130,C1511,참고!$B$31:$B$130,"&lt;="&amp;A1511))*참고!$D$31:$D$130)/100,0),0)</f>
        <v>0</v>
      </c>
      <c r="L1511" s="31" t="str">
        <f t="shared" si="71"/>
        <v/>
      </c>
      <c r="M1511" s="39"/>
    </row>
    <row r="1512" spans="1:13" ht="18" customHeight="1" x14ac:dyDescent="0.45">
      <c r="A1512" s="37"/>
      <c r="B1512" s="29"/>
      <c r="C1512" s="29"/>
      <c r="D1512" s="28"/>
      <c r="E1512" s="30" t="str">
        <f>IFERROR(VLOOKUP(D1512,KRX종목마스터!$A:$B,2,FALSE),"")</f>
        <v/>
      </c>
      <c r="F1512" s="42"/>
      <c r="G1512" s="42"/>
      <c r="H1512" s="31" t="str">
        <f t="shared" si="69"/>
        <v/>
      </c>
      <c r="I1512" s="43">
        <f ca="1">IFERROR(SUMPRODUCT((참고!$A$31:$A$130=C1512)*(참고!$B$31:$B$130&lt;=A1512)*(참고!$B$31:$B$130=_xludf.MAXIFS(참고!$B$31:$B$130,참고!$A$31:$A$130,C1512,참고!$B$31:$B$130,"&lt;="&amp;A1512))*참고!$C$31:$C$130)/100,0)</f>
        <v>0</v>
      </c>
      <c r="J1512" s="31" t="str">
        <f t="shared" si="70"/>
        <v/>
      </c>
      <c r="K1512" s="43">
        <f>IF(B1512="매도",IFERROR(SUMPRODUCT((참고!$A$31:$A$130=C1512)*(참고!$B$31:$B$130&lt;=A1512)*(참고!$B$31:$B$130=_xludf.MAXIFS(참고!$B$31:$B$130,참고!$A$31:$A$130,C1512,참고!$B$31:$B$130,"&lt;="&amp;A1512))*참고!$D$31:$D$130)/100,0),0)</f>
        <v>0</v>
      </c>
      <c r="L1512" s="31" t="str">
        <f t="shared" si="71"/>
        <v/>
      </c>
      <c r="M1512" s="39"/>
    </row>
    <row r="1513" spans="1:13" ht="18" customHeight="1" x14ac:dyDescent="0.45">
      <c r="A1513" s="37"/>
      <c r="B1513" s="29"/>
      <c r="C1513" s="29"/>
      <c r="D1513" s="28"/>
      <c r="E1513" s="30" t="str">
        <f>IFERROR(VLOOKUP(D1513,KRX종목마스터!$A:$B,2,FALSE),"")</f>
        <v/>
      </c>
      <c r="F1513" s="42"/>
      <c r="G1513" s="42"/>
      <c r="H1513" s="31" t="str">
        <f t="shared" si="69"/>
        <v/>
      </c>
      <c r="I1513" s="43">
        <f ca="1">IFERROR(SUMPRODUCT((참고!$A$31:$A$130=C1513)*(참고!$B$31:$B$130&lt;=A1513)*(참고!$B$31:$B$130=_xludf.MAXIFS(참고!$B$31:$B$130,참고!$A$31:$A$130,C1513,참고!$B$31:$B$130,"&lt;="&amp;A1513))*참고!$C$31:$C$130)/100,0)</f>
        <v>0</v>
      </c>
      <c r="J1513" s="31" t="str">
        <f t="shared" si="70"/>
        <v/>
      </c>
      <c r="K1513" s="43">
        <f>IF(B1513="매도",IFERROR(SUMPRODUCT((참고!$A$31:$A$130=C1513)*(참고!$B$31:$B$130&lt;=A1513)*(참고!$B$31:$B$130=_xludf.MAXIFS(참고!$B$31:$B$130,참고!$A$31:$A$130,C1513,참고!$B$31:$B$130,"&lt;="&amp;A1513))*참고!$D$31:$D$130)/100,0),0)</f>
        <v>0</v>
      </c>
      <c r="L1513" s="31" t="str">
        <f t="shared" si="71"/>
        <v/>
      </c>
      <c r="M1513" s="39"/>
    </row>
    <row r="1514" spans="1:13" ht="18" customHeight="1" x14ac:dyDescent="0.45">
      <c r="A1514" s="37"/>
      <c r="B1514" s="29"/>
      <c r="C1514" s="29"/>
      <c r="D1514" s="28"/>
      <c r="E1514" s="30" t="str">
        <f>IFERROR(VLOOKUP(D1514,KRX종목마스터!$A:$B,2,FALSE),"")</f>
        <v/>
      </c>
      <c r="F1514" s="42"/>
      <c r="G1514" s="42"/>
      <c r="H1514" s="31" t="str">
        <f t="shared" si="69"/>
        <v/>
      </c>
      <c r="I1514" s="43">
        <f ca="1">IFERROR(SUMPRODUCT((참고!$A$31:$A$130=C1514)*(참고!$B$31:$B$130&lt;=A1514)*(참고!$B$31:$B$130=_xludf.MAXIFS(참고!$B$31:$B$130,참고!$A$31:$A$130,C1514,참고!$B$31:$B$130,"&lt;="&amp;A1514))*참고!$C$31:$C$130)/100,0)</f>
        <v>0</v>
      </c>
      <c r="J1514" s="31" t="str">
        <f t="shared" si="70"/>
        <v/>
      </c>
      <c r="K1514" s="43">
        <f>IF(B1514="매도",IFERROR(SUMPRODUCT((참고!$A$31:$A$130=C1514)*(참고!$B$31:$B$130&lt;=A1514)*(참고!$B$31:$B$130=_xludf.MAXIFS(참고!$B$31:$B$130,참고!$A$31:$A$130,C1514,참고!$B$31:$B$130,"&lt;="&amp;A1514))*참고!$D$31:$D$130)/100,0),0)</f>
        <v>0</v>
      </c>
      <c r="L1514" s="31" t="str">
        <f t="shared" si="71"/>
        <v/>
      </c>
      <c r="M1514" s="39"/>
    </row>
    <row r="1515" spans="1:13" ht="18" customHeight="1" x14ac:dyDescent="0.45">
      <c r="A1515" s="37"/>
      <c r="B1515" s="29"/>
      <c r="C1515" s="29"/>
      <c r="D1515" s="28"/>
      <c r="E1515" s="30" t="str">
        <f>IFERROR(VLOOKUP(D1515,KRX종목마스터!$A:$B,2,FALSE),"")</f>
        <v/>
      </c>
      <c r="F1515" s="42"/>
      <c r="G1515" s="42"/>
      <c r="H1515" s="31" t="str">
        <f t="shared" si="69"/>
        <v/>
      </c>
      <c r="I1515" s="43">
        <f ca="1">IFERROR(SUMPRODUCT((참고!$A$31:$A$130=C1515)*(참고!$B$31:$B$130&lt;=A1515)*(참고!$B$31:$B$130=_xludf.MAXIFS(참고!$B$31:$B$130,참고!$A$31:$A$130,C1515,참고!$B$31:$B$130,"&lt;="&amp;A1515))*참고!$C$31:$C$130)/100,0)</f>
        <v>0</v>
      </c>
      <c r="J1515" s="31" t="str">
        <f t="shared" si="70"/>
        <v/>
      </c>
      <c r="K1515" s="43">
        <f>IF(B1515="매도",IFERROR(SUMPRODUCT((참고!$A$31:$A$130=C1515)*(참고!$B$31:$B$130&lt;=A1515)*(참고!$B$31:$B$130=_xludf.MAXIFS(참고!$B$31:$B$130,참고!$A$31:$A$130,C1515,참고!$B$31:$B$130,"&lt;="&amp;A1515))*참고!$D$31:$D$130)/100,0),0)</f>
        <v>0</v>
      </c>
      <c r="L1515" s="31" t="str">
        <f t="shared" si="71"/>
        <v/>
      </c>
      <c r="M1515" s="39"/>
    </row>
    <row r="1516" spans="1:13" ht="18" customHeight="1" x14ac:dyDescent="0.45">
      <c r="A1516" s="37"/>
      <c r="B1516" s="29"/>
      <c r="C1516" s="29"/>
      <c r="D1516" s="28"/>
      <c r="E1516" s="30" t="str">
        <f>IFERROR(VLOOKUP(D1516,KRX종목마스터!$A:$B,2,FALSE),"")</f>
        <v/>
      </c>
      <c r="F1516" s="42"/>
      <c r="G1516" s="42"/>
      <c r="H1516" s="31" t="str">
        <f t="shared" si="69"/>
        <v/>
      </c>
      <c r="I1516" s="43">
        <f ca="1">IFERROR(SUMPRODUCT((참고!$A$31:$A$130=C1516)*(참고!$B$31:$B$130&lt;=A1516)*(참고!$B$31:$B$130=_xludf.MAXIFS(참고!$B$31:$B$130,참고!$A$31:$A$130,C1516,참고!$B$31:$B$130,"&lt;="&amp;A1516))*참고!$C$31:$C$130)/100,0)</f>
        <v>0</v>
      </c>
      <c r="J1516" s="31" t="str">
        <f t="shared" si="70"/>
        <v/>
      </c>
      <c r="K1516" s="43">
        <f>IF(B1516="매도",IFERROR(SUMPRODUCT((참고!$A$31:$A$130=C1516)*(참고!$B$31:$B$130&lt;=A1516)*(참고!$B$31:$B$130=_xludf.MAXIFS(참고!$B$31:$B$130,참고!$A$31:$A$130,C1516,참고!$B$31:$B$130,"&lt;="&amp;A1516))*참고!$D$31:$D$130)/100,0),0)</f>
        <v>0</v>
      </c>
      <c r="L1516" s="31" t="str">
        <f t="shared" si="71"/>
        <v/>
      </c>
      <c r="M1516" s="39"/>
    </row>
    <row r="1517" spans="1:13" ht="18" customHeight="1" x14ac:dyDescent="0.45">
      <c r="A1517" s="37"/>
      <c r="B1517" s="29"/>
      <c r="C1517" s="29"/>
      <c r="D1517" s="28"/>
      <c r="E1517" s="30" t="str">
        <f>IFERROR(VLOOKUP(D1517,KRX종목마스터!$A:$B,2,FALSE),"")</f>
        <v/>
      </c>
      <c r="F1517" s="42"/>
      <c r="G1517" s="42"/>
      <c r="H1517" s="31" t="str">
        <f t="shared" si="69"/>
        <v/>
      </c>
      <c r="I1517" s="43">
        <f ca="1">IFERROR(SUMPRODUCT((참고!$A$31:$A$130=C1517)*(참고!$B$31:$B$130&lt;=A1517)*(참고!$B$31:$B$130=_xludf.MAXIFS(참고!$B$31:$B$130,참고!$A$31:$A$130,C1517,참고!$B$31:$B$130,"&lt;="&amp;A1517))*참고!$C$31:$C$130)/100,0)</f>
        <v>0</v>
      </c>
      <c r="J1517" s="31" t="str">
        <f t="shared" si="70"/>
        <v/>
      </c>
      <c r="K1517" s="43">
        <f>IF(B1517="매도",IFERROR(SUMPRODUCT((참고!$A$31:$A$130=C1517)*(참고!$B$31:$B$130&lt;=A1517)*(참고!$B$31:$B$130=_xludf.MAXIFS(참고!$B$31:$B$130,참고!$A$31:$A$130,C1517,참고!$B$31:$B$130,"&lt;="&amp;A1517))*참고!$D$31:$D$130)/100,0),0)</f>
        <v>0</v>
      </c>
      <c r="L1517" s="31" t="str">
        <f t="shared" si="71"/>
        <v/>
      </c>
      <c r="M1517" s="39"/>
    </row>
    <row r="1518" spans="1:13" ht="18" customHeight="1" x14ac:dyDescent="0.45">
      <c r="A1518" s="37"/>
      <c r="B1518" s="29"/>
      <c r="C1518" s="29"/>
      <c r="D1518" s="28"/>
      <c r="E1518" s="30" t="str">
        <f>IFERROR(VLOOKUP(D1518,KRX종목마스터!$A:$B,2,FALSE),"")</f>
        <v/>
      </c>
      <c r="F1518" s="42"/>
      <c r="G1518" s="42"/>
      <c r="H1518" s="31" t="str">
        <f t="shared" si="69"/>
        <v/>
      </c>
      <c r="I1518" s="43">
        <f ca="1">IFERROR(SUMPRODUCT((참고!$A$31:$A$130=C1518)*(참고!$B$31:$B$130&lt;=A1518)*(참고!$B$31:$B$130=_xludf.MAXIFS(참고!$B$31:$B$130,참고!$A$31:$A$130,C1518,참고!$B$31:$B$130,"&lt;="&amp;A1518))*참고!$C$31:$C$130)/100,0)</f>
        <v>0</v>
      </c>
      <c r="J1518" s="31" t="str">
        <f t="shared" si="70"/>
        <v/>
      </c>
      <c r="K1518" s="43">
        <f>IF(B1518="매도",IFERROR(SUMPRODUCT((참고!$A$31:$A$130=C1518)*(참고!$B$31:$B$130&lt;=A1518)*(참고!$B$31:$B$130=_xludf.MAXIFS(참고!$B$31:$B$130,참고!$A$31:$A$130,C1518,참고!$B$31:$B$130,"&lt;="&amp;A1518))*참고!$D$31:$D$130)/100,0),0)</f>
        <v>0</v>
      </c>
      <c r="L1518" s="31" t="str">
        <f t="shared" si="71"/>
        <v/>
      </c>
      <c r="M1518" s="39"/>
    </row>
    <row r="1519" spans="1:13" ht="18" customHeight="1" x14ac:dyDescent="0.45">
      <c r="A1519" s="37"/>
      <c r="B1519" s="29"/>
      <c r="C1519" s="29"/>
      <c r="D1519" s="28"/>
      <c r="E1519" s="30" t="str">
        <f>IFERROR(VLOOKUP(D1519,KRX종목마스터!$A:$B,2,FALSE),"")</f>
        <v/>
      </c>
      <c r="F1519" s="42"/>
      <c r="G1519" s="42"/>
      <c r="H1519" s="31" t="str">
        <f t="shared" si="69"/>
        <v/>
      </c>
      <c r="I1519" s="43">
        <f ca="1">IFERROR(SUMPRODUCT((참고!$A$31:$A$130=C1519)*(참고!$B$31:$B$130&lt;=A1519)*(참고!$B$31:$B$130=_xludf.MAXIFS(참고!$B$31:$B$130,참고!$A$31:$A$130,C1519,참고!$B$31:$B$130,"&lt;="&amp;A1519))*참고!$C$31:$C$130)/100,0)</f>
        <v>0</v>
      </c>
      <c r="J1519" s="31" t="str">
        <f t="shared" si="70"/>
        <v/>
      </c>
      <c r="K1519" s="43">
        <f>IF(B1519="매도",IFERROR(SUMPRODUCT((참고!$A$31:$A$130=C1519)*(참고!$B$31:$B$130&lt;=A1519)*(참고!$B$31:$B$130=_xludf.MAXIFS(참고!$B$31:$B$130,참고!$A$31:$A$130,C1519,참고!$B$31:$B$130,"&lt;="&amp;A1519))*참고!$D$31:$D$130)/100,0),0)</f>
        <v>0</v>
      </c>
      <c r="L1519" s="31" t="str">
        <f t="shared" si="71"/>
        <v/>
      </c>
      <c r="M1519" s="39"/>
    </row>
    <row r="1520" spans="1:13" ht="18" customHeight="1" x14ac:dyDescent="0.45">
      <c r="A1520" s="37"/>
      <c r="B1520" s="29"/>
      <c r="C1520" s="29"/>
      <c r="D1520" s="28"/>
      <c r="E1520" s="30" t="str">
        <f>IFERROR(VLOOKUP(D1520,KRX종목마스터!$A:$B,2,FALSE),"")</f>
        <v/>
      </c>
      <c r="F1520" s="42"/>
      <c r="G1520" s="42"/>
      <c r="H1520" s="31" t="str">
        <f t="shared" si="69"/>
        <v/>
      </c>
      <c r="I1520" s="43">
        <f ca="1">IFERROR(SUMPRODUCT((참고!$A$31:$A$130=C1520)*(참고!$B$31:$B$130&lt;=A1520)*(참고!$B$31:$B$130=_xludf.MAXIFS(참고!$B$31:$B$130,참고!$A$31:$A$130,C1520,참고!$B$31:$B$130,"&lt;="&amp;A1520))*참고!$C$31:$C$130)/100,0)</f>
        <v>0</v>
      </c>
      <c r="J1520" s="31" t="str">
        <f t="shared" si="70"/>
        <v/>
      </c>
      <c r="K1520" s="43">
        <f>IF(B1520="매도",IFERROR(SUMPRODUCT((참고!$A$31:$A$130=C1520)*(참고!$B$31:$B$130&lt;=A1520)*(참고!$B$31:$B$130=_xludf.MAXIFS(참고!$B$31:$B$130,참고!$A$31:$A$130,C1520,참고!$B$31:$B$130,"&lt;="&amp;A1520))*참고!$D$31:$D$130)/100,0),0)</f>
        <v>0</v>
      </c>
      <c r="L1520" s="31" t="str">
        <f t="shared" si="71"/>
        <v/>
      </c>
      <c r="M1520" s="39"/>
    </row>
    <row r="1521" spans="1:13" ht="18" customHeight="1" x14ac:dyDescent="0.45">
      <c r="A1521" s="37"/>
      <c r="B1521" s="29"/>
      <c r="C1521" s="29"/>
      <c r="D1521" s="28"/>
      <c r="E1521" s="30" t="str">
        <f>IFERROR(VLOOKUP(D1521,KRX종목마스터!$A:$B,2,FALSE),"")</f>
        <v/>
      </c>
      <c r="F1521" s="42"/>
      <c r="G1521" s="42"/>
      <c r="H1521" s="31" t="str">
        <f t="shared" si="69"/>
        <v/>
      </c>
      <c r="I1521" s="43">
        <f ca="1">IFERROR(SUMPRODUCT((참고!$A$31:$A$130=C1521)*(참고!$B$31:$B$130&lt;=A1521)*(참고!$B$31:$B$130=_xludf.MAXIFS(참고!$B$31:$B$130,참고!$A$31:$A$130,C1521,참고!$B$31:$B$130,"&lt;="&amp;A1521))*참고!$C$31:$C$130)/100,0)</f>
        <v>0</v>
      </c>
      <c r="J1521" s="31" t="str">
        <f t="shared" si="70"/>
        <v/>
      </c>
      <c r="K1521" s="43">
        <f>IF(B1521="매도",IFERROR(SUMPRODUCT((참고!$A$31:$A$130=C1521)*(참고!$B$31:$B$130&lt;=A1521)*(참고!$B$31:$B$130=_xludf.MAXIFS(참고!$B$31:$B$130,참고!$A$31:$A$130,C1521,참고!$B$31:$B$130,"&lt;="&amp;A1521))*참고!$D$31:$D$130)/100,0),0)</f>
        <v>0</v>
      </c>
      <c r="L1521" s="31" t="str">
        <f t="shared" si="71"/>
        <v/>
      </c>
      <c r="M1521" s="39"/>
    </row>
    <row r="1522" spans="1:13" ht="18" customHeight="1" x14ac:dyDescent="0.45">
      <c r="A1522" s="37"/>
      <c r="B1522" s="29"/>
      <c r="C1522" s="29"/>
      <c r="D1522" s="28"/>
      <c r="E1522" s="30" t="str">
        <f>IFERROR(VLOOKUP(D1522,KRX종목마스터!$A:$B,2,FALSE),"")</f>
        <v/>
      </c>
      <c r="F1522" s="42"/>
      <c r="G1522" s="42"/>
      <c r="H1522" s="31" t="str">
        <f t="shared" si="69"/>
        <v/>
      </c>
      <c r="I1522" s="43">
        <f ca="1">IFERROR(SUMPRODUCT((참고!$A$31:$A$130=C1522)*(참고!$B$31:$B$130&lt;=A1522)*(참고!$B$31:$B$130=_xludf.MAXIFS(참고!$B$31:$B$130,참고!$A$31:$A$130,C1522,참고!$B$31:$B$130,"&lt;="&amp;A1522))*참고!$C$31:$C$130)/100,0)</f>
        <v>0</v>
      </c>
      <c r="J1522" s="31" t="str">
        <f t="shared" si="70"/>
        <v/>
      </c>
      <c r="K1522" s="43">
        <f>IF(B1522="매도",IFERROR(SUMPRODUCT((참고!$A$31:$A$130=C1522)*(참고!$B$31:$B$130&lt;=A1522)*(참고!$B$31:$B$130=_xludf.MAXIFS(참고!$B$31:$B$130,참고!$A$31:$A$130,C1522,참고!$B$31:$B$130,"&lt;="&amp;A1522))*참고!$D$31:$D$130)/100,0),0)</f>
        <v>0</v>
      </c>
      <c r="L1522" s="31" t="str">
        <f t="shared" si="71"/>
        <v/>
      </c>
      <c r="M1522" s="39"/>
    </row>
    <row r="1523" spans="1:13" ht="18" customHeight="1" x14ac:dyDescent="0.45">
      <c r="A1523" s="37"/>
      <c r="B1523" s="29"/>
      <c r="C1523" s="29"/>
      <c r="D1523" s="28"/>
      <c r="E1523" s="30" t="str">
        <f>IFERROR(VLOOKUP(D1523,KRX종목마스터!$A:$B,2,FALSE),"")</f>
        <v/>
      </c>
      <c r="F1523" s="42"/>
      <c r="G1523" s="42"/>
      <c r="H1523" s="31" t="str">
        <f t="shared" si="69"/>
        <v/>
      </c>
      <c r="I1523" s="43">
        <f ca="1">IFERROR(SUMPRODUCT((참고!$A$31:$A$130=C1523)*(참고!$B$31:$B$130&lt;=A1523)*(참고!$B$31:$B$130=_xludf.MAXIFS(참고!$B$31:$B$130,참고!$A$31:$A$130,C1523,참고!$B$31:$B$130,"&lt;="&amp;A1523))*참고!$C$31:$C$130)/100,0)</f>
        <v>0</v>
      </c>
      <c r="J1523" s="31" t="str">
        <f t="shared" si="70"/>
        <v/>
      </c>
      <c r="K1523" s="43">
        <f>IF(B1523="매도",IFERROR(SUMPRODUCT((참고!$A$31:$A$130=C1523)*(참고!$B$31:$B$130&lt;=A1523)*(참고!$B$31:$B$130=_xludf.MAXIFS(참고!$B$31:$B$130,참고!$A$31:$A$130,C1523,참고!$B$31:$B$130,"&lt;="&amp;A1523))*참고!$D$31:$D$130)/100,0),0)</f>
        <v>0</v>
      </c>
      <c r="L1523" s="31" t="str">
        <f t="shared" si="71"/>
        <v/>
      </c>
      <c r="M1523" s="39"/>
    </row>
    <row r="1524" spans="1:13" ht="18" customHeight="1" x14ac:dyDescent="0.45">
      <c r="A1524" s="37"/>
      <c r="B1524" s="29"/>
      <c r="C1524" s="29"/>
      <c r="D1524" s="28"/>
      <c r="E1524" s="30" t="str">
        <f>IFERROR(VLOOKUP(D1524,KRX종목마스터!$A:$B,2,FALSE),"")</f>
        <v/>
      </c>
      <c r="F1524" s="42"/>
      <c r="G1524" s="42"/>
      <c r="H1524" s="31" t="str">
        <f t="shared" si="69"/>
        <v/>
      </c>
      <c r="I1524" s="43">
        <f ca="1">IFERROR(SUMPRODUCT((참고!$A$31:$A$130=C1524)*(참고!$B$31:$B$130&lt;=A1524)*(참고!$B$31:$B$130=_xludf.MAXIFS(참고!$B$31:$B$130,참고!$A$31:$A$130,C1524,참고!$B$31:$B$130,"&lt;="&amp;A1524))*참고!$C$31:$C$130)/100,0)</f>
        <v>0</v>
      </c>
      <c r="J1524" s="31" t="str">
        <f t="shared" si="70"/>
        <v/>
      </c>
      <c r="K1524" s="43">
        <f>IF(B1524="매도",IFERROR(SUMPRODUCT((참고!$A$31:$A$130=C1524)*(참고!$B$31:$B$130&lt;=A1524)*(참고!$B$31:$B$130=_xludf.MAXIFS(참고!$B$31:$B$130,참고!$A$31:$A$130,C1524,참고!$B$31:$B$130,"&lt;="&amp;A1524))*참고!$D$31:$D$130)/100,0),0)</f>
        <v>0</v>
      </c>
      <c r="L1524" s="31" t="str">
        <f t="shared" si="71"/>
        <v/>
      </c>
      <c r="M1524" s="39"/>
    </row>
    <row r="1525" spans="1:13" ht="18" customHeight="1" x14ac:dyDescent="0.45">
      <c r="A1525" s="37"/>
      <c r="B1525" s="29"/>
      <c r="C1525" s="29"/>
      <c r="D1525" s="28"/>
      <c r="E1525" s="30" t="str">
        <f>IFERROR(VLOOKUP(D1525,KRX종목마스터!$A:$B,2,FALSE),"")</f>
        <v/>
      </c>
      <c r="F1525" s="42"/>
      <c r="G1525" s="42"/>
      <c r="H1525" s="31" t="str">
        <f t="shared" si="69"/>
        <v/>
      </c>
      <c r="I1525" s="43">
        <f ca="1">IFERROR(SUMPRODUCT((참고!$A$31:$A$130=C1525)*(참고!$B$31:$B$130&lt;=A1525)*(참고!$B$31:$B$130=_xludf.MAXIFS(참고!$B$31:$B$130,참고!$A$31:$A$130,C1525,참고!$B$31:$B$130,"&lt;="&amp;A1525))*참고!$C$31:$C$130)/100,0)</f>
        <v>0</v>
      </c>
      <c r="J1525" s="31" t="str">
        <f t="shared" si="70"/>
        <v/>
      </c>
      <c r="K1525" s="43">
        <f>IF(B1525="매도",IFERROR(SUMPRODUCT((참고!$A$31:$A$130=C1525)*(참고!$B$31:$B$130&lt;=A1525)*(참고!$B$31:$B$130=_xludf.MAXIFS(참고!$B$31:$B$130,참고!$A$31:$A$130,C1525,참고!$B$31:$B$130,"&lt;="&amp;A1525))*참고!$D$31:$D$130)/100,0),0)</f>
        <v>0</v>
      </c>
      <c r="L1525" s="31" t="str">
        <f t="shared" si="71"/>
        <v/>
      </c>
      <c r="M1525" s="39"/>
    </row>
    <row r="1526" spans="1:13" ht="18" customHeight="1" x14ac:dyDescent="0.45">
      <c r="A1526" s="37"/>
      <c r="B1526" s="29"/>
      <c r="C1526" s="29"/>
      <c r="D1526" s="28"/>
      <c r="E1526" s="30" t="str">
        <f>IFERROR(VLOOKUP(D1526,KRX종목마스터!$A:$B,2,FALSE),"")</f>
        <v/>
      </c>
      <c r="F1526" s="42"/>
      <c r="G1526" s="42"/>
      <c r="H1526" s="31" t="str">
        <f t="shared" si="69"/>
        <v/>
      </c>
      <c r="I1526" s="43">
        <f ca="1">IFERROR(SUMPRODUCT((참고!$A$31:$A$130=C1526)*(참고!$B$31:$B$130&lt;=A1526)*(참고!$B$31:$B$130=_xludf.MAXIFS(참고!$B$31:$B$130,참고!$A$31:$A$130,C1526,참고!$B$31:$B$130,"&lt;="&amp;A1526))*참고!$C$31:$C$130)/100,0)</f>
        <v>0</v>
      </c>
      <c r="J1526" s="31" t="str">
        <f t="shared" si="70"/>
        <v/>
      </c>
      <c r="K1526" s="43">
        <f>IF(B1526="매도",IFERROR(SUMPRODUCT((참고!$A$31:$A$130=C1526)*(참고!$B$31:$B$130&lt;=A1526)*(참고!$B$31:$B$130=_xludf.MAXIFS(참고!$B$31:$B$130,참고!$A$31:$A$130,C1526,참고!$B$31:$B$130,"&lt;="&amp;A1526))*참고!$D$31:$D$130)/100,0),0)</f>
        <v>0</v>
      </c>
      <c r="L1526" s="31" t="str">
        <f t="shared" si="71"/>
        <v/>
      </c>
      <c r="M1526" s="39"/>
    </row>
    <row r="1527" spans="1:13" ht="18" customHeight="1" x14ac:dyDescent="0.45">
      <c r="A1527" s="37"/>
      <c r="B1527" s="29"/>
      <c r="C1527" s="29"/>
      <c r="D1527" s="28"/>
      <c r="E1527" s="30" t="str">
        <f>IFERROR(VLOOKUP(D1527,KRX종목마스터!$A:$B,2,FALSE),"")</f>
        <v/>
      </c>
      <c r="F1527" s="42"/>
      <c r="G1527" s="42"/>
      <c r="H1527" s="31" t="str">
        <f t="shared" si="69"/>
        <v/>
      </c>
      <c r="I1527" s="43">
        <f ca="1">IFERROR(SUMPRODUCT((참고!$A$31:$A$130=C1527)*(참고!$B$31:$B$130&lt;=A1527)*(참고!$B$31:$B$130=_xludf.MAXIFS(참고!$B$31:$B$130,참고!$A$31:$A$130,C1527,참고!$B$31:$B$130,"&lt;="&amp;A1527))*참고!$C$31:$C$130)/100,0)</f>
        <v>0</v>
      </c>
      <c r="J1527" s="31" t="str">
        <f t="shared" si="70"/>
        <v/>
      </c>
      <c r="K1527" s="43">
        <f>IF(B1527="매도",IFERROR(SUMPRODUCT((참고!$A$31:$A$130=C1527)*(참고!$B$31:$B$130&lt;=A1527)*(참고!$B$31:$B$130=_xludf.MAXIFS(참고!$B$31:$B$130,참고!$A$31:$A$130,C1527,참고!$B$31:$B$130,"&lt;="&amp;A1527))*참고!$D$31:$D$130)/100,0),0)</f>
        <v>0</v>
      </c>
      <c r="L1527" s="31" t="str">
        <f t="shared" si="71"/>
        <v/>
      </c>
      <c r="M1527" s="39"/>
    </row>
    <row r="1528" spans="1:13" ht="18" customHeight="1" x14ac:dyDescent="0.45">
      <c r="A1528" s="37"/>
      <c r="B1528" s="29"/>
      <c r="C1528" s="29"/>
      <c r="D1528" s="28"/>
      <c r="E1528" s="30" t="str">
        <f>IFERROR(VLOOKUP(D1528,KRX종목마스터!$A:$B,2,FALSE),"")</f>
        <v/>
      </c>
      <c r="F1528" s="42"/>
      <c r="G1528" s="42"/>
      <c r="H1528" s="31" t="str">
        <f t="shared" si="69"/>
        <v/>
      </c>
      <c r="I1528" s="43">
        <f ca="1">IFERROR(SUMPRODUCT((참고!$A$31:$A$130=C1528)*(참고!$B$31:$B$130&lt;=A1528)*(참고!$B$31:$B$130=_xludf.MAXIFS(참고!$B$31:$B$130,참고!$A$31:$A$130,C1528,참고!$B$31:$B$130,"&lt;="&amp;A1528))*참고!$C$31:$C$130)/100,0)</f>
        <v>0</v>
      </c>
      <c r="J1528" s="31" t="str">
        <f t="shared" si="70"/>
        <v/>
      </c>
      <c r="K1528" s="43">
        <f>IF(B1528="매도",IFERROR(SUMPRODUCT((참고!$A$31:$A$130=C1528)*(참고!$B$31:$B$130&lt;=A1528)*(참고!$B$31:$B$130=_xludf.MAXIFS(참고!$B$31:$B$130,참고!$A$31:$A$130,C1528,참고!$B$31:$B$130,"&lt;="&amp;A1528))*참고!$D$31:$D$130)/100,0),0)</f>
        <v>0</v>
      </c>
      <c r="L1528" s="31" t="str">
        <f t="shared" si="71"/>
        <v/>
      </c>
      <c r="M1528" s="39"/>
    </row>
    <row r="1529" spans="1:13" ht="18" customHeight="1" x14ac:dyDescent="0.45">
      <c r="A1529" s="37"/>
      <c r="B1529" s="29"/>
      <c r="C1529" s="29"/>
      <c r="D1529" s="28"/>
      <c r="E1529" s="30" t="str">
        <f>IFERROR(VLOOKUP(D1529,KRX종목마스터!$A:$B,2,FALSE),"")</f>
        <v/>
      </c>
      <c r="F1529" s="42"/>
      <c r="G1529" s="42"/>
      <c r="H1529" s="31" t="str">
        <f t="shared" si="69"/>
        <v/>
      </c>
      <c r="I1529" s="43">
        <f ca="1">IFERROR(SUMPRODUCT((참고!$A$31:$A$130=C1529)*(참고!$B$31:$B$130&lt;=A1529)*(참고!$B$31:$B$130=_xludf.MAXIFS(참고!$B$31:$B$130,참고!$A$31:$A$130,C1529,참고!$B$31:$B$130,"&lt;="&amp;A1529))*참고!$C$31:$C$130)/100,0)</f>
        <v>0</v>
      </c>
      <c r="J1529" s="31" t="str">
        <f t="shared" si="70"/>
        <v/>
      </c>
      <c r="K1529" s="43">
        <f>IF(B1529="매도",IFERROR(SUMPRODUCT((참고!$A$31:$A$130=C1529)*(참고!$B$31:$B$130&lt;=A1529)*(참고!$B$31:$B$130=_xludf.MAXIFS(참고!$B$31:$B$130,참고!$A$31:$A$130,C1529,참고!$B$31:$B$130,"&lt;="&amp;A1529))*참고!$D$31:$D$130)/100,0),0)</f>
        <v>0</v>
      </c>
      <c r="L1529" s="31" t="str">
        <f t="shared" si="71"/>
        <v/>
      </c>
      <c r="M1529" s="39"/>
    </row>
    <row r="1530" spans="1:13" ht="18" customHeight="1" x14ac:dyDescent="0.45">
      <c r="A1530" s="37"/>
      <c r="B1530" s="29"/>
      <c r="C1530" s="29"/>
      <c r="D1530" s="28"/>
      <c r="E1530" s="30" t="str">
        <f>IFERROR(VLOOKUP(D1530,KRX종목마스터!$A:$B,2,FALSE),"")</f>
        <v/>
      </c>
      <c r="F1530" s="42"/>
      <c r="G1530" s="42"/>
      <c r="H1530" s="31" t="str">
        <f t="shared" si="69"/>
        <v/>
      </c>
      <c r="I1530" s="43">
        <f ca="1">IFERROR(SUMPRODUCT((참고!$A$31:$A$130=C1530)*(참고!$B$31:$B$130&lt;=A1530)*(참고!$B$31:$B$130=_xludf.MAXIFS(참고!$B$31:$B$130,참고!$A$31:$A$130,C1530,참고!$B$31:$B$130,"&lt;="&amp;A1530))*참고!$C$31:$C$130)/100,0)</f>
        <v>0</v>
      </c>
      <c r="J1530" s="31" t="str">
        <f t="shared" si="70"/>
        <v/>
      </c>
      <c r="K1530" s="43">
        <f>IF(B1530="매도",IFERROR(SUMPRODUCT((참고!$A$31:$A$130=C1530)*(참고!$B$31:$B$130&lt;=A1530)*(참고!$B$31:$B$130=_xludf.MAXIFS(참고!$B$31:$B$130,참고!$A$31:$A$130,C1530,참고!$B$31:$B$130,"&lt;="&amp;A1530))*참고!$D$31:$D$130)/100,0),0)</f>
        <v>0</v>
      </c>
      <c r="L1530" s="31" t="str">
        <f t="shared" si="71"/>
        <v/>
      </c>
      <c r="M1530" s="39"/>
    </row>
    <row r="1531" spans="1:13" ht="18" customHeight="1" x14ac:dyDescent="0.45">
      <c r="A1531" s="37"/>
      <c r="B1531" s="29"/>
      <c r="C1531" s="29"/>
      <c r="D1531" s="28"/>
      <c r="E1531" s="30" t="str">
        <f>IFERROR(VLOOKUP(D1531,KRX종목마스터!$A:$B,2,FALSE),"")</f>
        <v/>
      </c>
      <c r="F1531" s="42"/>
      <c r="G1531" s="42"/>
      <c r="H1531" s="31" t="str">
        <f t="shared" si="69"/>
        <v/>
      </c>
      <c r="I1531" s="43">
        <f ca="1">IFERROR(SUMPRODUCT((참고!$A$31:$A$130=C1531)*(참고!$B$31:$B$130&lt;=A1531)*(참고!$B$31:$B$130=_xludf.MAXIFS(참고!$B$31:$B$130,참고!$A$31:$A$130,C1531,참고!$B$31:$B$130,"&lt;="&amp;A1531))*참고!$C$31:$C$130)/100,0)</f>
        <v>0</v>
      </c>
      <c r="J1531" s="31" t="str">
        <f t="shared" si="70"/>
        <v/>
      </c>
      <c r="K1531" s="43">
        <f>IF(B1531="매도",IFERROR(SUMPRODUCT((참고!$A$31:$A$130=C1531)*(참고!$B$31:$B$130&lt;=A1531)*(참고!$B$31:$B$130=_xludf.MAXIFS(참고!$B$31:$B$130,참고!$A$31:$A$130,C1531,참고!$B$31:$B$130,"&lt;="&amp;A1531))*참고!$D$31:$D$130)/100,0),0)</f>
        <v>0</v>
      </c>
      <c r="L1531" s="31" t="str">
        <f t="shared" si="71"/>
        <v/>
      </c>
      <c r="M1531" s="39"/>
    </row>
    <row r="1532" spans="1:13" ht="18" customHeight="1" x14ac:dyDescent="0.45">
      <c r="A1532" s="37"/>
      <c r="B1532" s="29"/>
      <c r="C1532" s="29"/>
      <c r="D1532" s="28"/>
      <c r="E1532" s="30" t="str">
        <f>IFERROR(VLOOKUP(D1532,KRX종목마스터!$A:$B,2,FALSE),"")</f>
        <v/>
      </c>
      <c r="F1532" s="42"/>
      <c r="G1532" s="42"/>
      <c r="H1532" s="31" t="str">
        <f t="shared" si="69"/>
        <v/>
      </c>
      <c r="I1532" s="43">
        <f ca="1">IFERROR(SUMPRODUCT((참고!$A$31:$A$130=C1532)*(참고!$B$31:$B$130&lt;=A1532)*(참고!$B$31:$B$130=_xludf.MAXIFS(참고!$B$31:$B$130,참고!$A$31:$A$130,C1532,참고!$B$31:$B$130,"&lt;="&amp;A1532))*참고!$C$31:$C$130)/100,0)</f>
        <v>0</v>
      </c>
      <c r="J1532" s="31" t="str">
        <f t="shared" si="70"/>
        <v/>
      </c>
      <c r="K1532" s="43">
        <f>IF(B1532="매도",IFERROR(SUMPRODUCT((참고!$A$31:$A$130=C1532)*(참고!$B$31:$B$130&lt;=A1532)*(참고!$B$31:$B$130=_xludf.MAXIFS(참고!$B$31:$B$130,참고!$A$31:$A$130,C1532,참고!$B$31:$B$130,"&lt;="&amp;A1532))*참고!$D$31:$D$130)/100,0),0)</f>
        <v>0</v>
      </c>
      <c r="L1532" s="31" t="str">
        <f t="shared" si="71"/>
        <v/>
      </c>
      <c r="M1532" s="39"/>
    </row>
    <row r="1533" spans="1:13" ht="18" customHeight="1" x14ac:dyDescent="0.45">
      <c r="A1533" s="37"/>
      <c r="B1533" s="29"/>
      <c r="C1533" s="29"/>
      <c r="D1533" s="28"/>
      <c r="E1533" s="30" t="str">
        <f>IFERROR(VLOOKUP(D1533,KRX종목마스터!$A:$B,2,FALSE),"")</f>
        <v/>
      </c>
      <c r="F1533" s="42"/>
      <c r="G1533" s="42"/>
      <c r="H1533" s="31" t="str">
        <f t="shared" si="69"/>
        <v/>
      </c>
      <c r="I1533" s="43">
        <f ca="1">IFERROR(SUMPRODUCT((참고!$A$31:$A$130=C1533)*(참고!$B$31:$B$130&lt;=A1533)*(참고!$B$31:$B$130=_xludf.MAXIFS(참고!$B$31:$B$130,참고!$A$31:$A$130,C1533,참고!$B$31:$B$130,"&lt;="&amp;A1533))*참고!$C$31:$C$130)/100,0)</f>
        <v>0</v>
      </c>
      <c r="J1533" s="31" t="str">
        <f t="shared" si="70"/>
        <v/>
      </c>
      <c r="K1533" s="43">
        <f>IF(B1533="매도",IFERROR(SUMPRODUCT((참고!$A$31:$A$130=C1533)*(참고!$B$31:$B$130&lt;=A1533)*(참고!$B$31:$B$130=_xludf.MAXIFS(참고!$B$31:$B$130,참고!$A$31:$A$130,C1533,참고!$B$31:$B$130,"&lt;="&amp;A1533))*참고!$D$31:$D$130)/100,0),0)</f>
        <v>0</v>
      </c>
      <c r="L1533" s="31" t="str">
        <f t="shared" si="71"/>
        <v/>
      </c>
      <c r="M1533" s="39"/>
    </row>
    <row r="1534" spans="1:13" ht="18" customHeight="1" x14ac:dyDescent="0.45">
      <c r="A1534" s="37"/>
      <c r="B1534" s="29"/>
      <c r="C1534" s="29"/>
      <c r="D1534" s="28"/>
      <c r="E1534" s="30" t="str">
        <f>IFERROR(VLOOKUP(D1534,KRX종목마스터!$A:$B,2,FALSE),"")</f>
        <v/>
      </c>
      <c r="F1534" s="42"/>
      <c r="G1534" s="42"/>
      <c r="H1534" s="31" t="str">
        <f t="shared" si="69"/>
        <v/>
      </c>
      <c r="I1534" s="43">
        <f ca="1">IFERROR(SUMPRODUCT((참고!$A$31:$A$130=C1534)*(참고!$B$31:$B$130&lt;=A1534)*(참고!$B$31:$B$130=_xludf.MAXIFS(참고!$B$31:$B$130,참고!$A$31:$A$130,C1534,참고!$B$31:$B$130,"&lt;="&amp;A1534))*참고!$C$31:$C$130)/100,0)</f>
        <v>0</v>
      </c>
      <c r="J1534" s="31" t="str">
        <f t="shared" si="70"/>
        <v/>
      </c>
      <c r="K1534" s="43">
        <f>IF(B1534="매도",IFERROR(SUMPRODUCT((참고!$A$31:$A$130=C1534)*(참고!$B$31:$B$130&lt;=A1534)*(참고!$B$31:$B$130=_xludf.MAXIFS(참고!$B$31:$B$130,참고!$A$31:$A$130,C1534,참고!$B$31:$B$130,"&lt;="&amp;A1534))*참고!$D$31:$D$130)/100,0),0)</f>
        <v>0</v>
      </c>
      <c r="L1534" s="31" t="str">
        <f t="shared" si="71"/>
        <v/>
      </c>
      <c r="M1534" s="39"/>
    </row>
    <row r="1535" spans="1:13" ht="18" customHeight="1" x14ac:dyDescent="0.45">
      <c r="A1535" s="37"/>
      <c r="B1535" s="29"/>
      <c r="C1535" s="29"/>
      <c r="D1535" s="28"/>
      <c r="E1535" s="30" t="str">
        <f>IFERROR(VLOOKUP(D1535,KRX종목마스터!$A:$B,2,FALSE),"")</f>
        <v/>
      </c>
      <c r="F1535" s="42"/>
      <c r="G1535" s="42"/>
      <c r="H1535" s="31" t="str">
        <f t="shared" si="69"/>
        <v/>
      </c>
      <c r="I1535" s="43">
        <f ca="1">IFERROR(SUMPRODUCT((참고!$A$31:$A$130=C1535)*(참고!$B$31:$B$130&lt;=A1535)*(참고!$B$31:$B$130=_xludf.MAXIFS(참고!$B$31:$B$130,참고!$A$31:$A$130,C1535,참고!$B$31:$B$130,"&lt;="&amp;A1535))*참고!$C$31:$C$130)/100,0)</f>
        <v>0</v>
      </c>
      <c r="J1535" s="31" t="str">
        <f t="shared" si="70"/>
        <v/>
      </c>
      <c r="K1535" s="43">
        <f>IF(B1535="매도",IFERROR(SUMPRODUCT((참고!$A$31:$A$130=C1535)*(참고!$B$31:$B$130&lt;=A1535)*(참고!$B$31:$B$130=_xludf.MAXIFS(참고!$B$31:$B$130,참고!$A$31:$A$130,C1535,참고!$B$31:$B$130,"&lt;="&amp;A1535))*참고!$D$31:$D$130)/100,0),0)</f>
        <v>0</v>
      </c>
      <c r="L1535" s="31" t="str">
        <f t="shared" si="71"/>
        <v/>
      </c>
      <c r="M1535" s="39"/>
    </row>
    <row r="1536" spans="1:13" ht="18" customHeight="1" x14ac:dyDescent="0.45">
      <c r="A1536" s="37"/>
      <c r="B1536" s="29"/>
      <c r="C1536" s="29"/>
      <c r="D1536" s="28"/>
      <c r="E1536" s="30" t="str">
        <f>IFERROR(VLOOKUP(D1536,KRX종목마스터!$A:$B,2,FALSE),"")</f>
        <v/>
      </c>
      <c r="F1536" s="42"/>
      <c r="G1536" s="42"/>
      <c r="H1536" s="31" t="str">
        <f t="shared" si="69"/>
        <v/>
      </c>
      <c r="I1536" s="43">
        <f ca="1">IFERROR(SUMPRODUCT((참고!$A$31:$A$130=C1536)*(참고!$B$31:$B$130&lt;=A1536)*(참고!$B$31:$B$130=_xludf.MAXIFS(참고!$B$31:$B$130,참고!$A$31:$A$130,C1536,참고!$B$31:$B$130,"&lt;="&amp;A1536))*참고!$C$31:$C$130)/100,0)</f>
        <v>0</v>
      </c>
      <c r="J1536" s="31" t="str">
        <f t="shared" si="70"/>
        <v/>
      </c>
      <c r="K1536" s="43">
        <f>IF(B1536="매도",IFERROR(SUMPRODUCT((참고!$A$31:$A$130=C1536)*(참고!$B$31:$B$130&lt;=A1536)*(참고!$B$31:$B$130=_xludf.MAXIFS(참고!$B$31:$B$130,참고!$A$31:$A$130,C1536,참고!$B$31:$B$130,"&lt;="&amp;A1536))*참고!$D$31:$D$130)/100,0),0)</f>
        <v>0</v>
      </c>
      <c r="L1536" s="31" t="str">
        <f t="shared" si="71"/>
        <v/>
      </c>
      <c r="M1536" s="39"/>
    </row>
    <row r="1537" spans="1:13" ht="18" customHeight="1" x14ac:dyDescent="0.45">
      <c r="A1537" s="37"/>
      <c r="B1537" s="29"/>
      <c r="C1537" s="29"/>
      <c r="D1537" s="28"/>
      <c r="E1537" s="30" t="str">
        <f>IFERROR(VLOOKUP(D1537,KRX종목마스터!$A:$B,2,FALSE),"")</f>
        <v/>
      </c>
      <c r="F1537" s="42"/>
      <c r="G1537" s="42"/>
      <c r="H1537" s="31" t="str">
        <f t="shared" si="69"/>
        <v/>
      </c>
      <c r="I1537" s="43">
        <f ca="1">IFERROR(SUMPRODUCT((참고!$A$31:$A$130=C1537)*(참고!$B$31:$B$130&lt;=A1537)*(참고!$B$31:$B$130=_xludf.MAXIFS(참고!$B$31:$B$130,참고!$A$31:$A$130,C1537,참고!$B$31:$B$130,"&lt;="&amp;A1537))*참고!$C$31:$C$130)/100,0)</f>
        <v>0</v>
      </c>
      <c r="J1537" s="31" t="str">
        <f t="shared" si="70"/>
        <v/>
      </c>
      <c r="K1537" s="43">
        <f>IF(B1537="매도",IFERROR(SUMPRODUCT((참고!$A$31:$A$130=C1537)*(참고!$B$31:$B$130&lt;=A1537)*(참고!$B$31:$B$130=_xludf.MAXIFS(참고!$B$31:$B$130,참고!$A$31:$A$130,C1537,참고!$B$31:$B$130,"&lt;="&amp;A1537))*참고!$D$31:$D$130)/100,0),0)</f>
        <v>0</v>
      </c>
      <c r="L1537" s="31" t="str">
        <f t="shared" si="71"/>
        <v/>
      </c>
      <c r="M1537" s="39"/>
    </row>
    <row r="1538" spans="1:13" ht="18" customHeight="1" x14ac:dyDescent="0.45">
      <c r="A1538" s="37"/>
      <c r="B1538" s="29"/>
      <c r="C1538" s="29"/>
      <c r="D1538" s="28"/>
      <c r="E1538" s="30" t="str">
        <f>IFERROR(VLOOKUP(D1538,KRX종목마스터!$A:$B,2,FALSE),"")</f>
        <v/>
      </c>
      <c r="F1538" s="42"/>
      <c r="G1538" s="42"/>
      <c r="H1538" s="31" t="str">
        <f t="shared" si="69"/>
        <v/>
      </c>
      <c r="I1538" s="43">
        <f ca="1">IFERROR(SUMPRODUCT((참고!$A$31:$A$130=C1538)*(참고!$B$31:$B$130&lt;=A1538)*(참고!$B$31:$B$130=_xludf.MAXIFS(참고!$B$31:$B$130,참고!$A$31:$A$130,C1538,참고!$B$31:$B$130,"&lt;="&amp;A1538))*참고!$C$31:$C$130)/100,0)</f>
        <v>0</v>
      </c>
      <c r="J1538" s="31" t="str">
        <f t="shared" si="70"/>
        <v/>
      </c>
      <c r="K1538" s="43">
        <f>IF(B1538="매도",IFERROR(SUMPRODUCT((참고!$A$31:$A$130=C1538)*(참고!$B$31:$B$130&lt;=A1538)*(참고!$B$31:$B$130=_xludf.MAXIFS(참고!$B$31:$B$130,참고!$A$31:$A$130,C1538,참고!$B$31:$B$130,"&lt;="&amp;A1538))*참고!$D$31:$D$130)/100,0),0)</f>
        <v>0</v>
      </c>
      <c r="L1538" s="31" t="str">
        <f t="shared" si="71"/>
        <v/>
      </c>
      <c r="M1538" s="39"/>
    </row>
    <row r="1539" spans="1:13" ht="18" customHeight="1" x14ac:dyDescent="0.45">
      <c r="A1539" s="37"/>
      <c r="B1539" s="29"/>
      <c r="C1539" s="29"/>
      <c r="D1539" s="28"/>
      <c r="E1539" s="30" t="str">
        <f>IFERROR(VLOOKUP(D1539,KRX종목마스터!$A:$B,2,FALSE),"")</f>
        <v/>
      </c>
      <c r="F1539" s="42"/>
      <c r="G1539" s="42"/>
      <c r="H1539" s="31" t="str">
        <f t="shared" si="69"/>
        <v/>
      </c>
      <c r="I1539" s="43">
        <f ca="1">IFERROR(SUMPRODUCT((참고!$A$31:$A$130=C1539)*(참고!$B$31:$B$130&lt;=A1539)*(참고!$B$31:$B$130=_xludf.MAXIFS(참고!$B$31:$B$130,참고!$A$31:$A$130,C1539,참고!$B$31:$B$130,"&lt;="&amp;A1539))*참고!$C$31:$C$130)/100,0)</f>
        <v>0</v>
      </c>
      <c r="J1539" s="31" t="str">
        <f t="shared" si="70"/>
        <v/>
      </c>
      <c r="K1539" s="43">
        <f>IF(B1539="매도",IFERROR(SUMPRODUCT((참고!$A$31:$A$130=C1539)*(참고!$B$31:$B$130&lt;=A1539)*(참고!$B$31:$B$130=_xludf.MAXIFS(참고!$B$31:$B$130,참고!$A$31:$A$130,C1539,참고!$B$31:$B$130,"&lt;="&amp;A1539))*참고!$D$31:$D$130)/100,0),0)</f>
        <v>0</v>
      </c>
      <c r="L1539" s="31" t="str">
        <f t="shared" si="71"/>
        <v/>
      </c>
      <c r="M1539" s="39"/>
    </row>
    <row r="1540" spans="1:13" ht="18" customHeight="1" x14ac:dyDescent="0.45">
      <c r="A1540" s="37"/>
      <c r="B1540" s="29"/>
      <c r="C1540" s="29"/>
      <c r="D1540" s="28"/>
      <c r="E1540" s="30" t="str">
        <f>IFERROR(VLOOKUP(D1540,KRX종목마스터!$A:$B,2,FALSE),"")</f>
        <v/>
      </c>
      <c r="F1540" s="42"/>
      <c r="G1540" s="42"/>
      <c r="H1540" s="31" t="str">
        <f t="shared" si="69"/>
        <v/>
      </c>
      <c r="I1540" s="43">
        <f ca="1">IFERROR(SUMPRODUCT((참고!$A$31:$A$130=C1540)*(참고!$B$31:$B$130&lt;=A1540)*(참고!$B$31:$B$130=_xludf.MAXIFS(참고!$B$31:$B$130,참고!$A$31:$A$130,C1540,참고!$B$31:$B$130,"&lt;="&amp;A1540))*참고!$C$31:$C$130)/100,0)</f>
        <v>0</v>
      </c>
      <c r="J1540" s="31" t="str">
        <f t="shared" si="70"/>
        <v/>
      </c>
      <c r="K1540" s="43">
        <f>IF(B1540="매도",IFERROR(SUMPRODUCT((참고!$A$31:$A$130=C1540)*(참고!$B$31:$B$130&lt;=A1540)*(참고!$B$31:$B$130=_xludf.MAXIFS(참고!$B$31:$B$130,참고!$A$31:$A$130,C1540,참고!$B$31:$B$130,"&lt;="&amp;A1540))*참고!$D$31:$D$130)/100,0),0)</f>
        <v>0</v>
      </c>
      <c r="L1540" s="31" t="str">
        <f t="shared" si="71"/>
        <v/>
      </c>
      <c r="M1540" s="39"/>
    </row>
    <row r="1541" spans="1:13" ht="18" customHeight="1" x14ac:dyDescent="0.45">
      <c r="A1541" s="37"/>
      <c r="B1541" s="29"/>
      <c r="C1541" s="29"/>
      <c r="D1541" s="28"/>
      <c r="E1541" s="30" t="str">
        <f>IFERROR(VLOOKUP(D1541,KRX종목마스터!$A:$B,2,FALSE),"")</f>
        <v/>
      </c>
      <c r="F1541" s="42"/>
      <c r="G1541" s="42"/>
      <c r="H1541" s="31" t="str">
        <f t="shared" ref="H1541:H1604" si="72">IF(AND(F1541&lt;&gt;"",G1541&lt;&gt;""),F1541*G1541,"")</f>
        <v/>
      </c>
      <c r="I1541" s="43">
        <f ca="1">IFERROR(SUMPRODUCT((참고!$A$31:$A$130=C1541)*(참고!$B$31:$B$130&lt;=A1541)*(참고!$B$31:$B$130=_xludf.MAXIFS(참고!$B$31:$B$130,참고!$A$31:$A$130,C1541,참고!$B$31:$B$130,"&lt;="&amp;A1541))*참고!$C$31:$C$130)/100,0)</f>
        <v>0</v>
      </c>
      <c r="J1541" s="31" t="str">
        <f t="shared" ref="J1541:J1604" si="73">IF(H1541="","",ROUND(H1541*I1541,0))</f>
        <v/>
      </c>
      <c r="K1541" s="43">
        <f>IF(B1541="매도",IFERROR(SUMPRODUCT((참고!$A$31:$A$130=C1541)*(참고!$B$31:$B$130&lt;=A1541)*(참고!$B$31:$B$130=_xludf.MAXIFS(참고!$B$31:$B$130,참고!$A$31:$A$130,C1541,참고!$B$31:$B$130,"&lt;="&amp;A1541))*참고!$D$31:$D$130)/100,0),0)</f>
        <v>0</v>
      </c>
      <c r="L1541" s="31" t="str">
        <f t="shared" ref="L1541:L1604" si="74">IF(H1541="","",ROUND(H1541*K1541,0))</f>
        <v/>
      </c>
      <c r="M1541" s="39"/>
    </row>
    <row r="1542" spans="1:13" ht="18" customHeight="1" x14ac:dyDescent="0.45">
      <c r="A1542" s="37"/>
      <c r="B1542" s="29"/>
      <c r="C1542" s="29"/>
      <c r="D1542" s="28"/>
      <c r="E1542" s="30" t="str">
        <f>IFERROR(VLOOKUP(D1542,KRX종목마스터!$A:$B,2,FALSE),"")</f>
        <v/>
      </c>
      <c r="F1542" s="42"/>
      <c r="G1542" s="42"/>
      <c r="H1542" s="31" t="str">
        <f t="shared" si="72"/>
        <v/>
      </c>
      <c r="I1542" s="43">
        <f ca="1">IFERROR(SUMPRODUCT((참고!$A$31:$A$130=C1542)*(참고!$B$31:$B$130&lt;=A1542)*(참고!$B$31:$B$130=_xludf.MAXIFS(참고!$B$31:$B$130,참고!$A$31:$A$130,C1542,참고!$B$31:$B$130,"&lt;="&amp;A1542))*참고!$C$31:$C$130)/100,0)</f>
        <v>0</v>
      </c>
      <c r="J1542" s="31" t="str">
        <f t="shared" si="73"/>
        <v/>
      </c>
      <c r="K1542" s="43">
        <f>IF(B1542="매도",IFERROR(SUMPRODUCT((참고!$A$31:$A$130=C1542)*(참고!$B$31:$B$130&lt;=A1542)*(참고!$B$31:$B$130=_xludf.MAXIFS(참고!$B$31:$B$130,참고!$A$31:$A$130,C1542,참고!$B$31:$B$130,"&lt;="&amp;A1542))*참고!$D$31:$D$130)/100,0),0)</f>
        <v>0</v>
      </c>
      <c r="L1542" s="31" t="str">
        <f t="shared" si="74"/>
        <v/>
      </c>
      <c r="M1542" s="39"/>
    </row>
    <row r="1543" spans="1:13" ht="18" customHeight="1" x14ac:dyDescent="0.45">
      <c r="A1543" s="37"/>
      <c r="B1543" s="29"/>
      <c r="C1543" s="29"/>
      <c r="D1543" s="28"/>
      <c r="E1543" s="30" t="str">
        <f>IFERROR(VLOOKUP(D1543,KRX종목마스터!$A:$B,2,FALSE),"")</f>
        <v/>
      </c>
      <c r="F1543" s="42"/>
      <c r="G1543" s="42"/>
      <c r="H1543" s="31" t="str">
        <f t="shared" si="72"/>
        <v/>
      </c>
      <c r="I1543" s="43">
        <f ca="1">IFERROR(SUMPRODUCT((참고!$A$31:$A$130=C1543)*(참고!$B$31:$B$130&lt;=A1543)*(참고!$B$31:$B$130=_xludf.MAXIFS(참고!$B$31:$B$130,참고!$A$31:$A$130,C1543,참고!$B$31:$B$130,"&lt;="&amp;A1543))*참고!$C$31:$C$130)/100,0)</f>
        <v>0</v>
      </c>
      <c r="J1543" s="31" t="str">
        <f t="shared" si="73"/>
        <v/>
      </c>
      <c r="K1543" s="43">
        <f>IF(B1543="매도",IFERROR(SUMPRODUCT((참고!$A$31:$A$130=C1543)*(참고!$B$31:$B$130&lt;=A1543)*(참고!$B$31:$B$130=_xludf.MAXIFS(참고!$B$31:$B$130,참고!$A$31:$A$130,C1543,참고!$B$31:$B$130,"&lt;="&amp;A1543))*참고!$D$31:$D$130)/100,0),0)</f>
        <v>0</v>
      </c>
      <c r="L1543" s="31" t="str">
        <f t="shared" si="74"/>
        <v/>
      </c>
      <c r="M1543" s="39"/>
    </row>
    <row r="1544" spans="1:13" ht="18" customHeight="1" x14ac:dyDescent="0.45">
      <c r="A1544" s="37"/>
      <c r="B1544" s="29"/>
      <c r="C1544" s="29"/>
      <c r="D1544" s="28"/>
      <c r="E1544" s="30" t="str">
        <f>IFERROR(VLOOKUP(D1544,KRX종목마스터!$A:$B,2,FALSE),"")</f>
        <v/>
      </c>
      <c r="F1544" s="42"/>
      <c r="G1544" s="42"/>
      <c r="H1544" s="31" t="str">
        <f t="shared" si="72"/>
        <v/>
      </c>
      <c r="I1544" s="43">
        <f ca="1">IFERROR(SUMPRODUCT((참고!$A$31:$A$130=C1544)*(참고!$B$31:$B$130&lt;=A1544)*(참고!$B$31:$B$130=_xludf.MAXIFS(참고!$B$31:$B$130,참고!$A$31:$A$130,C1544,참고!$B$31:$B$130,"&lt;="&amp;A1544))*참고!$C$31:$C$130)/100,0)</f>
        <v>0</v>
      </c>
      <c r="J1544" s="31" t="str">
        <f t="shared" si="73"/>
        <v/>
      </c>
      <c r="K1544" s="43">
        <f>IF(B1544="매도",IFERROR(SUMPRODUCT((참고!$A$31:$A$130=C1544)*(참고!$B$31:$B$130&lt;=A1544)*(참고!$B$31:$B$130=_xludf.MAXIFS(참고!$B$31:$B$130,참고!$A$31:$A$130,C1544,참고!$B$31:$B$130,"&lt;="&amp;A1544))*참고!$D$31:$D$130)/100,0),0)</f>
        <v>0</v>
      </c>
      <c r="L1544" s="31" t="str">
        <f t="shared" si="74"/>
        <v/>
      </c>
      <c r="M1544" s="39"/>
    </row>
    <row r="1545" spans="1:13" ht="18" customHeight="1" x14ac:dyDescent="0.45">
      <c r="A1545" s="37"/>
      <c r="B1545" s="29"/>
      <c r="C1545" s="29"/>
      <c r="D1545" s="28"/>
      <c r="E1545" s="30" t="str">
        <f>IFERROR(VLOOKUP(D1545,KRX종목마스터!$A:$B,2,FALSE),"")</f>
        <v/>
      </c>
      <c r="F1545" s="42"/>
      <c r="G1545" s="42"/>
      <c r="H1545" s="31" t="str">
        <f t="shared" si="72"/>
        <v/>
      </c>
      <c r="I1545" s="43">
        <f ca="1">IFERROR(SUMPRODUCT((참고!$A$31:$A$130=C1545)*(참고!$B$31:$B$130&lt;=A1545)*(참고!$B$31:$B$130=_xludf.MAXIFS(참고!$B$31:$B$130,참고!$A$31:$A$130,C1545,참고!$B$31:$B$130,"&lt;="&amp;A1545))*참고!$C$31:$C$130)/100,0)</f>
        <v>0</v>
      </c>
      <c r="J1545" s="31" t="str">
        <f t="shared" si="73"/>
        <v/>
      </c>
      <c r="K1545" s="43">
        <f>IF(B1545="매도",IFERROR(SUMPRODUCT((참고!$A$31:$A$130=C1545)*(참고!$B$31:$B$130&lt;=A1545)*(참고!$B$31:$B$130=_xludf.MAXIFS(참고!$B$31:$B$130,참고!$A$31:$A$130,C1545,참고!$B$31:$B$130,"&lt;="&amp;A1545))*참고!$D$31:$D$130)/100,0),0)</f>
        <v>0</v>
      </c>
      <c r="L1545" s="31" t="str">
        <f t="shared" si="74"/>
        <v/>
      </c>
      <c r="M1545" s="39"/>
    </row>
    <row r="1546" spans="1:13" ht="18" customHeight="1" x14ac:dyDescent="0.45">
      <c r="A1546" s="37"/>
      <c r="B1546" s="29"/>
      <c r="C1546" s="29"/>
      <c r="D1546" s="28"/>
      <c r="E1546" s="30" t="str">
        <f>IFERROR(VLOOKUP(D1546,KRX종목마스터!$A:$B,2,FALSE),"")</f>
        <v/>
      </c>
      <c r="F1546" s="42"/>
      <c r="G1546" s="42"/>
      <c r="H1546" s="31" t="str">
        <f t="shared" si="72"/>
        <v/>
      </c>
      <c r="I1546" s="43">
        <f ca="1">IFERROR(SUMPRODUCT((참고!$A$31:$A$130=C1546)*(참고!$B$31:$B$130&lt;=A1546)*(참고!$B$31:$B$130=_xludf.MAXIFS(참고!$B$31:$B$130,참고!$A$31:$A$130,C1546,참고!$B$31:$B$130,"&lt;="&amp;A1546))*참고!$C$31:$C$130)/100,0)</f>
        <v>0</v>
      </c>
      <c r="J1546" s="31" t="str">
        <f t="shared" si="73"/>
        <v/>
      </c>
      <c r="K1546" s="43">
        <f>IF(B1546="매도",IFERROR(SUMPRODUCT((참고!$A$31:$A$130=C1546)*(참고!$B$31:$B$130&lt;=A1546)*(참고!$B$31:$B$130=_xludf.MAXIFS(참고!$B$31:$B$130,참고!$A$31:$A$130,C1546,참고!$B$31:$B$130,"&lt;="&amp;A1546))*참고!$D$31:$D$130)/100,0),0)</f>
        <v>0</v>
      </c>
      <c r="L1546" s="31" t="str">
        <f t="shared" si="74"/>
        <v/>
      </c>
      <c r="M1546" s="39"/>
    </row>
    <row r="1547" spans="1:13" ht="18" customHeight="1" x14ac:dyDescent="0.45">
      <c r="A1547" s="37"/>
      <c r="B1547" s="29"/>
      <c r="C1547" s="29"/>
      <c r="D1547" s="28"/>
      <c r="E1547" s="30" t="str">
        <f>IFERROR(VLOOKUP(D1547,KRX종목마스터!$A:$B,2,FALSE),"")</f>
        <v/>
      </c>
      <c r="F1547" s="42"/>
      <c r="G1547" s="42"/>
      <c r="H1547" s="31" t="str">
        <f t="shared" si="72"/>
        <v/>
      </c>
      <c r="I1547" s="43">
        <f ca="1">IFERROR(SUMPRODUCT((참고!$A$31:$A$130=C1547)*(참고!$B$31:$B$130&lt;=A1547)*(참고!$B$31:$B$130=_xludf.MAXIFS(참고!$B$31:$B$130,참고!$A$31:$A$130,C1547,참고!$B$31:$B$130,"&lt;="&amp;A1547))*참고!$C$31:$C$130)/100,0)</f>
        <v>0</v>
      </c>
      <c r="J1547" s="31" t="str">
        <f t="shared" si="73"/>
        <v/>
      </c>
      <c r="K1547" s="43">
        <f>IF(B1547="매도",IFERROR(SUMPRODUCT((참고!$A$31:$A$130=C1547)*(참고!$B$31:$B$130&lt;=A1547)*(참고!$B$31:$B$130=_xludf.MAXIFS(참고!$B$31:$B$130,참고!$A$31:$A$130,C1547,참고!$B$31:$B$130,"&lt;="&amp;A1547))*참고!$D$31:$D$130)/100,0),0)</f>
        <v>0</v>
      </c>
      <c r="L1547" s="31" t="str">
        <f t="shared" si="74"/>
        <v/>
      </c>
      <c r="M1547" s="39"/>
    </row>
    <row r="1548" spans="1:13" ht="18" customHeight="1" x14ac:dyDescent="0.45">
      <c r="A1548" s="37"/>
      <c r="B1548" s="29"/>
      <c r="C1548" s="29"/>
      <c r="D1548" s="28"/>
      <c r="E1548" s="30" t="str">
        <f>IFERROR(VLOOKUP(D1548,KRX종목마스터!$A:$B,2,FALSE),"")</f>
        <v/>
      </c>
      <c r="F1548" s="42"/>
      <c r="G1548" s="42"/>
      <c r="H1548" s="31" t="str">
        <f t="shared" si="72"/>
        <v/>
      </c>
      <c r="I1548" s="43">
        <f ca="1">IFERROR(SUMPRODUCT((참고!$A$31:$A$130=C1548)*(참고!$B$31:$B$130&lt;=A1548)*(참고!$B$31:$B$130=_xludf.MAXIFS(참고!$B$31:$B$130,참고!$A$31:$A$130,C1548,참고!$B$31:$B$130,"&lt;="&amp;A1548))*참고!$C$31:$C$130)/100,0)</f>
        <v>0</v>
      </c>
      <c r="J1548" s="31" t="str">
        <f t="shared" si="73"/>
        <v/>
      </c>
      <c r="K1548" s="43">
        <f>IF(B1548="매도",IFERROR(SUMPRODUCT((참고!$A$31:$A$130=C1548)*(참고!$B$31:$B$130&lt;=A1548)*(참고!$B$31:$B$130=_xludf.MAXIFS(참고!$B$31:$B$130,참고!$A$31:$A$130,C1548,참고!$B$31:$B$130,"&lt;="&amp;A1548))*참고!$D$31:$D$130)/100,0),0)</f>
        <v>0</v>
      </c>
      <c r="L1548" s="31" t="str">
        <f t="shared" si="74"/>
        <v/>
      </c>
      <c r="M1548" s="39"/>
    </row>
    <row r="1549" spans="1:13" ht="18" customHeight="1" x14ac:dyDescent="0.45">
      <c r="A1549" s="37"/>
      <c r="B1549" s="29"/>
      <c r="C1549" s="29"/>
      <c r="D1549" s="28"/>
      <c r="E1549" s="30" t="str">
        <f>IFERROR(VLOOKUP(D1549,KRX종목마스터!$A:$B,2,FALSE),"")</f>
        <v/>
      </c>
      <c r="F1549" s="42"/>
      <c r="G1549" s="42"/>
      <c r="H1549" s="31" t="str">
        <f t="shared" si="72"/>
        <v/>
      </c>
      <c r="I1549" s="43">
        <f ca="1">IFERROR(SUMPRODUCT((참고!$A$31:$A$130=C1549)*(참고!$B$31:$B$130&lt;=A1549)*(참고!$B$31:$B$130=_xludf.MAXIFS(참고!$B$31:$B$130,참고!$A$31:$A$130,C1549,참고!$B$31:$B$130,"&lt;="&amp;A1549))*참고!$C$31:$C$130)/100,0)</f>
        <v>0</v>
      </c>
      <c r="J1549" s="31" t="str">
        <f t="shared" si="73"/>
        <v/>
      </c>
      <c r="K1549" s="43">
        <f>IF(B1549="매도",IFERROR(SUMPRODUCT((참고!$A$31:$A$130=C1549)*(참고!$B$31:$B$130&lt;=A1549)*(참고!$B$31:$B$130=_xludf.MAXIFS(참고!$B$31:$B$130,참고!$A$31:$A$130,C1549,참고!$B$31:$B$130,"&lt;="&amp;A1549))*참고!$D$31:$D$130)/100,0),0)</f>
        <v>0</v>
      </c>
      <c r="L1549" s="31" t="str">
        <f t="shared" si="74"/>
        <v/>
      </c>
      <c r="M1549" s="39"/>
    </row>
    <row r="1550" spans="1:13" ht="18" customHeight="1" x14ac:dyDescent="0.45">
      <c r="A1550" s="37"/>
      <c r="B1550" s="29"/>
      <c r="C1550" s="29"/>
      <c r="D1550" s="28"/>
      <c r="E1550" s="30" t="str">
        <f>IFERROR(VLOOKUP(D1550,KRX종목마스터!$A:$B,2,FALSE),"")</f>
        <v/>
      </c>
      <c r="F1550" s="42"/>
      <c r="G1550" s="42"/>
      <c r="H1550" s="31" t="str">
        <f t="shared" si="72"/>
        <v/>
      </c>
      <c r="I1550" s="43">
        <f ca="1">IFERROR(SUMPRODUCT((참고!$A$31:$A$130=C1550)*(참고!$B$31:$B$130&lt;=A1550)*(참고!$B$31:$B$130=_xludf.MAXIFS(참고!$B$31:$B$130,참고!$A$31:$A$130,C1550,참고!$B$31:$B$130,"&lt;="&amp;A1550))*참고!$C$31:$C$130)/100,0)</f>
        <v>0</v>
      </c>
      <c r="J1550" s="31" t="str">
        <f t="shared" si="73"/>
        <v/>
      </c>
      <c r="K1550" s="43">
        <f>IF(B1550="매도",IFERROR(SUMPRODUCT((참고!$A$31:$A$130=C1550)*(참고!$B$31:$B$130&lt;=A1550)*(참고!$B$31:$B$130=_xludf.MAXIFS(참고!$B$31:$B$130,참고!$A$31:$A$130,C1550,참고!$B$31:$B$130,"&lt;="&amp;A1550))*참고!$D$31:$D$130)/100,0),0)</f>
        <v>0</v>
      </c>
      <c r="L1550" s="31" t="str">
        <f t="shared" si="74"/>
        <v/>
      </c>
      <c r="M1550" s="39"/>
    </row>
    <row r="1551" spans="1:13" ht="18" customHeight="1" x14ac:dyDescent="0.45">
      <c r="A1551" s="37"/>
      <c r="B1551" s="29"/>
      <c r="C1551" s="29"/>
      <c r="D1551" s="28"/>
      <c r="E1551" s="30" t="str">
        <f>IFERROR(VLOOKUP(D1551,KRX종목마스터!$A:$B,2,FALSE),"")</f>
        <v/>
      </c>
      <c r="F1551" s="42"/>
      <c r="G1551" s="42"/>
      <c r="H1551" s="31" t="str">
        <f t="shared" si="72"/>
        <v/>
      </c>
      <c r="I1551" s="43">
        <f ca="1">IFERROR(SUMPRODUCT((참고!$A$31:$A$130=C1551)*(참고!$B$31:$B$130&lt;=A1551)*(참고!$B$31:$B$130=_xludf.MAXIFS(참고!$B$31:$B$130,참고!$A$31:$A$130,C1551,참고!$B$31:$B$130,"&lt;="&amp;A1551))*참고!$C$31:$C$130)/100,0)</f>
        <v>0</v>
      </c>
      <c r="J1551" s="31" t="str">
        <f t="shared" si="73"/>
        <v/>
      </c>
      <c r="K1551" s="43">
        <f>IF(B1551="매도",IFERROR(SUMPRODUCT((참고!$A$31:$A$130=C1551)*(참고!$B$31:$B$130&lt;=A1551)*(참고!$B$31:$B$130=_xludf.MAXIFS(참고!$B$31:$B$130,참고!$A$31:$A$130,C1551,참고!$B$31:$B$130,"&lt;="&amp;A1551))*참고!$D$31:$D$130)/100,0),0)</f>
        <v>0</v>
      </c>
      <c r="L1551" s="31" t="str">
        <f t="shared" si="74"/>
        <v/>
      </c>
      <c r="M1551" s="39"/>
    </row>
    <row r="1552" spans="1:13" ht="18" customHeight="1" x14ac:dyDescent="0.45">
      <c r="A1552" s="37"/>
      <c r="B1552" s="29"/>
      <c r="C1552" s="29"/>
      <c r="D1552" s="28"/>
      <c r="E1552" s="30" t="str">
        <f>IFERROR(VLOOKUP(D1552,KRX종목마스터!$A:$B,2,FALSE),"")</f>
        <v/>
      </c>
      <c r="F1552" s="42"/>
      <c r="G1552" s="42"/>
      <c r="H1552" s="31" t="str">
        <f t="shared" si="72"/>
        <v/>
      </c>
      <c r="I1552" s="43">
        <f ca="1">IFERROR(SUMPRODUCT((참고!$A$31:$A$130=C1552)*(참고!$B$31:$B$130&lt;=A1552)*(참고!$B$31:$B$130=_xludf.MAXIFS(참고!$B$31:$B$130,참고!$A$31:$A$130,C1552,참고!$B$31:$B$130,"&lt;="&amp;A1552))*참고!$C$31:$C$130)/100,0)</f>
        <v>0</v>
      </c>
      <c r="J1552" s="31" t="str">
        <f t="shared" si="73"/>
        <v/>
      </c>
      <c r="K1552" s="43">
        <f>IF(B1552="매도",IFERROR(SUMPRODUCT((참고!$A$31:$A$130=C1552)*(참고!$B$31:$B$130&lt;=A1552)*(참고!$B$31:$B$130=_xludf.MAXIFS(참고!$B$31:$B$130,참고!$A$31:$A$130,C1552,참고!$B$31:$B$130,"&lt;="&amp;A1552))*참고!$D$31:$D$130)/100,0),0)</f>
        <v>0</v>
      </c>
      <c r="L1552" s="31" t="str">
        <f t="shared" si="74"/>
        <v/>
      </c>
      <c r="M1552" s="39"/>
    </row>
    <row r="1553" spans="1:13" ht="18" customHeight="1" x14ac:dyDescent="0.45">
      <c r="A1553" s="37"/>
      <c r="B1553" s="29"/>
      <c r="C1553" s="29"/>
      <c r="D1553" s="28"/>
      <c r="E1553" s="30" t="str">
        <f>IFERROR(VLOOKUP(D1553,KRX종목마스터!$A:$B,2,FALSE),"")</f>
        <v/>
      </c>
      <c r="F1553" s="42"/>
      <c r="G1553" s="42"/>
      <c r="H1553" s="31" t="str">
        <f t="shared" si="72"/>
        <v/>
      </c>
      <c r="I1553" s="43">
        <f ca="1">IFERROR(SUMPRODUCT((참고!$A$31:$A$130=C1553)*(참고!$B$31:$B$130&lt;=A1553)*(참고!$B$31:$B$130=_xludf.MAXIFS(참고!$B$31:$B$130,참고!$A$31:$A$130,C1553,참고!$B$31:$B$130,"&lt;="&amp;A1553))*참고!$C$31:$C$130)/100,0)</f>
        <v>0</v>
      </c>
      <c r="J1553" s="31" t="str">
        <f t="shared" si="73"/>
        <v/>
      </c>
      <c r="K1553" s="43">
        <f>IF(B1553="매도",IFERROR(SUMPRODUCT((참고!$A$31:$A$130=C1553)*(참고!$B$31:$B$130&lt;=A1553)*(참고!$B$31:$B$130=_xludf.MAXIFS(참고!$B$31:$B$130,참고!$A$31:$A$130,C1553,참고!$B$31:$B$130,"&lt;="&amp;A1553))*참고!$D$31:$D$130)/100,0),0)</f>
        <v>0</v>
      </c>
      <c r="L1553" s="31" t="str">
        <f t="shared" si="74"/>
        <v/>
      </c>
      <c r="M1553" s="39"/>
    </row>
    <row r="1554" spans="1:13" ht="18" customHeight="1" x14ac:dyDescent="0.45">
      <c r="A1554" s="37"/>
      <c r="B1554" s="29"/>
      <c r="C1554" s="29"/>
      <c r="D1554" s="28"/>
      <c r="E1554" s="30" t="str">
        <f>IFERROR(VLOOKUP(D1554,KRX종목마스터!$A:$B,2,FALSE),"")</f>
        <v/>
      </c>
      <c r="F1554" s="42"/>
      <c r="G1554" s="42"/>
      <c r="H1554" s="31" t="str">
        <f t="shared" si="72"/>
        <v/>
      </c>
      <c r="I1554" s="43">
        <f ca="1">IFERROR(SUMPRODUCT((참고!$A$31:$A$130=C1554)*(참고!$B$31:$B$130&lt;=A1554)*(참고!$B$31:$B$130=_xludf.MAXIFS(참고!$B$31:$B$130,참고!$A$31:$A$130,C1554,참고!$B$31:$B$130,"&lt;="&amp;A1554))*참고!$C$31:$C$130)/100,0)</f>
        <v>0</v>
      </c>
      <c r="J1554" s="31" t="str">
        <f t="shared" si="73"/>
        <v/>
      </c>
      <c r="K1554" s="43">
        <f>IF(B1554="매도",IFERROR(SUMPRODUCT((참고!$A$31:$A$130=C1554)*(참고!$B$31:$B$130&lt;=A1554)*(참고!$B$31:$B$130=_xludf.MAXIFS(참고!$B$31:$B$130,참고!$A$31:$A$130,C1554,참고!$B$31:$B$130,"&lt;="&amp;A1554))*참고!$D$31:$D$130)/100,0),0)</f>
        <v>0</v>
      </c>
      <c r="L1554" s="31" t="str">
        <f t="shared" si="74"/>
        <v/>
      </c>
      <c r="M1554" s="39"/>
    </row>
    <row r="1555" spans="1:13" ht="18" customHeight="1" x14ac:dyDescent="0.45">
      <c r="A1555" s="37"/>
      <c r="B1555" s="29"/>
      <c r="C1555" s="29"/>
      <c r="D1555" s="28"/>
      <c r="E1555" s="30" t="str">
        <f>IFERROR(VLOOKUP(D1555,KRX종목마스터!$A:$B,2,FALSE),"")</f>
        <v/>
      </c>
      <c r="F1555" s="42"/>
      <c r="G1555" s="42"/>
      <c r="H1555" s="31" t="str">
        <f t="shared" si="72"/>
        <v/>
      </c>
      <c r="I1555" s="43">
        <f ca="1">IFERROR(SUMPRODUCT((참고!$A$31:$A$130=C1555)*(참고!$B$31:$B$130&lt;=A1555)*(참고!$B$31:$B$130=_xludf.MAXIFS(참고!$B$31:$B$130,참고!$A$31:$A$130,C1555,참고!$B$31:$B$130,"&lt;="&amp;A1555))*참고!$C$31:$C$130)/100,0)</f>
        <v>0</v>
      </c>
      <c r="J1555" s="31" t="str">
        <f t="shared" si="73"/>
        <v/>
      </c>
      <c r="K1555" s="43">
        <f>IF(B1555="매도",IFERROR(SUMPRODUCT((참고!$A$31:$A$130=C1555)*(참고!$B$31:$B$130&lt;=A1555)*(참고!$B$31:$B$130=_xludf.MAXIFS(참고!$B$31:$B$130,참고!$A$31:$A$130,C1555,참고!$B$31:$B$130,"&lt;="&amp;A1555))*참고!$D$31:$D$130)/100,0),0)</f>
        <v>0</v>
      </c>
      <c r="L1555" s="31" t="str">
        <f t="shared" si="74"/>
        <v/>
      </c>
      <c r="M1555" s="39"/>
    </row>
    <row r="1556" spans="1:13" ht="18" customHeight="1" x14ac:dyDescent="0.45">
      <c r="A1556" s="37"/>
      <c r="B1556" s="29"/>
      <c r="C1556" s="29"/>
      <c r="D1556" s="28"/>
      <c r="E1556" s="30" t="str">
        <f>IFERROR(VLOOKUP(D1556,KRX종목마스터!$A:$B,2,FALSE),"")</f>
        <v/>
      </c>
      <c r="F1556" s="42"/>
      <c r="G1556" s="42"/>
      <c r="H1556" s="31" t="str">
        <f t="shared" si="72"/>
        <v/>
      </c>
      <c r="I1556" s="43">
        <f ca="1">IFERROR(SUMPRODUCT((참고!$A$31:$A$130=C1556)*(참고!$B$31:$B$130&lt;=A1556)*(참고!$B$31:$B$130=_xludf.MAXIFS(참고!$B$31:$B$130,참고!$A$31:$A$130,C1556,참고!$B$31:$B$130,"&lt;="&amp;A1556))*참고!$C$31:$C$130)/100,0)</f>
        <v>0</v>
      </c>
      <c r="J1556" s="31" t="str">
        <f t="shared" si="73"/>
        <v/>
      </c>
      <c r="K1556" s="43">
        <f>IF(B1556="매도",IFERROR(SUMPRODUCT((참고!$A$31:$A$130=C1556)*(참고!$B$31:$B$130&lt;=A1556)*(참고!$B$31:$B$130=_xludf.MAXIFS(참고!$B$31:$B$130,참고!$A$31:$A$130,C1556,참고!$B$31:$B$130,"&lt;="&amp;A1556))*참고!$D$31:$D$130)/100,0),0)</f>
        <v>0</v>
      </c>
      <c r="L1556" s="31" t="str">
        <f t="shared" si="74"/>
        <v/>
      </c>
      <c r="M1556" s="39"/>
    </row>
    <row r="1557" spans="1:13" ht="18" customHeight="1" x14ac:dyDescent="0.45">
      <c r="A1557" s="37"/>
      <c r="B1557" s="29"/>
      <c r="C1557" s="29"/>
      <c r="D1557" s="28"/>
      <c r="E1557" s="30" t="str">
        <f>IFERROR(VLOOKUP(D1557,KRX종목마스터!$A:$B,2,FALSE),"")</f>
        <v/>
      </c>
      <c r="F1557" s="42"/>
      <c r="G1557" s="42"/>
      <c r="H1557" s="31" t="str">
        <f t="shared" si="72"/>
        <v/>
      </c>
      <c r="I1557" s="43">
        <f ca="1">IFERROR(SUMPRODUCT((참고!$A$31:$A$130=C1557)*(참고!$B$31:$B$130&lt;=A1557)*(참고!$B$31:$B$130=_xludf.MAXIFS(참고!$B$31:$B$130,참고!$A$31:$A$130,C1557,참고!$B$31:$B$130,"&lt;="&amp;A1557))*참고!$C$31:$C$130)/100,0)</f>
        <v>0</v>
      </c>
      <c r="J1557" s="31" t="str">
        <f t="shared" si="73"/>
        <v/>
      </c>
      <c r="K1557" s="43">
        <f>IF(B1557="매도",IFERROR(SUMPRODUCT((참고!$A$31:$A$130=C1557)*(참고!$B$31:$B$130&lt;=A1557)*(참고!$B$31:$B$130=_xludf.MAXIFS(참고!$B$31:$B$130,참고!$A$31:$A$130,C1557,참고!$B$31:$B$130,"&lt;="&amp;A1557))*참고!$D$31:$D$130)/100,0),0)</f>
        <v>0</v>
      </c>
      <c r="L1557" s="31" t="str">
        <f t="shared" si="74"/>
        <v/>
      </c>
      <c r="M1557" s="39"/>
    </row>
    <row r="1558" spans="1:13" ht="18" customHeight="1" x14ac:dyDescent="0.45">
      <c r="A1558" s="37"/>
      <c r="B1558" s="29"/>
      <c r="C1558" s="29"/>
      <c r="D1558" s="28"/>
      <c r="E1558" s="30" t="str">
        <f>IFERROR(VLOOKUP(D1558,KRX종목마스터!$A:$B,2,FALSE),"")</f>
        <v/>
      </c>
      <c r="F1558" s="42"/>
      <c r="G1558" s="42"/>
      <c r="H1558" s="31" t="str">
        <f t="shared" si="72"/>
        <v/>
      </c>
      <c r="I1558" s="43">
        <f ca="1">IFERROR(SUMPRODUCT((참고!$A$31:$A$130=C1558)*(참고!$B$31:$B$130&lt;=A1558)*(참고!$B$31:$B$130=_xludf.MAXIFS(참고!$B$31:$B$130,참고!$A$31:$A$130,C1558,참고!$B$31:$B$130,"&lt;="&amp;A1558))*참고!$C$31:$C$130)/100,0)</f>
        <v>0</v>
      </c>
      <c r="J1558" s="31" t="str">
        <f t="shared" si="73"/>
        <v/>
      </c>
      <c r="K1558" s="43">
        <f>IF(B1558="매도",IFERROR(SUMPRODUCT((참고!$A$31:$A$130=C1558)*(참고!$B$31:$B$130&lt;=A1558)*(참고!$B$31:$B$130=_xludf.MAXIFS(참고!$B$31:$B$130,참고!$A$31:$A$130,C1558,참고!$B$31:$B$130,"&lt;="&amp;A1558))*참고!$D$31:$D$130)/100,0),0)</f>
        <v>0</v>
      </c>
      <c r="L1558" s="31" t="str">
        <f t="shared" si="74"/>
        <v/>
      </c>
      <c r="M1558" s="39"/>
    </row>
    <row r="1559" spans="1:13" ht="18" customHeight="1" x14ac:dyDescent="0.45">
      <c r="A1559" s="37"/>
      <c r="B1559" s="29"/>
      <c r="C1559" s="29"/>
      <c r="D1559" s="28"/>
      <c r="E1559" s="30" t="str">
        <f>IFERROR(VLOOKUP(D1559,KRX종목마스터!$A:$B,2,FALSE),"")</f>
        <v/>
      </c>
      <c r="F1559" s="42"/>
      <c r="G1559" s="42"/>
      <c r="H1559" s="31" t="str">
        <f t="shared" si="72"/>
        <v/>
      </c>
      <c r="I1559" s="43">
        <f ca="1">IFERROR(SUMPRODUCT((참고!$A$31:$A$130=C1559)*(참고!$B$31:$B$130&lt;=A1559)*(참고!$B$31:$B$130=_xludf.MAXIFS(참고!$B$31:$B$130,참고!$A$31:$A$130,C1559,참고!$B$31:$B$130,"&lt;="&amp;A1559))*참고!$C$31:$C$130)/100,0)</f>
        <v>0</v>
      </c>
      <c r="J1559" s="31" t="str">
        <f t="shared" si="73"/>
        <v/>
      </c>
      <c r="K1559" s="43">
        <f>IF(B1559="매도",IFERROR(SUMPRODUCT((참고!$A$31:$A$130=C1559)*(참고!$B$31:$B$130&lt;=A1559)*(참고!$B$31:$B$130=_xludf.MAXIFS(참고!$B$31:$B$130,참고!$A$31:$A$130,C1559,참고!$B$31:$B$130,"&lt;="&amp;A1559))*참고!$D$31:$D$130)/100,0),0)</f>
        <v>0</v>
      </c>
      <c r="L1559" s="31" t="str">
        <f t="shared" si="74"/>
        <v/>
      </c>
      <c r="M1559" s="39"/>
    </row>
    <row r="1560" spans="1:13" ht="18" customHeight="1" x14ac:dyDescent="0.45">
      <c r="A1560" s="37"/>
      <c r="B1560" s="29"/>
      <c r="C1560" s="29"/>
      <c r="D1560" s="28"/>
      <c r="E1560" s="30" t="str">
        <f>IFERROR(VLOOKUP(D1560,KRX종목마스터!$A:$B,2,FALSE),"")</f>
        <v/>
      </c>
      <c r="F1560" s="42"/>
      <c r="G1560" s="42"/>
      <c r="H1560" s="31" t="str">
        <f t="shared" si="72"/>
        <v/>
      </c>
      <c r="I1560" s="43">
        <f ca="1">IFERROR(SUMPRODUCT((참고!$A$31:$A$130=C1560)*(참고!$B$31:$B$130&lt;=A1560)*(참고!$B$31:$B$130=_xludf.MAXIFS(참고!$B$31:$B$130,참고!$A$31:$A$130,C1560,참고!$B$31:$B$130,"&lt;="&amp;A1560))*참고!$C$31:$C$130)/100,0)</f>
        <v>0</v>
      </c>
      <c r="J1560" s="31" t="str">
        <f t="shared" si="73"/>
        <v/>
      </c>
      <c r="K1560" s="43">
        <f>IF(B1560="매도",IFERROR(SUMPRODUCT((참고!$A$31:$A$130=C1560)*(참고!$B$31:$B$130&lt;=A1560)*(참고!$B$31:$B$130=_xludf.MAXIFS(참고!$B$31:$B$130,참고!$A$31:$A$130,C1560,참고!$B$31:$B$130,"&lt;="&amp;A1560))*참고!$D$31:$D$130)/100,0),0)</f>
        <v>0</v>
      </c>
      <c r="L1560" s="31" t="str">
        <f t="shared" si="74"/>
        <v/>
      </c>
      <c r="M1560" s="39"/>
    </row>
    <row r="1561" spans="1:13" ht="18" customHeight="1" x14ac:dyDescent="0.45">
      <c r="A1561" s="37"/>
      <c r="B1561" s="29"/>
      <c r="C1561" s="29"/>
      <c r="D1561" s="28"/>
      <c r="E1561" s="30" t="str">
        <f>IFERROR(VLOOKUP(D1561,KRX종목마스터!$A:$B,2,FALSE),"")</f>
        <v/>
      </c>
      <c r="F1561" s="42"/>
      <c r="G1561" s="42"/>
      <c r="H1561" s="31" t="str">
        <f t="shared" si="72"/>
        <v/>
      </c>
      <c r="I1561" s="43">
        <f ca="1">IFERROR(SUMPRODUCT((참고!$A$31:$A$130=C1561)*(참고!$B$31:$B$130&lt;=A1561)*(참고!$B$31:$B$130=_xludf.MAXIFS(참고!$B$31:$B$130,참고!$A$31:$A$130,C1561,참고!$B$31:$B$130,"&lt;="&amp;A1561))*참고!$C$31:$C$130)/100,0)</f>
        <v>0</v>
      </c>
      <c r="J1561" s="31" t="str">
        <f t="shared" si="73"/>
        <v/>
      </c>
      <c r="K1561" s="43">
        <f>IF(B1561="매도",IFERROR(SUMPRODUCT((참고!$A$31:$A$130=C1561)*(참고!$B$31:$B$130&lt;=A1561)*(참고!$B$31:$B$130=_xludf.MAXIFS(참고!$B$31:$B$130,참고!$A$31:$A$130,C1561,참고!$B$31:$B$130,"&lt;="&amp;A1561))*참고!$D$31:$D$130)/100,0),0)</f>
        <v>0</v>
      </c>
      <c r="L1561" s="31" t="str">
        <f t="shared" si="74"/>
        <v/>
      </c>
      <c r="M1561" s="39"/>
    </row>
    <row r="1562" spans="1:13" ht="18" customHeight="1" x14ac:dyDescent="0.45">
      <c r="A1562" s="37"/>
      <c r="B1562" s="29"/>
      <c r="C1562" s="29"/>
      <c r="D1562" s="28"/>
      <c r="E1562" s="30" t="str">
        <f>IFERROR(VLOOKUP(D1562,KRX종목마스터!$A:$B,2,FALSE),"")</f>
        <v/>
      </c>
      <c r="F1562" s="42"/>
      <c r="G1562" s="42"/>
      <c r="H1562" s="31" t="str">
        <f t="shared" si="72"/>
        <v/>
      </c>
      <c r="I1562" s="43">
        <f ca="1">IFERROR(SUMPRODUCT((참고!$A$31:$A$130=C1562)*(참고!$B$31:$B$130&lt;=A1562)*(참고!$B$31:$B$130=_xludf.MAXIFS(참고!$B$31:$B$130,참고!$A$31:$A$130,C1562,참고!$B$31:$B$130,"&lt;="&amp;A1562))*참고!$C$31:$C$130)/100,0)</f>
        <v>0</v>
      </c>
      <c r="J1562" s="31" t="str">
        <f t="shared" si="73"/>
        <v/>
      </c>
      <c r="K1562" s="43">
        <f>IF(B1562="매도",IFERROR(SUMPRODUCT((참고!$A$31:$A$130=C1562)*(참고!$B$31:$B$130&lt;=A1562)*(참고!$B$31:$B$130=_xludf.MAXIFS(참고!$B$31:$B$130,참고!$A$31:$A$130,C1562,참고!$B$31:$B$130,"&lt;="&amp;A1562))*참고!$D$31:$D$130)/100,0),0)</f>
        <v>0</v>
      </c>
      <c r="L1562" s="31" t="str">
        <f t="shared" si="74"/>
        <v/>
      </c>
      <c r="M1562" s="39"/>
    </row>
    <row r="1563" spans="1:13" ht="18" customHeight="1" x14ac:dyDescent="0.45">
      <c r="A1563" s="37"/>
      <c r="B1563" s="29"/>
      <c r="C1563" s="29"/>
      <c r="D1563" s="28"/>
      <c r="E1563" s="30" t="str">
        <f>IFERROR(VLOOKUP(D1563,KRX종목마스터!$A:$B,2,FALSE),"")</f>
        <v/>
      </c>
      <c r="F1563" s="42"/>
      <c r="G1563" s="42"/>
      <c r="H1563" s="31" t="str">
        <f t="shared" si="72"/>
        <v/>
      </c>
      <c r="I1563" s="43">
        <f ca="1">IFERROR(SUMPRODUCT((참고!$A$31:$A$130=C1563)*(참고!$B$31:$B$130&lt;=A1563)*(참고!$B$31:$B$130=_xludf.MAXIFS(참고!$B$31:$B$130,참고!$A$31:$A$130,C1563,참고!$B$31:$B$130,"&lt;="&amp;A1563))*참고!$C$31:$C$130)/100,0)</f>
        <v>0</v>
      </c>
      <c r="J1563" s="31" t="str">
        <f t="shared" si="73"/>
        <v/>
      </c>
      <c r="K1563" s="43">
        <f>IF(B1563="매도",IFERROR(SUMPRODUCT((참고!$A$31:$A$130=C1563)*(참고!$B$31:$B$130&lt;=A1563)*(참고!$B$31:$B$130=_xludf.MAXIFS(참고!$B$31:$B$130,참고!$A$31:$A$130,C1563,참고!$B$31:$B$130,"&lt;="&amp;A1563))*참고!$D$31:$D$130)/100,0),0)</f>
        <v>0</v>
      </c>
      <c r="L1563" s="31" t="str">
        <f t="shared" si="74"/>
        <v/>
      </c>
      <c r="M1563" s="39"/>
    </row>
    <row r="1564" spans="1:13" ht="18" customHeight="1" x14ac:dyDescent="0.45">
      <c r="A1564" s="37"/>
      <c r="B1564" s="29"/>
      <c r="C1564" s="29"/>
      <c r="D1564" s="28"/>
      <c r="E1564" s="30" t="str">
        <f>IFERROR(VLOOKUP(D1564,KRX종목마스터!$A:$B,2,FALSE),"")</f>
        <v/>
      </c>
      <c r="F1564" s="42"/>
      <c r="G1564" s="42"/>
      <c r="H1564" s="31" t="str">
        <f t="shared" si="72"/>
        <v/>
      </c>
      <c r="I1564" s="43">
        <f ca="1">IFERROR(SUMPRODUCT((참고!$A$31:$A$130=C1564)*(참고!$B$31:$B$130&lt;=A1564)*(참고!$B$31:$B$130=_xludf.MAXIFS(참고!$B$31:$B$130,참고!$A$31:$A$130,C1564,참고!$B$31:$B$130,"&lt;="&amp;A1564))*참고!$C$31:$C$130)/100,0)</f>
        <v>0</v>
      </c>
      <c r="J1564" s="31" t="str">
        <f t="shared" si="73"/>
        <v/>
      </c>
      <c r="K1564" s="43">
        <f>IF(B1564="매도",IFERROR(SUMPRODUCT((참고!$A$31:$A$130=C1564)*(참고!$B$31:$B$130&lt;=A1564)*(참고!$B$31:$B$130=_xludf.MAXIFS(참고!$B$31:$B$130,참고!$A$31:$A$130,C1564,참고!$B$31:$B$130,"&lt;="&amp;A1564))*참고!$D$31:$D$130)/100,0),0)</f>
        <v>0</v>
      </c>
      <c r="L1564" s="31" t="str">
        <f t="shared" si="74"/>
        <v/>
      </c>
      <c r="M1564" s="39"/>
    </row>
    <row r="1565" spans="1:13" ht="18" customHeight="1" x14ac:dyDescent="0.45">
      <c r="A1565" s="37"/>
      <c r="B1565" s="29"/>
      <c r="C1565" s="29"/>
      <c r="D1565" s="28"/>
      <c r="E1565" s="30" t="str">
        <f>IFERROR(VLOOKUP(D1565,KRX종목마스터!$A:$B,2,FALSE),"")</f>
        <v/>
      </c>
      <c r="F1565" s="42"/>
      <c r="G1565" s="42"/>
      <c r="H1565" s="31" t="str">
        <f t="shared" si="72"/>
        <v/>
      </c>
      <c r="I1565" s="43">
        <f ca="1">IFERROR(SUMPRODUCT((참고!$A$31:$A$130=C1565)*(참고!$B$31:$B$130&lt;=A1565)*(참고!$B$31:$B$130=_xludf.MAXIFS(참고!$B$31:$B$130,참고!$A$31:$A$130,C1565,참고!$B$31:$B$130,"&lt;="&amp;A1565))*참고!$C$31:$C$130)/100,0)</f>
        <v>0</v>
      </c>
      <c r="J1565" s="31" t="str">
        <f t="shared" si="73"/>
        <v/>
      </c>
      <c r="K1565" s="43">
        <f>IF(B1565="매도",IFERROR(SUMPRODUCT((참고!$A$31:$A$130=C1565)*(참고!$B$31:$B$130&lt;=A1565)*(참고!$B$31:$B$130=_xludf.MAXIFS(참고!$B$31:$B$130,참고!$A$31:$A$130,C1565,참고!$B$31:$B$130,"&lt;="&amp;A1565))*참고!$D$31:$D$130)/100,0),0)</f>
        <v>0</v>
      </c>
      <c r="L1565" s="31" t="str">
        <f t="shared" si="74"/>
        <v/>
      </c>
      <c r="M1565" s="39"/>
    </row>
    <row r="1566" spans="1:13" ht="18" customHeight="1" x14ac:dyDescent="0.45">
      <c r="A1566" s="37"/>
      <c r="B1566" s="29"/>
      <c r="C1566" s="29"/>
      <c r="D1566" s="28"/>
      <c r="E1566" s="30" t="str">
        <f>IFERROR(VLOOKUP(D1566,KRX종목마스터!$A:$B,2,FALSE),"")</f>
        <v/>
      </c>
      <c r="F1566" s="42"/>
      <c r="G1566" s="42"/>
      <c r="H1566" s="31" t="str">
        <f t="shared" si="72"/>
        <v/>
      </c>
      <c r="I1566" s="43">
        <f ca="1">IFERROR(SUMPRODUCT((참고!$A$31:$A$130=C1566)*(참고!$B$31:$B$130&lt;=A1566)*(참고!$B$31:$B$130=_xludf.MAXIFS(참고!$B$31:$B$130,참고!$A$31:$A$130,C1566,참고!$B$31:$B$130,"&lt;="&amp;A1566))*참고!$C$31:$C$130)/100,0)</f>
        <v>0</v>
      </c>
      <c r="J1566" s="31" t="str">
        <f t="shared" si="73"/>
        <v/>
      </c>
      <c r="K1566" s="43">
        <f>IF(B1566="매도",IFERROR(SUMPRODUCT((참고!$A$31:$A$130=C1566)*(참고!$B$31:$B$130&lt;=A1566)*(참고!$B$31:$B$130=_xludf.MAXIFS(참고!$B$31:$B$130,참고!$A$31:$A$130,C1566,참고!$B$31:$B$130,"&lt;="&amp;A1566))*참고!$D$31:$D$130)/100,0),0)</f>
        <v>0</v>
      </c>
      <c r="L1566" s="31" t="str">
        <f t="shared" si="74"/>
        <v/>
      </c>
      <c r="M1566" s="39"/>
    </row>
    <row r="1567" spans="1:13" ht="18" customHeight="1" x14ac:dyDescent="0.45">
      <c r="A1567" s="37"/>
      <c r="B1567" s="29"/>
      <c r="C1567" s="29"/>
      <c r="D1567" s="28"/>
      <c r="E1567" s="30" t="str">
        <f>IFERROR(VLOOKUP(D1567,KRX종목마스터!$A:$B,2,FALSE),"")</f>
        <v/>
      </c>
      <c r="F1567" s="42"/>
      <c r="G1567" s="42"/>
      <c r="H1567" s="31" t="str">
        <f t="shared" si="72"/>
        <v/>
      </c>
      <c r="I1567" s="43">
        <f ca="1">IFERROR(SUMPRODUCT((참고!$A$31:$A$130=C1567)*(참고!$B$31:$B$130&lt;=A1567)*(참고!$B$31:$B$130=_xludf.MAXIFS(참고!$B$31:$B$130,참고!$A$31:$A$130,C1567,참고!$B$31:$B$130,"&lt;="&amp;A1567))*참고!$C$31:$C$130)/100,0)</f>
        <v>0</v>
      </c>
      <c r="J1567" s="31" t="str">
        <f t="shared" si="73"/>
        <v/>
      </c>
      <c r="K1567" s="43">
        <f>IF(B1567="매도",IFERROR(SUMPRODUCT((참고!$A$31:$A$130=C1567)*(참고!$B$31:$B$130&lt;=A1567)*(참고!$B$31:$B$130=_xludf.MAXIFS(참고!$B$31:$B$130,참고!$A$31:$A$130,C1567,참고!$B$31:$B$130,"&lt;="&amp;A1567))*참고!$D$31:$D$130)/100,0),0)</f>
        <v>0</v>
      </c>
      <c r="L1567" s="31" t="str">
        <f t="shared" si="74"/>
        <v/>
      </c>
      <c r="M1567" s="39"/>
    </row>
    <row r="1568" spans="1:13" ht="18" customHeight="1" x14ac:dyDescent="0.45">
      <c r="A1568" s="37"/>
      <c r="B1568" s="29"/>
      <c r="C1568" s="29"/>
      <c r="D1568" s="28"/>
      <c r="E1568" s="30" t="str">
        <f>IFERROR(VLOOKUP(D1568,KRX종목마스터!$A:$B,2,FALSE),"")</f>
        <v/>
      </c>
      <c r="F1568" s="42"/>
      <c r="G1568" s="42"/>
      <c r="H1568" s="31" t="str">
        <f t="shared" si="72"/>
        <v/>
      </c>
      <c r="I1568" s="43">
        <f ca="1">IFERROR(SUMPRODUCT((참고!$A$31:$A$130=C1568)*(참고!$B$31:$B$130&lt;=A1568)*(참고!$B$31:$B$130=_xludf.MAXIFS(참고!$B$31:$B$130,참고!$A$31:$A$130,C1568,참고!$B$31:$B$130,"&lt;="&amp;A1568))*참고!$C$31:$C$130)/100,0)</f>
        <v>0</v>
      </c>
      <c r="J1568" s="31" t="str">
        <f t="shared" si="73"/>
        <v/>
      </c>
      <c r="K1568" s="43">
        <f>IF(B1568="매도",IFERROR(SUMPRODUCT((참고!$A$31:$A$130=C1568)*(참고!$B$31:$B$130&lt;=A1568)*(참고!$B$31:$B$130=_xludf.MAXIFS(참고!$B$31:$B$130,참고!$A$31:$A$130,C1568,참고!$B$31:$B$130,"&lt;="&amp;A1568))*참고!$D$31:$D$130)/100,0),0)</f>
        <v>0</v>
      </c>
      <c r="L1568" s="31" t="str">
        <f t="shared" si="74"/>
        <v/>
      </c>
      <c r="M1568" s="39"/>
    </row>
    <row r="1569" spans="1:13" ht="18" customHeight="1" x14ac:dyDescent="0.45">
      <c r="A1569" s="37"/>
      <c r="B1569" s="29"/>
      <c r="C1569" s="29"/>
      <c r="D1569" s="28"/>
      <c r="E1569" s="30" t="str">
        <f>IFERROR(VLOOKUP(D1569,KRX종목마스터!$A:$B,2,FALSE),"")</f>
        <v/>
      </c>
      <c r="F1569" s="42"/>
      <c r="G1569" s="42"/>
      <c r="H1569" s="31" t="str">
        <f t="shared" si="72"/>
        <v/>
      </c>
      <c r="I1569" s="43">
        <f ca="1">IFERROR(SUMPRODUCT((참고!$A$31:$A$130=C1569)*(참고!$B$31:$B$130&lt;=A1569)*(참고!$B$31:$B$130=_xludf.MAXIFS(참고!$B$31:$B$130,참고!$A$31:$A$130,C1569,참고!$B$31:$B$130,"&lt;="&amp;A1569))*참고!$C$31:$C$130)/100,0)</f>
        <v>0</v>
      </c>
      <c r="J1569" s="31" t="str">
        <f t="shared" si="73"/>
        <v/>
      </c>
      <c r="K1569" s="43">
        <f>IF(B1569="매도",IFERROR(SUMPRODUCT((참고!$A$31:$A$130=C1569)*(참고!$B$31:$B$130&lt;=A1569)*(참고!$B$31:$B$130=_xludf.MAXIFS(참고!$B$31:$B$130,참고!$A$31:$A$130,C1569,참고!$B$31:$B$130,"&lt;="&amp;A1569))*참고!$D$31:$D$130)/100,0),0)</f>
        <v>0</v>
      </c>
      <c r="L1569" s="31" t="str">
        <f t="shared" si="74"/>
        <v/>
      </c>
      <c r="M1569" s="39"/>
    </row>
    <row r="1570" spans="1:13" ht="18" customHeight="1" x14ac:dyDescent="0.45">
      <c r="A1570" s="37"/>
      <c r="B1570" s="29"/>
      <c r="C1570" s="29"/>
      <c r="D1570" s="28"/>
      <c r="E1570" s="30" t="str">
        <f>IFERROR(VLOOKUP(D1570,KRX종목마스터!$A:$B,2,FALSE),"")</f>
        <v/>
      </c>
      <c r="F1570" s="42"/>
      <c r="G1570" s="42"/>
      <c r="H1570" s="31" t="str">
        <f t="shared" si="72"/>
        <v/>
      </c>
      <c r="I1570" s="43">
        <f ca="1">IFERROR(SUMPRODUCT((참고!$A$31:$A$130=C1570)*(참고!$B$31:$B$130&lt;=A1570)*(참고!$B$31:$B$130=_xludf.MAXIFS(참고!$B$31:$B$130,참고!$A$31:$A$130,C1570,참고!$B$31:$B$130,"&lt;="&amp;A1570))*참고!$C$31:$C$130)/100,0)</f>
        <v>0</v>
      </c>
      <c r="J1570" s="31" t="str">
        <f t="shared" si="73"/>
        <v/>
      </c>
      <c r="K1570" s="43">
        <f>IF(B1570="매도",IFERROR(SUMPRODUCT((참고!$A$31:$A$130=C1570)*(참고!$B$31:$B$130&lt;=A1570)*(참고!$B$31:$B$130=_xludf.MAXIFS(참고!$B$31:$B$130,참고!$A$31:$A$130,C1570,참고!$B$31:$B$130,"&lt;="&amp;A1570))*참고!$D$31:$D$130)/100,0),0)</f>
        <v>0</v>
      </c>
      <c r="L1570" s="31" t="str">
        <f t="shared" si="74"/>
        <v/>
      </c>
      <c r="M1570" s="39"/>
    </row>
    <row r="1571" spans="1:13" ht="18" customHeight="1" x14ac:dyDescent="0.45">
      <c r="A1571" s="37"/>
      <c r="B1571" s="29"/>
      <c r="C1571" s="29"/>
      <c r="D1571" s="28"/>
      <c r="E1571" s="30" t="str">
        <f>IFERROR(VLOOKUP(D1571,KRX종목마스터!$A:$B,2,FALSE),"")</f>
        <v/>
      </c>
      <c r="F1571" s="42"/>
      <c r="G1571" s="42"/>
      <c r="H1571" s="31" t="str">
        <f t="shared" si="72"/>
        <v/>
      </c>
      <c r="I1571" s="43">
        <f ca="1">IFERROR(SUMPRODUCT((참고!$A$31:$A$130=C1571)*(참고!$B$31:$B$130&lt;=A1571)*(참고!$B$31:$B$130=_xludf.MAXIFS(참고!$B$31:$B$130,참고!$A$31:$A$130,C1571,참고!$B$31:$B$130,"&lt;="&amp;A1571))*참고!$C$31:$C$130)/100,0)</f>
        <v>0</v>
      </c>
      <c r="J1571" s="31" t="str">
        <f t="shared" si="73"/>
        <v/>
      </c>
      <c r="K1571" s="43">
        <f>IF(B1571="매도",IFERROR(SUMPRODUCT((참고!$A$31:$A$130=C1571)*(참고!$B$31:$B$130&lt;=A1571)*(참고!$B$31:$B$130=_xludf.MAXIFS(참고!$B$31:$B$130,참고!$A$31:$A$130,C1571,참고!$B$31:$B$130,"&lt;="&amp;A1571))*참고!$D$31:$D$130)/100,0),0)</f>
        <v>0</v>
      </c>
      <c r="L1571" s="31" t="str">
        <f t="shared" si="74"/>
        <v/>
      </c>
      <c r="M1571" s="39"/>
    </row>
    <row r="1572" spans="1:13" ht="18" customHeight="1" x14ac:dyDescent="0.45">
      <c r="A1572" s="37"/>
      <c r="B1572" s="29"/>
      <c r="C1572" s="29"/>
      <c r="D1572" s="28"/>
      <c r="E1572" s="30" t="str">
        <f>IFERROR(VLOOKUP(D1572,KRX종목마스터!$A:$B,2,FALSE),"")</f>
        <v/>
      </c>
      <c r="F1572" s="42"/>
      <c r="G1572" s="42"/>
      <c r="H1572" s="31" t="str">
        <f t="shared" si="72"/>
        <v/>
      </c>
      <c r="I1572" s="43">
        <f ca="1">IFERROR(SUMPRODUCT((참고!$A$31:$A$130=C1572)*(참고!$B$31:$B$130&lt;=A1572)*(참고!$B$31:$B$130=_xludf.MAXIFS(참고!$B$31:$B$130,참고!$A$31:$A$130,C1572,참고!$B$31:$B$130,"&lt;="&amp;A1572))*참고!$C$31:$C$130)/100,0)</f>
        <v>0</v>
      </c>
      <c r="J1572" s="31" t="str">
        <f t="shared" si="73"/>
        <v/>
      </c>
      <c r="K1572" s="43">
        <f>IF(B1572="매도",IFERROR(SUMPRODUCT((참고!$A$31:$A$130=C1572)*(참고!$B$31:$B$130&lt;=A1572)*(참고!$B$31:$B$130=_xludf.MAXIFS(참고!$B$31:$B$130,참고!$A$31:$A$130,C1572,참고!$B$31:$B$130,"&lt;="&amp;A1572))*참고!$D$31:$D$130)/100,0),0)</f>
        <v>0</v>
      </c>
      <c r="L1572" s="31" t="str">
        <f t="shared" si="74"/>
        <v/>
      </c>
      <c r="M1572" s="39"/>
    </row>
    <row r="1573" spans="1:13" ht="18" customHeight="1" x14ac:dyDescent="0.45">
      <c r="A1573" s="37"/>
      <c r="B1573" s="29"/>
      <c r="C1573" s="29"/>
      <c r="D1573" s="28"/>
      <c r="E1573" s="30" t="str">
        <f>IFERROR(VLOOKUP(D1573,KRX종목마스터!$A:$B,2,FALSE),"")</f>
        <v/>
      </c>
      <c r="F1573" s="42"/>
      <c r="G1573" s="42"/>
      <c r="H1573" s="31" t="str">
        <f t="shared" si="72"/>
        <v/>
      </c>
      <c r="I1573" s="43">
        <f ca="1">IFERROR(SUMPRODUCT((참고!$A$31:$A$130=C1573)*(참고!$B$31:$B$130&lt;=A1573)*(참고!$B$31:$B$130=_xludf.MAXIFS(참고!$B$31:$B$130,참고!$A$31:$A$130,C1573,참고!$B$31:$B$130,"&lt;="&amp;A1573))*참고!$C$31:$C$130)/100,0)</f>
        <v>0</v>
      </c>
      <c r="J1573" s="31" t="str">
        <f t="shared" si="73"/>
        <v/>
      </c>
      <c r="K1573" s="43">
        <f>IF(B1573="매도",IFERROR(SUMPRODUCT((참고!$A$31:$A$130=C1573)*(참고!$B$31:$B$130&lt;=A1573)*(참고!$B$31:$B$130=_xludf.MAXIFS(참고!$B$31:$B$130,참고!$A$31:$A$130,C1573,참고!$B$31:$B$130,"&lt;="&amp;A1573))*참고!$D$31:$D$130)/100,0),0)</f>
        <v>0</v>
      </c>
      <c r="L1573" s="31" t="str">
        <f t="shared" si="74"/>
        <v/>
      </c>
      <c r="M1573" s="39"/>
    </row>
    <row r="1574" spans="1:13" ht="18" customHeight="1" x14ac:dyDescent="0.45">
      <c r="A1574" s="37"/>
      <c r="B1574" s="29"/>
      <c r="C1574" s="29"/>
      <c r="D1574" s="28"/>
      <c r="E1574" s="30" t="str">
        <f>IFERROR(VLOOKUP(D1574,KRX종목마스터!$A:$B,2,FALSE),"")</f>
        <v/>
      </c>
      <c r="F1574" s="42"/>
      <c r="G1574" s="42"/>
      <c r="H1574" s="31" t="str">
        <f t="shared" si="72"/>
        <v/>
      </c>
      <c r="I1574" s="43">
        <f ca="1">IFERROR(SUMPRODUCT((참고!$A$31:$A$130=C1574)*(참고!$B$31:$B$130&lt;=A1574)*(참고!$B$31:$B$130=_xludf.MAXIFS(참고!$B$31:$B$130,참고!$A$31:$A$130,C1574,참고!$B$31:$B$130,"&lt;="&amp;A1574))*참고!$C$31:$C$130)/100,0)</f>
        <v>0</v>
      </c>
      <c r="J1574" s="31" t="str">
        <f t="shared" si="73"/>
        <v/>
      </c>
      <c r="K1574" s="43">
        <f>IF(B1574="매도",IFERROR(SUMPRODUCT((참고!$A$31:$A$130=C1574)*(참고!$B$31:$B$130&lt;=A1574)*(참고!$B$31:$B$130=_xludf.MAXIFS(참고!$B$31:$B$130,참고!$A$31:$A$130,C1574,참고!$B$31:$B$130,"&lt;="&amp;A1574))*참고!$D$31:$D$130)/100,0),0)</f>
        <v>0</v>
      </c>
      <c r="L1574" s="31" t="str">
        <f t="shared" si="74"/>
        <v/>
      </c>
      <c r="M1574" s="39"/>
    </row>
    <row r="1575" spans="1:13" ht="18" customHeight="1" x14ac:dyDescent="0.45">
      <c r="A1575" s="37"/>
      <c r="B1575" s="29"/>
      <c r="C1575" s="29"/>
      <c r="D1575" s="28"/>
      <c r="E1575" s="30" t="str">
        <f>IFERROR(VLOOKUP(D1575,KRX종목마스터!$A:$B,2,FALSE),"")</f>
        <v/>
      </c>
      <c r="F1575" s="42"/>
      <c r="G1575" s="42"/>
      <c r="H1575" s="31" t="str">
        <f t="shared" si="72"/>
        <v/>
      </c>
      <c r="I1575" s="43">
        <f ca="1">IFERROR(SUMPRODUCT((참고!$A$31:$A$130=C1575)*(참고!$B$31:$B$130&lt;=A1575)*(참고!$B$31:$B$130=_xludf.MAXIFS(참고!$B$31:$B$130,참고!$A$31:$A$130,C1575,참고!$B$31:$B$130,"&lt;="&amp;A1575))*참고!$C$31:$C$130)/100,0)</f>
        <v>0</v>
      </c>
      <c r="J1575" s="31" t="str">
        <f t="shared" si="73"/>
        <v/>
      </c>
      <c r="K1575" s="43">
        <f>IF(B1575="매도",IFERROR(SUMPRODUCT((참고!$A$31:$A$130=C1575)*(참고!$B$31:$B$130&lt;=A1575)*(참고!$B$31:$B$130=_xludf.MAXIFS(참고!$B$31:$B$130,참고!$A$31:$A$130,C1575,참고!$B$31:$B$130,"&lt;="&amp;A1575))*참고!$D$31:$D$130)/100,0),0)</f>
        <v>0</v>
      </c>
      <c r="L1575" s="31" t="str">
        <f t="shared" si="74"/>
        <v/>
      </c>
      <c r="M1575" s="39"/>
    </row>
    <row r="1576" spans="1:13" ht="18" customHeight="1" x14ac:dyDescent="0.45">
      <c r="A1576" s="37"/>
      <c r="B1576" s="29"/>
      <c r="C1576" s="29"/>
      <c r="D1576" s="28"/>
      <c r="E1576" s="30" t="str">
        <f>IFERROR(VLOOKUP(D1576,KRX종목마스터!$A:$B,2,FALSE),"")</f>
        <v/>
      </c>
      <c r="F1576" s="42"/>
      <c r="G1576" s="42"/>
      <c r="H1576" s="31" t="str">
        <f t="shared" si="72"/>
        <v/>
      </c>
      <c r="I1576" s="43">
        <f ca="1">IFERROR(SUMPRODUCT((참고!$A$31:$A$130=C1576)*(참고!$B$31:$B$130&lt;=A1576)*(참고!$B$31:$B$130=_xludf.MAXIFS(참고!$B$31:$B$130,참고!$A$31:$A$130,C1576,참고!$B$31:$B$130,"&lt;="&amp;A1576))*참고!$C$31:$C$130)/100,0)</f>
        <v>0</v>
      </c>
      <c r="J1576" s="31" t="str">
        <f t="shared" si="73"/>
        <v/>
      </c>
      <c r="K1576" s="43">
        <f>IF(B1576="매도",IFERROR(SUMPRODUCT((참고!$A$31:$A$130=C1576)*(참고!$B$31:$B$130&lt;=A1576)*(참고!$B$31:$B$130=_xludf.MAXIFS(참고!$B$31:$B$130,참고!$A$31:$A$130,C1576,참고!$B$31:$B$130,"&lt;="&amp;A1576))*참고!$D$31:$D$130)/100,0),0)</f>
        <v>0</v>
      </c>
      <c r="L1576" s="31" t="str">
        <f t="shared" si="74"/>
        <v/>
      </c>
      <c r="M1576" s="39"/>
    </row>
    <row r="1577" spans="1:13" ht="18" customHeight="1" x14ac:dyDescent="0.45">
      <c r="A1577" s="37"/>
      <c r="B1577" s="29"/>
      <c r="C1577" s="29"/>
      <c r="D1577" s="28"/>
      <c r="E1577" s="30" t="str">
        <f>IFERROR(VLOOKUP(D1577,KRX종목마스터!$A:$B,2,FALSE),"")</f>
        <v/>
      </c>
      <c r="F1577" s="42"/>
      <c r="G1577" s="42"/>
      <c r="H1577" s="31" t="str">
        <f t="shared" si="72"/>
        <v/>
      </c>
      <c r="I1577" s="43">
        <f ca="1">IFERROR(SUMPRODUCT((참고!$A$31:$A$130=C1577)*(참고!$B$31:$B$130&lt;=A1577)*(참고!$B$31:$B$130=_xludf.MAXIFS(참고!$B$31:$B$130,참고!$A$31:$A$130,C1577,참고!$B$31:$B$130,"&lt;="&amp;A1577))*참고!$C$31:$C$130)/100,0)</f>
        <v>0</v>
      </c>
      <c r="J1577" s="31" t="str">
        <f t="shared" si="73"/>
        <v/>
      </c>
      <c r="K1577" s="43">
        <f>IF(B1577="매도",IFERROR(SUMPRODUCT((참고!$A$31:$A$130=C1577)*(참고!$B$31:$B$130&lt;=A1577)*(참고!$B$31:$B$130=_xludf.MAXIFS(참고!$B$31:$B$130,참고!$A$31:$A$130,C1577,참고!$B$31:$B$130,"&lt;="&amp;A1577))*참고!$D$31:$D$130)/100,0),0)</f>
        <v>0</v>
      </c>
      <c r="L1577" s="31" t="str">
        <f t="shared" si="74"/>
        <v/>
      </c>
      <c r="M1577" s="39"/>
    </row>
    <row r="1578" spans="1:13" ht="18" customHeight="1" x14ac:dyDescent="0.45">
      <c r="A1578" s="37"/>
      <c r="B1578" s="29"/>
      <c r="C1578" s="29"/>
      <c r="D1578" s="28"/>
      <c r="E1578" s="30" t="str">
        <f>IFERROR(VLOOKUP(D1578,KRX종목마스터!$A:$B,2,FALSE),"")</f>
        <v/>
      </c>
      <c r="F1578" s="42"/>
      <c r="G1578" s="42"/>
      <c r="H1578" s="31" t="str">
        <f t="shared" si="72"/>
        <v/>
      </c>
      <c r="I1578" s="43">
        <f ca="1">IFERROR(SUMPRODUCT((참고!$A$31:$A$130=C1578)*(참고!$B$31:$B$130&lt;=A1578)*(참고!$B$31:$B$130=_xludf.MAXIFS(참고!$B$31:$B$130,참고!$A$31:$A$130,C1578,참고!$B$31:$B$130,"&lt;="&amp;A1578))*참고!$C$31:$C$130)/100,0)</f>
        <v>0</v>
      </c>
      <c r="J1578" s="31" t="str">
        <f t="shared" si="73"/>
        <v/>
      </c>
      <c r="K1578" s="43">
        <f>IF(B1578="매도",IFERROR(SUMPRODUCT((참고!$A$31:$A$130=C1578)*(참고!$B$31:$B$130&lt;=A1578)*(참고!$B$31:$B$130=_xludf.MAXIFS(참고!$B$31:$B$130,참고!$A$31:$A$130,C1578,참고!$B$31:$B$130,"&lt;="&amp;A1578))*참고!$D$31:$D$130)/100,0),0)</f>
        <v>0</v>
      </c>
      <c r="L1578" s="31" t="str">
        <f t="shared" si="74"/>
        <v/>
      </c>
      <c r="M1578" s="39"/>
    </row>
    <row r="1579" spans="1:13" ht="18" customHeight="1" x14ac:dyDescent="0.45">
      <c r="A1579" s="37"/>
      <c r="B1579" s="29"/>
      <c r="C1579" s="29"/>
      <c r="D1579" s="28"/>
      <c r="E1579" s="30" t="str">
        <f>IFERROR(VLOOKUP(D1579,KRX종목마스터!$A:$B,2,FALSE),"")</f>
        <v/>
      </c>
      <c r="F1579" s="42"/>
      <c r="G1579" s="42"/>
      <c r="H1579" s="31" t="str">
        <f t="shared" si="72"/>
        <v/>
      </c>
      <c r="I1579" s="43">
        <f ca="1">IFERROR(SUMPRODUCT((참고!$A$31:$A$130=C1579)*(참고!$B$31:$B$130&lt;=A1579)*(참고!$B$31:$B$130=_xludf.MAXIFS(참고!$B$31:$B$130,참고!$A$31:$A$130,C1579,참고!$B$31:$B$130,"&lt;="&amp;A1579))*참고!$C$31:$C$130)/100,0)</f>
        <v>0</v>
      </c>
      <c r="J1579" s="31" t="str">
        <f t="shared" si="73"/>
        <v/>
      </c>
      <c r="K1579" s="43">
        <f>IF(B1579="매도",IFERROR(SUMPRODUCT((참고!$A$31:$A$130=C1579)*(참고!$B$31:$B$130&lt;=A1579)*(참고!$B$31:$B$130=_xludf.MAXIFS(참고!$B$31:$B$130,참고!$A$31:$A$130,C1579,참고!$B$31:$B$130,"&lt;="&amp;A1579))*참고!$D$31:$D$130)/100,0),0)</f>
        <v>0</v>
      </c>
      <c r="L1579" s="31" t="str">
        <f t="shared" si="74"/>
        <v/>
      </c>
      <c r="M1579" s="39"/>
    </row>
    <row r="1580" spans="1:13" ht="18" customHeight="1" x14ac:dyDescent="0.45">
      <c r="A1580" s="37"/>
      <c r="B1580" s="29"/>
      <c r="C1580" s="29"/>
      <c r="D1580" s="28"/>
      <c r="E1580" s="30" t="str">
        <f>IFERROR(VLOOKUP(D1580,KRX종목마스터!$A:$B,2,FALSE),"")</f>
        <v/>
      </c>
      <c r="F1580" s="42"/>
      <c r="G1580" s="42"/>
      <c r="H1580" s="31" t="str">
        <f t="shared" si="72"/>
        <v/>
      </c>
      <c r="I1580" s="43">
        <f ca="1">IFERROR(SUMPRODUCT((참고!$A$31:$A$130=C1580)*(참고!$B$31:$B$130&lt;=A1580)*(참고!$B$31:$B$130=_xludf.MAXIFS(참고!$B$31:$B$130,참고!$A$31:$A$130,C1580,참고!$B$31:$B$130,"&lt;="&amp;A1580))*참고!$C$31:$C$130)/100,0)</f>
        <v>0</v>
      </c>
      <c r="J1580" s="31" t="str">
        <f t="shared" si="73"/>
        <v/>
      </c>
      <c r="K1580" s="43">
        <f>IF(B1580="매도",IFERROR(SUMPRODUCT((참고!$A$31:$A$130=C1580)*(참고!$B$31:$B$130&lt;=A1580)*(참고!$B$31:$B$130=_xludf.MAXIFS(참고!$B$31:$B$130,참고!$A$31:$A$130,C1580,참고!$B$31:$B$130,"&lt;="&amp;A1580))*참고!$D$31:$D$130)/100,0),0)</f>
        <v>0</v>
      </c>
      <c r="L1580" s="31" t="str">
        <f t="shared" si="74"/>
        <v/>
      </c>
      <c r="M1580" s="39"/>
    </row>
    <row r="1581" spans="1:13" ht="18" customHeight="1" x14ac:dyDescent="0.45">
      <c r="A1581" s="37"/>
      <c r="B1581" s="29"/>
      <c r="C1581" s="29"/>
      <c r="D1581" s="28"/>
      <c r="E1581" s="30" t="str">
        <f>IFERROR(VLOOKUP(D1581,KRX종목마스터!$A:$B,2,FALSE),"")</f>
        <v/>
      </c>
      <c r="F1581" s="42"/>
      <c r="G1581" s="42"/>
      <c r="H1581" s="31" t="str">
        <f t="shared" si="72"/>
        <v/>
      </c>
      <c r="I1581" s="43">
        <f ca="1">IFERROR(SUMPRODUCT((참고!$A$31:$A$130=C1581)*(참고!$B$31:$B$130&lt;=A1581)*(참고!$B$31:$B$130=_xludf.MAXIFS(참고!$B$31:$B$130,참고!$A$31:$A$130,C1581,참고!$B$31:$B$130,"&lt;="&amp;A1581))*참고!$C$31:$C$130)/100,0)</f>
        <v>0</v>
      </c>
      <c r="J1581" s="31" t="str">
        <f t="shared" si="73"/>
        <v/>
      </c>
      <c r="K1581" s="43">
        <f>IF(B1581="매도",IFERROR(SUMPRODUCT((참고!$A$31:$A$130=C1581)*(참고!$B$31:$B$130&lt;=A1581)*(참고!$B$31:$B$130=_xludf.MAXIFS(참고!$B$31:$B$130,참고!$A$31:$A$130,C1581,참고!$B$31:$B$130,"&lt;="&amp;A1581))*참고!$D$31:$D$130)/100,0),0)</f>
        <v>0</v>
      </c>
      <c r="L1581" s="31" t="str">
        <f t="shared" si="74"/>
        <v/>
      </c>
      <c r="M1581" s="39"/>
    </row>
    <row r="1582" spans="1:13" ht="18" customHeight="1" x14ac:dyDescent="0.45">
      <c r="A1582" s="37"/>
      <c r="B1582" s="29"/>
      <c r="C1582" s="29"/>
      <c r="D1582" s="28"/>
      <c r="E1582" s="30" t="str">
        <f>IFERROR(VLOOKUP(D1582,KRX종목마스터!$A:$B,2,FALSE),"")</f>
        <v/>
      </c>
      <c r="F1582" s="42"/>
      <c r="G1582" s="42"/>
      <c r="H1582" s="31" t="str">
        <f t="shared" si="72"/>
        <v/>
      </c>
      <c r="I1582" s="43">
        <f ca="1">IFERROR(SUMPRODUCT((참고!$A$31:$A$130=C1582)*(참고!$B$31:$B$130&lt;=A1582)*(참고!$B$31:$B$130=_xludf.MAXIFS(참고!$B$31:$B$130,참고!$A$31:$A$130,C1582,참고!$B$31:$B$130,"&lt;="&amp;A1582))*참고!$C$31:$C$130)/100,0)</f>
        <v>0</v>
      </c>
      <c r="J1582" s="31" t="str">
        <f t="shared" si="73"/>
        <v/>
      </c>
      <c r="K1582" s="43">
        <f>IF(B1582="매도",IFERROR(SUMPRODUCT((참고!$A$31:$A$130=C1582)*(참고!$B$31:$B$130&lt;=A1582)*(참고!$B$31:$B$130=_xludf.MAXIFS(참고!$B$31:$B$130,참고!$A$31:$A$130,C1582,참고!$B$31:$B$130,"&lt;="&amp;A1582))*참고!$D$31:$D$130)/100,0),0)</f>
        <v>0</v>
      </c>
      <c r="L1582" s="31" t="str">
        <f t="shared" si="74"/>
        <v/>
      </c>
      <c r="M1582" s="39"/>
    </row>
    <row r="1583" spans="1:13" ht="18" customHeight="1" x14ac:dyDescent="0.45">
      <c r="A1583" s="37"/>
      <c r="B1583" s="29"/>
      <c r="C1583" s="29"/>
      <c r="D1583" s="28"/>
      <c r="E1583" s="30" t="str">
        <f>IFERROR(VLOOKUP(D1583,KRX종목마스터!$A:$B,2,FALSE),"")</f>
        <v/>
      </c>
      <c r="F1583" s="42"/>
      <c r="G1583" s="42"/>
      <c r="H1583" s="31" t="str">
        <f t="shared" si="72"/>
        <v/>
      </c>
      <c r="I1583" s="43">
        <f ca="1">IFERROR(SUMPRODUCT((참고!$A$31:$A$130=C1583)*(참고!$B$31:$B$130&lt;=A1583)*(참고!$B$31:$B$130=_xludf.MAXIFS(참고!$B$31:$B$130,참고!$A$31:$A$130,C1583,참고!$B$31:$B$130,"&lt;="&amp;A1583))*참고!$C$31:$C$130)/100,0)</f>
        <v>0</v>
      </c>
      <c r="J1583" s="31" t="str">
        <f t="shared" si="73"/>
        <v/>
      </c>
      <c r="K1583" s="43">
        <f>IF(B1583="매도",IFERROR(SUMPRODUCT((참고!$A$31:$A$130=C1583)*(참고!$B$31:$B$130&lt;=A1583)*(참고!$B$31:$B$130=_xludf.MAXIFS(참고!$B$31:$B$130,참고!$A$31:$A$130,C1583,참고!$B$31:$B$130,"&lt;="&amp;A1583))*참고!$D$31:$D$130)/100,0),0)</f>
        <v>0</v>
      </c>
      <c r="L1583" s="31" t="str">
        <f t="shared" si="74"/>
        <v/>
      </c>
      <c r="M1583" s="39"/>
    </row>
    <row r="1584" spans="1:13" ht="18" customHeight="1" x14ac:dyDescent="0.45">
      <c r="A1584" s="37"/>
      <c r="B1584" s="29"/>
      <c r="C1584" s="29"/>
      <c r="D1584" s="28"/>
      <c r="E1584" s="30" t="str">
        <f>IFERROR(VLOOKUP(D1584,KRX종목마스터!$A:$B,2,FALSE),"")</f>
        <v/>
      </c>
      <c r="F1584" s="42"/>
      <c r="G1584" s="42"/>
      <c r="H1584" s="31" t="str">
        <f t="shared" si="72"/>
        <v/>
      </c>
      <c r="I1584" s="43">
        <f ca="1">IFERROR(SUMPRODUCT((참고!$A$31:$A$130=C1584)*(참고!$B$31:$B$130&lt;=A1584)*(참고!$B$31:$B$130=_xludf.MAXIFS(참고!$B$31:$B$130,참고!$A$31:$A$130,C1584,참고!$B$31:$B$130,"&lt;="&amp;A1584))*참고!$C$31:$C$130)/100,0)</f>
        <v>0</v>
      </c>
      <c r="J1584" s="31" t="str">
        <f t="shared" si="73"/>
        <v/>
      </c>
      <c r="K1584" s="43">
        <f>IF(B1584="매도",IFERROR(SUMPRODUCT((참고!$A$31:$A$130=C1584)*(참고!$B$31:$B$130&lt;=A1584)*(참고!$B$31:$B$130=_xludf.MAXIFS(참고!$B$31:$B$130,참고!$A$31:$A$130,C1584,참고!$B$31:$B$130,"&lt;="&amp;A1584))*참고!$D$31:$D$130)/100,0),0)</f>
        <v>0</v>
      </c>
      <c r="L1584" s="31" t="str">
        <f t="shared" si="74"/>
        <v/>
      </c>
      <c r="M1584" s="39"/>
    </row>
    <row r="1585" spans="1:13" ht="18" customHeight="1" x14ac:dyDescent="0.45">
      <c r="A1585" s="37"/>
      <c r="B1585" s="29"/>
      <c r="C1585" s="29"/>
      <c r="D1585" s="28"/>
      <c r="E1585" s="30" t="str">
        <f>IFERROR(VLOOKUP(D1585,KRX종목마스터!$A:$B,2,FALSE),"")</f>
        <v/>
      </c>
      <c r="F1585" s="42"/>
      <c r="G1585" s="42"/>
      <c r="H1585" s="31" t="str">
        <f t="shared" si="72"/>
        <v/>
      </c>
      <c r="I1585" s="43">
        <f ca="1">IFERROR(SUMPRODUCT((참고!$A$31:$A$130=C1585)*(참고!$B$31:$B$130&lt;=A1585)*(참고!$B$31:$B$130=_xludf.MAXIFS(참고!$B$31:$B$130,참고!$A$31:$A$130,C1585,참고!$B$31:$B$130,"&lt;="&amp;A1585))*참고!$C$31:$C$130)/100,0)</f>
        <v>0</v>
      </c>
      <c r="J1585" s="31" t="str">
        <f t="shared" si="73"/>
        <v/>
      </c>
      <c r="K1585" s="43">
        <f>IF(B1585="매도",IFERROR(SUMPRODUCT((참고!$A$31:$A$130=C1585)*(참고!$B$31:$B$130&lt;=A1585)*(참고!$B$31:$B$130=_xludf.MAXIFS(참고!$B$31:$B$130,참고!$A$31:$A$130,C1585,참고!$B$31:$B$130,"&lt;="&amp;A1585))*참고!$D$31:$D$130)/100,0),0)</f>
        <v>0</v>
      </c>
      <c r="L1585" s="31" t="str">
        <f t="shared" si="74"/>
        <v/>
      </c>
      <c r="M1585" s="39"/>
    </row>
    <row r="1586" spans="1:13" ht="18" customHeight="1" x14ac:dyDescent="0.45">
      <c r="A1586" s="37"/>
      <c r="B1586" s="29"/>
      <c r="C1586" s="29"/>
      <c r="D1586" s="28"/>
      <c r="E1586" s="30" t="str">
        <f>IFERROR(VLOOKUP(D1586,KRX종목마스터!$A:$B,2,FALSE),"")</f>
        <v/>
      </c>
      <c r="F1586" s="42"/>
      <c r="G1586" s="42"/>
      <c r="H1586" s="31" t="str">
        <f t="shared" si="72"/>
        <v/>
      </c>
      <c r="I1586" s="43">
        <f ca="1">IFERROR(SUMPRODUCT((참고!$A$31:$A$130=C1586)*(참고!$B$31:$B$130&lt;=A1586)*(참고!$B$31:$B$130=_xludf.MAXIFS(참고!$B$31:$B$130,참고!$A$31:$A$130,C1586,참고!$B$31:$B$130,"&lt;="&amp;A1586))*참고!$C$31:$C$130)/100,0)</f>
        <v>0</v>
      </c>
      <c r="J1586" s="31" t="str">
        <f t="shared" si="73"/>
        <v/>
      </c>
      <c r="K1586" s="43">
        <f>IF(B1586="매도",IFERROR(SUMPRODUCT((참고!$A$31:$A$130=C1586)*(참고!$B$31:$B$130&lt;=A1586)*(참고!$B$31:$B$130=_xludf.MAXIFS(참고!$B$31:$B$130,참고!$A$31:$A$130,C1586,참고!$B$31:$B$130,"&lt;="&amp;A1586))*참고!$D$31:$D$130)/100,0),0)</f>
        <v>0</v>
      </c>
      <c r="L1586" s="31" t="str">
        <f t="shared" si="74"/>
        <v/>
      </c>
      <c r="M1586" s="39"/>
    </row>
    <row r="1587" spans="1:13" ht="18" customHeight="1" x14ac:dyDescent="0.45">
      <c r="A1587" s="37"/>
      <c r="B1587" s="29"/>
      <c r="C1587" s="29"/>
      <c r="D1587" s="28"/>
      <c r="E1587" s="30" t="str">
        <f>IFERROR(VLOOKUP(D1587,KRX종목마스터!$A:$B,2,FALSE),"")</f>
        <v/>
      </c>
      <c r="F1587" s="42"/>
      <c r="G1587" s="42"/>
      <c r="H1587" s="31" t="str">
        <f t="shared" si="72"/>
        <v/>
      </c>
      <c r="I1587" s="43">
        <f ca="1">IFERROR(SUMPRODUCT((참고!$A$31:$A$130=C1587)*(참고!$B$31:$B$130&lt;=A1587)*(참고!$B$31:$B$130=_xludf.MAXIFS(참고!$B$31:$B$130,참고!$A$31:$A$130,C1587,참고!$B$31:$B$130,"&lt;="&amp;A1587))*참고!$C$31:$C$130)/100,0)</f>
        <v>0</v>
      </c>
      <c r="J1587" s="31" t="str">
        <f t="shared" si="73"/>
        <v/>
      </c>
      <c r="K1587" s="43">
        <f>IF(B1587="매도",IFERROR(SUMPRODUCT((참고!$A$31:$A$130=C1587)*(참고!$B$31:$B$130&lt;=A1587)*(참고!$B$31:$B$130=_xludf.MAXIFS(참고!$B$31:$B$130,참고!$A$31:$A$130,C1587,참고!$B$31:$B$130,"&lt;="&amp;A1587))*참고!$D$31:$D$130)/100,0),0)</f>
        <v>0</v>
      </c>
      <c r="L1587" s="31" t="str">
        <f t="shared" si="74"/>
        <v/>
      </c>
      <c r="M1587" s="39"/>
    </row>
    <row r="1588" spans="1:13" ht="18" customHeight="1" x14ac:dyDescent="0.45">
      <c r="A1588" s="37"/>
      <c r="B1588" s="29"/>
      <c r="C1588" s="29"/>
      <c r="D1588" s="28"/>
      <c r="E1588" s="30" t="str">
        <f>IFERROR(VLOOKUP(D1588,KRX종목마스터!$A:$B,2,FALSE),"")</f>
        <v/>
      </c>
      <c r="F1588" s="42"/>
      <c r="G1588" s="42"/>
      <c r="H1588" s="31" t="str">
        <f t="shared" si="72"/>
        <v/>
      </c>
      <c r="I1588" s="43">
        <f ca="1">IFERROR(SUMPRODUCT((참고!$A$31:$A$130=C1588)*(참고!$B$31:$B$130&lt;=A1588)*(참고!$B$31:$B$130=_xludf.MAXIFS(참고!$B$31:$B$130,참고!$A$31:$A$130,C1588,참고!$B$31:$B$130,"&lt;="&amp;A1588))*참고!$C$31:$C$130)/100,0)</f>
        <v>0</v>
      </c>
      <c r="J1588" s="31" t="str">
        <f t="shared" si="73"/>
        <v/>
      </c>
      <c r="K1588" s="43">
        <f>IF(B1588="매도",IFERROR(SUMPRODUCT((참고!$A$31:$A$130=C1588)*(참고!$B$31:$B$130&lt;=A1588)*(참고!$B$31:$B$130=_xludf.MAXIFS(참고!$B$31:$B$130,참고!$A$31:$A$130,C1588,참고!$B$31:$B$130,"&lt;="&amp;A1588))*참고!$D$31:$D$130)/100,0),0)</f>
        <v>0</v>
      </c>
      <c r="L1588" s="31" t="str">
        <f t="shared" si="74"/>
        <v/>
      </c>
      <c r="M1588" s="39"/>
    </row>
    <row r="1589" spans="1:13" ht="18" customHeight="1" x14ac:dyDescent="0.45">
      <c r="A1589" s="37"/>
      <c r="B1589" s="29"/>
      <c r="C1589" s="29"/>
      <c r="D1589" s="28"/>
      <c r="E1589" s="30" t="str">
        <f>IFERROR(VLOOKUP(D1589,KRX종목마스터!$A:$B,2,FALSE),"")</f>
        <v/>
      </c>
      <c r="F1589" s="42"/>
      <c r="G1589" s="42"/>
      <c r="H1589" s="31" t="str">
        <f t="shared" si="72"/>
        <v/>
      </c>
      <c r="I1589" s="43">
        <f ca="1">IFERROR(SUMPRODUCT((참고!$A$31:$A$130=C1589)*(참고!$B$31:$B$130&lt;=A1589)*(참고!$B$31:$B$130=_xludf.MAXIFS(참고!$B$31:$B$130,참고!$A$31:$A$130,C1589,참고!$B$31:$B$130,"&lt;="&amp;A1589))*참고!$C$31:$C$130)/100,0)</f>
        <v>0</v>
      </c>
      <c r="J1589" s="31" t="str">
        <f t="shared" si="73"/>
        <v/>
      </c>
      <c r="K1589" s="43">
        <f>IF(B1589="매도",IFERROR(SUMPRODUCT((참고!$A$31:$A$130=C1589)*(참고!$B$31:$B$130&lt;=A1589)*(참고!$B$31:$B$130=_xludf.MAXIFS(참고!$B$31:$B$130,참고!$A$31:$A$130,C1589,참고!$B$31:$B$130,"&lt;="&amp;A1589))*참고!$D$31:$D$130)/100,0),0)</f>
        <v>0</v>
      </c>
      <c r="L1589" s="31" t="str">
        <f t="shared" si="74"/>
        <v/>
      </c>
      <c r="M1589" s="39"/>
    </row>
    <row r="1590" spans="1:13" ht="18" customHeight="1" x14ac:dyDescent="0.45">
      <c r="A1590" s="37"/>
      <c r="B1590" s="29"/>
      <c r="C1590" s="29"/>
      <c r="D1590" s="28"/>
      <c r="E1590" s="30" t="str">
        <f>IFERROR(VLOOKUP(D1590,KRX종목마스터!$A:$B,2,FALSE),"")</f>
        <v/>
      </c>
      <c r="F1590" s="42"/>
      <c r="G1590" s="42"/>
      <c r="H1590" s="31" t="str">
        <f t="shared" si="72"/>
        <v/>
      </c>
      <c r="I1590" s="43">
        <f ca="1">IFERROR(SUMPRODUCT((참고!$A$31:$A$130=C1590)*(참고!$B$31:$B$130&lt;=A1590)*(참고!$B$31:$B$130=_xludf.MAXIFS(참고!$B$31:$B$130,참고!$A$31:$A$130,C1590,참고!$B$31:$B$130,"&lt;="&amp;A1590))*참고!$C$31:$C$130)/100,0)</f>
        <v>0</v>
      </c>
      <c r="J1590" s="31" t="str">
        <f t="shared" si="73"/>
        <v/>
      </c>
      <c r="K1590" s="43">
        <f>IF(B1590="매도",IFERROR(SUMPRODUCT((참고!$A$31:$A$130=C1590)*(참고!$B$31:$B$130&lt;=A1590)*(참고!$B$31:$B$130=_xludf.MAXIFS(참고!$B$31:$B$130,참고!$A$31:$A$130,C1590,참고!$B$31:$B$130,"&lt;="&amp;A1590))*참고!$D$31:$D$130)/100,0),0)</f>
        <v>0</v>
      </c>
      <c r="L1590" s="31" t="str">
        <f t="shared" si="74"/>
        <v/>
      </c>
      <c r="M1590" s="39"/>
    </row>
    <row r="1591" spans="1:13" ht="18" customHeight="1" x14ac:dyDescent="0.45">
      <c r="A1591" s="37"/>
      <c r="B1591" s="29"/>
      <c r="C1591" s="29"/>
      <c r="D1591" s="28"/>
      <c r="E1591" s="30" t="str">
        <f>IFERROR(VLOOKUP(D1591,KRX종목마스터!$A:$B,2,FALSE),"")</f>
        <v/>
      </c>
      <c r="F1591" s="42"/>
      <c r="G1591" s="42"/>
      <c r="H1591" s="31" t="str">
        <f t="shared" si="72"/>
        <v/>
      </c>
      <c r="I1591" s="43">
        <f ca="1">IFERROR(SUMPRODUCT((참고!$A$31:$A$130=C1591)*(참고!$B$31:$B$130&lt;=A1591)*(참고!$B$31:$B$130=_xludf.MAXIFS(참고!$B$31:$B$130,참고!$A$31:$A$130,C1591,참고!$B$31:$B$130,"&lt;="&amp;A1591))*참고!$C$31:$C$130)/100,0)</f>
        <v>0</v>
      </c>
      <c r="J1591" s="31" t="str">
        <f t="shared" si="73"/>
        <v/>
      </c>
      <c r="K1591" s="43">
        <f>IF(B1591="매도",IFERROR(SUMPRODUCT((참고!$A$31:$A$130=C1591)*(참고!$B$31:$B$130&lt;=A1591)*(참고!$B$31:$B$130=_xludf.MAXIFS(참고!$B$31:$B$130,참고!$A$31:$A$130,C1591,참고!$B$31:$B$130,"&lt;="&amp;A1591))*참고!$D$31:$D$130)/100,0),0)</f>
        <v>0</v>
      </c>
      <c r="L1591" s="31" t="str">
        <f t="shared" si="74"/>
        <v/>
      </c>
      <c r="M1591" s="39"/>
    </row>
    <row r="1592" spans="1:13" ht="18" customHeight="1" x14ac:dyDescent="0.45">
      <c r="A1592" s="37"/>
      <c r="B1592" s="29"/>
      <c r="C1592" s="29"/>
      <c r="D1592" s="28"/>
      <c r="E1592" s="30" t="str">
        <f>IFERROR(VLOOKUP(D1592,KRX종목마스터!$A:$B,2,FALSE),"")</f>
        <v/>
      </c>
      <c r="F1592" s="42"/>
      <c r="G1592" s="42"/>
      <c r="H1592" s="31" t="str">
        <f t="shared" si="72"/>
        <v/>
      </c>
      <c r="I1592" s="43">
        <f ca="1">IFERROR(SUMPRODUCT((참고!$A$31:$A$130=C1592)*(참고!$B$31:$B$130&lt;=A1592)*(참고!$B$31:$B$130=_xludf.MAXIFS(참고!$B$31:$B$130,참고!$A$31:$A$130,C1592,참고!$B$31:$B$130,"&lt;="&amp;A1592))*참고!$C$31:$C$130)/100,0)</f>
        <v>0</v>
      </c>
      <c r="J1592" s="31" t="str">
        <f t="shared" si="73"/>
        <v/>
      </c>
      <c r="K1592" s="43">
        <f>IF(B1592="매도",IFERROR(SUMPRODUCT((참고!$A$31:$A$130=C1592)*(참고!$B$31:$B$130&lt;=A1592)*(참고!$B$31:$B$130=_xludf.MAXIFS(참고!$B$31:$B$130,참고!$A$31:$A$130,C1592,참고!$B$31:$B$130,"&lt;="&amp;A1592))*참고!$D$31:$D$130)/100,0),0)</f>
        <v>0</v>
      </c>
      <c r="L1592" s="31" t="str">
        <f t="shared" si="74"/>
        <v/>
      </c>
      <c r="M1592" s="39"/>
    </row>
    <row r="1593" spans="1:13" ht="18" customHeight="1" x14ac:dyDescent="0.45">
      <c r="A1593" s="37"/>
      <c r="B1593" s="29"/>
      <c r="C1593" s="29"/>
      <c r="D1593" s="28"/>
      <c r="E1593" s="30" t="str">
        <f>IFERROR(VLOOKUP(D1593,KRX종목마스터!$A:$B,2,FALSE),"")</f>
        <v/>
      </c>
      <c r="F1593" s="42"/>
      <c r="G1593" s="42"/>
      <c r="H1593" s="31" t="str">
        <f t="shared" si="72"/>
        <v/>
      </c>
      <c r="I1593" s="43">
        <f ca="1">IFERROR(SUMPRODUCT((참고!$A$31:$A$130=C1593)*(참고!$B$31:$B$130&lt;=A1593)*(참고!$B$31:$B$130=_xludf.MAXIFS(참고!$B$31:$B$130,참고!$A$31:$A$130,C1593,참고!$B$31:$B$130,"&lt;="&amp;A1593))*참고!$C$31:$C$130)/100,0)</f>
        <v>0</v>
      </c>
      <c r="J1593" s="31" t="str">
        <f t="shared" si="73"/>
        <v/>
      </c>
      <c r="K1593" s="43">
        <f>IF(B1593="매도",IFERROR(SUMPRODUCT((참고!$A$31:$A$130=C1593)*(참고!$B$31:$B$130&lt;=A1593)*(참고!$B$31:$B$130=_xludf.MAXIFS(참고!$B$31:$B$130,참고!$A$31:$A$130,C1593,참고!$B$31:$B$130,"&lt;="&amp;A1593))*참고!$D$31:$D$130)/100,0),0)</f>
        <v>0</v>
      </c>
      <c r="L1593" s="31" t="str">
        <f t="shared" si="74"/>
        <v/>
      </c>
      <c r="M1593" s="39"/>
    </row>
    <row r="1594" spans="1:13" ht="18" customHeight="1" x14ac:dyDescent="0.45">
      <c r="A1594" s="37"/>
      <c r="B1594" s="29"/>
      <c r="C1594" s="29"/>
      <c r="D1594" s="28"/>
      <c r="E1594" s="30" t="str">
        <f>IFERROR(VLOOKUP(D1594,KRX종목마스터!$A:$B,2,FALSE),"")</f>
        <v/>
      </c>
      <c r="F1594" s="42"/>
      <c r="G1594" s="42"/>
      <c r="H1594" s="31" t="str">
        <f t="shared" si="72"/>
        <v/>
      </c>
      <c r="I1594" s="43">
        <f ca="1">IFERROR(SUMPRODUCT((참고!$A$31:$A$130=C1594)*(참고!$B$31:$B$130&lt;=A1594)*(참고!$B$31:$B$130=_xludf.MAXIFS(참고!$B$31:$B$130,참고!$A$31:$A$130,C1594,참고!$B$31:$B$130,"&lt;="&amp;A1594))*참고!$C$31:$C$130)/100,0)</f>
        <v>0</v>
      </c>
      <c r="J1594" s="31" t="str">
        <f t="shared" si="73"/>
        <v/>
      </c>
      <c r="K1594" s="43">
        <f>IF(B1594="매도",IFERROR(SUMPRODUCT((참고!$A$31:$A$130=C1594)*(참고!$B$31:$B$130&lt;=A1594)*(참고!$B$31:$B$130=_xludf.MAXIFS(참고!$B$31:$B$130,참고!$A$31:$A$130,C1594,참고!$B$31:$B$130,"&lt;="&amp;A1594))*참고!$D$31:$D$130)/100,0),0)</f>
        <v>0</v>
      </c>
      <c r="L1594" s="31" t="str">
        <f t="shared" si="74"/>
        <v/>
      </c>
      <c r="M1594" s="39"/>
    </row>
    <row r="1595" spans="1:13" ht="18" customHeight="1" x14ac:dyDescent="0.45">
      <c r="A1595" s="37"/>
      <c r="B1595" s="29"/>
      <c r="C1595" s="29"/>
      <c r="D1595" s="28"/>
      <c r="E1595" s="30" t="str">
        <f>IFERROR(VLOOKUP(D1595,KRX종목마스터!$A:$B,2,FALSE),"")</f>
        <v/>
      </c>
      <c r="F1595" s="42"/>
      <c r="G1595" s="42"/>
      <c r="H1595" s="31" t="str">
        <f t="shared" si="72"/>
        <v/>
      </c>
      <c r="I1595" s="43">
        <f ca="1">IFERROR(SUMPRODUCT((참고!$A$31:$A$130=C1595)*(참고!$B$31:$B$130&lt;=A1595)*(참고!$B$31:$B$130=_xludf.MAXIFS(참고!$B$31:$B$130,참고!$A$31:$A$130,C1595,참고!$B$31:$B$130,"&lt;="&amp;A1595))*참고!$C$31:$C$130)/100,0)</f>
        <v>0</v>
      </c>
      <c r="J1595" s="31" t="str">
        <f t="shared" si="73"/>
        <v/>
      </c>
      <c r="K1595" s="43">
        <f>IF(B1595="매도",IFERROR(SUMPRODUCT((참고!$A$31:$A$130=C1595)*(참고!$B$31:$B$130&lt;=A1595)*(참고!$B$31:$B$130=_xludf.MAXIFS(참고!$B$31:$B$130,참고!$A$31:$A$130,C1595,참고!$B$31:$B$130,"&lt;="&amp;A1595))*참고!$D$31:$D$130)/100,0),0)</f>
        <v>0</v>
      </c>
      <c r="L1595" s="31" t="str">
        <f t="shared" si="74"/>
        <v/>
      </c>
      <c r="M1595" s="39"/>
    </row>
    <row r="1596" spans="1:13" ht="18" customHeight="1" x14ac:dyDescent="0.45">
      <c r="A1596" s="37"/>
      <c r="B1596" s="29"/>
      <c r="C1596" s="29"/>
      <c r="D1596" s="28"/>
      <c r="E1596" s="30" t="str">
        <f>IFERROR(VLOOKUP(D1596,KRX종목마스터!$A:$B,2,FALSE),"")</f>
        <v/>
      </c>
      <c r="F1596" s="42"/>
      <c r="G1596" s="42"/>
      <c r="H1596" s="31" t="str">
        <f t="shared" si="72"/>
        <v/>
      </c>
      <c r="I1596" s="43">
        <f ca="1">IFERROR(SUMPRODUCT((참고!$A$31:$A$130=C1596)*(참고!$B$31:$B$130&lt;=A1596)*(참고!$B$31:$B$130=_xludf.MAXIFS(참고!$B$31:$B$130,참고!$A$31:$A$130,C1596,참고!$B$31:$B$130,"&lt;="&amp;A1596))*참고!$C$31:$C$130)/100,0)</f>
        <v>0</v>
      </c>
      <c r="J1596" s="31" t="str">
        <f t="shared" si="73"/>
        <v/>
      </c>
      <c r="K1596" s="43">
        <f>IF(B1596="매도",IFERROR(SUMPRODUCT((참고!$A$31:$A$130=C1596)*(참고!$B$31:$B$130&lt;=A1596)*(참고!$B$31:$B$130=_xludf.MAXIFS(참고!$B$31:$B$130,참고!$A$31:$A$130,C1596,참고!$B$31:$B$130,"&lt;="&amp;A1596))*참고!$D$31:$D$130)/100,0),0)</f>
        <v>0</v>
      </c>
      <c r="L1596" s="31" t="str">
        <f t="shared" si="74"/>
        <v/>
      </c>
      <c r="M1596" s="39"/>
    </row>
    <row r="1597" spans="1:13" ht="18" customHeight="1" x14ac:dyDescent="0.45">
      <c r="A1597" s="37"/>
      <c r="B1597" s="29"/>
      <c r="C1597" s="29"/>
      <c r="D1597" s="28"/>
      <c r="E1597" s="30" t="str">
        <f>IFERROR(VLOOKUP(D1597,KRX종목마스터!$A:$B,2,FALSE),"")</f>
        <v/>
      </c>
      <c r="F1597" s="42"/>
      <c r="G1597" s="42"/>
      <c r="H1597" s="31" t="str">
        <f t="shared" si="72"/>
        <v/>
      </c>
      <c r="I1597" s="43">
        <f ca="1">IFERROR(SUMPRODUCT((참고!$A$31:$A$130=C1597)*(참고!$B$31:$B$130&lt;=A1597)*(참고!$B$31:$B$130=_xludf.MAXIFS(참고!$B$31:$B$130,참고!$A$31:$A$130,C1597,참고!$B$31:$B$130,"&lt;="&amp;A1597))*참고!$C$31:$C$130)/100,0)</f>
        <v>0</v>
      </c>
      <c r="J1597" s="31" t="str">
        <f t="shared" si="73"/>
        <v/>
      </c>
      <c r="K1597" s="43">
        <f>IF(B1597="매도",IFERROR(SUMPRODUCT((참고!$A$31:$A$130=C1597)*(참고!$B$31:$B$130&lt;=A1597)*(참고!$B$31:$B$130=_xludf.MAXIFS(참고!$B$31:$B$130,참고!$A$31:$A$130,C1597,참고!$B$31:$B$130,"&lt;="&amp;A1597))*참고!$D$31:$D$130)/100,0),0)</f>
        <v>0</v>
      </c>
      <c r="L1597" s="31" t="str">
        <f t="shared" si="74"/>
        <v/>
      </c>
      <c r="M1597" s="39"/>
    </row>
    <row r="1598" spans="1:13" ht="18" customHeight="1" x14ac:dyDescent="0.45">
      <c r="A1598" s="37"/>
      <c r="B1598" s="29"/>
      <c r="C1598" s="29"/>
      <c r="D1598" s="28"/>
      <c r="E1598" s="30" t="str">
        <f>IFERROR(VLOOKUP(D1598,KRX종목마스터!$A:$B,2,FALSE),"")</f>
        <v/>
      </c>
      <c r="F1598" s="42"/>
      <c r="G1598" s="42"/>
      <c r="H1598" s="31" t="str">
        <f t="shared" si="72"/>
        <v/>
      </c>
      <c r="I1598" s="43">
        <f ca="1">IFERROR(SUMPRODUCT((참고!$A$31:$A$130=C1598)*(참고!$B$31:$B$130&lt;=A1598)*(참고!$B$31:$B$130=_xludf.MAXIFS(참고!$B$31:$B$130,참고!$A$31:$A$130,C1598,참고!$B$31:$B$130,"&lt;="&amp;A1598))*참고!$C$31:$C$130)/100,0)</f>
        <v>0</v>
      </c>
      <c r="J1598" s="31" t="str">
        <f t="shared" si="73"/>
        <v/>
      </c>
      <c r="K1598" s="43">
        <f>IF(B1598="매도",IFERROR(SUMPRODUCT((참고!$A$31:$A$130=C1598)*(참고!$B$31:$B$130&lt;=A1598)*(참고!$B$31:$B$130=_xludf.MAXIFS(참고!$B$31:$B$130,참고!$A$31:$A$130,C1598,참고!$B$31:$B$130,"&lt;="&amp;A1598))*참고!$D$31:$D$130)/100,0),0)</f>
        <v>0</v>
      </c>
      <c r="L1598" s="31" t="str">
        <f t="shared" si="74"/>
        <v/>
      </c>
      <c r="M1598" s="39"/>
    </row>
    <row r="1599" spans="1:13" ht="18" customHeight="1" x14ac:dyDescent="0.45">
      <c r="A1599" s="37"/>
      <c r="B1599" s="29"/>
      <c r="C1599" s="29"/>
      <c r="D1599" s="28"/>
      <c r="E1599" s="30" t="str">
        <f>IFERROR(VLOOKUP(D1599,KRX종목마스터!$A:$B,2,FALSE),"")</f>
        <v/>
      </c>
      <c r="F1599" s="42"/>
      <c r="G1599" s="42"/>
      <c r="H1599" s="31" t="str">
        <f t="shared" si="72"/>
        <v/>
      </c>
      <c r="I1599" s="43">
        <f ca="1">IFERROR(SUMPRODUCT((참고!$A$31:$A$130=C1599)*(참고!$B$31:$B$130&lt;=A1599)*(참고!$B$31:$B$130=_xludf.MAXIFS(참고!$B$31:$B$130,참고!$A$31:$A$130,C1599,참고!$B$31:$B$130,"&lt;="&amp;A1599))*참고!$C$31:$C$130)/100,0)</f>
        <v>0</v>
      </c>
      <c r="J1599" s="31" t="str">
        <f t="shared" si="73"/>
        <v/>
      </c>
      <c r="K1599" s="43">
        <f>IF(B1599="매도",IFERROR(SUMPRODUCT((참고!$A$31:$A$130=C1599)*(참고!$B$31:$B$130&lt;=A1599)*(참고!$B$31:$B$130=_xludf.MAXIFS(참고!$B$31:$B$130,참고!$A$31:$A$130,C1599,참고!$B$31:$B$130,"&lt;="&amp;A1599))*참고!$D$31:$D$130)/100,0),0)</f>
        <v>0</v>
      </c>
      <c r="L1599" s="31" t="str">
        <f t="shared" si="74"/>
        <v/>
      </c>
      <c r="M1599" s="39"/>
    </row>
    <row r="1600" spans="1:13" ht="18" customHeight="1" x14ac:dyDescent="0.45">
      <c r="A1600" s="37"/>
      <c r="B1600" s="29"/>
      <c r="C1600" s="29"/>
      <c r="D1600" s="28"/>
      <c r="E1600" s="30" t="str">
        <f>IFERROR(VLOOKUP(D1600,KRX종목마스터!$A:$B,2,FALSE),"")</f>
        <v/>
      </c>
      <c r="F1600" s="42"/>
      <c r="G1600" s="42"/>
      <c r="H1600" s="31" t="str">
        <f t="shared" si="72"/>
        <v/>
      </c>
      <c r="I1600" s="43">
        <f ca="1">IFERROR(SUMPRODUCT((참고!$A$31:$A$130=C1600)*(참고!$B$31:$B$130&lt;=A1600)*(참고!$B$31:$B$130=_xludf.MAXIFS(참고!$B$31:$B$130,참고!$A$31:$A$130,C1600,참고!$B$31:$B$130,"&lt;="&amp;A1600))*참고!$C$31:$C$130)/100,0)</f>
        <v>0</v>
      </c>
      <c r="J1600" s="31" t="str">
        <f t="shared" si="73"/>
        <v/>
      </c>
      <c r="K1600" s="43">
        <f>IF(B1600="매도",IFERROR(SUMPRODUCT((참고!$A$31:$A$130=C1600)*(참고!$B$31:$B$130&lt;=A1600)*(참고!$B$31:$B$130=_xludf.MAXIFS(참고!$B$31:$B$130,참고!$A$31:$A$130,C1600,참고!$B$31:$B$130,"&lt;="&amp;A1600))*참고!$D$31:$D$130)/100,0),0)</f>
        <v>0</v>
      </c>
      <c r="L1600" s="31" t="str">
        <f t="shared" si="74"/>
        <v/>
      </c>
      <c r="M1600" s="39"/>
    </row>
    <row r="1601" spans="1:13" ht="18" customHeight="1" x14ac:dyDescent="0.45">
      <c r="A1601" s="37"/>
      <c r="B1601" s="29"/>
      <c r="C1601" s="29"/>
      <c r="D1601" s="28"/>
      <c r="E1601" s="30" t="str">
        <f>IFERROR(VLOOKUP(D1601,KRX종목마스터!$A:$B,2,FALSE),"")</f>
        <v/>
      </c>
      <c r="F1601" s="42"/>
      <c r="G1601" s="42"/>
      <c r="H1601" s="31" t="str">
        <f t="shared" si="72"/>
        <v/>
      </c>
      <c r="I1601" s="43">
        <f ca="1">IFERROR(SUMPRODUCT((참고!$A$31:$A$130=C1601)*(참고!$B$31:$B$130&lt;=A1601)*(참고!$B$31:$B$130=_xludf.MAXIFS(참고!$B$31:$B$130,참고!$A$31:$A$130,C1601,참고!$B$31:$B$130,"&lt;="&amp;A1601))*참고!$C$31:$C$130)/100,0)</f>
        <v>0</v>
      </c>
      <c r="J1601" s="31" t="str">
        <f t="shared" si="73"/>
        <v/>
      </c>
      <c r="K1601" s="43">
        <f>IF(B1601="매도",IFERROR(SUMPRODUCT((참고!$A$31:$A$130=C1601)*(참고!$B$31:$B$130&lt;=A1601)*(참고!$B$31:$B$130=_xludf.MAXIFS(참고!$B$31:$B$130,참고!$A$31:$A$130,C1601,참고!$B$31:$B$130,"&lt;="&amp;A1601))*참고!$D$31:$D$130)/100,0),0)</f>
        <v>0</v>
      </c>
      <c r="L1601" s="31" t="str">
        <f t="shared" si="74"/>
        <v/>
      </c>
      <c r="M1601" s="39"/>
    </row>
    <row r="1602" spans="1:13" ht="18" customHeight="1" x14ac:dyDescent="0.45">
      <c r="A1602" s="37"/>
      <c r="B1602" s="29"/>
      <c r="C1602" s="29"/>
      <c r="D1602" s="28"/>
      <c r="E1602" s="30" t="str">
        <f>IFERROR(VLOOKUP(D1602,KRX종목마스터!$A:$B,2,FALSE),"")</f>
        <v/>
      </c>
      <c r="F1602" s="42"/>
      <c r="G1602" s="42"/>
      <c r="H1602" s="31" t="str">
        <f t="shared" si="72"/>
        <v/>
      </c>
      <c r="I1602" s="43">
        <f ca="1">IFERROR(SUMPRODUCT((참고!$A$31:$A$130=C1602)*(참고!$B$31:$B$130&lt;=A1602)*(참고!$B$31:$B$130=_xludf.MAXIFS(참고!$B$31:$B$130,참고!$A$31:$A$130,C1602,참고!$B$31:$B$130,"&lt;="&amp;A1602))*참고!$C$31:$C$130)/100,0)</f>
        <v>0</v>
      </c>
      <c r="J1602" s="31" t="str">
        <f t="shared" si="73"/>
        <v/>
      </c>
      <c r="K1602" s="43">
        <f>IF(B1602="매도",IFERROR(SUMPRODUCT((참고!$A$31:$A$130=C1602)*(참고!$B$31:$B$130&lt;=A1602)*(참고!$B$31:$B$130=_xludf.MAXIFS(참고!$B$31:$B$130,참고!$A$31:$A$130,C1602,참고!$B$31:$B$130,"&lt;="&amp;A1602))*참고!$D$31:$D$130)/100,0),0)</f>
        <v>0</v>
      </c>
      <c r="L1602" s="31" t="str">
        <f t="shared" si="74"/>
        <v/>
      </c>
      <c r="M1602" s="39"/>
    </row>
    <row r="1603" spans="1:13" ht="18" customHeight="1" x14ac:dyDescent="0.45">
      <c r="A1603" s="37"/>
      <c r="B1603" s="29"/>
      <c r="C1603" s="29"/>
      <c r="D1603" s="28"/>
      <c r="E1603" s="30" t="str">
        <f>IFERROR(VLOOKUP(D1603,KRX종목마스터!$A:$B,2,FALSE),"")</f>
        <v/>
      </c>
      <c r="F1603" s="42"/>
      <c r="G1603" s="42"/>
      <c r="H1603" s="31" t="str">
        <f t="shared" si="72"/>
        <v/>
      </c>
      <c r="I1603" s="43">
        <f ca="1">IFERROR(SUMPRODUCT((참고!$A$31:$A$130=C1603)*(참고!$B$31:$B$130&lt;=A1603)*(참고!$B$31:$B$130=_xludf.MAXIFS(참고!$B$31:$B$130,참고!$A$31:$A$130,C1603,참고!$B$31:$B$130,"&lt;="&amp;A1603))*참고!$C$31:$C$130)/100,0)</f>
        <v>0</v>
      </c>
      <c r="J1603" s="31" t="str">
        <f t="shared" si="73"/>
        <v/>
      </c>
      <c r="K1603" s="43">
        <f>IF(B1603="매도",IFERROR(SUMPRODUCT((참고!$A$31:$A$130=C1603)*(참고!$B$31:$B$130&lt;=A1603)*(참고!$B$31:$B$130=_xludf.MAXIFS(참고!$B$31:$B$130,참고!$A$31:$A$130,C1603,참고!$B$31:$B$130,"&lt;="&amp;A1603))*참고!$D$31:$D$130)/100,0),0)</f>
        <v>0</v>
      </c>
      <c r="L1603" s="31" t="str">
        <f t="shared" si="74"/>
        <v/>
      </c>
      <c r="M1603" s="39"/>
    </row>
    <row r="1604" spans="1:13" ht="18" customHeight="1" x14ac:dyDescent="0.45">
      <c r="A1604" s="37"/>
      <c r="B1604" s="29"/>
      <c r="C1604" s="29"/>
      <c r="D1604" s="28"/>
      <c r="E1604" s="30" t="str">
        <f>IFERROR(VLOOKUP(D1604,KRX종목마스터!$A:$B,2,FALSE),"")</f>
        <v/>
      </c>
      <c r="F1604" s="42"/>
      <c r="G1604" s="42"/>
      <c r="H1604" s="31" t="str">
        <f t="shared" si="72"/>
        <v/>
      </c>
      <c r="I1604" s="43">
        <f ca="1">IFERROR(SUMPRODUCT((참고!$A$31:$A$130=C1604)*(참고!$B$31:$B$130&lt;=A1604)*(참고!$B$31:$B$130=_xludf.MAXIFS(참고!$B$31:$B$130,참고!$A$31:$A$130,C1604,참고!$B$31:$B$130,"&lt;="&amp;A1604))*참고!$C$31:$C$130)/100,0)</f>
        <v>0</v>
      </c>
      <c r="J1604" s="31" t="str">
        <f t="shared" si="73"/>
        <v/>
      </c>
      <c r="K1604" s="43">
        <f>IF(B1604="매도",IFERROR(SUMPRODUCT((참고!$A$31:$A$130=C1604)*(참고!$B$31:$B$130&lt;=A1604)*(참고!$B$31:$B$130=_xludf.MAXIFS(참고!$B$31:$B$130,참고!$A$31:$A$130,C1604,참고!$B$31:$B$130,"&lt;="&amp;A1604))*참고!$D$31:$D$130)/100,0),0)</f>
        <v>0</v>
      </c>
      <c r="L1604" s="31" t="str">
        <f t="shared" si="74"/>
        <v/>
      </c>
      <c r="M1604" s="39"/>
    </row>
    <row r="1605" spans="1:13" ht="18" customHeight="1" x14ac:dyDescent="0.45">
      <c r="A1605" s="37"/>
      <c r="B1605" s="29"/>
      <c r="C1605" s="29"/>
      <c r="D1605" s="28"/>
      <c r="E1605" s="30" t="str">
        <f>IFERROR(VLOOKUP(D1605,KRX종목마스터!$A:$B,2,FALSE),"")</f>
        <v/>
      </c>
      <c r="F1605" s="42"/>
      <c r="G1605" s="42"/>
      <c r="H1605" s="31" t="str">
        <f t="shared" ref="H1605:H1668" si="75">IF(AND(F1605&lt;&gt;"",G1605&lt;&gt;""),F1605*G1605,"")</f>
        <v/>
      </c>
      <c r="I1605" s="43">
        <f ca="1">IFERROR(SUMPRODUCT((참고!$A$31:$A$130=C1605)*(참고!$B$31:$B$130&lt;=A1605)*(참고!$B$31:$B$130=_xludf.MAXIFS(참고!$B$31:$B$130,참고!$A$31:$A$130,C1605,참고!$B$31:$B$130,"&lt;="&amp;A1605))*참고!$C$31:$C$130)/100,0)</f>
        <v>0</v>
      </c>
      <c r="J1605" s="31" t="str">
        <f t="shared" ref="J1605:J1668" si="76">IF(H1605="","",ROUND(H1605*I1605,0))</f>
        <v/>
      </c>
      <c r="K1605" s="43">
        <f>IF(B1605="매도",IFERROR(SUMPRODUCT((참고!$A$31:$A$130=C1605)*(참고!$B$31:$B$130&lt;=A1605)*(참고!$B$31:$B$130=_xludf.MAXIFS(참고!$B$31:$B$130,참고!$A$31:$A$130,C1605,참고!$B$31:$B$130,"&lt;="&amp;A1605))*참고!$D$31:$D$130)/100,0),0)</f>
        <v>0</v>
      </c>
      <c r="L1605" s="31" t="str">
        <f t="shared" ref="L1605:L1668" si="77">IF(H1605="","",ROUND(H1605*K1605,0))</f>
        <v/>
      </c>
      <c r="M1605" s="39"/>
    </row>
    <row r="1606" spans="1:13" ht="18" customHeight="1" x14ac:dyDescent="0.45">
      <c r="A1606" s="37"/>
      <c r="B1606" s="29"/>
      <c r="C1606" s="29"/>
      <c r="D1606" s="28"/>
      <c r="E1606" s="30" t="str">
        <f>IFERROR(VLOOKUP(D1606,KRX종목마스터!$A:$B,2,FALSE),"")</f>
        <v/>
      </c>
      <c r="F1606" s="42"/>
      <c r="G1606" s="42"/>
      <c r="H1606" s="31" t="str">
        <f t="shared" si="75"/>
        <v/>
      </c>
      <c r="I1606" s="43">
        <f ca="1">IFERROR(SUMPRODUCT((참고!$A$31:$A$130=C1606)*(참고!$B$31:$B$130&lt;=A1606)*(참고!$B$31:$B$130=_xludf.MAXIFS(참고!$B$31:$B$130,참고!$A$31:$A$130,C1606,참고!$B$31:$B$130,"&lt;="&amp;A1606))*참고!$C$31:$C$130)/100,0)</f>
        <v>0</v>
      </c>
      <c r="J1606" s="31" t="str">
        <f t="shared" si="76"/>
        <v/>
      </c>
      <c r="K1606" s="43">
        <f>IF(B1606="매도",IFERROR(SUMPRODUCT((참고!$A$31:$A$130=C1606)*(참고!$B$31:$B$130&lt;=A1606)*(참고!$B$31:$B$130=_xludf.MAXIFS(참고!$B$31:$B$130,참고!$A$31:$A$130,C1606,참고!$B$31:$B$130,"&lt;="&amp;A1606))*참고!$D$31:$D$130)/100,0),0)</f>
        <v>0</v>
      </c>
      <c r="L1606" s="31" t="str">
        <f t="shared" si="77"/>
        <v/>
      </c>
      <c r="M1606" s="39"/>
    </row>
    <row r="1607" spans="1:13" ht="18" customHeight="1" x14ac:dyDescent="0.45">
      <c r="A1607" s="37"/>
      <c r="B1607" s="29"/>
      <c r="C1607" s="29"/>
      <c r="D1607" s="28"/>
      <c r="E1607" s="30" t="str">
        <f>IFERROR(VLOOKUP(D1607,KRX종목마스터!$A:$B,2,FALSE),"")</f>
        <v/>
      </c>
      <c r="F1607" s="42"/>
      <c r="G1607" s="42"/>
      <c r="H1607" s="31" t="str">
        <f t="shared" si="75"/>
        <v/>
      </c>
      <c r="I1607" s="43">
        <f ca="1">IFERROR(SUMPRODUCT((참고!$A$31:$A$130=C1607)*(참고!$B$31:$B$130&lt;=A1607)*(참고!$B$31:$B$130=_xludf.MAXIFS(참고!$B$31:$B$130,참고!$A$31:$A$130,C1607,참고!$B$31:$B$130,"&lt;="&amp;A1607))*참고!$C$31:$C$130)/100,0)</f>
        <v>0</v>
      </c>
      <c r="J1607" s="31" t="str">
        <f t="shared" si="76"/>
        <v/>
      </c>
      <c r="K1607" s="43">
        <f>IF(B1607="매도",IFERROR(SUMPRODUCT((참고!$A$31:$A$130=C1607)*(참고!$B$31:$B$130&lt;=A1607)*(참고!$B$31:$B$130=_xludf.MAXIFS(참고!$B$31:$B$130,참고!$A$31:$A$130,C1607,참고!$B$31:$B$130,"&lt;="&amp;A1607))*참고!$D$31:$D$130)/100,0),0)</f>
        <v>0</v>
      </c>
      <c r="L1607" s="31" t="str">
        <f t="shared" si="77"/>
        <v/>
      </c>
      <c r="M1607" s="39"/>
    </row>
    <row r="1608" spans="1:13" ht="18" customHeight="1" x14ac:dyDescent="0.45">
      <c r="A1608" s="37"/>
      <c r="B1608" s="29"/>
      <c r="C1608" s="29"/>
      <c r="D1608" s="28"/>
      <c r="E1608" s="30" t="str">
        <f>IFERROR(VLOOKUP(D1608,KRX종목마스터!$A:$B,2,FALSE),"")</f>
        <v/>
      </c>
      <c r="F1608" s="42"/>
      <c r="G1608" s="42"/>
      <c r="H1608" s="31" t="str">
        <f t="shared" si="75"/>
        <v/>
      </c>
      <c r="I1608" s="43">
        <f ca="1">IFERROR(SUMPRODUCT((참고!$A$31:$A$130=C1608)*(참고!$B$31:$B$130&lt;=A1608)*(참고!$B$31:$B$130=_xludf.MAXIFS(참고!$B$31:$B$130,참고!$A$31:$A$130,C1608,참고!$B$31:$B$130,"&lt;="&amp;A1608))*참고!$C$31:$C$130)/100,0)</f>
        <v>0</v>
      </c>
      <c r="J1608" s="31" t="str">
        <f t="shared" si="76"/>
        <v/>
      </c>
      <c r="K1608" s="43">
        <f>IF(B1608="매도",IFERROR(SUMPRODUCT((참고!$A$31:$A$130=C1608)*(참고!$B$31:$B$130&lt;=A1608)*(참고!$B$31:$B$130=_xludf.MAXIFS(참고!$B$31:$B$130,참고!$A$31:$A$130,C1608,참고!$B$31:$B$130,"&lt;="&amp;A1608))*참고!$D$31:$D$130)/100,0),0)</f>
        <v>0</v>
      </c>
      <c r="L1608" s="31" t="str">
        <f t="shared" si="77"/>
        <v/>
      </c>
      <c r="M1608" s="39"/>
    </row>
    <row r="1609" spans="1:13" ht="18" customHeight="1" x14ac:dyDescent="0.45">
      <c r="A1609" s="37"/>
      <c r="B1609" s="29"/>
      <c r="C1609" s="29"/>
      <c r="D1609" s="28"/>
      <c r="E1609" s="30" t="str">
        <f>IFERROR(VLOOKUP(D1609,KRX종목마스터!$A:$B,2,FALSE),"")</f>
        <v/>
      </c>
      <c r="F1609" s="42"/>
      <c r="G1609" s="42"/>
      <c r="H1609" s="31" t="str">
        <f t="shared" si="75"/>
        <v/>
      </c>
      <c r="I1609" s="43">
        <f ca="1">IFERROR(SUMPRODUCT((참고!$A$31:$A$130=C1609)*(참고!$B$31:$B$130&lt;=A1609)*(참고!$B$31:$B$130=_xludf.MAXIFS(참고!$B$31:$B$130,참고!$A$31:$A$130,C1609,참고!$B$31:$B$130,"&lt;="&amp;A1609))*참고!$C$31:$C$130)/100,0)</f>
        <v>0</v>
      </c>
      <c r="J1609" s="31" t="str">
        <f t="shared" si="76"/>
        <v/>
      </c>
      <c r="K1609" s="43">
        <f>IF(B1609="매도",IFERROR(SUMPRODUCT((참고!$A$31:$A$130=C1609)*(참고!$B$31:$B$130&lt;=A1609)*(참고!$B$31:$B$130=_xludf.MAXIFS(참고!$B$31:$B$130,참고!$A$31:$A$130,C1609,참고!$B$31:$B$130,"&lt;="&amp;A1609))*참고!$D$31:$D$130)/100,0),0)</f>
        <v>0</v>
      </c>
      <c r="L1609" s="31" t="str">
        <f t="shared" si="77"/>
        <v/>
      </c>
      <c r="M1609" s="39"/>
    </row>
    <row r="1610" spans="1:13" ht="18" customHeight="1" x14ac:dyDescent="0.45">
      <c r="A1610" s="37"/>
      <c r="B1610" s="29"/>
      <c r="C1610" s="29"/>
      <c r="D1610" s="28"/>
      <c r="E1610" s="30" t="str">
        <f>IFERROR(VLOOKUP(D1610,KRX종목마스터!$A:$B,2,FALSE),"")</f>
        <v/>
      </c>
      <c r="F1610" s="42"/>
      <c r="G1610" s="42"/>
      <c r="H1610" s="31" t="str">
        <f t="shared" si="75"/>
        <v/>
      </c>
      <c r="I1610" s="43">
        <f ca="1">IFERROR(SUMPRODUCT((참고!$A$31:$A$130=C1610)*(참고!$B$31:$B$130&lt;=A1610)*(참고!$B$31:$B$130=_xludf.MAXIFS(참고!$B$31:$B$130,참고!$A$31:$A$130,C1610,참고!$B$31:$B$130,"&lt;="&amp;A1610))*참고!$C$31:$C$130)/100,0)</f>
        <v>0</v>
      </c>
      <c r="J1610" s="31" t="str">
        <f t="shared" si="76"/>
        <v/>
      </c>
      <c r="K1610" s="43">
        <f>IF(B1610="매도",IFERROR(SUMPRODUCT((참고!$A$31:$A$130=C1610)*(참고!$B$31:$B$130&lt;=A1610)*(참고!$B$31:$B$130=_xludf.MAXIFS(참고!$B$31:$B$130,참고!$A$31:$A$130,C1610,참고!$B$31:$B$130,"&lt;="&amp;A1610))*참고!$D$31:$D$130)/100,0),0)</f>
        <v>0</v>
      </c>
      <c r="L1610" s="31" t="str">
        <f t="shared" si="77"/>
        <v/>
      </c>
      <c r="M1610" s="39"/>
    </row>
    <row r="1611" spans="1:13" ht="18" customHeight="1" x14ac:dyDescent="0.45">
      <c r="A1611" s="37"/>
      <c r="B1611" s="29"/>
      <c r="C1611" s="29"/>
      <c r="D1611" s="28"/>
      <c r="E1611" s="30" t="str">
        <f>IFERROR(VLOOKUP(D1611,KRX종목마스터!$A:$B,2,FALSE),"")</f>
        <v/>
      </c>
      <c r="F1611" s="42"/>
      <c r="G1611" s="42"/>
      <c r="H1611" s="31" t="str">
        <f t="shared" si="75"/>
        <v/>
      </c>
      <c r="I1611" s="43">
        <f ca="1">IFERROR(SUMPRODUCT((참고!$A$31:$A$130=C1611)*(참고!$B$31:$B$130&lt;=A1611)*(참고!$B$31:$B$130=_xludf.MAXIFS(참고!$B$31:$B$130,참고!$A$31:$A$130,C1611,참고!$B$31:$B$130,"&lt;="&amp;A1611))*참고!$C$31:$C$130)/100,0)</f>
        <v>0</v>
      </c>
      <c r="J1611" s="31" t="str">
        <f t="shared" si="76"/>
        <v/>
      </c>
      <c r="K1611" s="43">
        <f>IF(B1611="매도",IFERROR(SUMPRODUCT((참고!$A$31:$A$130=C1611)*(참고!$B$31:$B$130&lt;=A1611)*(참고!$B$31:$B$130=_xludf.MAXIFS(참고!$B$31:$B$130,참고!$A$31:$A$130,C1611,참고!$B$31:$B$130,"&lt;="&amp;A1611))*참고!$D$31:$D$130)/100,0),0)</f>
        <v>0</v>
      </c>
      <c r="L1611" s="31" t="str">
        <f t="shared" si="77"/>
        <v/>
      </c>
      <c r="M1611" s="39"/>
    </row>
    <row r="1612" spans="1:13" ht="18" customHeight="1" x14ac:dyDescent="0.45">
      <c r="A1612" s="37"/>
      <c r="B1612" s="29"/>
      <c r="C1612" s="29"/>
      <c r="D1612" s="28"/>
      <c r="E1612" s="30" t="str">
        <f>IFERROR(VLOOKUP(D1612,KRX종목마스터!$A:$B,2,FALSE),"")</f>
        <v/>
      </c>
      <c r="F1612" s="42"/>
      <c r="G1612" s="42"/>
      <c r="H1612" s="31" t="str">
        <f t="shared" si="75"/>
        <v/>
      </c>
      <c r="I1612" s="43">
        <f ca="1">IFERROR(SUMPRODUCT((참고!$A$31:$A$130=C1612)*(참고!$B$31:$B$130&lt;=A1612)*(참고!$B$31:$B$130=_xludf.MAXIFS(참고!$B$31:$B$130,참고!$A$31:$A$130,C1612,참고!$B$31:$B$130,"&lt;="&amp;A1612))*참고!$C$31:$C$130)/100,0)</f>
        <v>0</v>
      </c>
      <c r="J1612" s="31" t="str">
        <f t="shared" si="76"/>
        <v/>
      </c>
      <c r="K1612" s="43">
        <f>IF(B1612="매도",IFERROR(SUMPRODUCT((참고!$A$31:$A$130=C1612)*(참고!$B$31:$B$130&lt;=A1612)*(참고!$B$31:$B$130=_xludf.MAXIFS(참고!$B$31:$B$130,참고!$A$31:$A$130,C1612,참고!$B$31:$B$130,"&lt;="&amp;A1612))*참고!$D$31:$D$130)/100,0),0)</f>
        <v>0</v>
      </c>
      <c r="L1612" s="31" t="str">
        <f t="shared" si="77"/>
        <v/>
      </c>
      <c r="M1612" s="39"/>
    </row>
    <row r="1613" spans="1:13" ht="18" customHeight="1" x14ac:dyDescent="0.45">
      <c r="A1613" s="37"/>
      <c r="B1613" s="29"/>
      <c r="C1613" s="29"/>
      <c r="D1613" s="28"/>
      <c r="E1613" s="30" t="str">
        <f>IFERROR(VLOOKUP(D1613,KRX종목마스터!$A:$B,2,FALSE),"")</f>
        <v/>
      </c>
      <c r="F1613" s="42"/>
      <c r="G1613" s="42"/>
      <c r="H1613" s="31" t="str">
        <f t="shared" si="75"/>
        <v/>
      </c>
      <c r="I1613" s="43">
        <f ca="1">IFERROR(SUMPRODUCT((참고!$A$31:$A$130=C1613)*(참고!$B$31:$B$130&lt;=A1613)*(참고!$B$31:$B$130=_xludf.MAXIFS(참고!$B$31:$B$130,참고!$A$31:$A$130,C1613,참고!$B$31:$B$130,"&lt;="&amp;A1613))*참고!$C$31:$C$130)/100,0)</f>
        <v>0</v>
      </c>
      <c r="J1613" s="31" t="str">
        <f t="shared" si="76"/>
        <v/>
      </c>
      <c r="K1613" s="43">
        <f>IF(B1613="매도",IFERROR(SUMPRODUCT((참고!$A$31:$A$130=C1613)*(참고!$B$31:$B$130&lt;=A1613)*(참고!$B$31:$B$130=_xludf.MAXIFS(참고!$B$31:$B$130,참고!$A$31:$A$130,C1613,참고!$B$31:$B$130,"&lt;="&amp;A1613))*참고!$D$31:$D$130)/100,0),0)</f>
        <v>0</v>
      </c>
      <c r="L1613" s="31" t="str">
        <f t="shared" si="77"/>
        <v/>
      </c>
      <c r="M1613" s="39"/>
    </row>
    <row r="1614" spans="1:13" ht="18" customHeight="1" x14ac:dyDescent="0.45">
      <c r="A1614" s="37"/>
      <c r="B1614" s="29"/>
      <c r="C1614" s="29"/>
      <c r="D1614" s="28"/>
      <c r="E1614" s="30" t="str">
        <f>IFERROR(VLOOKUP(D1614,KRX종목마스터!$A:$B,2,FALSE),"")</f>
        <v/>
      </c>
      <c r="F1614" s="42"/>
      <c r="G1614" s="42"/>
      <c r="H1614" s="31" t="str">
        <f t="shared" si="75"/>
        <v/>
      </c>
      <c r="I1614" s="43">
        <f ca="1">IFERROR(SUMPRODUCT((참고!$A$31:$A$130=C1614)*(참고!$B$31:$B$130&lt;=A1614)*(참고!$B$31:$B$130=_xludf.MAXIFS(참고!$B$31:$B$130,참고!$A$31:$A$130,C1614,참고!$B$31:$B$130,"&lt;="&amp;A1614))*참고!$C$31:$C$130)/100,0)</f>
        <v>0</v>
      </c>
      <c r="J1614" s="31" t="str">
        <f t="shared" si="76"/>
        <v/>
      </c>
      <c r="K1614" s="43">
        <f>IF(B1614="매도",IFERROR(SUMPRODUCT((참고!$A$31:$A$130=C1614)*(참고!$B$31:$B$130&lt;=A1614)*(참고!$B$31:$B$130=_xludf.MAXIFS(참고!$B$31:$B$130,참고!$A$31:$A$130,C1614,참고!$B$31:$B$130,"&lt;="&amp;A1614))*참고!$D$31:$D$130)/100,0),0)</f>
        <v>0</v>
      </c>
      <c r="L1614" s="31" t="str">
        <f t="shared" si="77"/>
        <v/>
      </c>
      <c r="M1614" s="39"/>
    </row>
    <row r="1615" spans="1:13" ht="18" customHeight="1" x14ac:dyDescent="0.45">
      <c r="A1615" s="37"/>
      <c r="B1615" s="29"/>
      <c r="C1615" s="29"/>
      <c r="D1615" s="28"/>
      <c r="E1615" s="30" t="str">
        <f>IFERROR(VLOOKUP(D1615,KRX종목마스터!$A:$B,2,FALSE),"")</f>
        <v/>
      </c>
      <c r="F1615" s="42"/>
      <c r="G1615" s="42"/>
      <c r="H1615" s="31" t="str">
        <f t="shared" si="75"/>
        <v/>
      </c>
      <c r="I1615" s="43">
        <f ca="1">IFERROR(SUMPRODUCT((참고!$A$31:$A$130=C1615)*(참고!$B$31:$B$130&lt;=A1615)*(참고!$B$31:$B$130=_xludf.MAXIFS(참고!$B$31:$B$130,참고!$A$31:$A$130,C1615,참고!$B$31:$B$130,"&lt;="&amp;A1615))*참고!$C$31:$C$130)/100,0)</f>
        <v>0</v>
      </c>
      <c r="J1615" s="31" t="str">
        <f t="shared" si="76"/>
        <v/>
      </c>
      <c r="K1615" s="43">
        <f>IF(B1615="매도",IFERROR(SUMPRODUCT((참고!$A$31:$A$130=C1615)*(참고!$B$31:$B$130&lt;=A1615)*(참고!$B$31:$B$130=_xludf.MAXIFS(참고!$B$31:$B$130,참고!$A$31:$A$130,C1615,참고!$B$31:$B$130,"&lt;="&amp;A1615))*참고!$D$31:$D$130)/100,0),0)</f>
        <v>0</v>
      </c>
      <c r="L1615" s="31" t="str">
        <f t="shared" si="77"/>
        <v/>
      </c>
      <c r="M1615" s="39"/>
    </row>
    <row r="1616" spans="1:13" ht="18" customHeight="1" x14ac:dyDescent="0.45">
      <c r="A1616" s="37"/>
      <c r="B1616" s="29"/>
      <c r="C1616" s="29"/>
      <c r="D1616" s="28"/>
      <c r="E1616" s="30" t="str">
        <f>IFERROR(VLOOKUP(D1616,KRX종목마스터!$A:$B,2,FALSE),"")</f>
        <v/>
      </c>
      <c r="F1616" s="42"/>
      <c r="G1616" s="42"/>
      <c r="H1616" s="31" t="str">
        <f t="shared" si="75"/>
        <v/>
      </c>
      <c r="I1616" s="43">
        <f ca="1">IFERROR(SUMPRODUCT((참고!$A$31:$A$130=C1616)*(참고!$B$31:$B$130&lt;=A1616)*(참고!$B$31:$B$130=_xludf.MAXIFS(참고!$B$31:$B$130,참고!$A$31:$A$130,C1616,참고!$B$31:$B$130,"&lt;="&amp;A1616))*참고!$C$31:$C$130)/100,0)</f>
        <v>0</v>
      </c>
      <c r="J1616" s="31" t="str">
        <f t="shared" si="76"/>
        <v/>
      </c>
      <c r="K1616" s="43">
        <f>IF(B1616="매도",IFERROR(SUMPRODUCT((참고!$A$31:$A$130=C1616)*(참고!$B$31:$B$130&lt;=A1616)*(참고!$B$31:$B$130=_xludf.MAXIFS(참고!$B$31:$B$130,참고!$A$31:$A$130,C1616,참고!$B$31:$B$130,"&lt;="&amp;A1616))*참고!$D$31:$D$130)/100,0),0)</f>
        <v>0</v>
      </c>
      <c r="L1616" s="31" t="str">
        <f t="shared" si="77"/>
        <v/>
      </c>
      <c r="M1616" s="39"/>
    </row>
    <row r="1617" spans="1:13" ht="18" customHeight="1" x14ac:dyDescent="0.45">
      <c r="A1617" s="37"/>
      <c r="B1617" s="29"/>
      <c r="C1617" s="29"/>
      <c r="D1617" s="28"/>
      <c r="E1617" s="30" t="str">
        <f>IFERROR(VLOOKUP(D1617,KRX종목마스터!$A:$B,2,FALSE),"")</f>
        <v/>
      </c>
      <c r="F1617" s="42"/>
      <c r="G1617" s="42"/>
      <c r="H1617" s="31" t="str">
        <f t="shared" si="75"/>
        <v/>
      </c>
      <c r="I1617" s="43">
        <f ca="1">IFERROR(SUMPRODUCT((참고!$A$31:$A$130=C1617)*(참고!$B$31:$B$130&lt;=A1617)*(참고!$B$31:$B$130=_xludf.MAXIFS(참고!$B$31:$B$130,참고!$A$31:$A$130,C1617,참고!$B$31:$B$130,"&lt;="&amp;A1617))*참고!$C$31:$C$130)/100,0)</f>
        <v>0</v>
      </c>
      <c r="J1617" s="31" t="str">
        <f t="shared" si="76"/>
        <v/>
      </c>
      <c r="K1617" s="43">
        <f>IF(B1617="매도",IFERROR(SUMPRODUCT((참고!$A$31:$A$130=C1617)*(참고!$B$31:$B$130&lt;=A1617)*(참고!$B$31:$B$130=_xludf.MAXIFS(참고!$B$31:$B$130,참고!$A$31:$A$130,C1617,참고!$B$31:$B$130,"&lt;="&amp;A1617))*참고!$D$31:$D$130)/100,0),0)</f>
        <v>0</v>
      </c>
      <c r="L1617" s="31" t="str">
        <f t="shared" si="77"/>
        <v/>
      </c>
      <c r="M1617" s="39"/>
    </row>
    <row r="1618" spans="1:13" ht="18" customHeight="1" x14ac:dyDescent="0.45">
      <c r="A1618" s="37"/>
      <c r="B1618" s="29"/>
      <c r="C1618" s="29"/>
      <c r="D1618" s="28"/>
      <c r="E1618" s="30" t="str">
        <f>IFERROR(VLOOKUP(D1618,KRX종목마스터!$A:$B,2,FALSE),"")</f>
        <v/>
      </c>
      <c r="F1618" s="42"/>
      <c r="G1618" s="42"/>
      <c r="H1618" s="31" t="str">
        <f t="shared" si="75"/>
        <v/>
      </c>
      <c r="I1618" s="43">
        <f ca="1">IFERROR(SUMPRODUCT((참고!$A$31:$A$130=C1618)*(참고!$B$31:$B$130&lt;=A1618)*(참고!$B$31:$B$130=_xludf.MAXIFS(참고!$B$31:$B$130,참고!$A$31:$A$130,C1618,참고!$B$31:$B$130,"&lt;="&amp;A1618))*참고!$C$31:$C$130)/100,0)</f>
        <v>0</v>
      </c>
      <c r="J1618" s="31" t="str">
        <f t="shared" si="76"/>
        <v/>
      </c>
      <c r="K1618" s="43">
        <f>IF(B1618="매도",IFERROR(SUMPRODUCT((참고!$A$31:$A$130=C1618)*(참고!$B$31:$B$130&lt;=A1618)*(참고!$B$31:$B$130=_xludf.MAXIFS(참고!$B$31:$B$130,참고!$A$31:$A$130,C1618,참고!$B$31:$B$130,"&lt;="&amp;A1618))*참고!$D$31:$D$130)/100,0),0)</f>
        <v>0</v>
      </c>
      <c r="L1618" s="31" t="str">
        <f t="shared" si="77"/>
        <v/>
      </c>
      <c r="M1618" s="39"/>
    </row>
    <row r="1619" spans="1:13" ht="18" customHeight="1" x14ac:dyDescent="0.45">
      <c r="A1619" s="37"/>
      <c r="B1619" s="29"/>
      <c r="C1619" s="29"/>
      <c r="D1619" s="28"/>
      <c r="E1619" s="30" t="str">
        <f>IFERROR(VLOOKUP(D1619,KRX종목마스터!$A:$B,2,FALSE),"")</f>
        <v/>
      </c>
      <c r="F1619" s="42"/>
      <c r="G1619" s="42"/>
      <c r="H1619" s="31" t="str">
        <f t="shared" si="75"/>
        <v/>
      </c>
      <c r="I1619" s="43">
        <f ca="1">IFERROR(SUMPRODUCT((참고!$A$31:$A$130=C1619)*(참고!$B$31:$B$130&lt;=A1619)*(참고!$B$31:$B$130=_xludf.MAXIFS(참고!$B$31:$B$130,참고!$A$31:$A$130,C1619,참고!$B$31:$B$130,"&lt;="&amp;A1619))*참고!$C$31:$C$130)/100,0)</f>
        <v>0</v>
      </c>
      <c r="J1619" s="31" t="str">
        <f t="shared" si="76"/>
        <v/>
      </c>
      <c r="K1619" s="43">
        <f>IF(B1619="매도",IFERROR(SUMPRODUCT((참고!$A$31:$A$130=C1619)*(참고!$B$31:$B$130&lt;=A1619)*(참고!$B$31:$B$130=_xludf.MAXIFS(참고!$B$31:$B$130,참고!$A$31:$A$130,C1619,참고!$B$31:$B$130,"&lt;="&amp;A1619))*참고!$D$31:$D$130)/100,0),0)</f>
        <v>0</v>
      </c>
      <c r="L1619" s="31" t="str">
        <f t="shared" si="77"/>
        <v/>
      </c>
      <c r="M1619" s="39"/>
    </row>
    <row r="1620" spans="1:13" ht="18" customHeight="1" x14ac:dyDescent="0.45">
      <c r="A1620" s="37"/>
      <c r="B1620" s="29"/>
      <c r="C1620" s="29"/>
      <c r="D1620" s="28"/>
      <c r="E1620" s="30" t="str">
        <f>IFERROR(VLOOKUP(D1620,KRX종목마스터!$A:$B,2,FALSE),"")</f>
        <v/>
      </c>
      <c r="F1620" s="42"/>
      <c r="G1620" s="42"/>
      <c r="H1620" s="31" t="str">
        <f t="shared" si="75"/>
        <v/>
      </c>
      <c r="I1620" s="43">
        <f ca="1">IFERROR(SUMPRODUCT((참고!$A$31:$A$130=C1620)*(참고!$B$31:$B$130&lt;=A1620)*(참고!$B$31:$B$130=_xludf.MAXIFS(참고!$B$31:$B$130,참고!$A$31:$A$130,C1620,참고!$B$31:$B$130,"&lt;="&amp;A1620))*참고!$C$31:$C$130)/100,0)</f>
        <v>0</v>
      </c>
      <c r="J1620" s="31" t="str">
        <f t="shared" si="76"/>
        <v/>
      </c>
      <c r="K1620" s="43">
        <f>IF(B1620="매도",IFERROR(SUMPRODUCT((참고!$A$31:$A$130=C1620)*(참고!$B$31:$B$130&lt;=A1620)*(참고!$B$31:$B$130=_xludf.MAXIFS(참고!$B$31:$B$130,참고!$A$31:$A$130,C1620,참고!$B$31:$B$130,"&lt;="&amp;A1620))*참고!$D$31:$D$130)/100,0),0)</f>
        <v>0</v>
      </c>
      <c r="L1620" s="31" t="str">
        <f t="shared" si="77"/>
        <v/>
      </c>
      <c r="M1620" s="39"/>
    </row>
    <row r="1621" spans="1:13" ht="18" customHeight="1" x14ac:dyDescent="0.45">
      <c r="A1621" s="37"/>
      <c r="B1621" s="29"/>
      <c r="C1621" s="29"/>
      <c r="D1621" s="28"/>
      <c r="E1621" s="30" t="str">
        <f>IFERROR(VLOOKUP(D1621,KRX종목마스터!$A:$B,2,FALSE),"")</f>
        <v/>
      </c>
      <c r="F1621" s="42"/>
      <c r="G1621" s="42"/>
      <c r="H1621" s="31" t="str">
        <f t="shared" si="75"/>
        <v/>
      </c>
      <c r="I1621" s="43">
        <f ca="1">IFERROR(SUMPRODUCT((참고!$A$31:$A$130=C1621)*(참고!$B$31:$B$130&lt;=A1621)*(참고!$B$31:$B$130=_xludf.MAXIFS(참고!$B$31:$B$130,참고!$A$31:$A$130,C1621,참고!$B$31:$B$130,"&lt;="&amp;A1621))*참고!$C$31:$C$130)/100,0)</f>
        <v>0</v>
      </c>
      <c r="J1621" s="31" t="str">
        <f t="shared" si="76"/>
        <v/>
      </c>
      <c r="K1621" s="43">
        <f>IF(B1621="매도",IFERROR(SUMPRODUCT((참고!$A$31:$A$130=C1621)*(참고!$B$31:$B$130&lt;=A1621)*(참고!$B$31:$B$130=_xludf.MAXIFS(참고!$B$31:$B$130,참고!$A$31:$A$130,C1621,참고!$B$31:$B$130,"&lt;="&amp;A1621))*참고!$D$31:$D$130)/100,0),0)</f>
        <v>0</v>
      </c>
      <c r="L1621" s="31" t="str">
        <f t="shared" si="77"/>
        <v/>
      </c>
      <c r="M1621" s="39"/>
    </row>
    <row r="1622" spans="1:13" ht="18" customHeight="1" x14ac:dyDescent="0.45">
      <c r="A1622" s="37"/>
      <c r="B1622" s="29"/>
      <c r="C1622" s="29"/>
      <c r="D1622" s="28"/>
      <c r="E1622" s="30" t="str">
        <f>IFERROR(VLOOKUP(D1622,KRX종목마스터!$A:$B,2,FALSE),"")</f>
        <v/>
      </c>
      <c r="F1622" s="42"/>
      <c r="G1622" s="42"/>
      <c r="H1622" s="31" t="str">
        <f t="shared" si="75"/>
        <v/>
      </c>
      <c r="I1622" s="43">
        <f ca="1">IFERROR(SUMPRODUCT((참고!$A$31:$A$130=C1622)*(참고!$B$31:$B$130&lt;=A1622)*(참고!$B$31:$B$130=_xludf.MAXIFS(참고!$B$31:$B$130,참고!$A$31:$A$130,C1622,참고!$B$31:$B$130,"&lt;="&amp;A1622))*참고!$C$31:$C$130)/100,0)</f>
        <v>0</v>
      </c>
      <c r="J1622" s="31" t="str">
        <f t="shared" si="76"/>
        <v/>
      </c>
      <c r="K1622" s="43">
        <f>IF(B1622="매도",IFERROR(SUMPRODUCT((참고!$A$31:$A$130=C1622)*(참고!$B$31:$B$130&lt;=A1622)*(참고!$B$31:$B$130=_xludf.MAXIFS(참고!$B$31:$B$130,참고!$A$31:$A$130,C1622,참고!$B$31:$B$130,"&lt;="&amp;A1622))*참고!$D$31:$D$130)/100,0),0)</f>
        <v>0</v>
      </c>
      <c r="L1622" s="31" t="str">
        <f t="shared" si="77"/>
        <v/>
      </c>
      <c r="M1622" s="39"/>
    </row>
    <row r="1623" spans="1:13" ht="18" customHeight="1" x14ac:dyDescent="0.45">
      <c r="A1623" s="37"/>
      <c r="B1623" s="29"/>
      <c r="C1623" s="29"/>
      <c r="D1623" s="28"/>
      <c r="E1623" s="30" t="str">
        <f>IFERROR(VLOOKUP(D1623,KRX종목마스터!$A:$B,2,FALSE),"")</f>
        <v/>
      </c>
      <c r="F1623" s="42"/>
      <c r="G1623" s="42"/>
      <c r="H1623" s="31" t="str">
        <f t="shared" si="75"/>
        <v/>
      </c>
      <c r="I1623" s="43">
        <f ca="1">IFERROR(SUMPRODUCT((참고!$A$31:$A$130=C1623)*(참고!$B$31:$B$130&lt;=A1623)*(참고!$B$31:$B$130=_xludf.MAXIFS(참고!$B$31:$B$130,참고!$A$31:$A$130,C1623,참고!$B$31:$B$130,"&lt;="&amp;A1623))*참고!$C$31:$C$130)/100,0)</f>
        <v>0</v>
      </c>
      <c r="J1623" s="31" t="str">
        <f t="shared" si="76"/>
        <v/>
      </c>
      <c r="K1623" s="43">
        <f>IF(B1623="매도",IFERROR(SUMPRODUCT((참고!$A$31:$A$130=C1623)*(참고!$B$31:$B$130&lt;=A1623)*(참고!$B$31:$B$130=_xludf.MAXIFS(참고!$B$31:$B$130,참고!$A$31:$A$130,C1623,참고!$B$31:$B$130,"&lt;="&amp;A1623))*참고!$D$31:$D$130)/100,0),0)</f>
        <v>0</v>
      </c>
      <c r="L1623" s="31" t="str">
        <f t="shared" si="77"/>
        <v/>
      </c>
      <c r="M1623" s="39"/>
    </row>
    <row r="1624" spans="1:13" ht="18" customHeight="1" x14ac:dyDescent="0.45">
      <c r="A1624" s="37"/>
      <c r="B1624" s="29"/>
      <c r="C1624" s="29"/>
      <c r="D1624" s="28"/>
      <c r="E1624" s="30" t="str">
        <f>IFERROR(VLOOKUP(D1624,KRX종목마스터!$A:$B,2,FALSE),"")</f>
        <v/>
      </c>
      <c r="F1624" s="42"/>
      <c r="G1624" s="42"/>
      <c r="H1624" s="31" t="str">
        <f t="shared" si="75"/>
        <v/>
      </c>
      <c r="I1624" s="43">
        <f ca="1">IFERROR(SUMPRODUCT((참고!$A$31:$A$130=C1624)*(참고!$B$31:$B$130&lt;=A1624)*(참고!$B$31:$B$130=_xludf.MAXIFS(참고!$B$31:$B$130,참고!$A$31:$A$130,C1624,참고!$B$31:$B$130,"&lt;="&amp;A1624))*참고!$C$31:$C$130)/100,0)</f>
        <v>0</v>
      </c>
      <c r="J1624" s="31" t="str">
        <f t="shared" si="76"/>
        <v/>
      </c>
      <c r="K1624" s="43">
        <f>IF(B1624="매도",IFERROR(SUMPRODUCT((참고!$A$31:$A$130=C1624)*(참고!$B$31:$B$130&lt;=A1624)*(참고!$B$31:$B$130=_xludf.MAXIFS(참고!$B$31:$B$130,참고!$A$31:$A$130,C1624,참고!$B$31:$B$130,"&lt;="&amp;A1624))*참고!$D$31:$D$130)/100,0),0)</f>
        <v>0</v>
      </c>
      <c r="L1624" s="31" t="str">
        <f t="shared" si="77"/>
        <v/>
      </c>
      <c r="M1624" s="39"/>
    </row>
    <row r="1625" spans="1:13" ht="18" customHeight="1" x14ac:dyDescent="0.45">
      <c r="A1625" s="37"/>
      <c r="B1625" s="29"/>
      <c r="C1625" s="29"/>
      <c r="D1625" s="28"/>
      <c r="E1625" s="30" t="str">
        <f>IFERROR(VLOOKUP(D1625,KRX종목마스터!$A:$B,2,FALSE),"")</f>
        <v/>
      </c>
      <c r="F1625" s="42"/>
      <c r="G1625" s="42"/>
      <c r="H1625" s="31" t="str">
        <f t="shared" si="75"/>
        <v/>
      </c>
      <c r="I1625" s="43">
        <f ca="1">IFERROR(SUMPRODUCT((참고!$A$31:$A$130=C1625)*(참고!$B$31:$B$130&lt;=A1625)*(참고!$B$31:$B$130=_xludf.MAXIFS(참고!$B$31:$B$130,참고!$A$31:$A$130,C1625,참고!$B$31:$B$130,"&lt;="&amp;A1625))*참고!$C$31:$C$130)/100,0)</f>
        <v>0</v>
      </c>
      <c r="J1625" s="31" t="str">
        <f t="shared" si="76"/>
        <v/>
      </c>
      <c r="K1625" s="43">
        <f>IF(B1625="매도",IFERROR(SUMPRODUCT((참고!$A$31:$A$130=C1625)*(참고!$B$31:$B$130&lt;=A1625)*(참고!$B$31:$B$130=_xludf.MAXIFS(참고!$B$31:$B$130,참고!$A$31:$A$130,C1625,참고!$B$31:$B$130,"&lt;="&amp;A1625))*참고!$D$31:$D$130)/100,0),0)</f>
        <v>0</v>
      </c>
      <c r="L1625" s="31" t="str">
        <f t="shared" si="77"/>
        <v/>
      </c>
      <c r="M1625" s="39"/>
    </row>
    <row r="1626" spans="1:13" ht="18" customHeight="1" x14ac:dyDescent="0.45">
      <c r="A1626" s="37"/>
      <c r="B1626" s="29"/>
      <c r="C1626" s="29"/>
      <c r="D1626" s="28"/>
      <c r="E1626" s="30" t="str">
        <f>IFERROR(VLOOKUP(D1626,KRX종목마스터!$A:$B,2,FALSE),"")</f>
        <v/>
      </c>
      <c r="F1626" s="42"/>
      <c r="G1626" s="42"/>
      <c r="H1626" s="31" t="str">
        <f t="shared" si="75"/>
        <v/>
      </c>
      <c r="I1626" s="43">
        <f ca="1">IFERROR(SUMPRODUCT((참고!$A$31:$A$130=C1626)*(참고!$B$31:$B$130&lt;=A1626)*(참고!$B$31:$B$130=_xludf.MAXIFS(참고!$B$31:$B$130,참고!$A$31:$A$130,C1626,참고!$B$31:$B$130,"&lt;="&amp;A1626))*참고!$C$31:$C$130)/100,0)</f>
        <v>0</v>
      </c>
      <c r="J1626" s="31" t="str">
        <f t="shared" si="76"/>
        <v/>
      </c>
      <c r="K1626" s="43">
        <f>IF(B1626="매도",IFERROR(SUMPRODUCT((참고!$A$31:$A$130=C1626)*(참고!$B$31:$B$130&lt;=A1626)*(참고!$B$31:$B$130=_xludf.MAXIFS(참고!$B$31:$B$130,참고!$A$31:$A$130,C1626,참고!$B$31:$B$130,"&lt;="&amp;A1626))*참고!$D$31:$D$130)/100,0),0)</f>
        <v>0</v>
      </c>
      <c r="L1626" s="31" t="str">
        <f t="shared" si="77"/>
        <v/>
      </c>
      <c r="M1626" s="39"/>
    </row>
    <row r="1627" spans="1:13" ht="18" customHeight="1" x14ac:dyDescent="0.45">
      <c r="A1627" s="37"/>
      <c r="B1627" s="29"/>
      <c r="C1627" s="29"/>
      <c r="D1627" s="28"/>
      <c r="E1627" s="30" t="str">
        <f>IFERROR(VLOOKUP(D1627,KRX종목마스터!$A:$B,2,FALSE),"")</f>
        <v/>
      </c>
      <c r="F1627" s="42"/>
      <c r="G1627" s="42"/>
      <c r="H1627" s="31" t="str">
        <f t="shared" si="75"/>
        <v/>
      </c>
      <c r="I1627" s="43">
        <f ca="1">IFERROR(SUMPRODUCT((참고!$A$31:$A$130=C1627)*(참고!$B$31:$B$130&lt;=A1627)*(참고!$B$31:$B$130=_xludf.MAXIFS(참고!$B$31:$B$130,참고!$A$31:$A$130,C1627,참고!$B$31:$B$130,"&lt;="&amp;A1627))*참고!$C$31:$C$130)/100,0)</f>
        <v>0</v>
      </c>
      <c r="J1627" s="31" t="str">
        <f t="shared" si="76"/>
        <v/>
      </c>
      <c r="K1627" s="43">
        <f>IF(B1627="매도",IFERROR(SUMPRODUCT((참고!$A$31:$A$130=C1627)*(참고!$B$31:$B$130&lt;=A1627)*(참고!$B$31:$B$130=_xludf.MAXIFS(참고!$B$31:$B$130,참고!$A$31:$A$130,C1627,참고!$B$31:$B$130,"&lt;="&amp;A1627))*참고!$D$31:$D$130)/100,0),0)</f>
        <v>0</v>
      </c>
      <c r="L1627" s="31" t="str">
        <f t="shared" si="77"/>
        <v/>
      </c>
      <c r="M1627" s="39"/>
    </row>
    <row r="1628" spans="1:13" ht="18" customHeight="1" x14ac:dyDescent="0.45">
      <c r="A1628" s="37"/>
      <c r="B1628" s="29"/>
      <c r="C1628" s="29"/>
      <c r="D1628" s="28"/>
      <c r="E1628" s="30" t="str">
        <f>IFERROR(VLOOKUP(D1628,KRX종목마스터!$A:$B,2,FALSE),"")</f>
        <v/>
      </c>
      <c r="F1628" s="42"/>
      <c r="G1628" s="42"/>
      <c r="H1628" s="31" t="str">
        <f t="shared" si="75"/>
        <v/>
      </c>
      <c r="I1628" s="43">
        <f ca="1">IFERROR(SUMPRODUCT((참고!$A$31:$A$130=C1628)*(참고!$B$31:$B$130&lt;=A1628)*(참고!$B$31:$B$130=_xludf.MAXIFS(참고!$B$31:$B$130,참고!$A$31:$A$130,C1628,참고!$B$31:$B$130,"&lt;="&amp;A1628))*참고!$C$31:$C$130)/100,0)</f>
        <v>0</v>
      </c>
      <c r="J1628" s="31" t="str">
        <f t="shared" si="76"/>
        <v/>
      </c>
      <c r="K1628" s="43">
        <f>IF(B1628="매도",IFERROR(SUMPRODUCT((참고!$A$31:$A$130=C1628)*(참고!$B$31:$B$130&lt;=A1628)*(참고!$B$31:$B$130=_xludf.MAXIFS(참고!$B$31:$B$130,참고!$A$31:$A$130,C1628,참고!$B$31:$B$130,"&lt;="&amp;A1628))*참고!$D$31:$D$130)/100,0),0)</f>
        <v>0</v>
      </c>
      <c r="L1628" s="31" t="str">
        <f t="shared" si="77"/>
        <v/>
      </c>
      <c r="M1628" s="39"/>
    </row>
    <row r="1629" spans="1:13" ht="18" customHeight="1" x14ac:dyDescent="0.45">
      <c r="A1629" s="37"/>
      <c r="B1629" s="29"/>
      <c r="C1629" s="29"/>
      <c r="D1629" s="28"/>
      <c r="E1629" s="30" t="str">
        <f>IFERROR(VLOOKUP(D1629,KRX종목마스터!$A:$B,2,FALSE),"")</f>
        <v/>
      </c>
      <c r="F1629" s="42"/>
      <c r="G1629" s="42"/>
      <c r="H1629" s="31" t="str">
        <f t="shared" si="75"/>
        <v/>
      </c>
      <c r="I1629" s="43">
        <f ca="1">IFERROR(SUMPRODUCT((참고!$A$31:$A$130=C1629)*(참고!$B$31:$B$130&lt;=A1629)*(참고!$B$31:$B$130=_xludf.MAXIFS(참고!$B$31:$B$130,참고!$A$31:$A$130,C1629,참고!$B$31:$B$130,"&lt;="&amp;A1629))*참고!$C$31:$C$130)/100,0)</f>
        <v>0</v>
      </c>
      <c r="J1629" s="31" t="str">
        <f t="shared" si="76"/>
        <v/>
      </c>
      <c r="K1629" s="43">
        <f>IF(B1629="매도",IFERROR(SUMPRODUCT((참고!$A$31:$A$130=C1629)*(참고!$B$31:$B$130&lt;=A1629)*(참고!$B$31:$B$130=_xludf.MAXIFS(참고!$B$31:$B$130,참고!$A$31:$A$130,C1629,참고!$B$31:$B$130,"&lt;="&amp;A1629))*참고!$D$31:$D$130)/100,0),0)</f>
        <v>0</v>
      </c>
      <c r="L1629" s="31" t="str">
        <f t="shared" si="77"/>
        <v/>
      </c>
      <c r="M1629" s="39"/>
    </row>
    <row r="1630" spans="1:13" ht="18" customHeight="1" x14ac:dyDescent="0.45">
      <c r="A1630" s="37"/>
      <c r="B1630" s="29"/>
      <c r="C1630" s="29"/>
      <c r="D1630" s="28"/>
      <c r="E1630" s="30" t="str">
        <f>IFERROR(VLOOKUP(D1630,KRX종목마스터!$A:$B,2,FALSE),"")</f>
        <v/>
      </c>
      <c r="F1630" s="42"/>
      <c r="G1630" s="42"/>
      <c r="H1630" s="31" t="str">
        <f t="shared" si="75"/>
        <v/>
      </c>
      <c r="I1630" s="43">
        <f ca="1">IFERROR(SUMPRODUCT((참고!$A$31:$A$130=C1630)*(참고!$B$31:$B$130&lt;=A1630)*(참고!$B$31:$B$130=_xludf.MAXIFS(참고!$B$31:$B$130,참고!$A$31:$A$130,C1630,참고!$B$31:$B$130,"&lt;="&amp;A1630))*참고!$C$31:$C$130)/100,0)</f>
        <v>0</v>
      </c>
      <c r="J1630" s="31" t="str">
        <f t="shared" si="76"/>
        <v/>
      </c>
      <c r="K1630" s="43">
        <f>IF(B1630="매도",IFERROR(SUMPRODUCT((참고!$A$31:$A$130=C1630)*(참고!$B$31:$B$130&lt;=A1630)*(참고!$B$31:$B$130=_xludf.MAXIFS(참고!$B$31:$B$130,참고!$A$31:$A$130,C1630,참고!$B$31:$B$130,"&lt;="&amp;A1630))*참고!$D$31:$D$130)/100,0),0)</f>
        <v>0</v>
      </c>
      <c r="L1630" s="31" t="str">
        <f t="shared" si="77"/>
        <v/>
      </c>
      <c r="M1630" s="39"/>
    </row>
    <row r="1631" spans="1:13" ht="18" customHeight="1" x14ac:dyDescent="0.45">
      <c r="A1631" s="37"/>
      <c r="B1631" s="29"/>
      <c r="C1631" s="29"/>
      <c r="D1631" s="28"/>
      <c r="E1631" s="30" t="str">
        <f>IFERROR(VLOOKUP(D1631,KRX종목마스터!$A:$B,2,FALSE),"")</f>
        <v/>
      </c>
      <c r="F1631" s="42"/>
      <c r="G1631" s="42"/>
      <c r="H1631" s="31" t="str">
        <f t="shared" si="75"/>
        <v/>
      </c>
      <c r="I1631" s="43">
        <f ca="1">IFERROR(SUMPRODUCT((참고!$A$31:$A$130=C1631)*(참고!$B$31:$B$130&lt;=A1631)*(참고!$B$31:$B$130=_xludf.MAXIFS(참고!$B$31:$B$130,참고!$A$31:$A$130,C1631,참고!$B$31:$B$130,"&lt;="&amp;A1631))*참고!$C$31:$C$130)/100,0)</f>
        <v>0</v>
      </c>
      <c r="J1631" s="31" t="str">
        <f t="shared" si="76"/>
        <v/>
      </c>
      <c r="K1631" s="43">
        <f>IF(B1631="매도",IFERROR(SUMPRODUCT((참고!$A$31:$A$130=C1631)*(참고!$B$31:$B$130&lt;=A1631)*(참고!$B$31:$B$130=_xludf.MAXIFS(참고!$B$31:$B$130,참고!$A$31:$A$130,C1631,참고!$B$31:$B$130,"&lt;="&amp;A1631))*참고!$D$31:$D$130)/100,0),0)</f>
        <v>0</v>
      </c>
      <c r="L1631" s="31" t="str">
        <f t="shared" si="77"/>
        <v/>
      </c>
      <c r="M1631" s="39"/>
    </row>
    <row r="1632" spans="1:13" ht="18" customHeight="1" x14ac:dyDescent="0.45">
      <c r="A1632" s="37"/>
      <c r="B1632" s="29"/>
      <c r="C1632" s="29"/>
      <c r="D1632" s="28"/>
      <c r="E1632" s="30" t="str">
        <f>IFERROR(VLOOKUP(D1632,KRX종목마스터!$A:$B,2,FALSE),"")</f>
        <v/>
      </c>
      <c r="F1632" s="42"/>
      <c r="G1632" s="42"/>
      <c r="H1632" s="31" t="str">
        <f t="shared" si="75"/>
        <v/>
      </c>
      <c r="I1632" s="43">
        <f ca="1">IFERROR(SUMPRODUCT((참고!$A$31:$A$130=C1632)*(참고!$B$31:$B$130&lt;=A1632)*(참고!$B$31:$B$130=_xludf.MAXIFS(참고!$B$31:$B$130,참고!$A$31:$A$130,C1632,참고!$B$31:$B$130,"&lt;="&amp;A1632))*참고!$C$31:$C$130)/100,0)</f>
        <v>0</v>
      </c>
      <c r="J1632" s="31" t="str">
        <f t="shared" si="76"/>
        <v/>
      </c>
      <c r="K1632" s="43">
        <f>IF(B1632="매도",IFERROR(SUMPRODUCT((참고!$A$31:$A$130=C1632)*(참고!$B$31:$B$130&lt;=A1632)*(참고!$B$31:$B$130=_xludf.MAXIFS(참고!$B$31:$B$130,참고!$A$31:$A$130,C1632,참고!$B$31:$B$130,"&lt;="&amp;A1632))*참고!$D$31:$D$130)/100,0),0)</f>
        <v>0</v>
      </c>
      <c r="L1632" s="31" t="str">
        <f t="shared" si="77"/>
        <v/>
      </c>
      <c r="M1632" s="39"/>
    </row>
    <row r="1633" spans="1:13" ht="18" customHeight="1" x14ac:dyDescent="0.45">
      <c r="A1633" s="37"/>
      <c r="B1633" s="29"/>
      <c r="C1633" s="29"/>
      <c r="D1633" s="28"/>
      <c r="E1633" s="30" t="str">
        <f>IFERROR(VLOOKUP(D1633,KRX종목마스터!$A:$B,2,FALSE),"")</f>
        <v/>
      </c>
      <c r="F1633" s="42"/>
      <c r="G1633" s="42"/>
      <c r="H1633" s="31" t="str">
        <f t="shared" si="75"/>
        <v/>
      </c>
      <c r="I1633" s="43">
        <f ca="1">IFERROR(SUMPRODUCT((참고!$A$31:$A$130=C1633)*(참고!$B$31:$B$130&lt;=A1633)*(참고!$B$31:$B$130=_xludf.MAXIFS(참고!$B$31:$B$130,참고!$A$31:$A$130,C1633,참고!$B$31:$B$130,"&lt;="&amp;A1633))*참고!$C$31:$C$130)/100,0)</f>
        <v>0</v>
      </c>
      <c r="J1633" s="31" t="str">
        <f t="shared" si="76"/>
        <v/>
      </c>
      <c r="K1633" s="43">
        <f>IF(B1633="매도",IFERROR(SUMPRODUCT((참고!$A$31:$A$130=C1633)*(참고!$B$31:$B$130&lt;=A1633)*(참고!$B$31:$B$130=_xludf.MAXIFS(참고!$B$31:$B$130,참고!$A$31:$A$130,C1633,참고!$B$31:$B$130,"&lt;="&amp;A1633))*참고!$D$31:$D$130)/100,0),0)</f>
        <v>0</v>
      </c>
      <c r="L1633" s="31" t="str">
        <f t="shared" si="77"/>
        <v/>
      </c>
      <c r="M1633" s="39"/>
    </row>
    <row r="1634" spans="1:13" ht="18" customHeight="1" x14ac:dyDescent="0.45">
      <c r="A1634" s="37"/>
      <c r="B1634" s="29"/>
      <c r="C1634" s="29"/>
      <c r="D1634" s="28"/>
      <c r="E1634" s="30" t="str">
        <f>IFERROR(VLOOKUP(D1634,KRX종목마스터!$A:$B,2,FALSE),"")</f>
        <v/>
      </c>
      <c r="F1634" s="42"/>
      <c r="G1634" s="42"/>
      <c r="H1634" s="31" t="str">
        <f t="shared" si="75"/>
        <v/>
      </c>
      <c r="I1634" s="43">
        <f ca="1">IFERROR(SUMPRODUCT((참고!$A$31:$A$130=C1634)*(참고!$B$31:$B$130&lt;=A1634)*(참고!$B$31:$B$130=_xludf.MAXIFS(참고!$B$31:$B$130,참고!$A$31:$A$130,C1634,참고!$B$31:$B$130,"&lt;="&amp;A1634))*참고!$C$31:$C$130)/100,0)</f>
        <v>0</v>
      </c>
      <c r="J1634" s="31" t="str">
        <f t="shared" si="76"/>
        <v/>
      </c>
      <c r="K1634" s="43">
        <f>IF(B1634="매도",IFERROR(SUMPRODUCT((참고!$A$31:$A$130=C1634)*(참고!$B$31:$B$130&lt;=A1634)*(참고!$B$31:$B$130=_xludf.MAXIFS(참고!$B$31:$B$130,참고!$A$31:$A$130,C1634,참고!$B$31:$B$130,"&lt;="&amp;A1634))*참고!$D$31:$D$130)/100,0),0)</f>
        <v>0</v>
      </c>
      <c r="L1634" s="31" t="str">
        <f t="shared" si="77"/>
        <v/>
      </c>
      <c r="M1634" s="39"/>
    </row>
    <row r="1635" spans="1:13" ht="18" customHeight="1" x14ac:dyDescent="0.45">
      <c r="A1635" s="37"/>
      <c r="B1635" s="29"/>
      <c r="C1635" s="29"/>
      <c r="D1635" s="28"/>
      <c r="E1635" s="30" t="str">
        <f>IFERROR(VLOOKUP(D1635,KRX종목마스터!$A:$B,2,FALSE),"")</f>
        <v/>
      </c>
      <c r="F1635" s="42"/>
      <c r="G1635" s="42"/>
      <c r="H1635" s="31" t="str">
        <f t="shared" si="75"/>
        <v/>
      </c>
      <c r="I1635" s="43">
        <f ca="1">IFERROR(SUMPRODUCT((참고!$A$31:$A$130=C1635)*(참고!$B$31:$B$130&lt;=A1635)*(참고!$B$31:$B$130=_xludf.MAXIFS(참고!$B$31:$B$130,참고!$A$31:$A$130,C1635,참고!$B$31:$B$130,"&lt;="&amp;A1635))*참고!$C$31:$C$130)/100,0)</f>
        <v>0</v>
      </c>
      <c r="J1635" s="31" t="str">
        <f t="shared" si="76"/>
        <v/>
      </c>
      <c r="K1635" s="43">
        <f>IF(B1635="매도",IFERROR(SUMPRODUCT((참고!$A$31:$A$130=C1635)*(참고!$B$31:$B$130&lt;=A1635)*(참고!$B$31:$B$130=_xludf.MAXIFS(참고!$B$31:$B$130,참고!$A$31:$A$130,C1635,참고!$B$31:$B$130,"&lt;="&amp;A1635))*참고!$D$31:$D$130)/100,0),0)</f>
        <v>0</v>
      </c>
      <c r="L1635" s="31" t="str">
        <f t="shared" si="77"/>
        <v/>
      </c>
      <c r="M1635" s="39"/>
    </row>
    <row r="1636" spans="1:13" ht="18" customHeight="1" x14ac:dyDescent="0.45">
      <c r="A1636" s="37"/>
      <c r="B1636" s="29"/>
      <c r="C1636" s="29"/>
      <c r="D1636" s="28"/>
      <c r="E1636" s="30" t="str">
        <f>IFERROR(VLOOKUP(D1636,KRX종목마스터!$A:$B,2,FALSE),"")</f>
        <v/>
      </c>
      <c r="F1636" s="42"/>
      <c r="G1636" s="42"/>
      <c r="H1636" s="31" t="str">
        <f t="shared" si="75"/>
        <v/>
      </c>
      <c r="I1636" s="43">
        <f ca="1">IFERROR(SUMPRODUCT((참고!$A$31:$A$130=C1636)*(참고!$B$31:$B$130&lt;=A1636)*(참고!$B$31:$B$130=_xludf.MAXIFS(참고!$B$31:$B$130,참고!$A$31:$A$130,C1636,참고!$B$31:$B$130,"&lt;="&amp;A1636))*참고!$C$31:$C$130)/100,0)</f>
        <v>0</v>
      </c>
      <c r="J1636" s="31" t="str">
        <f t="shared" si="76"/>
        <v/>
      </c>
      <c r="K1636" s="43">
        <f>IF(B1636="매도",IFERROR(SUMPRODUCT((참고!$A$31:$A$130=C1636)*(참고!$B$31:$B$130&lt;=A1636)*(참고!$B$31:$B$130=_xludf.MAXIFS(참고!$B$31:$B$130,참고!$A$31:$A$130,C1636,참고!$B$31:$B$130,"&lt;="&amp;A1636))*참고!$D$31:$D$130)/100,0),0)</f>
        <v>0</v>
      </c>
      <c r="L1636" s="31" t="str">
        <f t="shared" si="77"/>
        <v/>
      </c>
      <c r="M1636" s="39"/>
    </row>
    <row r="1637" spans="1:13" ht="18" customHeight="1" x14ac:dyDescent="0.45">
      <c r="A1637" s="37"/>
      <c r="B1637" s="29"/>
      <c r="C1637" s="29"/>
      <c r="D1637" s="28"/>
      <c r="E1637" s="30" t="str">
        <f>IFERROR(VLOOKUP(D1637,KRX종목마스터!$A:$B,2,FALSE),"")</f>
        <v/>
      </c>
      <c r="F1637" s="42"/>
      <c r="G1637" s="42"/>
      <c r="H1637" s="31" t="str">
        <f t="shared" si="75"/>
        <v/>
      </c>
      <c r="I1637" s="43">
        <f ca="1">IFERROR(SUMPRODUCT((참고!$A$31:$A$130=C1637)*(참고!$B$31:$B$130&lt;=A1637)*(참고!$B$31:$B$130=_xludf.MAXIFS(참고!$B$31:$B$130,참고!$A$31:$A$130,C1637,참고!$B$31:$B$130,"&lt;="&amp;A1637))*참고!$C$31:$C$130)/100,0)</f>
        <v>0</v>
      </c>
      <c r="J1637" s="31" t="str">
        <f t="shared" si="76"/>
        <v/>
      </c>
      <c r="K1637" s="43">
        <f>IF(B1637="매도",IFERROR(SUMPRODUCT((참고!$A$31:$A$130=C1637)*(참고!$B$31:$B$130&lt;=A1637)*(참고!$B$31:$B$130=_xludf.MAXIFS(참고!$B$31:$B$130,참고!$A$31:$A$130,C1637,참고!$B$31:$B$130,"&lt;="&amp;A1637))*참고!$D$31:$D$130)/100,0),0)</f>
        <v>0</v>
      </c>
      <c r="L1637" s="31" t="str">
        <f t="shared" si="77"/>
        <v/>
      </c>
      <c r="M1637" s="39"/>
    </row>
    <row r="1638" spans="1:13" ht="18" customHeight="1" x14ac:dyDescent="0.45">
      <c r="A1638" s="37"/>
      <c r="B1638" s="29"/>
      <c r="C1638" s="29"/>
      <c r="D1638" s="28"/>
      <c r="E1638" s="30" t="str">
        <f>IFERROR(VLOOKUP(D1638,KRX종목마스터!$A:$B,2,FALSE),"")</f>
        <v/>
      </c>
      <c r="F1638" s="42"/>
      <c r="G1638" s="42"/>
      <c r="H1638" s="31" t="str">
        <f t="shared" si="75"/>
        <v/>
      </c>
      <c r="I1638" s="43">
        <f ca="1">IFERROR(SUMPRODUCT((참고!$A$31:$A$130=C1638)*(참고!$B$31:$B$130&lt;=A1638)*(참고!$B$31:$B$130=_xludf.MAXIFS(참고!$B$31:$B$130,참고!$A$31:$A$130,C1638,참고!$B$31:$B$130,"&lt;="&amp;A1638))*참고!$C$31:$C$130)/100,0)</f>
        <v>0</v>
      </c>
      <c r="J1638" s="31" t="str">
        <f t="shared" si="76"/>
        <v/>
      </c>
      <c r="K1638" s="43">
        <f>IF(B1638="매도",IFERROR(SUMPRODUCT((참고!$A$31:$A$130=C1638)*(참고!$B$31:$B$130&lt;=A1638)*(참고!$B$31:$B$130=_xludf.MAXIFS(참고!$B$31:$B$130,참고!$A$31:$A$130,C1638,참고!$B$31:$B$130,"&lt;="&amp;A1638))*참고!$D$31:$D$130)/100,0),0)</f>
        <v>0</v>
      </c>
      <c r="L1638" s="31" t="str">
        <f t="shared" si="77"/>
        <v/>
      </c>
      <c r="M1638" s="39"/>
    </row>
    <row r="1639" spans="1:13" ht="18" customHeight="1" x14ac:dyDescent="0.45">
      <c r="A1639" s="37"/>
      <c r="B1639" s="29"/>
      <c r="C1639" s="29"/>
      <c r="D1639" s="28"/>
      <c r="E1639" s="30" t="str">
        <f>IFERROR(VLOOKUP(D1639,KRX종목마스터!$A:$B,2,FALSE),"")</f>
        <v/>
      </c>
      <c r="F1639" s="42"/>
      <c r="G1639" s="42"/>
      <c r="H1639" s="31" t="str">
        <f t="shared" si="75"/>
        <v/>
      </c>
      <c r="I1639" s="43">
        <f ca="1">IFERROR(SUMPRODUCT((참고!$A$31:$A$130=C1639)*(참고!$B$31:$B$130&lt;=A1639)*(참고!$B$31:$B$130=_xludf.MAXIFS(참고!$B$31:$B$130,참고!$A$31:$A$130,C1639,참고!$B$31:$B$130,"&lt;="&amp;A1639))*참고!$C$31:$C$130)/100,0)</f>
        <v>0</v>
      </c>
      <c r="J1639" s="31" t="str">
        <f t="shared" si="76"/>
        <v/>
      </c>
      <c r="K1639" s="43">
        <f>IF(B1639="매도",IFERROR(SUMPRODUCT((참고!$A$31:$A$130=C1639)*(참고!$B$31:$B$130&lt;=A1639)*(참고!$B$31:$B$130=_xludf.MAXIFS(참고!$B$31:$B$130,참고!$A$31:$A$130,C1639,참고!$B$31:$B$130,"&lt;="&amp;A1639))*참고!$D$31:$D$130)/100,0),0)</f>
        <v>0</v>
      </c>
      <c r="L1639" s="31" t="str">
        <f t="shared" si="77"/>
        <v/>
      </c>
      <c r="M1639" s="39"/>
    </row>
    <row r="1640" spans="1:13" ht="18" customHeight="1" x14ac:dyDescent="0.45">
      <c r="A1640" s="37"/>
      <c r="B1640" s="29"/>
      <c r="C1640" s="29"/>
      <c r="D1640" s="28"/>
      <c r="E1640" s="30" t="str">
        <f>IFERROR(VLOOKUP(D1640,KRX종목마스터!$A:$B,2,FALSE),"")</f>
        <v/>
      </c>
      <c r="F1640" s="42"/>
      <c r="G1640" s="42"/>
      <c r="H1640" s="31" t="str">
        <f t="shared" si="75"/>
        <v/>
      </c>
      <c r="I1640" s="43">
        <f ca="1">IFERROR(SUMPRODUCT((참고!$A$31:$A$130=C1640)*(참고!$B$31:$B$130&lt;=A1640)*(참고!$B$31:$B$130=_xludf.MAXIFS(참고!$B$31:$B$130,참고!$A$31:$A$130,C1640,참고!$B$31:$B$130,"&lt;="&amp;A1640))*참고!$C$31:$C$130)/100,0)</f>
        <v>0</v>
      </c>
      <c r="J1640" s="31" t="str">
        <f t="shared" si="76"/>
        <v/>
      </c>
      <c r="K1640" s="43">
        <f>IF(B1640="매도",IFERROR(SUMPRODUCT((참고!$A$31:$A$130=C1640)*(참고!$B$31:$B$130&lt;=A1640)*(참고!$B$31:$B$130=_xludf.MAXIFS(참고!$B$31:$B$130,참고!$A$31:$A$130,C1640,참고!$B$31:$B$130,"&lt;="&amp;A1640))*참고!$D$31:$D$130)/100,0),0)</f>
        <v>0</v>
      </c>
      <c r="L1640" s="31" t="str">
        <f t="shared" si="77"/>
        <v/>
      </c>
      <c r="M1640" s="39"/>
    </row>
    <row r="1641" spans="1:13" ht="18" customHeight="1" x14ac:dyDescent="0.45">
      <c r="A1641" s="37"/>
      <c r="B1641" s="29"/>
      <c r="C1641" s="29"/>
      <c r="D1641" s="28"/>
      <c r="E1641" s="30" t="str">
        <f>IFERROR(VLOOKUP(D1641,KRX종목마스터!$A:$B,2,FALSE),"")</f>
        <v/>
      </c>
      <c r="F1641" s="42"/>
      <c r="G1641" s="42"/>
      <c r="H1641" s="31" t="str">
        <f t="shared" si="75"/>
        <v/>
      </c>
      <c r="I1641" s="43">
        <f ca="1">IFERROR(SUMPRODUCT((참고!$A$31:$A$130=C1641)*(참고!$B$31:$B$130&lt;=A1641)*(참고!$B$31:$B$130=_xludf.MAXIFS(참고!$B$31:$B$130,참고!$A$31:$A$130,C1641,참고!$B$31:$B$130,"&lt;="&amp;A1641))*참고!$C$31:$C$130)/100,0)</f>
        <v>0</v>
      </c>
      <c r="J1641" s="31" t="str">
        <f t="shared" si="76"/>
        <v/>
      </c>
      <c r="K1641" s="43">
        <f>IF(B1641="매도",IFERROR(SUMPRODUCT((참고!$A$31:$A$130=C1641)*(참고!$B$31:$B$130&lt;=A1641)*(참고!$B$31:$B$130=_xludf.MAXIFS(참고!$B$31:$B$130,참고!$A$31:$A$130,C1641,참고!$B$31:$B$130,"&lt;="&amp;A1641))*참고!$D$31:$D$130)/100,0),0)</f>
        <v>0</v>
      </c>
      <c r="L1641" s="31" t="str">
        <f t="shared" si="77"/>
        <v/>
      </c>
      <c r="M1641" s="39"/>
    </row>
    <row r="1642" spans="1:13" ht="18" customHeight="1" x14ac:dyDescent="0.45">
      <c r="A1642" s="37"/>
      <c r="B1642" s="29"/>
      <c r="C1642" s="29"/>
      <c r="D1642" s="28"/>
      <c r="E1642" s="30" t="str">
        <f>IFERROR(VLOOKUP(D1642,KRX종목마스터!$A:$B,2,FALSE),"")</f>
        <v/>
      </c>
      <c r="F1642" s="42"/>
      <c r="G1642" s="42"/>
      <c r="H1642" s="31" t="str">
        <f t="shared" si="75"/>
        <v/>
      </c>
      <c r="I1642" s="43">
        <f ca="1">IFERROR(SUMPRODUCT((참고!$A$31:$A$130=C1642)*(참고!$B$31:$B$130&lt;=A1642)*(참고!$B$31:$B$130=_xludf.MAXIFS(참고!$B$31:$B$130,참고!$A$31:$A$130,C1642,참고!$B$31:$B$130,"&lt;="&amp;A1642))*참고!$C$31:$C$130)/100,0)</f>
        <v>0</v>
      </c>
      <c r="J1642" s="31" t="str">
        <f t="shared" si="76"/>
        <v/>
      </c>
      <c r="K1642" s="43">
        <f>IF(B1642="매도",IFERROR(SUMPRODUCT((참고!$A$31:$A$130=C1642)*(참고!$B$31:$B$130&lt;=A1642)*(참고!$B$31:$B$130=_xludf.MAXIFS(참고!$B$31:$B$130,참고!$A$31:$A$130,C1642,참고!$B$31:$B$130,"&lt;="&amp;A1642))*참고!$D$31:$D$130)/100,0),0)</f>
        <v>0</v>
      </c>
      <c r="L1642" s="31" t="str">
        <f t="shared" si="77"/>
        <v/>
      </c>
      <c r="M1642" s="39"/>
    </row>
    <row r="1643" spans="1:13" ht="18" customHeight="1" x14ac:dyDescent="0.45">
      <c r="A1643" s="37"/>
      <c r="B1643" s="29"/>
      <c r="C1643" s="29"/>
      <c r="D1643" s="28"/>
      <c r="E1643" s="30" t="str">
        <f>IFERROR(VLOOKUP(D1643,KRX종목마스터!$A:$B,2,FALSE),"")</f>
        <v/>
      </c>
      <c r="F1643" s="42"/>
      <c r="G1643" s="42"/>
      <c r="H1643" s="31" t="str">
        <f t="shared" si="75"/>
        <v/>
      </c>
      <c r="I1643" s="43">
        <f ca="1">IFERROR(SUMPRODUCT((참고!$A$31:$A$130=C1643)*(참고!$B$31:$B$130&lt;=A1643)*(참고!$B$31:$B$130=_xludf.MAXIFS(참고!$B$31:$B$130,참고!$A$31:$A$130,C1643,참고!$B$31:$B$130,"&lt;="&amp;A1643))*참고!$C$31:$C$130)/100,0)</f>
        <v>0</v>
      </c>
      <c r="J1643" s="31" t="str">
        <f t="shared" si="76"/>
        <v/>
      </c>
      <c r="K1643" s="43">
        <f>IF(B1643="매도",IFERROR(SUMPRODUCT((참고!$A$31:$A$130=C1643)*(참고!$B$31:$B$130&lt;=A1643)*(참고!$B$31:$B$130=_xludf.MAXIFS(참고!$B$31:$B$130,참고!$A$31:$A$130,C1643,참고!$B$31:$B$130,"&lt;="&amp;A1643))*참고!$D$31:$D$130)/100,0),0)</f>
        <v>0</v>
      </c>
      <c r="L1643" s="31" t="str">
        <f t="shared" si="77"/>
        <v/>
      </c>
      <c r="M1643" s="39"/>
    </row>
    <row r="1644" spans="1:13" ht="18" customHeight="1" x14ac:dyDescent="0.45">
      <c r="A1644" s="37"/>
      <c r="B1644" s="29"/>
      <c r="C1644" s="29"/>
      <c r="D1644" s="28"/>
      <c r="E1644" s="30" t="str">
        <f>IFERROR(VLOOKUP(D1644,KRX종목마스터!$A:$B,2,FALSE),"")</f>
        <v/>
      </c>
      <c r="F1644" s="42"/>
      <c r="G1644" s="42"/>
      <c r="H1644" s="31" t="str">
        <f t="shared" si="75"/>
        <v/>
      </c>
      <c r="I1644" s="43">
        <f ca="1">IFERROR(SUMPRODUCT((참고!$A$31:$A$130=C1644)*(참고!$B$31:$B$130&lt;=A1644)*(참고!$B$31:$B$130=_xludf.MAXIFS(참고!$B$31:$B$130,참고!$A$31:$A$130,C1644,참고!$B$31:$B$130,"&lt;="&amp;A1644))*참고!$C$31:$C$130)/100,0)</f>
        <v>0</v>
      </c>
      <c r="J1644" s="31" t="str">
        <f t="shared" si="76"/>
        <v/>
      </c>
      <c r="K1644" s="43">
        <f>IF(B1644="매도",IFERROR(SUMPRODUCT((참고!$A$31:$A$130=C1644)*(참고!$B$31:$B$130&lt;=A1644)*(참고!$B$31:$B$130=_xludf.MAXIFS(참고!$B$31:$B$130,참고!$A$31:$A$130,C1644,참고!$B$31:$B$130,"&lt;="&amp;A1644))*참고!$D$31:$D$130)/100,0),0)</f>
        <v>0</v>
      </c>
      <c r="L1644" s="31" t="str">
        <f t="shared" si="77"/>
        <v/>
      </c>
      <c r="M1644" s="39"/>
    </row>
    <row r="1645" spans="1:13" ht="18" customHeight="1" x14ac:dyDescent="0.45">
      <c r="A1645" s="37"/>
      <c r="B1645" s="29"/>
      <c r="C1645" s="29"/>
      <c r="D1645" s="28"/>
      <c r="E1645" s="30" t="str">
        <f>IFERROR(VLOOKUP(D1645,KRX종목마스터!$A:$B,2,FALSE),"")</f>
        <v/>
      </c>
      <c r="F1645" s="42"/>
      <c r="G1645" s="42"/>
      <c r="H1645" s="31" t="str">
        <f t="shared" si="75"/>
        <v/>
      </c>
      <c r="I1645" s="43">
        <f ca="1">IFERROR(SUMPRODUCT((참고!$A$31:$A$130=C1645)*(참고!$B$31:$B$130&lt;=A1645)*(참고!$B$31:$B$130=_xludf.MAXIFS(참고!$B$31:$B$130,참고!$A$31:$A$130,C1645,참고!$B$31:$B$130,"&lt;="&amp;A1645))*참고!$C$31:$C$130)/100,0)</f>
        <v>0</v>
      </c>
      <c r="J1645" s="31" t="str">
        <f t="shared" si="76"/>
        <v/>
      </c>
      <c r="K1645" s="43">
        <f>IF(B1645="매도",IFERROR(SUMPRODUCT((참고!$A$31:$A$130=C1645)*(참고!$B$31:$B$130&lt;=A1645)*(참고!$B$31:$B$130=_xludf.MAXIFS(참고!$B$31:$B$130,참고!$A$31:$A$130,C1645,참고!$B$31:$B$130,"&lt;="&amp;A1645))*참고!$D$31:$D$130)/100,0),0)</f>
        <v>0</v>
      </c>
      <c r="L1645" s="31" t="str">
        <f t="shared" si="77"/>
        <v/>
      </c>
      <c r="M1645" s="39"/>
    </row>
    <row r="1646" spans="1:13" ht="18" customHeight="1" x14ac:dyDescent="0.45">
      <c r="A1646" s="37"/>
      <c r="B1646" s="29"/>
      <c r="C1646" s="29"/>
      <c r="D1646" s="28"/>
      <c r="E1646" s="30" t="str">
        <f>IFERROR(VLOOKUP(D1646,KRX종목마스터!$A:$B,2,FALSE),"")</f>
        <v/>
      </c>
      <c r="F1646" s="42"/>
      <c r="G1646" s="42"/>
      <c r="H1646" s="31" t="str">
        <f t="shared" si="75"/>
        <v/>
      </c>
      <c r="I1646" s="43">
        <f ca="1">IFERROR(SUMPRODUCT((참고!$A$31:$A$130=C1646)*(참고!$B$31:$B$130&lt;=A1646)*(참고!$B$31:$B$130=_xludf.MAXIFS(참고!$B$31:$B$130,참고!$A$31:$A$130,C1646,참고!$B$31:$B$130,"&lt;="&amp;A1646))*참고!$C$31:$C$130)/100,0)</f>
        <v>0</v>
      </c>
      <c r="J1646" s="31" t="str">
        <f t="shared" si="76"/>
        <v/>
      </c>
      <c r="K1646" s="43">
        <f>IF(B1646="매도",IFERROR(SUMPRODUCT((참고!$A$31:$A$130=C1646)*(참고!$B$31:$B$130&lt;=A1646)*(참고!$B$31:$B$130=_xludf.MAXIFS(참고!$B$31:$B$130,참고!$A$31:$A$130,C1646,참고!$B$31:$B$130,"&lt;="&amp;A1646))*참고!$D$31:$D$130)/100,0),0)</f>
        <v>0</v>
      </c>
      <c r="L1646" s="31" t="str">
        <f t="shared" si="77"/>
        <v/>
      </c>
      <c r="M1646" s="39"/>
    </row>
    <row r="1647" spans="1:13" ht="18" customHeight="1" x14ac:dyDescent="0.45">
      <c r="A1647" s="37"/>
      <c r="B1647" s="29"/>
      <c r="C1647" s="29"/>
      <c r="D1647" s="28"/>
      <c r="E1647" s="30" t="str">
        <f>IFERROR(VLOOKUP(D1647,KRX종목마스터!$A:$B,2,FALSE),"")</f>
        <v/>
      </c>
      <c r="F1647" s="42"/>
      <c r="G1647" s="42"/>
      <c r="H1647" s="31" t="str">
        <f t="shared" si="75"/>
        <v/>
      </c>
      <c r="I1647" s="43">
        <f ca="1">IFERROR(SUMPRODUCT((참고!$A$31:$A$130=C1647)*(참고!$B$31:$B$130&lt;=A1647)*(참고!$B$31:$B$130=_xludf.MAXIFS(참고!$B$31:$B$130,참고!$A$31:$A$130,C1647,참고!$B$31:$B$130,"&lt;="&amp;A1647))*참고!$C$31:$C$130)/100,0)</f>
        <v>0</v>
      </c>
      <c r="J1647" s="31" t="str">
        <f t="shared" si="76"/>
        <v/>
      </c>
      <c r="K1647" s="43">
        <f>IF(B1647="매도",IFERROR(SUMPRODUCT((참고!$A$31:$A$130=C1647)*(참고!$B$31:$B$130&lt;=A1647)*(참고!$B$31:$B$130=_xludf.MAXIFS(참고!$B$31:$B$130,참고!$A$31:$A$130,C1647,참고!$B$31:$B$130,"&lt;="&amp;A1647))*참고!$D$31:$D$130)/100,0),0)</f>
        <v>0</v>
      </c>
      <c r="L1647" s="31" t="str">
        <f t="shared" si="77"/>
        <v/>
      </c>
      <c r="M1647" s="39"/>
    </row>
    <row r="1648" spans="1:13" ht="18" customHeight="1" x14ac:dyDescent="0.45">
      <c r="A1648" s="37"/>
      <c r="B1648" s="29"/>
      <c r="C1648" s="29"/>
      <c r="D1648" s="28"/>
      <c r="E1648" s="30" t="str">
        <f>IFERROR(VLOOKUP(D1648,KRX종목마스터!$A:$B,2,FALSE),"")</f>
        <v/>
      </c>
      <c r="F1648" s="42"/>
      <c r="G1648" s="42"/>
      <c r="H1648" s="31" t="str">
        <f t="shared" si="75"/>
        <v/>
      </c>
      <c r="I1648" s="43">
        <f ca="1">IFERROR(SUMPRODUCT((참고!$A$31:$A$130=C1648)*(참고!$B$31:$B$130&lt;=A1648)*(참고!$B$31:$B$130=_xludf.MAXIFS(참고!$B$31:$B$130,참고!$A$31:$A$130,C1648,참고!$B$31:$B$130,"&lt;="&amp;A1648))*참고!$C$31:$C$130)/100,0)</f>
        <v>0</v>
      </c>
      <c r="J1648" s="31" t="str">
        <f t="shared" si="76"/>
        <v/>
      </c>
      <c r="K1648" s="43">
        <f>IF(B1648="매도",IFERROR(SUMPRODUCT((참고!$A$31:$A$130=C1648)*(참고!$B$31:$B$130&lt;=A1648)*(참고!$B$31:$B$130=_xludf.MAXIFS(참고!$B$31:$B$130,참고!$A$31:$A$130,C1648,참고!$B$31:$B$130,"&lt;="&amp;A1648))*참고!$D$31:$D$130)/100,0),0)</f>
        <v>0</v>
      </c>
      <c r="L1648" s="31" t="str">
        <f t="shared" si="77"/>
        <v/>
      </c>
      <c r="M1648" s="39"/>
    </row>
    <row r="1649" spans="1:13" ht="18" customHeight="1" x14ac:dyDescent="0.45">
      <c r="A1649" s="37"/>
      <c r="B1649" s="29"/>
      <c r="C1649" s="29"/>
      <c r="D1649" s="28"/>
      <c r="E1649" s="30" t="str">
        <f>IFERROR(VLOOKUP(D1649,KRX종목마스터!$A:$B,2,FALSE),"")</f>
        <v/>
      </c>
      <c r="F1649" s="42"/>
      <c r="G1649" s="42"/>
      <c r="H1649" s="31" t="str">
        <f t="shared" si="75"/>
        <v/>
      </c>
      <c r="I1649" s="43">
        <f ca="1">IFERROR(SUMPRODUCT((참고!$A$31:$A$130=C1649)*(참고!$B$31:$B$130&lt;=A1649)*(참고!$B$31:$B$130=_xludf.MAXIFS(참고!$B$31:$B$130,참고!$A$31:$A$130,C1649,참고!$B$31:$B$130,"&lt;="&amp;A1649))*참고!$C$31:$C$130)/100,0)</f>
        <v>0</v>
      </c>
      <c r="J1649" s="31" t="str">
        <f t="shared" si="76"/>
        <v/>
      </c>
      <c r="K1649" s="43">
        <f>IF(B1649="매도",IFERROR(SUMPRODUCT((참고!$A$31:$A$130=C1649)*(참고!$B$31:$B$130&lt;=A1649)*(참고!$B$31:$B$130=_xludf.MAXIFS(참고!$B$31:$B$130,참고!$A$31:$A$130,C1649,참고!$B$31:$B$130,"&lt;="&amp;A1649))*참고!$D$31:$D$130)/100,0),0)</f>
        <v>0</v>
      </c>
      <c r="L1649" s="31" t="str">
        <f t="shared" si="77"/>
        <v/>
      </c>
      <c r="M1649" s="39"/>
    </row>
    <row r="1650" spans="1:13" ht="18" customHeight="1" x14ac:dyDescent="0.45">
      <c r="A1650" s="37"/>
      <c r="B1650" s="29"/>
      <c r="C1650" s="29"/>
      <c r="D1650" s="28"/>
      <c r="E1650" s="30" t="str">
        <f>IFERROR(VLOOKUP(D1650,KRX종목마스터!$A:$B,2,FALSE),"")</f>
        <v/>
      </c>
      <c r="F1650" s="42"/>
      <c r="G1650" s="42"/>
      <c r="H1650" s="31" t="str">
        <f t="shared" si="75"/>
        <v/>
      </c>
      <c r="I1650" s="43">
        <f ca="1">IFERROR(SUMPRODUCT((참고!$A$31:$A$130=C1650)*(참고!$B$31:$B$130&lt;=A1650)*(참고!$B$31:$B$130=_xludf.MAXIFS(참고!$B$31:$B$130,참고!$A$31:$A$130,C1650,참고!$B$31:$B$130,"&lt;="&amp;A1650))*참고!$C$31:$C$130)/100,0)</f>
        <v>0</v>
      </c>
      <c r="J1650" s="31" t="str">
        <f t="shared" si="76"/>
        <v/>
      </c>
      <c r="K1650" s="43">
        <f>IF(B1650="매도",IFERROR(SUMPRODUCT((참고!$A$31:$A$130=C1650)*(참고!$B$31:$B$130&lt;=A1650)*(참고!$B$31:$B$130=_xludf.MAXIFS(참고!$B$31:$B$130,참고!$A$31:$A$130,C1650,참고!$B$31:$B$130,"&lt;="&amp;A1650))*참고!$D$31:$D$130)/100,0),0)</f>
        <v>0</v>
      </c>
      <c r="L1650" s="31" t="str">
        <f t="shared" si="77"/>
        <v/>
      </c>
      <c r="M1650" s="39"/>
    </row>
    <row r="1651" spans="1:13" ht="18" customHeight="1" x14ac:dyDescent="0.45">
      <c r="A1651" s="37"/>
      <c r="B1651" s="29"/>
      <c r="C1651" s="29"/>
      <c r="D1651" s="28"/>
      <c r="E1651" s="30" t="str">
        <f>IFERROR(VLOOKUP(D1651,KRX종목마스터!$A:$B,2,FALSE),"")</f>
        <v/>
      </c>
      <c r="F1651" s="42"/>
      <c r="G1651" s="42"/>
      <c r="H1651" s="31" t="str">
        <f t="shared" si="75"/>
        <v/>
      </c>
      <c r="I1651" s="43">
        <f ca="1">IFERROR(SUMPRODUCT((참고!$A$31:$A$130=C1651)*(참고!$B$31:$B$130&lt;=A1651)*(참고!$B$31:$B$130=_xludf.MAXIFS(참고!$B$31:$B$130,참고!$A$31:$A$130,C1651,참고!$B$31:$B$130,"&lt;="&amp;A1651))*참고!$C$31:$C$130)/100,0)</f>
        <v>0</v>
      </c>
      <c r="J1651" s="31" t="str">
        <f t="shared" si="76"/>
        <v/>
      </c>
      <c r="K1651" s="43">
        <f>IF(B1651="매도",IFERROR(SUMPRODUCT((참고!$A$31:$A$130=C1651)*(참고!$B$31:$B$130&lt;=A1651)*(참고!$B$31:$B$130=_xludf.MAXIFS(참고!$B$31:$B$130,참고!$A$31:$A$130,C1651,참고!$B$31:$B$130,"&lt;="&amp;A1651))*참고!$D$31:$D$130)/100,0),0)</f>
        <v>0</v>
      </c>
      <c r="L1651" s="31" t="str">
        <f t="shared" si="77"/>
        <v/>
      </c>
      <c r="M1651" s="39"/>
    </row>
    <row r="1652" spans="1:13" ht="18" customHeight="1" x14ac:dyDescent="0.45">
      <c r="A1652" s="37"/>
      <c r="B1652" s="29"/>
      <c r="C1652" s="29"/>
      <c r="D1652" s="28"/>
      <c r="E1652" s="30" t="str">
        <f>IFERROR(VLOOKUP(D1652,KRX종목마스터!$A:$B,2,FALSE),"")</f>
        <v/>
      </c>
      <c r="F1652" s="42"/>
      <c r="G1652" s="42"/>
      <c r="H1652" s="31" t="str">
        <f t="shared" si="75"/>
        <v/>
      </c>
      <c r="I1652" s="43">
        <f ca="1">IFERROR(SUMPRODUCT((참고!$A$31:$A$130=C1652)*(참고!$B$31:$B$130&lt;=A1652)*(참고!$B$31:$B$130=_xludf.MAXIFS(참고!$B$31:$B$130,참고!$A$31:$A$130,C1652,참고!$B$31:$B$130,"&lt;="&amp;A1652))*참고!$C$31:$C$130)/100,0)</f>
        <v>0</v>
      </c>
      <c r="J1652" s="31" t="str">
        <f t="shared" si="76"/>
        <v/>
      </c>
      <c r="K1652" s="43">
        <f>IF(B1652="매도",IFERROR(SUMPRODUCT((참고!$A$31:$A$130=C1652)*(참고!$B$31:$B$130&lt;=A1652)*(참고!$B$31:$B$130=_xludf.MAXIFS(참고!$B$31:$B$130,참고!$A$31:$A$130,C1652,참고!$B$31:$B$130,"&lt;="&amp;A1652))*참고!$D$31:$D$130)/100,0),0)</f>
        <v>0</v>
      </c>
      <c r="L1652" s="31" t="str">
        <f t="shared" si="77"/>
        <v/>
      </c>
      <c r="M1652" s="39"/>
    </row>
    <row r="1653" spans="1:13" ht="18" customHeight="1" x14ac:dyDescent="0.45">
      <c r="A1653" s="37"/>
      <c r="B1653" s="29"/>
      <c r="C1653" s="29"/>
      <c r="D1653" s="28"/>
      <c r="E1653" s="30" t="str">
        <f>IFERROR(VLOOKUP(D1653,KRX종목마스터!$A:$B,2,FALSE),"")</f>
        <v/>
      </c>
      <c r="F1653" s="42"/>
      <c r="G1653" s="42"/>
      <c r="H1653" s="31" t="str">
        <f t="shared" si="75"/>
        <v/>
      </c>
      <c r="I1653" s="43">
        <f ca="1">IFERROR(SUMPRODUCT((참고!$A$31:$A$130=C1653)*(참고!$B$31:$B$130&lt;=A1653)*(참고!$B$31:$B$130=_xludf.MAXIFS(참고!$B$31:$B$130,참고!$A$31:$A$130,C1653,참고!$B$31:$B$130,"&lt;="&amp;A1653))*참고!$C$31:$C$130)/100,0)</f>
        <v>0</v>
      </c>
      <c r="J1653" s="31" t="str">
        <f t="shared" si="76"/>
        <v/>
      </c>
      <c r="K1653" s="43">
        <f>IF(B1653="매도",IFERROR(SUMPRODUCT((참고!$A$31:$A$130=C1653)*(참고!$B$31:$B$130&lt;=A1653)*(참고!$B$31:$B$130=_xludf.MAXIFS(참고!$B$31:$B$130,참고!$A$31:$A$130,C1653,참고!$B$31:$B$130,"&lt;="&amp;A1653))*참고!$D$31:$D$130)/100,0),0)</f>
        <v>0</v>
      </c>
      <c r="L1653" s="31" t="str">
        <f t="shared" si="77"/>
        <v/>
      </c>
      <c r="M1653" s="39"/>
    </row>
    <row r="1654" spans="1:13" ht="18" customHeight="1" x14ac:dyDescent="0.45">
      <c r="A1654" s="37"/>
      <c r="B1654" s="29"/>
      <c r="C1654" s="29"/>
      <c r="D1654" s="28"/>
      <c r="E1654" s="30" t="str">
        <f>IFERROR(VLOOKUP(D1654,KRX종목마스터!$A:$B,2,FALSE),"")</f>
        <v/>
      </c>
      <c r="F1654" s="42"/>
      <c r="G1654" s="42"/>
      <c r="H1654" s="31" t="str">
        <f t="shared" si="75"/>
        <v/>
      </c>
      <c r="I1654" s="43">
        <f ca="1">IFERROR(SUMPRODUCT((참고!$A$31:$A$130=C1654)*(참고!$B$31:$B$130&lt;=A1654)*(참고!$B$31:$B$130=_xludf.MAXIFS(참고!$B$31:$B$130,참고!$A$31:$A$130,C1654,참고!$B$31:$B$130,"&lt;="&amp;A1654))*참고!$C$31:$C$130)/100,0)</f>
        <v>0</v>
      </c>
      <c r="J1654" s="31" t="str">
        <f t="shared" si="76"/>
        <v/>
      </c>
      <c r="K1654" s="43">
        <f>IF(B1654="매도",IFERROR(SUMPRODUCT((참고!$A$31:$A$130=C1654)*(참고!$B$31:$B$130&lt;=A1654)*(참고!$B$31:$B$130=_xludf.MAXIFS(참고!$B$31:$B$130,참고!$A$31:$A$130,C1654,참고!$B$31:$B$130,"&lt;="&amp;A1654))*참고!$D$31:$D$130)/100,0),0)</f>
        <v>0</v>
      </c>
      <c r="L1654" s="31" t="str">
        <f t="shared" si="77"/>
        <v/>
      </c>
      <c r="M1654" s="39"/>
    </row>
    <row r="1655" spans="1:13" ht="18" customHeight="1" x14ac:dyDescent="0.45">
      <c r="A1655" s="37"/>
      <c r="B1655" s="29"/>
      <c r="C1655" s="29"/>
      <c r="D1655" s="28"/>
      <c r="E1655" s="30" t="str">
        <f>IFERROR(VLOOKUP(D1655,KRX종목마스터!$A:$B,2,FALSE),"")</f>
        <v/>
      </c>
      <c r="F1655" s="42"/>
      <c r="G1655" s="42"/>
      <c r="H1655" s="31" t="str">
        <f t="shared" si="75"/>
        <v/>
      </c>
      <c r="I1655" s="43">
        <f ca="1">IFERROR(SUMPRODUCT((참고!$A$31:$A$130=C1655)*(참고!$B$31:$B$130&lt;=A1655)*(참고!$B$31:$B$130=_xludf.MAXIFS(참고!$B$31:$B$130,참고!$A$31:$A$130,C1655,참고!$B$31:$B$130,"&lt;="&amp;A1655))*참고!$C$31:$C$130)/100,0)</f>
        <v>0</v>
      </c>
      <c r="J1655" s="31" t="str">
        <f t="shared" si="76"/>
        <v/>
      </c>
      <c r="K1655" s="43">
        <f>IF(B1655="매도",IFERROR(SUMPRODUCT((참고!$A$31:$A$130=C1655)*(참고!$B$31:$B$130&lt;=A1655)*(참고!$B$31:$B$130=_xludf.MAXIFS(참고!$B$31:$B$130,참고!$A$31:$A$130,C1655,참고!$B$31:$B$130,"&lt;="&amp;A1655))*참고!$D$31:$D$130)/100,0),0)</f>
        <v>0</v>
      </c>
      <c r="L1655" s="31" t="str">
        <f t="shared" si="77"/>
        <v/>
      </c>
      <c r="M1655" s="39"/>
    </row>
    <row r="1656" spans="1:13" ht="18" customHeight="1" x14ac:dyDescent="0.45">
      <c r="A1656" s="37"/>
      <c r="B1656" s="29"/>
      <c r="C1656" s="29"/>
      <c r="D1656" s="28"/>
      <c r="E1656" s="30" t="str">
        <f>IFERROR(VLOOKUP(D1656,KRX종목마스터!$A:$B,2,FALSE),"")</f>
        <v/>
      </c>
      <c r="F1656" s="42"/>
      <c r="G1656" s="42"/>
      <c r="H1656" s="31" t="str">
        <f t="shared" si="75"/>
        <v/>
      </c>
      <c r="I1656" s="43">
        <f ca="1">IFERROR(SUMPRODUCT((참고!$A$31:$A$130=C1656)*(참고!$B$31:$B$130&lt;=A1656)*(참고!$B$31:$B$130=_xludf.MAXIFS(참고!$B$31:$B$130,참고!$A$31:$A$130,C1656,참고!$B$31:$B$130,"&lt;="&amp;A1656))*참고!$C$31:$C$130)/100,0)</f>
        <v>0</v>
      </c>
      <c r="J1656" s="31" t="str">
        <f t="shared" si="76"/>
        <v/>
      </c>
      <c r="K1656" s="43">
        <f>IF(B1656="매도",IFERROR(SUMPRODUCT((참고!$A$31:$A$130=C1656)*(참고!$B$31:$B$130&lt;=A1656)*(참고!$B$31:$B$130=_xludf.MAXIFS(참고!$B$31:$B$130,참고!$A$31:$A$130,C1656,참고!$B$31:$B$130,"&lt;="&amp;A1656))*참고!$D$31:$D$130)/100,0),0)</f>
        <v>0</v>
      </c>
      <c r="L1656" s="31" t="str">
        <f t="shared" si="77"/>
        <v/>
      </c>
      <c r="M1656" s="39"/>
    </row>
    <row r="1657" spans="1:13" ht="18" customHeight="1" x14ac:dyDescent="0.45">
      <c r="A1657" s="37"/>
      <c r="B1657" s="29"/>
      <c r="C1657" s="29"/>
      <c r="D1657" s="28"/>
      <c r="E1657" s="30" t="str">
        <f>IFERROR(VLOOKUP(D1657,KRX종목마스터!$A:$B,2,FALSE),"")</f>
        <v/>
      </c>
      <c r="F1657" s="42"/>
      <c r="G1657" s="42"/>
      <c r="H1657" s="31" t="str">
        <f t="shared" si="75"/>
        <v/>
      </c>
      <c r="I1657" s="43">
        <f ca="1">IFERROR(SUMPRODUCT((참고!$A$31:$A$130=C1657)*(참고!$B$31:$B$130&lt;=A1657)*(참고!$B$31:$B$130=_xludf.MAXIFS(참고!$B$31:$B$130,참고!$A$31:$A$130,C1657,참고!$B$31:$B$130,"&lt;="&amp;A1657))*참고!$C$31:$C$130)/100,0)</f>
        <v>0</v>
      </c>
      <c r="J1657" s="31" t="str">
        <f t="shared" si="76"/>
        <v/>
      </c>
      <c r="K1657" s="43">
        <f>IF(B1657="매도",IFERROR(SUMPRODUCT((참고!$A$31:$A$130=C1657)*(참고!$B$31:$B$130&lt;=A1657)*(참고!$B$31:$B$130=_xludf.MAXIFS(참고!$B$31:$B$130,참고!$A$31:$A$130,C1657,참고!$B$31:$B$130,"&lt;="&amp;A1657))*참고!$D$31:$D$130)/100,0),0)</f>
        <v>0</v>
      </c>
      <c r="L1657" s="31" t="str">
        <f t="shared" si="77"/>
        <v/>
      </c>
      <c r="M1657" s="39"/>
    </row>
    <row r="1658" spans="1:13" ht="18" customHeight="1" x14ac:dyDescent="0.45">
      <c r="A1658" s="37"/>
      <c r="B1658" s="29"/>
      <c r="C1658" s="29"/>
      <c r="D1658" s="28"/>
      <c r="E1658" s="30" t="str">
        <f>IFERROR(VLOOKUP(D1658,KRX종목마스터!$A:$B,2,FALSE),"")</f>
        <v/>
      </c>
      <c r="F1658" s="42"/>
      <c r="G1658" s="42"/>
      <c r="H1658" s="31" t="str">
        <f t="shared" si="75"/>
        <v/>
      </c>
      <c r="I1658" s="43">
        <f ca="1">IFERROR(SUMPRODUCT((참고!$A$31:$A$130=C1658)*(참고!$B$31:$B$130&lt;=A1658)*(참고!$B$31:$B$130=_xludf.MAXIFS(참고!$B$31:$B$130,참고!$A$31:$A$130,C1658,참고!$B$31:$B$130,"&lt;="&amp;A1658))*참고!$C$31:$C$130)/100,0)</f>
        <v>0</v>
      </c>
      <c r="J1658" s="31" t="str">
        <f t="shared" si="76"/>
        <v/>
      </c>
      <c r="K1658" s="43">
        <f>IF(B1658="매도",IFERROR(SUMPRODUCT((참고!$A$31:$A$130=C1658)*(참고!$B$31:$B$130&lt;=A1658)*(참고!$B$31:$B$130=_xludf.MAXIFS(참고!$B$31:$B$130,참고!$A$31:$A$130,C1658,참고!$B$31:$B$130,"&lt;="&amp;A1658))*참고!$D$31:$D$130)/100,0),0)</f>
        <v>0</v>
      </c>
      <c r="L1658" s="31" t="str">
        <f t="shared" si="77"/>
        <v/>
      </c>
      <c r="M1658" s="39"/>
    </row>
    <row r="1659" spans="1:13" ht="18" customHeight="1" x14ac:dyDescent="0.45">
      <c r="A1659" s="37"/>
      <c r="B1659" s="29"/>
      <c r="C1659" s="29"/>
      <c r="D1659" s="28"/>
      <c r="E1659" s="30" t="str">
        <f>IFERROR(VLOOKUP(D1659,KRX종목마스터!$A:$B,2,FALSE),"")</f>
        <v/>
      </c>
      <c r="F1659" s="42"/>
      <c r="G1659" s="42"/>
      <c r="H1659" s="31" t="str">
        <f t="shared" si="75"/>
        <v/>
      </c>
      <c r="I1659" s="43">
        <f ca="1">IFERROR(SUMPRODUCT((참고!$A$31:$A$130=C1659)*(참고!$B$31:$B$130&lt;=A1659)*(참고!$B$31:$B$130=_xludf.MAXIFS(참고!$B$31:$B$130,참고!$A$31:$A$130,C1659,참고!$B$31:$B$130,"&lt;="&amp;A1659))*참고!$C$31:$C$130)/100,0)</f>
        <v>0</v>
      </c>
      <c r="J1659" s="31" t="str">
        <f t="shared" si="76"/>
        <v/>
      </c>
      <c r="K1659" s="43">
        <f>IF(B1659="매도",IFERROR(SUMPRODUCT((참고!$A$31:$A$130=C1659)*(참고!$B$31:$B$130&lt;=A1659)*(참고!$B$31:$B$130=_xludf.MAXIFS(참고!$B$31:$B$130,참고!$A$31:$A$130,C1659,참고!$B$31:$B$130,"&lt;="&amp;A1659))*참고!$D$31:$D$130)/100,0),0)</f>
        <v>0</v>
      </c>
      <c r="L1659" s="31" t="str">
        <f t="shared" si="77"/>
        <v/>
      </c>
      <c r="M1659" s="39"/>
    </row>
    <row r="1660" spans="1:13" ht="18" customHeight="1" x14ac:dyDescent="0.45">
      <c r="A1660" s="37"/>
      <c r="B1660" s="29"/>
      <c r="C1660" s="29"/>
      <c r="D1660" s="28"/>
      <c r="E1660" s="30" t="str">
        <f>IFERROR(VLOOKUP(D1660,KRX종목마스터!$A:$B,2,FALSE),"")</f>
        <v/>
      </c>
      <c r="F1660" s="42"/>
      <c r="G1660" s="42"/>
      <c r="H1660" s="31" t="str">
        <f t="shared" si="75"/>
        <v/>
      </c>
      <c r="I1660" s="43">
        <f ca="1">IFERROR(SUMPRODUCT((참고!$A$31:$A$130=C1660)*(참고!$B$31:$B$130&lt;=A1660)*(참고!$B$31:$B$130=_xludf.MAXIFS(참고!$B$31:$B$130,참고!$A$31:$A$130,C1660,참고!$B$31:$B$130,"&lt;="&amp;A1660))*참고!$C$31:$C$130)/100,0)</f>
        <v>0</v>
      </c>
      <c r="J1660" s="31" t="str">
        <f t="shared" si="76"/>
        <v/>
      </c>
      <c r="K1660" s="43">
        <f>IF(B1660="매도",IFERROR(SUMPRODUCT((참고!$A$31:$A$130=C1660)*(참고!$B$31:$B$130&lt;=A1660)*(참고!$B$31:$B$130=_xludf.MAXIFS(참고!$B$31:$B$130,참고!$A$31:$A$130,C1660,참고!$B$31:$B$130,"&lt;="&amp;A1660))*참고!$D$31:$D$130)/100,0),0)</f>
        <v>0</v>
      </c>
      <c r="L1660" s="31" t="str">
        <f t="shared" si="77"/>
        <v/>
      </c>
      <c r="M1660" s="39"/>
    </row>
    <row r="1661" spans="1:13" ht="18" customHeight="1" x14ac:dyDescent="0.45">
      <c r="A1661" s="37"/>
      <c r="B1661" s="29"/>
      <c r="C1661" s="29"/>
      <c r="D1661" s="28"/>
      <c r="E1661" s="30" t="str">
        <f>IFERROR(VLOOKUP(D1661,KRX종목마스터!$A:$B,2,FALSE),"")</f>
        <v/>
      </c>
      <c r="F1661" s="42"/>
      <c r="G1661" s="42"/>
      <c r="H1661" s="31" t="str">
        <f t="shared" si="75"/>
        <v/>
      </c>
      <c r="I1661" s="43">
        <f ca="1">IFERROR(SUMPRODUCT((참고!$A$31:$A$130=C1661)*(참고!$B$31:$B$130&lt;=A1661)*(참고!$B$31:$B$130=_xludf.MAXIFS(참고!$B$31:$B$130,참고!$A$31:$A$130,C1661,참고!$B$31:$B$130,"&lt;="&amp;A1661))*참고!$C$31:$C$130)/100,0)</f>
        <v>0</v>
      </c>
      <c r="J1661" s="31" t="str">
        <f t="shared" si="76"/>
        <v/>
      </c>
      <c r="K1661" s="43">
        <f>IF(B1661="매도",IFERROR(SUMPRODUCT((참고!$A$31:$A$130=C1661)*(참고!$B$31:$B$130&lt;=A1661)*(참고!$B$31:$B$130=_xludf.MAXIFS(참고!$B$31:$B$130,참고!$A$31:$A$130,C1661,참고!$B$31:$B$130,"&lt;="&amp;A1661))*참고!$D$31:$D$130)/100,0),0)</f>
        <v>0</v>
      </c>
      <c r="L1661" s="31" t="str">
        <f t="shared" si="77"/>
        <v/>
      </c>
      <c r="M1661" s="39"/>
    </row>
    <row r="1662" spans="1:13" ht="18" customHeight="1" x14ac:dyDescent="0.45">
      <c r="A1662" s="37"/>
      <c r="B1662" s="29"/>
      <c r="C1662" s="29"/>
      <c r="D1662" s="28"/>
      <c r="E1662" s="30" t="str">
        <f>IFERROR(VLOOKUP(D1662,KRX종목마스터!$A:$B,2,FALSE),"")</f>
        <v/>
      </c>
      <c r="F1662" s="42"/>
      <c r="G1662" s="42"/>
      <c r="H1662" s="31" t="str">
        <f t="shared" si="75"/>
        <v/>
      </c>
      <c r="I1662" s="43">
        <f ca="1">IFERROR(SUMPRODUCT((참고!$A$31:$A$130=C1662)*(참고!$B$31:$B$130&lt;=A1662)*(참고!$B$31:$B$130=_xludf.MAXIFS(참고!$B$31:$B$130,참고!$A$31:$A$130,C1662,참고!$B$31:$B$130,"&lt;="&amp;A1662))*참고!$C$31:$C$130)/100,0)</f>
        <v>0</v>
      </c>
      <c r="J1662" s="31" t="str">
        <f t="shared" si="76"/>
        <v/>
      </c>
      <c r="K1662" s="43">
        <f>IF(B1662="매도",IFERROR(SUMPRODUCT((참고!$A$31:$A$130=C1662)*(참고!$B$31:$B$130&lt;=A1662)*(참고!$B$31:$B$130=_xludf.MAXIFS(참고!$B$31:$B$130,참고!$A$31:$A$130,C1662,참고!$B$31:$B$130,"&lt;="&amp;A1662))*참고!$D$31:$D$130)/100,0),0)</f>
        <v>0</v>
      </c>
      <c r="L1662" s="31" t="str">
        <f t="shared" si="77"/>
        <v/>
      </c>
      <c r="M1662" s="39"/>
    </row>
    <row r="1663" spans="1:13" ht="18" customHeight="1" x14ac:dyDescent="0.45">
      <c r="A1663" s="37"/>
      <c r="B1663" s="29"/>
      <c r="C1663" s="29"/>
      <c r="D1663" s="28"/>
      <c r="E1663" s="30" t="str">
        <f>IFERROR(VLOOKUP(D1663,KRX종목마스터!$A:$B,2,FALSE),"")</f>
        <v/>
      </c>
      <c r="F1663" s="42"/>
      <c r="G1663" s="42"/>
      <c r="H1663" s="31" t="str">
        <f t="shared" si="75"/>
        <v/>
      </c>
      <c r="I1663" s="43">
        <f ca="1">IFERROR(SUMPRODUCT((참고!$A$31:$A$130=C1663)*(참고!$B$31:$B$130&lt;=A1663)*(참고!$B$31:$B$130=_xludf.MAXIFS(참고!$B$31:$B$130,참고!$A$31:$A$130,C1663,참고!$B$31:$B$130,"&lt;="&amp;A1663))*참고!$C$31:$C$130)/100,0)</f>
        <v>0</v>
      </c>
      <c r="J1663" s="31" t="str">
        <f t="shared" si="76"/>
        <v/>
      </c>
      <c r="K1663" s="43">
        <f>IF(B1663="매도",IFERROR(SUMPRODUCT((참고!$A$31:$A$130=C1663)*(참고!$B$31:$B$130&lt;=A1663)*(참고!$B$31:$B$130=_xludf.MAXIFS(참고!$B$31:$B$130,참고!$A$31:$A$130,C1663,참고!$B$31:$B$130,"&lt;="&amp;A1663))*참고!$D$31:$D$130)/100,0),0)</f>
        <v>0</v>
      </c>
      <c r="L1663" s="31" t="str">
        <f t="shared" si="77"/>
        <v/>
      </c>
      <c r="M1663" s="39"/>
    </row>
    <row r="1664" spans="1:13" ht="18" customHeight="1" x14ac:dyDescent="0.45">
      <c r="A1664" s="37"/>
      <c r="B1664" s="29"/>
      <c r="C1664" s="29"/>
      <c r="D1664" s="28"/>
      <c r="E1664" s="30" t="str">
        <f>IFERROR(VLOOKUP(D1664,KRX종목마스터!$A:$B,2,FALSE),"")</f>
        <v/>
      </c>
      <c r="F1664" s="42"/>
      <c r="G1664" s="42"/>
      <c r="H1664" s="31" t="str">
        <f t="shared" si="75"/>
        <v/>
      </c>
      <c r="I1664" s="43">
        <f ca="1">IFERROR(SUMPRODUCT((참고!$A$31:$A$130=C1664)*(참고!$B$31:$B$130&lt;=A1664)*(참고!$B$31:$B$130=_xludf.MAXIFS(참고!$B$31:$B$130,참고!$A$31:$A$130,C1664,참고!$B$31:$B$130,"&lt;="&amp;A1664))*참고!$C$31:$C$130)/100,0)</f>
        <v>0</v>
      </c>
      <c r="J1664" s="31" t="str">
        <f t="shared" si="76"/>
        <v/>
      </c>
      <c r="K1664" s="43">
        <f>IF(B1664="매도",IFERROR(SUMPRODUCT((참고!$A$31:$A$130=C1664)*(참고!$B$31:$B$130&lt;=A1664)*(참고!$B$31:$B$130=_xludf.MAXIFS(참고!$B$31:$B$130,참고!$A$31:$A$130,C1664,참고!$B$31:$B$130,"&lt;="&amp;A1664))*참고!$D$31:$D$130)/100,0),0)</f>
        <v>0</v>
      </c>
      <c r="L1664" s="31" t="str">
        <f t="shared" si="77"/>
        <v/>
      </c>
      <c r="M1664" s="39"/>
    </row>
    <row r="1665" spans="1:13" ht="18" customHeight="1" x14ac:dyDescent="0.45">
      <c r="A1665" s="37"/>
      <c r="B1665" s="29"/>
      <c r="C1665" s="29"/>
      <c r="D1665" s="28"/>
      <c r="E1665" s="30" t="str">
        <f>IFERROR(VLOOKUP(D1665,KRX종목마스터!$A:$B,2,FALSE),"")</f>
        <v/>
      </c>
      <c r="F1665" s="42"/>
      <c r="G1665" s="42"/>
      <c r="H1665" s="31" t="str">
        <f t="shared" si="75"/>
        <v/>
      </c>
      <c r="I1665" s="43">
        <f ca="1">IFERROR(SUMPRODUCT((참고!$A$31:$A$130=C1665)*(참고!$B$31:$B$130&lt;=A1665)*(참고!$B$31:$B$130=_xludf.MAXIFS(참고!$B$31:$B$130,참고!$A$31:$A$130,C1665,참고!$B$31:$B$130,"&lt;="&amp;A1665))*참고!$C$31:$C$130)/100,0)</f>
        <v>0</v>
      </c>
      <c r="J1665" s="31" t="str">
        <f t="shared" si="76"/>
        <v/>
      </c>
      <c r="K1665" s="43">
        <f>IF(B1665="매도",IFERROR(SUMPRODUCT((참고!$A$31:$A$130=C1665)*(참고!$B$31:$B$130&lt;=A1665)*(참고!$B$31:$B$130=_xludf.MAXIFS(참고!$B$31:$B$130,참고!$A$31:$A$130,C1665,참고!$B$31:$B$130,"&lt;="&amp;A1665))*참고!$D$31:$D$130)/100,0),0)</f>
        <v>0</v>
      </c>
      <c r="L1665" s="31" t="str">
        <f t="shared" si="77"/>
        <v/>
      </c>
      <c r="M1665" s="39"/>
    </row>
    <row r="1666" spans="1:13" ht="18" customHeight="1" x14ac:dyDescent="0.45">
      <c r="A1666" s="37"/>
      <c r="B1666" s="29"/>
      <c r="C1666" s="29"/>
      <c r="D1666" s="28"/>
      <c r="E1666" s="30" t="str">
        <f>IFERROR(VLOOKUP(D1666,KRX종목마스터!$A:$B,2,FALSE),"")</f>
        <v/>
      </c>
      <c r="F1666" s="42"/>
      <c r="G1666" s="42"/>
      <c r="H1666" s="31" t="str">
        <f t="shared" si="75"/>
        <v/>
      </c>
      <c r="I1666" s="43">
        <f ca="1">IFERROR(SUMPRODUCT((참고!$A$31:$A$130=C1666)*(참고!$B$31:$B$130&lt;=A1666)*(참고!$B$31:$B$130=_xludf.MAXIFS(참고!$B$31:$B$130,참고!$A$31:$A$130,C1666,참고!$B$31:$B$130,"&lt;="&amp;A1666))*참고!$C$31:$C$130)/100,0)</f>
        <v>0</v>
      </c>
      <c r="J1666" s="31" t="str">
        <f t="shared" si="76"/>
        <v/>
      </c>
      <c r="K1666" s="43">
        <f>IF(B1666="매도",IFERROR(SUMPRODUCT((참고!$A$31:$A$130=C1666)*(참고!$B$31:$B$130&lt;=A1666)*(참고!$B$31:$B$130=_xludf.MAXIFS(참고!$B$31:$B$130,참고!$A$31:$A$130,C1666,참고!$B$31:$B$130,"&lt;="&amp;A1666))*참고!$D$31:$D$130)/100,0),0)</f>
        <v>0</v>
      </c>
      <c r="L1666" s="31" t="str">
        <f t="shared" si="77"/>
        <v/>
      </c>
      <c r="M1666" s="39"/>
    </row>
    <row r="1667" spans="1:13" ht="18" customHeight="1" x14ac:dyDescent="0.45">
      <c r="A1667" s="37"/>
      <c r="B1667" s="29"/>
      <c r="C1667" s="29"/>
      <c r="D1667" s="28"/>
      <c r="E1667" s="30" t="str">
        <f>IFERROR(VLOOKUP(D1667,KRX종목마스터!$A:$B,2,FALSE),"")</f>
        <v/>
      </c>
      <c r="F1667" s="42"/>
      <c r="G1667" s="42"/>
      <c r="H1667" s="31" t="str">
        <f t="shared" si="75"/>
        <v/>
      </c>
      <c r="I1667" s="43">
        <f ca="1">IFERROR(SUMPRODUCT((참고!$A$31:$A$130=C1667)*(참고!$B$31:$B$130&lt;=A1667)*(참고!$B$31:$B$130=_xludf.MAXIFS(참고!$B$31:$B$130,참고!$A$31:$A$130,C1667,참고!$B$31:$B$130,"&lt;="&amp;A1667))*참고!$C$31:$C$130)/100,0)</f>
        <v>0</v>
      </c>
      <c r="J1667" s="31" t="str">
        <f t="shared" si="76"/>
        <v/>
      </c>
      <c r="K1667" s="43">
        <f>IF(B1667="매도",IFERROR(SUMPRODUCT((참고!$A$31:$A$130=C1667)*(참고!$B$31:$B$130&lt;=A1667)*(참고!$B$31:$B$130=_xludf.MAXIFS(참고!$B$31:$B$130,참고!$A$31:$A$130,C1667,참고!$B$31:$B$130,"&lt;="&amp;A1667))*참고!$D$31:$D$130)/100,0),0)</f>
        <v>0</v>
      </c>
      <c r="L1667" s="31" t="str">
        <f t="shared" si="77"/>
        <v/>
      </c>
      <c r="M1667" s="39"/>
    </row>
    <row r="1668" spans="1:13" ht="18" customHeight="1" x14ac:dyDescent="0.45">
      <c r="A1668" s="37"/>
      <c r="B1668" s="29"/>
      <c r="C1668" s="29"/>
      <c r="D1668" s="28"/>
      <c r="E1668" s="30" t="str">
        <f>IFERROR(VLOOKUP(D1668,KRX종목마스터!$A:$B,2,FALSE),"")</f>
        <v/>
      </c>
      <c r="F1668" s="42"/>
      <c r="G1668" s="42"/>
      <c r="H1668" s="31" t="str">
        <f t="shared" si="75"/>
        <v/>
      </c>
      <c r="I1668" s="43">
        <f ca="1">IFERROR(SUMPRODUCT((참고!$A$31:$A$130=C1668)*(참고!$B$31:$B$130&lt;=A1668)*(참고!$B$31:$B$130=_xludf.MAXIFS(참고!$B$31:$B$130,참고!$A$31:$A$130,C1668,참고!$B$31:$B$130,"&lt;="&amp;A1668))*참고!$C$31:$C$130)/100,0)</f>
        <v>0</v>
      </c>
      <c r="J1668" s="31" t="str">
        <f t="shared" si="76"/>
        <v/>
      </c>
      <c r="K1668" s="43">
        <f>IF(B1668="매도",IFERROR(SUMPRODUCT((참고!$A$31:$A$130=C1668)*(참고!$B$31:$B$130&lt;=A1668)*(참고!$B$31:$B$130=_xludf.MAXIFS(참고!$B$31:$B$130,참고!$A$31:$A$130,C1668,참고!$B$31:$B$130,"&lt;="&amp;A1668))*참고!$D$31:$D$130)/100,0),0)</f>
        <v>0</v>
      </c>
      <c r="L1668" s="31" t="str">
        <f t="shared" si="77"/>
        <v/>
      </c>
      <c r="M1668" s="39"/>
    </row>
    <row r="1669" spans="1:13" ht="18" customHeight="1" x14ac:dyDescent="0.45">
      <c r="A1669" s="37"/>
      <c r="B1669" s="29"/>
      <c r="C1669" s="29"/>
      <c r="D1669" s="28"/>
      <c r="E1669" s="30" t="str">
        <f>IFERROR(VLOOKUP(D1669,KRX종목마스터!$A:$B,2,FALSE),"")</f>
        <v/>
      </c>
      <c r="F1669" s="42"/>
      <c r="G1669" s="42"/>
      <c r="H1669" s="31" t="str">
        <f t="shared" ref="H1669:H1732" si="78">IF(AND(F1669&lt;&gt;"",G1669&lt;&gt;""),F1669*G1669,"")</f>
        <v/>
      </c>
      <c r="I1669" s="43">
        <f ca="1">IFERROR(SUMPRODUCT((참고!$A$31:$A$130=C1669)*(참고!$B$31:$B$130&lt;=A1669)*(참고!$B$31:$B$130=_xludf.MAXIFS(참고!$B$31:$B$130,참고!$A$31:$A$130,C1669,참고!$B$31:$B$130,"&lt;="&amp;A1669))*참고!$C$31:$C$130)/100,0)</f>
        <v>0</v>
      </c>
      <c r="J1669" s="31" t="str">
        <f t="shared" ref="J1669:J1732" si="79">IF(H1669="","",ROUND(H1669*I1669,0))</f>
        <v/>
      </c>
      <c r="K1669" s="43">
        <f>IF(B1669="매도",IFERROR(SUMPRODUCT((참고!$A$31:$A$130=C1669)*(참고!$B$31:$B$130&lt;=A1669)*(참고!$B$31:$B$130=_xludf.MAXIFS(참고!$B$31:$B$130,참고!$A$31:$A$130,C1669,참고!$B$31:$B$130,"&lt;="&amp;A1669))*참고!$D$31:$D$130)/100,0),0)</f>
        <v>0</v>
      </c>
      <c r="L1669" s="31" t="str">
        <f t="shared" ref="L1669:L1732" si="80">IF(H1669="","",ROUND(H1669*K1669,0))</f>
        <v/>
      </c>
      <c r="M1669" s="39"/>
    </row>
    <row r="1670" spans="1:13" ht="18" customHeight="1" x14ac:dyDescent="0.45">
      <c r="A1670" s="37"/>
      <c r="B1670" s="29"/>
      <c r="C1670" s="29"/>
      <c r="D1670" s="28"/>
      <c r="E1670" s="30" t="str">
        <f>IFERROR(VLOOKUP(D1670,KRX종목마스터!$A:$B,2,FALSE),"")</f>
        <v/>
      </c>
      <c r="F1670" s="42"/>
      <c r="G1670" s="42"/>
      <c r="H1670" s="31" t="str">
        <f t="shared" si="78"/>
        <v/>
      </c>
      <c r="I1670" s="43">
        <f ca="1">IFERROR(SUMPRODUCT((참고!$A$31:$A$130=C1670)*(참고!$B$31:$B$130&lt;=A1670)*(참고!$B$31:$B$130=_xludf.MAXIFS(참고!$B$31:$B$130,참고!$A$31:$A$130,C1670,참고!$B$31:$B$130,"&lt;="&amp;A1670))*참고!$C$31:$C$130)/100,0)</f>
        <v>0</v>
      </c>
      <c r="J1670" s="31" t="str">
        <f t="shared" si="79"/>
        <v/>
      </c>
      <c r="K1670" s="43">
        <f>IF(B1670="매도",IFERROR(SUMPRODUCT((참고!$A$31:$A$130=C1670)*(참고!$B$31:$B$130&lt;=A1670)*(참고!$B$31:$B$130=_xludf.MAXIFS(참고!$B$31:$B$130,참고!$A$31:$A$130,C1670,참고!$B$31:$B$130,"&lt;="&amp;A1670))*참고!$D$31:$D$130)/100,0),0)</f>
        <v>0</v>
      </c>
      <c r="L1670" s="31" t="str">
        <f t="shared" si="80"/>
        <v/>
      </c>
      <c r="M1670" s="39"/>
    </row>
    <row r="1671" spans="1:13" ht="18" customHeight="1" x14ac:dyDescent="0.45">
      <c r="A1671" s="37"/>
      <c r="B1671" s="29"/>
      <c r="C1671" s="29"/>
      <c r="D1671" s="28"/>
      <c r="E1671" s="30" t="str">
        <f>IFERROR(VLOOKUP(D1671,KRX종목마스터!$A:$B,2,FALSE),"")</f>
        <v/>
      </c>
      <c r="F1671" s="42"/>
      <c r="G1671" s="42"/>
      <c r="H1671" s="31" t="str">
        <f t="shared" si="78"/>
        <v/>
      </c>
      <c r="I1671" s="43">
        <f ca="1">IFERROR(SUMPRODUCT((참고!$A$31:$A$130=C1671)*(참고!$B$31:$B$130&lt;=A1671)*(참고!$B$31:$B$130=_xludf.MAXIFS(참고!$B$31:$B$130,참고!$A$31:$A$130,C1671,참고!$B$31:$B$130,"&lt;="&amp;A1671))*참고!$C$31:$C$130)/100,0)</f>
        <v>0</v>
      </c>
      <c r="J1671" s="31" t="str">
        <f t="shared" si="79"/>
        <v/>
      </c>
      <c r="K1671" s="43">
        <f>IF(B1671="매도",IFERROR(SUMPRODUCT((참고!$A$31:$A$130=C1671)*(참고!$B$31:$B$130&lt;=A1671)*(참고!$B$31:$B$130=_xludf.MAXIFS(참고!$B$31:$B$130,참고!$A$31:$A$130,C1671,참고!$B$31:$B$130,"&lt;="&amp;A1671))*참고!$D$31:$D$130)/100,0),0)</f>
        <v>0</v>
      </c>
      <c r="L1671" s="31" t="str">
        <f t="shared" si="80"/>
        <v/>
      </c>
      <c r="M1671" s="39"/>
    </row>
    <row r="1672" spans="1:13" ht="18" customHeight="1" x14ac:dyDescent="0.45">
      <c r="A1672" s="37"/>
      <c r="B1672" s="29"/>
      <c r="C1672" s="29"/>
      <c r="D1672" s="28"/>
      <c r="E1672" s="30" t="str">
        <f>IFERROR(VLOOKUP(D1672,KRX종목마스터!$A:$B,2,FALSE),"")</f>
        <v/>
      </c>
      <c r="F1672" s="42"/>
      <c r="G1672" s="42"/>
      <c r="H1672" s="31" t="str">
        <f t="shared" si="78"/>
        <v/>
      </c>
      <c r="I1672" s="43">
        <f ca="1">IFERROR(SUMPRODUCT((참고!$A$31:$A$130=C1672)*(참고!$B$31:$B$130&lt;=A1672)*(참고!$B$31:$B$130=_xludf.MAXIFS(참고!$B$31:$B$130,참고!$A$31:$A$130,C1672,참고!$B$31:$B$130,"&lt;="&amp;A1672))*참고!$C$31:$C$130)/100,0)</f>
        <v>0</v>
      </c>
      <c r="J1672" s="31" t="str">
        <f t="shared" si="79"/>
        <v/>
      </c>
      <c r="K1672" s="43">
        <f>IF(B1672="매도",IFERROR(SUMPRODUCT((참고!$A$31:$A$130=C1672)*(참고!$B$31:$B$130&lt;=A1672)*(참고!$B$31:$B$130=_xludf.MAXIFS(참고!$B$31:$B$130,참고!$A$31:$A$130,C1672,참고!$B$31:$B$130,"&lt;="&amp;A1672))*참고!$D$31:$D$130)/100,0),0)</f>
        <v>0</v>
      </c>
      <c r="L1672" s="31" t="str">
        <f t="shared" si="80"/>
        <v/>
      </c>
      <c r="M1672" s="39"/>
    </row>
    <row r="1673" spans="1:13" ht="18" customHeight="1" x14ac:dyDescent="0.45">
      <c r="A1673" s="37"/>
      <c r="B1673" s="29"/>
      <c r="C1673" s="29"/>
      <c r="D1673" s="28"/>
      <c r="E1673" s="30" t="str">
        <f>IFERROR(VLOOKUP(D1673,KRX종목마스터!$A:$B,2,FALSE),"")</f>
        <v/>
      </c>
      <c r="F1673" s="42"/>
      <c r="G1673" s="42"/>
      <c r="H1673" s="31" t="str">
        <f t="shared" si="78"/>
        <v/>
      </c>
      <c r="I1673" s="43">
        <f ca="1">IFERROR(SUMPRODUCT((참고!$A$31:$A$130=C1673)*(참고!$B$31:$B$130&lt;=A1673)*(참고!$B$31:$B$130=_xludf.MAXIFS(참고!$B$31:$B$130,참고!$A$31:$A$130,C1673,참고!$B$31:$B$130,"&lt;="&amp;A1673))*참고!$C$31:$C$130)/100,0)</f>
        <v>0</v>
      </c>
      <c r="J1673" s="31" t="str">
        <f t="shared" si="79"/>
        <v/>
      </c>
      <c r="K1673" s="43">
        <f>IF(B1673="매도",IFERROR(SUMPRODUCT((참고!$A$31:$A$130=C1673)*(참고!$B$31:$B$130&lt;=A1673)*(참고!$B$31:$B$130=_xludf.MAXIFS(참고!$B$31:$B$130,참고!$A$31:$A$130,C1673,참고!$B$31:$B$130,"&lt;="&amp;A1673))*참고!$D$31:$D$130)/100,0),0)</f>
        <v>0</v>
      </c>
      <c r="L1673" s="31" t="str">
        <f t="shared" si="80"/>
        <v/>
      </c>
      <c r="M1673" s="39"/>
    </row>
    <row r="1674" spans="1:13" ht="18" customHeight="1" x14ac:dyDescent="0.45">
      <c r="A1674" s="37"/>
      <c r="B1674" s="29"/>
      <c r="C1674" s="29"/>
      <c r="D1674" s="28"/>
      <c r="E1674" s="30" t="str">
        <f>IFERROR(VLOOKUP(D1674,KRX종목마스터!$A:$B,2,FALSE),"")</f>
        <v/>
      </c>
      <c r="F1674" s="42"/>
      <c r="G1674" s="42"/>
      <c r="H1674" s="31" t="str">
        <f t="shared" si="78"/>
        <v/>
      </c>
      <c r="I1674" s="43">
        <f ca="1">IFERROR(SUMPRODUCT((참고!$A$31:$A$130=C1674)*(참고!$B$31:$B$130&lt;=A1674)*(참고!$B$31:$B$130=_xludf.MAXIFS(참고!$B$31:$B$130,참고!$A$31:$A$130,C1674,참고!$B$31:$B$130,"&lt;="&amp;A1674))*참고!$C$31:$C$130)/100,0)</f>
        <v>0</v>
      </c>
      <c r="J1674" s="31" t="str">
        <f t="shared" si="79"/>
        <v/>
      </c>
      <c r="K1674" s="43">
        <f>IF(B1674="매도",IFERROR(SUMPRODUCT((참고!$A$31:$A$130=C1674)*(참고!$B$31:$B$130&lt;=A1674)*(참고!$B$31:$B$130=_xludf.MAXIFS(참고!$B$31:$B$130,참고!$A$31:$A$130,C1674,참고!$B$31:$B$130,"&lt;="&amp;A1674))*참고!$D$31:$D$130)/100,0),0)</f>
        <v>0</v>
      </c>
      <c r="L1674" s="31" t="str">
        <f t="shared" si="80"/>
        <v/>
      </c>
      <c r="M1674" s="39"/>
    </row>
    <row r="1675" spans="1:13" ht="18" customHeight="1" x14ac:dyDescent="0.45">
      <c r="A1675" s="37"/>
      <c r="B1675" s="29"/>
      <c r="C1675" s="29"/>
      <c r="D1675" s="28"/>
      <c r="E1675" s="30" t="str">
        <f>IFERROR(VLOOKUP(D1675,KRX종목마스터!$A:$B,2,FALSE),"")</f>
        <v/>
      </c>
      <c r="F1675" s="42"/>
      <c r="G1675" s="42"/>
      <c r="H1675" s="31" t="str">
        <f t="shared" si="78"/>
        <v/>
      </c>
      <c r="I1675" s="43">
        <f ca="1">IFERROR(SUMPRODUCT((참고!$A$31:$A$130=C1675)*(참고!$B$31:$B$130&lt;=A1675)*(참고!$B$31:$B$130=_xludf.MAXIFS(참고!$B$31:$B$130,참고!$A$31:$A$130,C1675,참고!$B$31:$B$130,"&lt;="&amp;A1675))*참고!$C$31:$C$130)/100,0)</f>
        <v>0</v>
      </c>
      <c r="J1675" s="31" t="str">
        <f t="shared" si="79"/>
        <v/>
      </c>
      <c r="K1675" s="43">
        <f>IF(B1675="매도",IFERROR(SUMPRODUCT((참고!$A$31:$A$130=C1675)*(참고!$B$31:$B$130&lt;=A1675)*(참고!$B$31:$B$130=_xludf.MAXIFS(참고!$B$31:$B$130,참고!$A$31:$A$130,C1675,참고!$B$31:$B$130,"&lt;="&amp;A1675))*참고!$D$31:$D$130)/100,0),0)</f>
        <v>0</v>
      </c>
      <c r="L1675" s="31" t="str">
        <f t="shared" si="80"/>
        <v/>
      </c>
      <c r="M1675" s="39"/>
    </row>
    <row r="1676" spans="1:13" ht="18" customHeight="1" x14ac:dyDescent="0.45">
      <c r="A1676" s="37"/>
      <c r="B1676" s="29"/>
      <c r="C1676" s="29"/>
      <c r="D1676" s="28"/>
      <c r="E1676" s="30" t="str">
        <f>IFERROR(VLOOKUP(D1676,KRX종목마스터!$A:$B,2,FALSE),"")</f>
        <v/>
      </c>
      <c r="F1676" s="42"/>
      <c r="G1676" s="42"/>
      <c r="H1676" s="31" t="str">
        <f t="shared" si="78"/>
        <v/>
      </c>
      <c r="I1676" s="43">
        <f ca="1">IFERROR(SUMPRODUCT((참고!$A$31:$A$130=C1676)*(참고!$B$31:$B$130&lt;=A1676)*(참고!$B$31:$B$130=_xludf.MAXIFS(참고!$B$31:$B$130,참고!$A$31:$A$130,C1676,참고!$B$31:$B$130,"&lt;="&amp;A1676))*참고!$C$31:$C$130)/100,0)</f>
        <v>0</v>
      </c>
      <c r="J1676" s="31" t="str">
        <f t="shared" si="79"/>
        <v/>
      </c>
      <c r="K1676" s="43">
        <f>IF(B1676="매도",IFERROR(SUMPRODUCT((참고!$A$31:$A$130=C1676)*(참고!$B$31:$B$130&lt;=A1676)*(참고!$B$31:$B$130=_xludf.MAXIFS(참고!$B$31:$B$130,참고!$A$31:$A$130,C1676,참고!$B$31:$B$130,"&lt;="&amp;A1676))*참고!$D$31:$D$130)/100,0),0)</f>
        <v>0</v>
      </c>
      <c r="L1676" s="31" t="str">
        <f t="shared" si="80"/>
        <v/>
      </c>
      <c r="M1676" s="39"/>
    </row>
    <row r="1677" spans="1:13" ht="18" customHeight="1" x14ac:dyDescent="0.45">
      <c r="A1677" s="37"/>
      <c r="B1677" s="29"/>
      <c r="C1677" s="29"/>
      <c r="D1677" s="28"/>
      <c r="E1677" s="30" t="str">
        <f>IFERROR(VLOOKUP(D1677,KRX종목마스터!$A:$B,2,FALSE),"")</f>
        <v/>
      </c>
      <c r="F1677" s="42"/>
      <c r="G1677" s="42"/>
      <c r="H1677" s="31" t="str">
        <f t="shared" si="78"/>
        <v/>
      </c>
      <c r="I1677" s="43">
        <f ca="1">IFERROR(SUMPRODUCT((참고!$A$31:$A$130=C1677)*(참고!$B$31:$B$130&lt;=A1677)*(참고!$B$31:$B$130=_xludf.MAXIFS(참고!$B$31:$B$130,참고!$A$31:$A$130,C1677,참고!$B$31:$B$130,"&lt;="&amp;A1677))*참고!$C$31:$C$130)/100,0)</f>
        <v>0</v>
      </c>
      <c r="J1677" s="31" t="str">
        <f t="shared" si="79"/>
        <v/>
      </c>
      <c r="K1677" s="43">
        <f>IF(B1677="매도",IFERROR(SUMPRODUCT((참고!$A$31:$A$130=C1677)*(참고!$B$31:$B$130&lt;=A1677)*(참고!$B$31:$B$130=_xludf.MAXIFS(참고!$B$31:$B$130,참고!$A$31:$A$130,C1677,참고!$B$31:$B$130,"&lt;="&amp;A1677))*참고!$D$31:$D$130)/100,0),0)</f>
        <v>0</v>
      </c>
      <c r="L1677" s="31" t="str">
        <f t="shared" si="80"/>
        <v/>
      </c>
      <c r="M1677" s="39"/>
    </row>
    <row r="1678" spans="1:13" ht="18" customHeight="1" x14ac:dyDescent="0.45">
      <c r="A1678" s="37"/>
      <c r="B1678" s="29"/>
      <c r="C1678" s="29"/>
      <c r="D1678" s="28"/>
      <c r="E1678" s="30" t="str">
        <f>IFERROR(VLOOKUP(D1678,KRX종목마스터!$A:$B,2,FALSE),"")</f>
        <v/>
      </c>
      <c r="F1678" s="42"/>
      <c r="G1678" s="42"/>
      <c r="H1678" s="31" t="str">
        <f t="shared" si="78"/>
        <v/>
      </c>
      <c r="I1678" s="43">
        <f ca="1">IFERROR(SUMPRODUCT((참고!$A$31:$A$130=C1678)*(참고!$B$31:$B$130&lt;=A1678)*(참고!$B$31:$B$130=_xludf.MAXIFS(참고!$B$31:$B$130,참고!$A$31:$A$130,C1678,참고!$B$31:$B$130,"&lt;="&amp;A1678))*참고!$C$31:$C$130)/100,0)</f>
        <v>0</v>
      </c>
      <c r="J1678" s="31" t="str">
        <f t="shared" si="79"/>
        <v/>
      </c>
      <c r="K1678" s="43">
        <f>IF(B1678="매도",IFERROR(SUMPRODUCT((참고!$A$31:$A$130=C1678)*(참고!$B$31:$B$130&lt;=A1678)*(참고!$B$31:$B$130=_xludf.MAXIFS(참고!$B$31:$B$130,참고!$A$31:$A$130,C1678,참고!$B$31:$B$130,"&lt;="&amp;A1678))*참고!$D$31:$D$130)/100,0),0)</f>
        <v>0</v>
      </c>
      <c r="L1678" s="31" t="str">
        <f t="shared" si="80"/>
        <v/>
      </c>
      <c r="M1678" s="39"/>
    </row>
    <row r="1679" spans="1:13" ht="18" customHeight="1" x14ac:dyDescent="0.45">
      <c r="A1679" s="37"/>
      <c r="B1679" s="29"/>
      <c r="C1679" s="29"/>
      <c r="D1679" s="28"/>
      <c r="E1679" s="30" t="str">
        <f>IFERROR(VLOOKUP(D1679,KRX종목마스터!$A:$B,2,FALSE),"")</f>
        <v/>
      </c>
      <c r="F1679" s="42"/>
      <c r="G1679" s="42"/>
      <c r="H1679" s="31" t="str">
        <f t="shared" si="78"/>
        <v/>
      </c>
      <c r="I1679" s="43">
        <f ca="1">IFERROR(SUMPRODUCT((참고!$A$31:$A$130=C1679)*(참고!$B$31:$B$130&lt;=A1679)*(참고!$B$31:$B$130=_xludf.MAXIFS(참고!$B$31:$B$130,참고!$A$31:$A$130,C1679,참고!$B$31:$B$130,"&lt;="&amp;A1679))*참고!$C$31:$C$130)/100,0)</f>
        <v>0</v>
      </c>
      <c r="J1679" s="31" t="str">
        <f t="shared" si="79"/>
        <v/>
      </c>
      <c r="K1679" s="43">
        <f>IF(B1679="매도",IFERROR(SUMPRODUCT((참고!$A$31:$A$130=C1679)*(참고!$B$31:$B$130&lt;=A1679)*(참고!$B$31:$B$130=_xludf.MAXIFS(참고!$B$31:$B$130,참고!$A$31:$A$130,C1679,참고!$B$31:$B$130,"&lt;="&amp;A1679))*참고!$D$31:$D$130)/100,0),0)</f>
        <v>0</v>
      </c>
      <c r="L1679" s="31" t="str">
        <f t="shared" si="80"/>
        <v/>
      </c>
      <c r="M1679" s="39"/>
    </row>
    <row r="1680" spans="1:13" ht="18" customHeight="1" x14ac:dyDescent="0.45">
      <c r="A1680" s="37"/>
      <c r="B1680" s="29"/>
      <c r="C1680" s="29"/>
      <c r="D1680" s="28"/>
      <c r="E1680" s="30" t="str">
        <f>IFERROR(VLOOKUP(D1680,KRX종목마스터!$A:$B,2,FALSE),"")</f>
        <v/>
      </c>
      <c r="F1680" s="42"/>
      <c r="G1680" s="42"/>
      <c r="H1680" s="31" t="str">
        <f t="shared" si="78"/>
        <v/>
      </c>
      <c r="I1680" s="43">
        <f ca="1">IFERROR(SUMPRODUCT((참고!$A$31:$A$130=C1680)*(참고!$B$31:$B$130&lt;=A1680)*(참고!$B$31:$B$130=_xludf.MAXIFS(참고!$B$31:$B$130,참고!$A$31:$A$130,C1680,참고!$B$31:$B$130,"&lt;="&amp;A1680))*참고!$C$31:$C$130)/100,0)</f>
        <v>0</v>
      </c>
      <c r="J1680" s="31" t="str">
        <f t="shared" si="79"/>
        <v/>
      </c>
      <c r="K1680" s="43">
        <f>IF(B1680="매도",IFERROR(SUMPRODUCT((참고!$A$31:$A$130=C1680)*(참고!$B$31:$B$130&lt;=A1680)*(참고!$B$31:$B$130=_xludf.MAXIFS(참고!$B$31:$B$130,참고!$A$31:$A$130,C1680,참고!$B$31:$B$130,"&lt;="&amp;A1680))*참고!$D$31:$D$130)/100,0),0)</f>
        <v>0</v>
      </c>
      <c r="L1680" s="31" t="str">
        <f t="shared" si="80"/>
        <v/>
      </c>
      <c r="M1680" s="39"/>
    </row>
    <row r="1681" spans="1:13" ht="18" customHeight="1" x14ac:dyDescent="0.45">
      <c r="A1681" s="37"/>
      <c r="B1681" s="29"/>
      <c r="C1681" s="29"/>
      <c r="D1681" s="28"/>
      <c r="E1681" s="30" t="str">
        <f>IFERROR(VLOOKUP(D1681,KRX종목마스터!$A:$B,2,FALSE),"")</f>
        <v/>
      </c>
      <c r="F1681" s="42"/>
      <c r="G1681" s="42"/>
      <c r="H1681" s="31" t="str">
        <f t="shared" si="78"/>
        <v/>
      </c>
      <c r="I1681" s="43">
        <f ca="1">IFERROR(SUMPRODUCT((참고!$A$31:$A$130=C1681)*(참고!$B$31:$B$130&lt;=A1681)*(참고!$B$31:$B$130=_xludf.MAXIFS(참고!$B$31:$B$130,참고!$A$31:$A$130,C1681,참고!$B$31:$B$130,"&lt;="&amp;A1681))*참고!$C$31:$C$130)/100,0)</f>
        <v>0</v>
      </c>
      <c r="J1681" s="31" t="str">
        <f t="shared" si="79"/>
        <v/>
      </c>
      <c r="K1681" s="43">
        <f>IF(B1681="매도",IFERROR(SUMPRODUCT((참고!$A$31:$A$130=C1681)*(참고!$B$31:$B$130&lt;=A1681)*(참고!$B$31:$B$130=_xludf.MAXIFS(참고!$B$31:$B$130,참고!$A$31:$A$130,C1681,참고!$B$31:$B$130,"&lt;="&amp;A1681))*참고!$D$31:$D$130)/100,0),0)</f>
        <v>0</v>
      </c>
      <c r="L1681" s="31" t="str">
        <f t="shared" si="80"/>
        <v/>
      </c>
      <c r="M1681" s="39"/>
    </row>
    <row r="1682" spans="1:13" ht="18" customHeight="1" x14ac:dyDescent="0.45">
      <c r="A1682" s="37"/>
      <c r="B1682" s="29"/>
      <c r="C1682" s="29"/>
      <c r="D1682" s="28"/>
      <c r="E1682" s="30" t="str">
        <f>IFERROR(VLOOKUP(D1682,KRX종목마스터!$A:$B,2,FALSE),"")</f>
        <v/>
      </c>
      <c r="F1682" s="42"/>
      <c r="G1682" s="42"/>
      <c r="H1682" s="31" t="str">
        <f t="shared" si="78"/>
        <v/>
      </c>
      <c r="I1682" s="43">
        <f ca="1">IFERROR(SUMPRODUCT((참고!$A$31:$A$130=C1682)*(참고!$B$31:$B$130&lt;=A1682)*(참고!$B$31:$B$130=_xludf.MAXIFS(참고!$B$31:$B$130,참고!$A$31:$A$130,C1682,참고!$B$31:$B$130,"&lt;="&amp;A1682))*참고!$C$31:$C$130)/100,0)</f>
        <v>0</v>
      </c>
      <c r="J1682" s="31" t="str">
        <f t="shared" si="79"/>
        <v/>
      </c>
      <c r="K1682" s="43">
        <f>IF(B1682="매도",IFERROR(SUMPRODUCT((참고!$A$31:$A$130=C1682)*(참고!$B$31:$B$130&lt;=A1682)*(참고!$B$31:$B$130=_xludf.MAXIFS(참고!$B$31:$B$130,참고!$A$31:$A$130,C1682,참고!$B$31:$B$130,"&lt;="&amp;A1682))*참고!$D$31:$D$130)/100,0),0)</f>
        <v>0</v>
      </c>
      <c r="L1682" s="31" t="str">
        <f t="shared" si="80"/>
        <v/>
      </c>
      <c r="M1682" s="39"/>
    </row>
    <row r="1683" spans="1:13" ht="18" customHeight="1" x14ac:dyDescent="0.45">
      <c r="A1683" s="37"/>
      <c r="B1683" s="29"/>
      <c r="C1683" s="29"/>
      <c r="D1683" s="28"/>
      <c r="E1683" s="30" t="str">
        <f>IFERROR(VLOOKUP(D1683,KRX종목마스터!$A:$B,2,FALSE),"")</f>
        <v/>
      </c>
      <c r="F1683" s="42"/>
      <c r="G1683" s="42"/>
      <c r="H1683" s="31" t="str">
        <f t="shared" si="78"/>
        <v/>
      </c>
      <c r="I1683" s="43">
        <f ca="1">IFERROR(SUMPRODUCT((참고!$A$31:$A$130=C1683)*(참고!$B$31:$B$130&lt;=A1683)*(참고!$B$31:$B$130=_xludf.MAXIFS(참고!$B$31:$B$130,참고!$A$31:$A$130,C1683,참고!$B$31:$B$130,"&lt;="&amp;A1683))*참고!$C$31:$C$130)/100,0)</f>
        <v>0</v>
      </c>
      <c r="J1683" s="31" t="str">
        <f t="shared" si="79"/>
        <v/>
      </c>
      <c r="K1683" s="43">
        <f>IF(B1683="매도",IFERROR(SUMPRODUCT((참고!$A$31:$A$130=C1683)*(참고!$B$31:$B$130&lt;=A1683)*(참고!$B$31:$B$130=_xludf.MAXIFS(참고!$B$31:$B$130,참고!$A$31:$A$130,C1683,참고!$B$31:$B$130,"&lt;="&amp;A1683))*참고!$D$31:$D$130)/100,0),0)</f>
        <v>0</v>
      </c>
      <c r="L1683" s="31" t="str">
        <f t="shared" si="80"/>
        <v/>
      </c>
      <c r="M1683" s="39"/>
    </row>
    <row r="1684" spans="1:13" ht="18" customHeight="1" x14ac:dyDescent="0.45">
      <c r="A1684" s="37"/>
      <c r="B1684" s="29"/>
      <c r="C1684" s="29"/>
      <c r="D1684" s="28"/>
      <c r="E1684" s="30" t="str">
        <f>IFERROR(VLOOKUP(D1684,KRX종목마스터!$A:$B,2,FALSE),"")</f>
        <v/>
      </c>
      <c r="F1684" s="42"/>
      <c r="G1684" s="42"/>
      <c r="H1684" s="31" t="str">
        <f t="shared" si="78"/>
        <v/>
      </c>
      <c r="I1684" s="43">
        <f ca="1">IFERROR(SUMPRODUCT((참고!$A$31:$A$130=C1684)*(참고!$B$31:$B$130&lt;=A1684)*(참고!$B$31:$B$130=_xludf.MAXIFS(참고!$B$31:$B$130,참고!$A$31:$A$130,C1684,참고!$B$31:$B$130,"&lt;="&amp;A1684))*참고!$C$31:$C$130)/100,0)</f>
        <v>0</v>
      </c>
      <c r="J1684" s="31" t="str">
        <f t="shared" si="79"/>
        <v/>
      </c>
      <c r="K1684" s="43">
        <f>IF(B1684="매도",IFERROR(SUMPRODUCT((참고!$A$31:$A$130=C1684)*(참고!$B$31:$B$130&lt;=A1684)*(참고!$B$31:$B$130=_xludf.MAXIFS(참고!$B$31:$B$130,참고!$A$31:$A$130,C1684,참고!$B$31:$B$130,"&lt;="&amp;A1684))*참고!$D$31:$D$130)/100,0),0)</f>
        <v>0</v>
      </c>
      <c r="L1684" s="31" t="str">
        <f t="shared" si="80"/>
        <v/>
      </c>
      <c r="M1684" s="39"/>
    </row>
    <row r="1685" spans="1:13" ht="18" customHeight="1" x14ac:dyDescent="0.45">
      <c r="A1685" s="37"/>
      <c r="B1685" s="29"/>
      <c r="C1685" s="29"/>
      <c r="D1685" s="28"/>
      <c r="E1685" s="30" t="str">
        <f>IFERROR(VLOOKUP(D1685,KRX종목마스터!$A:$B,2,FALSE),"")</f>
        <v/>
      </c>
      <c r="F1685" s="42"/>
      <c r="G1685" s="42"/>
      <c r="H1685" s="31" t="str">
        <f t="shared" si="78"/>
        <v/>
      </c>
      <c r="I1685" s="43">
        <f ca="1">IFERROR(SUMPRODUCT((참고!$A$31:$A$130=C1685)*(참고!$B$31:$B$130&lt;=A1685)*(참고!$B$31:$B$130=_xludf.MAXIFS(참고!$B$31:$B$130,참고!$A$31:$A$130,C1685,참고!$B$31:$B$130,"&lt;="&amp;A1685))*참고!$C$31:$C$130)/100,0)</f>
        <v>0</v>
      </c>
      <c r="J1685" s="31" t="str">
        <f t="shared" si="79"/>
        <v/>
      </c>
      <c r="K1685" s="43">
        <f>IF(B1685="매도",IFERROR(SUMPRODUCT((참고!$A$31:$A$130=C1685)*(참고!$B$31:$B$130&lt;=A1685)*(참고!$B$31:$B$130=_xludf.MAXIFS(참고!$B$31:$B$130,참고!$A$31:$A$130,C1685,참고!$B$31:$B$130,"&lt;="&amp;A1685))*참고!$D$31:$D$130)/100,0),0)</f>
        <v>0</v>
      </c>
      <c r="L1685" s="31" t="str">
        <f t="shared" si="80"/>
        <v/>
      </c>
      <c r="M1685" s="39"/>
    </row>
    <row r="1686" spans="1:13" ht="18" customHeight="1" x14ac:dyDescent="0.45">
      <c r="A1686" s="37"/>
      <c r="B1686" s="29"/>
      <c r="C1686" s="29"/>
      <c r="D1686" s="28"/>
      <c r="E1686" s="30" t="str">
        <f>IFERROR(VLOOKUP(D1686,KRX종목마스터!$A:$B,2,FALSE),"")</f>
        <v/>
      </c>
      <c r="F1686" s="42"/>
      <c r="G1686" s="42"/>
      <c r="H1686" s="31" t="str">
        <f t="shared" si="78"/>
        <v/>
      </c>
      <c r="I1686" s="43">
        <f ca="1">IFERROR(SUMPRODUCT((참고!$A$31:$A$130=C1686)*(참고!$B$31:$B$130&lt;=A1686)*(참고!$B$31:$B$130=_xludf.MAXIFS(참고!$B$31:$B$130,참고!$A$31:$A$130,C1686,참고!$B$31:$B$130,"&lt;="&amp;A1686))*참고!$C$31:$C$130)/100,0)</f>
        <v>0</v>
      </c>
      <c r="J1686" s="31" t="str">
        <f t="shared" si="79"/>
        <v/>
      </c>
      <c r="K1686" s="43">
        <f>IF(B1686="매도",IFERROR(SUMPRODUCT((참고!$A$31:$A$130=C1686)*(참고!$B$31:$B$130&lt;=A1686)*(참고!$B$31:$B$130=_xludf.MAXIFS(참고!$B$31:$B$130,참고!$A$31:$A$130,C1686,참고!$B$31:$B$130,"&lt;="&amp;A1686))*참고!$D$31:$D$130)/100,0),0)</f>
        <v>0</v>
      </c>
      <c r="L1686" s="31" t="str">
        <f t="shared" si="80"/>
        <v/>
      </c>
      <c r="M1686" s="39"/>
    </row>
    <row r="1687" spans="1:13" ht="18" customHeight="1" x14ac:dyDescent="0.45">
      <c r="A1687" s="37"/>
      <c r="B1687" s="29"/>
      <c r="C1687" s="29"/>
      <c r="D1687" s="28"/>
      <c r="E1687" s="30" t="str">
        <f>IFERROR(VLOOKUP(D1687,KRX종목마스터!$A:$B,2,FALSE),"")</f>
        <v/>
      </c>
      <c r="F1687" s="42"/>
      <c r="G1687" s="42"/>
      <c r="H1687" s="31" t="str">
        <f t="shared" si="78"/>
        <v/>
      </c>
      <c r="I1687" s="43">
        <f ca="1">IFERROR(SUMPRODUCT((참고!$A$31:$A$130=C1687)*(참고!$B$31:$B$130&lt;=A1687)*(참고!$B$31:$B$130=_xludf.MAXIFS(참고!$B$31:$B$130,참고!$A$31:$A$130,C1687,참고!$B$31:$B$130,"&lt;="&amp;A1687))*참고!$C$31:$C$130)/100,0)</f>
        <v>0</v>
      </c>
      <c r="J1687" s="31" t="str">
        <f t="shared" si="79"/>
        <v/>
      </c>
      <c r="K1687" s="43">
        <f>IF(B1687="매도",IFERROR(SUMPRODUCT((참고!$A$31:$A$130=C1687)*(참고!$B$31:$B$130&lt;=A1687)*(참고!$B$31:$B$130=_xludf.MAXIFS(참고!$B$31:$B$130,참고!$A$31:$A$130,C1687,참고!$B$31:$B$130,"&lt;="&amp;A1687))*참고!$D$31:$D$130)/100,0),0)</f>
        <v>0</v>
      </c>
      <c r="L1687" s="31" t="str">
        <f t="shared" si="80"/>
        <v/>
      </c>
      <c r="M1687" s="39"/>
    </row>
    <row r="1688" spans="1:13" ht="18" customHeight="1" x14ac:dyDescent="0.45">
      <c r="A1688" s="37"/>
      <c r="B1688" s="29"/>
      <c r="C1688" s="29"/>
      <c r="D1688" s="28"/>
      <c r="E1688" s="30" t="str">
        <f>IFERROR(VLOOKUP(D1688,KRX종목마스터!$A:$B,2,FALSE),"")</f>
        <v/>
      </c>
      <c r="F1688" s="42"/>
      <c r="G1688" s="42"/>
      <c r="H1688" s="31" t="str">
        <f t="shared" si="78"/>
        <v/>
      </c>
      <c r="I1688" s="43">
        <f ca="1">IFERROR(SUMPRODUCT((참고!$A$31:$A$130=C1688)*(참고!$B$31:$B$130&lt;=A1688)*(참고!$B$31:$B$130=_xludf.MAXIFS(참고!$B$31:$B$130,참고!$A$31:$A$130,C1688,참고!$B$31:$B$130,"&lt;="&amp;A1688))*참고!$C$31:$C$130)/100,0)</f>
        <v>0</v>
      </c>
      <c r="J1688" s="31" t="str">
        <f t="shared" si="79"/>
        <v/>
      </c>
      <c r="K1688" s="43">
        <f>IF(B1688="매도",IFERROR(SUMPRODUCT((참고!$A$31:$A$130=C1688)*(참고!$B$31:$B$130&lt;=A1688)*(참고!$B$31:$B$130=_xludf.MAXIFS(참고!$B$31:$B$130,참고!$A$31:$A$130,C1688,참고!$B$31:$B$130,"&lt;="&amp;A1688))*참고!$D$31:$D$130)/100,0),0)</f>
        <v>0</v>
      </c>
      <c r="L1688" s="31" t="str">
        <f t="shared" si="80"/>
        <v/>
      </c>
      <c r="M1688" s="39"/>
    </row>
    <row r="1689" spans="1:13" ht="18" customHeight="1" x14ac:dyDescent="0.45">
      <c r="A1689" s="37"/>
      <c r="B1689" s="29"/>
      <c r="C1689" s="29"/>
      <c r="D1689" s="28"/>
      <c r="E1689" s="30" t="str">
        <f>IFERROR(VLOOKUP(D1689,KRX종목마스터!$A:$B,2,FALSE),"")</f>
        <v/>
      </c>
      <c r="F1689" s="42"/>
      <c r="G1689" s="42"/>
      <c r="H1689" s="31" t="str">
        <f t="shared" si="78"/>
        <v/>
      </c>
      <c r="I1689" s="43">
        <f ca="1">IFERROR(SUMPRODUCT((참고!$A$31:$A$130=C1689)*(참고!$B$31:$B$130&lt;=A1689)*(참고!$B$31:$B$130=_xludf.MAXIFS(참고!$B$31:$B$130,참고!$A$31:$A$130,C1689,참고!$B$31:$B$130,"&lt;="&amp;A1689))*참고!$C$31:$C$130)/100,0)</f>
        <v>0</v>
      </c>
      <c r="J1689" s="31" t="str">
        <f t="shared" si="79"/>
        <v/>
      </c>
      <c r="K1689" s="43">
        <f>IF(B1689="매도",IFERROR(SUMPRODUCT((참고!$A$31:$A$130=C1689)*(참고!$B$31:$B$130&lt;=A1689)*(참고!$B$31:$B$130=_xludf.MAXIFS(참고!$B$31:$B$130,참고!$A$31:$A$130,C1689,참고!$B$31:$B$130,"&lt;="&amp;A1689))*참고!$D$31:$D$130)/100,0),0)</f>
        <v>0</v>
      </c>
      <c r="L1689" s="31" t="str">
        <f t="shared" si="80"/>
        <v/>
      </c>
      <c r="M1689" s="39"/>
    </row>
    <row r="1690" spans="1:13" ht="18" customHeight="1" x14ac:dyDescent="0.45">
      <c r="A1690" s="37"/>
      <c r="B1690" s="29"/>
      <c r="C1690" s="29"/>
      <c r="D1690" s="28"/>
      <c r="E1690" s="30" t="str">
        <f>IFERROR(VLOOKUP(D1690,KRX종목마스터!$A:$B,2,FALSE),"")</f>
        <v/>
      </c>
      <c r="F1690" s="42"/>
      <c r="G1690" s="42"/>
      <c r="H1690" s="31" t="str">
        <f t="shared" si="78"/>
        <v/>
      </c>
      <c r="I1690" s="43">
        <f ca="1">IFERROR(SUMPRODUCT((참고!$A$31:$A$130=C1690)*(참고!$B$31:$B$130&lt;=A1690)*(참고!$B$31:$B$130=_xludf.MAXIFS(참고!$B$31:$B$130,참고!$A$31:$A$130,C1690,참고!$B$31:$B$130,"&lt;="&amp;A1690))*참고!$C$31:$C$130)/100,0)</f>
        <v>0</v>
      </c>
      <c r="J1690" s="31" t="str">
        <f t="shared" si="79"/>
        <v/>
      </c>
      <c r="K1690" s="43">
        <f>IF(B1690="매도",IFERROR(SUMPRODUCT((참고!$A$31:$A$130=C1690)*(참고!$B$31:$B$130&lt;=A1690)*(참고!$B$31:$B$130=_xludf.MAXIFS(참고!$B$31:$B$130,참고!$A$31:$A$130,C1690,참고!$B$31:$B$130,"&lt;="&amp;A1690))*참고!$D$31:$D$130)/100,0),0)</f>
        <v>0</v>
      </c>
      <c r="L1690" s="31" t="str">
        <f t="shared" si="80"/>
        <v/>
      </c>
      <c r="M1690" s="39"/>
    </row>
    <row r="1691" spans="1:13" ht="18" customHeight="1" x14ac:dyDescent="0.45">
      <c r="A1691" s="37"/>
      <c r="B1691" s="29"/>
      <c r="C1691" s="29"/>
      <c r="D1691" s="28"/>
      <c r="E1691" s="30" t="str">
        <f>IFERROR(VLOOKUP(D1691,KRX종목마스터!$A:$B,2,FALSE),"")</f>
        <v/>
      </c>
      <c r="F1691" s="42"/>
      <c r="G1691" s="42"/>
      <c r="H1691" s="31" t="str">
        <f t="shared" si="78"/>
        <v/>
      </c>
      <c r="I1691" s="43">
        <f ca="1">IFERROR(SUMPRODUCT((참고!$A$31:$A$130=C1691)*(참고!$B$31:$B$130&lt;=A1691)*(참고!$B$31:$B$130=_xludf.MAXIFS(참고!$B$31:$B$130,참고!$A$31:$A$130,C1691,참고!$B$31:$B$130,"&lt;="&amp;A1691))*참고!$C$31:$C$130)/100,0)</f>
        <v>0</v>
      </c>
      <c r="J1691" s="31" t="str">
        <f t="shared" si="79"/>
        <v/>
      </c>
      <c r="K1691" s="43">
        <f>IF(B1691="매도",IFERROR(SUMPRODUCT((참고!$A$31:$A$130=C1691)*(참고!$B$31:$B$130&lt;=A1691)*(참고!$B$31:$B$130=_xludf.MAXIFS(참고!$B$31:$B$130,참고!$A$31:$A$130,C1691,참고!$B$31:$B$130,"&lt;="&amp;A1691))*참고!$D$31:$D$130)/100,0),0)</f>
        <v>0</v>
      </c>
      <c r="L1691" s="31" t="str">
        <f t="shared" si="80"/>
        <v/>
      </c>
      <c r="M1691" s="39"/>
    </row>
    <row r="1692" spans="1:13" ht="18" customHeight="1" x14ac:dyDescent="0.45">
      <c r="A1692" s="37"/>
      <c r="B1692" s="29"/>
      <c r="C1692" s="29"/>
      <c r="D1692" s="28"/>
      <c r="E1692" s="30" t="str">
        <f>IFERROR(VLOOKUP(D1692,KRX종목마스터!$A:$B,2,FALSE),"")</f>
        <v/>
      </c>
      <c r="F1692" s="42"/>
      <c r="G1692" s="42"/>
      <c r="H1692" s="31" t="str">
        <f t="shared" si="78"/>
        <v/>
      </c>
      <c r="I1692" s="43">
        <f ca="1">IFERROR(SUMPRODUCT((참고!$A$31:$A$130=C1692)*(참고!$B$31:$B$130&lt;=A1692)*(참고!$B$31:$B$130=_xludf.MAXIFS(참고!$B$31:$B$130,참고!$A$31:$A$130,C1692,참고!$B$31:$B$130,"&lt;="&amp;A1692))*참고!$C$31:$C$130)/100,0)</f>
        <v>0</v>
      </c>
      <c r="J1692" s="31" t="str">
        <f t="shared" si="79"/>
        <v/>
      </c>
      <c r="K1692" s="43">
        <f>IF(B1692="매도",IFERROR(SUMPRODUCT((참고!$A$31:$A$130=C1692)*(참고!$B$31:$B$130&lt;=A1692)*(참고!$B$31:$B$130=_xludf.MAXIFS(참고!$B$31:$B$130,참고!$A$31:$A$130,C1692,참고!$B$31:$B$130,"&lt;="&amp;A1692))*참고!$D$31:$D$130)/100,0),0)</f>
        <v>0</v>
      </c>
      <c r="L1692" s="31" t="str">
        <f t="shared" si="80"/>
        <v/>
      </c>
      <c r="M1692" s="39"/>
    </row>
    <row r="1693" spans="1:13" ht="18" customHeight="1" x14ac:dyDescent="0.45">
      <c r="A1693" s="37"/>
      <c r="B1693" s="29"/>
      <c r="C1693" s="29"/>
      <c r="D1693" s="28"/>
      <c r="E1693" s="30" t="str">
        <f>IFERROR(VLOOKUP(D1693,KRX종목마스터!$A:$B,2,FALSE),"")</f>
        <v/>
      </c>
      <c r="F1693" s="42"/>
      <c r="G1693" s="42"/>
      <c r="H1693" s="31" t="str">
        <f t="shared" si="78"/>
        <v/>
      </c>
      <c r="I1693" s="43">
        <f ca="1">IFERROR(SUMPRODUCT((참고!$A$31:$A$130=C1693)*(참고!$B$31:$B$130&lt;=A1693)*(참고!$B$31:$B$130=_xludf.MAXIFS(참고!$B$31:$B$130,참고!$A$31:$A$130,C1693,참고!$B$31:$B$130,"&lt;="&amp;A1693))*참고!$C$31:$C$130)/100,0)</f>
        <v>0</v>
      </c>
      <c r="J1693" s="31" t="str">
        <f t="shared" si="79"/>
        <v/>
      </c>
      <c r="K1693" s="43">
        <f>IF(B1693="매도",IFERROR(SUMPRODUCT((참고!$A$31:$A$130=C1693)*(참고!$B$31:$B$130&lt;=A1693)*(참고!$B$31:$B$130=_xludf.MAXIFS(참고!$B$31:$B$130,참고!$A$31:$A$130,C1693,참고!$B$31:$B$130,"&lt;="&amp;A1693))*참고!$D$31:$D$130)/100,0),0)</f>
        <v>0</v>
      </c>
      <c r="L1693" s="31" t="str">
        <f t="shared" si="80"/>
        <v/>
      </c>
      <c r="M1693" s="39"/>
    </row>
    <row r="1694" spans="1:13" ht="18" customHeight="1" x14ac:dyDescent="0.45">
      <c r="A1694" s="37"/>
      <c r="B1694" s="29"/>
      <c r="C1694" s="29"/>
      <c r="D1694" s="28"/>
      <c r="E1694" s="30" t="str">
        <f>IFERROR(VLOOKUP(D1694,KRX종목마스터!$A:$B,2,FALSE),"")</f>
        <v/>
      </c>
      <c r="F1694" s="42"/>
      <c r="G1694" s="42"/>
      <c r="H1694" s="31" t="str">
        <f t="shared" si="78"/>
        <v/>
      </c>
      <c r="I1694" s="43">
        <f ca="1">IFERROR(SUMPRODUCT((참고!$A$31:$A$130=C1694)*(참고!$B$31:$B$130&lt;=A1694)*(참고!$B$31:$B$130=_xludf.MAXIFS(참고!$B$31:$B$130,참고!$A$31:$A$130,C1694,참고!$B$31:$B$130,"&lt;="&amp;A1694))*참고!$C$31:$C$130)/100,0)</f>
        <v>0</v>
      </c>
      <c r="J1694" s="31" t="str">
        <f t="shared" si="79"/>
        <v/>
      </c>
      <c r="K1694" s="43">
        <f>IF(B1694="매도",IFERROR(SUMPRODUCT((참고!$A$31:$A$130=C1694)*(참고!$B$31:$B$130&lt;=A1694)*(참고!$B$31:$B$130=_xludf.MAXIFS(참고!$B$31:$B$130,참고!$A$31:$A$130,C1694,참고!$B$31:$B$130,"&lt;="&amp;A1694))*참고!$D$31:$D$130)/100,0),0)</f>
        <v>0</v>
      </c>
      <c r="L1694" s="31" t="str">
        <f t="shared" si="80"/>
        <v/>
      </c>
      <c r="M1694" s="39"/>
    </row>
    <row r="1695" spans="1:13" ht="18" customHeight="1" x14ac:dyDescent="0.45">
      <c r="A1695" s="37"/>
      <c r="B1695" s="29"/>
      <c r="C1695" s="29"/>
      <c r="D1695" s="28"/>
      <c r="E1695" s="30" t="str">
        <f>IFERROR(VLOOKUP(D1695,KRX종목마스터!$A:$B,2,FALSE),"")</f>
        <v/>
      </c>
      <c r="F1695" s="42"/>
      <c r="G1695" s="42"/>
      <c r="H1695" s="31" t="str">
        <f t="shared" si="78"/>
        <v/>
      </c>
      <c r="I1695" s="43">
        <f ca="1">IFERROR(SUMPRODUCT((참고!$A$31:$A$130=C1695)*(참고!$B$31:$B$130&lt;=A1695)*(참고!$B$31:$B$130=_xludf.MAXIFS(참고!$B$31:$B$130,참고!$A$31:$A$130,C1695,참고!$B$31:$B$130,"&lt;="&amp;A1695))*참고!$C$31:$C$130)/100,0)</f>
        <v>0</v>
      </c>
      <c r="J1695" s="31" t="str">
        <f t="shared" si="79"/>
        <v/>
      </c>
      <c r="K1695" s="43">
        <f>IF(B1695="매도",IFERROR(SUMPRODUCT((참고!$A$31:$A$130=C1695)*(참고!$B$31:$B$130&lt;=A1695)*(참고!$B$31:$B$130=_xludf.MAXIFS(참고!$B$31:$B$130,참고!$A$31:$A$130,C1695,참고!$B$31:$B$130,"&lt;="&amp;A1695))*참고!$D$31:$D$130)/100,0),0)</f>
        <v>0</v>
      </c>
      <c r="L1695" s="31" t="str">
        <f t="shared" si="80"/>
        <v/>
      </c>
      <c r="M1695" s="39"/>
    </row>
    <row r="1696" spans="1:13" ht="18" customHeight="1" x14ac:dyDescent="0.45">
      <c r="A1696" s="37"/>
      <c r="B1696" s="29"/>
      <c r="C1696" s="29"/>
      <c r="D1696" s="28"/>
      <c r="E1696" s="30" t="str">
        <f>IFERROR(VLOOKUP(D1696,KRX종목마스터!$A:$B,2,FALSE),"")</f>
        <v/>
      </c>
      <c r="F1696" s="42"/>
      <c r="G1696" s="42"/>
      <c r="H1696" s="31" t="str">
        <f t="shared" si="78"/>
        <v/>
      </c>
      <c r="I1696" s="43">
        <f ca="1">IFERROR(SUMPRODUCT((참고!$A$31:$A$130=C1696)*(참고!$B$31:$B$130&lt;=A1696)*(참고!$B$31:$B$130=_xludf.MAXIFS(참고!$B$31:$B$130,참고!$A$31:$A$130,C1696,참고!$B$31:$B$130,"&lt;="&amp;A1696))*참고!$C$31:$C$130)/100,0)</f>
        <v>0</v>
      </c>
      <c r="J1696" s="31" t="str">
        <f t="shared" si="79"/>
        <v/>
      </c>
      <c r="K1696" s="43">
        <f>IF(B1696="매도",IFERROR(SUMPRODUCT((참고!$A$31:$A$130=C1696)*(참고!$B$31:$B$130&lt;=A1696)*(참고!$B$31:$B$130=_xludf.MAXIFS(참고!$B$31:$B$130,참고!$A$31:$A$130,C1696,참고!$B$31:$B$130,"&lt;="&amp;A1696))*참고!$D$31:$D$130)/100,0),0)</f>
        <v>0</v>
      </c>
      <c r="L1696" s="31" t="str">
        <f t="shared" si="80"/>
        <v/>
      </c>
      <c r="M1696" s="39"/>
    </row>
    <row r="1697" spans="1:13" ht="18" customHeight="1" x14ac:dyDescent="0.45">
      <c r="A1697" s="37"/>
      <c r="B1697" s="29"/>
      <c r="C1697" s="29"/>
      <c r="D1697" s="28"/>
      <c r="E1697" s="30" t="str">
        <f>IFERROR(VLOOKUP(D1697,KRX종목마스터!$A:$B,2,FALSE),"")</f>
        <v/>
      </c>
      <c r="F1697" s="42"/>
      <c r="G1697" s="42"/>
      <c r="H1697" s="31" t="str">
        <f t="shared" si="78"/>
        <v/>
      </c>
      <c r="I1697" s="43">
        <f ca="1">IFERROR(SUMPRODUCT((참고!$A$31:$A$130=C1697)*(참고!$B$31:$B$130&lt;=A1697)*(참고!$B$31:$B$130=_xludf.MAXIFS(참고!$B$31:$B$130,참고!$A$31:$A$130,C1697,참고!$B$31:$B$130,"&lt;="&amp;A1697))*참고!$C$31:$C$130)/100,0)</f>
        <v>0</v>
      </c>
      <c r="J1697" s="31" t="str">
        <f t="shared" si="79"/>
        <v/>
      </c>
      <c r="K1697" s="43">
        <f>IF(B1697="매도",IFERROR(SUMPRODUCT((참고!$A$31:$A$130=C1697)*(참고!$B$31:$B$130&lt;=A1697)*(참고!$B$31:$B$130=_xludf.MAXIFS(참고!$B$31:$B$130,참고!$A$31:$A$130,C1697,참고!$B$31:$B$130,"&lt;="&amp;A1697))*참고!$D$31:$D$130)/100,0),0)</f>
        <v>0</v>
      </c>
      <c r="L1697" s="31" t="str">
        <f t="shared" si="80"/>
        <v/>
      </c>
      <c r="M1697" s="39"/>
    </row>
    <row r="1698" spans="1:13" ht="18" customHeight="1" x14ac:dyDescent="0.45">
      <c r="A1698" s="37"/>
      <c r="B1698" s="29"/>
      <c r="C1698" s="29"/>
      <c r="D1698" s="28"/>
      <c r="E1698" s="30" t="str">
        <f>IFERROR(VLOOKUP(D1698,KRX종목마스터!$A:$B,2,FALSE),"")</f>
        <v/>
      </c>
      <c r="F1698" s="42"/>
      <c r="G1698" s="42"/>
      <c r="H1698" s="31" t="str">
        <f t="shared" si="78"/>
        <v/>
      </c>
      <c r="I1698" s="43">
        <f ca="1">IFERROR(SUMPRODUCT((참고!$A$31:$A$130=C1698)*(참고!$B$31:$B$130&lt;=A1698)*(참고!$B$31:$B$130=_xludf.MAXIFS(참고!$B$31:$B$130,참고!$A$31:$A$130,C1698,참고!$B$31:$B$130,"&lt;="&amp;A1698))*참고!$C$31:$C$130)/100,0)</f>
        <v>0</v>
      </c>
      <c r="J1698" s="31" t="str">
        <f t="shared" si="79"/>
        <v/>
      </c>
      <c r="K1698" s="43">
        <f>IF(B1698="매도",IFERROR(SUMPRODUCT((참고!$A$31:$A$130=C1698)*(참고!$B$31:$B$130&lt;=A1698)*(참고!$B$31:$B$130=_xludf.MAXIFS(참고!$B$31:$B$130,참고!$A$31:$A$130,C1698,참고!$B$31:$B$130,"&lt;="&amp;A1698))*참고!$D$31:$D$130)/100,0),0)</f>
        <v>0</v>
      </c>
      <c r="L1698" s="31" t="str">
        <f t="shared" si="80"/>
        <v/>
      </c>
      <c r="M1698" s="39"/>
    </row>
    <row r="1699" spans="1:13" ht="18" customHeight="1" x14ac:dyDescent="0.45">
      <c r="A1699" s="37"/>
      <c r="B1699" s="29"/>
      <c r="C1699" s="29"/>
      <c r="D1699" s="28"/>
      <c r="E1699" s="30" t="str">
        <f>IFERROR(VLOOKUP(D1699,KRX종목마스터!$A:$B,2,FALSE),"")</f>
        <v/>
      </c>
      <c r="F1699" s="42"/>
      <c r="G1699" s="42"/>
      <c r="H1699" s="31" t="str">
        <f t="shared" si="78"/>
        <v/>
      </c>
      <c r="I1699" s="43">
        <f ca="1">IFERROR(SUMPRODUCT((참고!$A$31:$A$130=C1699)*(참고!$B$31:$B$130&lt;=A1699)*(참고!$B$31:$B$130=_xludf.MAXIFS(참고!$B$31:$B$130,참고!$A$31:$A$130,C1699,참고!$B$31:$B$130,"&lt;="&amp;A1699))*참고!$C$31:$C$130)/100,0)</f>
        <v>0</v>
      </c>
      <c r="J1699" s="31" t="str">
        <f t="shared" si="79"/>
        <v/>
      </c>
      <c r="K1699" s="43">
        <f>IF(B1699="매도",IFERROR(SUMPRODUCT((참고!$A$31:$A$130=C1699)*(참고!$B$31:$B$130&lt;=A1699)*(참고!$B$31:$B$130=_xludf.MAXIFS(참고!$B$31:$B$130,참고!$A$31:$A$130,C1699,참고!$B$31:$B$130,"&lt;="&amp;A1699))*참고!$D$31:$D$130)/100,0),0)</f>
        <v>0</v>
      </c>
      <c r="L1699" s="31" t="str">
        <f t="shared" si="80"/>
        <v/>
      </c>
      <c r="M1699" s="39"/>
    </row>
    <row r="1700" spans="1:13" ht="18" customHeight="1" x14ac:dyDescent="0.45">
      <c r="A1700" s="37"/>
      <c r="B1700" s="29"/>
      <c r="C1700" s="29"/>
      <c r="D1700" s="28"/>
      <c r="E1700" s="30" t="str">
        <f>IFERROR(VLOOKUP(D1700,KRX종목마스터!$A:$B,2,FALSE),"")</f>
        <v/>
      </c>
      <c r="F1700" s="42"/>
      <c r="G1700" s="42"/>
      <c r="H1700" s="31" t="str">
        <f t="shared" si="78"/>
        <v/>
      </c>
      <c r="I1700" s="43">
        <f ca="1">IFERROR(SUMPRODUCT((참고!$A$31:$A$130=C1700)*(참고!$B$31:$B$130&lt;=A1700)*(참고!$B$31:$B$130=_xludf.MAXIFS(참고!$B$31:$B$130,참고!$A$31:$A$130,C1700,참고!$B$31:$B$130,"&lt;="&amp;A1700))*참고!$C$31:$C$130)/100,0)</f>
        <v>0</v>
      </c>
      <c r="J1700" s="31" t="str">
        <f t="shared" si="79"/>
        <v/>
      </c>
      <c r="K1700" s="43">
        <f>IF(B1700="매도",IFERROR(SUMPRODUCT((참고!$A$31:$A$130=C1700)*(참고!$B$31:$B$130&lt;=A1700)*(참고!$B$31:$B$130=_xludf.MAXIFS(참고!$B$31:$B$130,참고!$A$31:$A$130,C1700,참고!$B$31:$B$130,"&lt;="&amp;A1700))*참고!$D$31:$D$130)/100,0),0)</f>
        <v>0</v>
      </c>
      <c r="L1700" s="31" t="str">
        <f t="shared" si="80"/>
        <v/>
      </c>
      <c r="M1700" s="39"/>
    </row>
    <row r="1701" spans="1:13" ht="18" customHeight="1" x14ac:dyDescent="0.45">
      <c r="A1701" s="37"/>
      <c r="B1701" s="29"/>
      <c r="C1701" s="29"/>
      <c r="D1701" s="28"/>
      <c r="E1701" s="30" t="str">
        <f>IFERROR(VLOOKUP(D1701,KRX종목마스터!$A:$B,2,FALSE),"")</f>
        <v/>
      </c>
      <c r="F1701" s="42"/>
      <c r="G1701" s="42"/>
      <c r="H1701" s="31" t="str">
        <f t="shared" si="78"/>
        <v/>
      </c>
      <c r="I1701" s="43">
        <f ca="1">IFERROR(SUMPRODUCT((참고!$A$31:$A$130=C1701)*(참고!$B$31:$B$130&lt;=A1701)*(참고!$B$31:$B$130=_xludf.MAXIFS(참고!$B$31:$B$130,참고!$A$31:$A$130,C1701,참고!$B$31:$B$130,"&lt;="&amp;A1701))*참고!$C$31:$C$130)/100,0)</f>
        <v>0</v>
      </c>
      <c r="J1701" s="31" t="str">
        <f t="shared" si="79"/>
        <v/>
      </c>
      <c r="K1701" s="43">
        <f>IF(B1701="매도",IFERROR(SUMPRODUCT((참고!$A$31:$A$130=C1701)*(참고!$B$31:$B$130&lt;=A1701)*(참고!$B$31:$B$130=_xludf.MAXIFS(참고!$B$31:$B$130,참고!$A$31:$A$130,C1701,참고!$B$31:$B$130,"&lt;="&amp;A1701))*참고!$D$31:$D$130)/100,0),0)</f>
        <v>0</v>
      </c>
      <c r="L1701" s="31" t="str">
        <f t="shared" si="80"/>
        <v/>
      </c>
      <c r="M1701" s="39"/>
    </row>
    <row r="1702" spans="1:13" ht="18" customHeight="1" x14ac:dyDescent="0.45">
      <c r="A1702" s="37"/>
      <c r="B1702" s="29"/>
      <c r="C1702" s="29"/>
      <c r="D1702" s="28"/>
      <c r="E1702" s="30" t="str">
        <f>IFERROR(VLOOKUP(D1702,KRX종목마스터!$A:$B,2,FALSE),"")</f>
        <v/>
      </c>
      <c r="F1702" s="42"/>
      <c r="G1702" s="42"/>
      <c r="H1702" s="31" t="str">
        <f t="shared" si="78"/>
        <v/>
      </c>
      <c r="I1702" s="43">
        <f ca="1">IFERROR(SUMPRODUCT((참고!$A$31:$A$130=C1702)*(참고!$B$31:$B$130&lt;=A1702)*(참고!$B$31:$B$130=_xludf.MAXIFS(참고!$B$31:$B$130,참고!$A$31:$A$130,C1702,참고!$B$31:$B$130,"&lt;="&amp;A1702))*참고!$C$31:$C$130)/100,0)</f>
        <v>0</v>
      </c>
      <c r="J1702" s="31" t="str">
        <f t="shared" si="79"/>
        <v/>
      </c>
      <c r="K1702" s="43">
        <f>IF(B1702="매도",IFERROR(SUMPRODUCT((참고!$A$31:$A$130=C1702)*(참고!$B$31:$B$130&lt;=A1702)*(참고!$B$31:$B$130=_xludf.MAXIFS(참고!$B$31:$B$130,참고!$A$31:$A$130,C1702,참고!$B$31:$B$130,"&lt;="&amp;A1702))*참고!$D$31:$D$130)/100,0),0)</f>
        <v>0</v>
      </c>
      <c r="L1702" s="31" t="str">
        <f t="shared" si="80"/>
        <v/>
      </c>
      <c r="M1702" s="39"/>
    </row>
    <row r="1703" spans="1:13" ht="18" customHeight="1" x14ac:dyDescent="0.45">
      <c r="A1703" s="37"/>
      <c r="B1703" s="29"/>
      <c r="C1703" s="29"/>
      <c r="D1703" s="28"/>
      <c r="E1703" s="30" t="str">
        <f>IFERROR(VLOOKUP(D1703,KRX종목마스터!$A:$B,2,FALSE),"")</f>
        <v/>
      </c>
      <c r="F1703" s="42"/>
      <c r="G1703" s="42"/>
      <c r="H1703" s="31" t="str">
        <f t="shared" si="78"/>
        <v/>
      </c>
      <c r="I1703" s="43">
        <f ca="1">IFERROR(SUMPRODUCT((참고!$A$31:$A$130=C1703)*(참고!$B$31:$B$130&lt;=A1703)*(참고!$B$31:$B$130=_xludf.MAXIFS(참고!$B$31:$B$130,참고!$A$31:$A$130,C1703,참고!$B$31:$B$130,"&lt;="&amp;A1703))*참고!$C$31:$C$130)/100,0)</f>
        <v>0</v>
      </c>
      <c r="J1703" s="31" t="str">
        <f t="shared" si="79"/>
        <v/>
      </c>
      <c r="K1703" s="43">
        <f>IF(B1703="매도",IFERROR(SUMPRODUCT((참고!$A$31:$A$130=C1703)*(참고!$B$31:$B$130&lt;=A1703)*(참고!$B$31:$B$130=_xludf.MAXIFS(참고!$B$31:$B$130,참고!$A$31:$A$130,C1703,참고!$B$31:$B$130,"&lt;="&amp;A1703))*참고!$D$31:$D$130)/100,0),0)</f>
        <v>0</v>
      </c>
      <c r="L1703" s="31" t="str">
        <f t="shared" si="80"/>
        <v/>
      </c>
      <c r="M1703" s="39"/>
    </row>
    <row r="1704" spans="1:13" ht="18" customHeight="1" x14ac:dyDescent="0.45">
      <c r="A1704" s="37"/>
      <c r="B1704" s="29"/>
      <c r="C1704" s="29"/>
      <c r="D1704" s="28"/>
      <c r="E1704" s="30" t="str">
        <f>IFERROR(VLOOKUP(D1704,KRX종목마스터!$A:$B,2,FALSE),"")</f>
        <v/>
      </c>
      <c r="F1704" s="42"/>
      <c r="G1704" s="42"/>
      <c r="H1704" s="31" t="str">
        <f t="shared" si="78"/>
        <v/>
      </c>
      <c r="I1704" s="43">
        <f ca="1">IFERROR(SUMPRODUCT((참고!$A$31:$A$130=C1704)*(참고!$B$31:$B$130&lt;=A1704)*(참고!$B$31:$B$130=_xludf.MAXIFS(참고!$B$31:$B$130,참고!$A$31:$A$130,C1704,참고!$B$31:$B$130,"&lt;="&amp;A1704))*참고!$C$31:$C$130)/100,0)</f>
        <v>0</v>
      </c>
      <c r="J1704" s="31" t="str">
        <f t="shared" si="79"/>
        <v/>
      </c>
      <c r="K1704" s="43">
        <f>IF(B1704="매도",IFERROR(SUMPRODUCT((참고!$A$31:$A$130=C1704)*(참고!$B$31:$B$130&lt;=A1704)*(참고!$B$31:$B$130=_xludf.MAXIFS(참고!$B$31:$B$130,참고!$A$31:$A$130,C1704,참고!$B$31:$B$130,"&lt;="&amp;A1704))*참고!$D$31:$D$130)/100,0),0)</f>
        <v>0</v>
      </c>
      <c r="L1704" s="31" t="str">
        <f t="shared" si="80"/>
        <v/>
      </c>
      <c r="M1704" s="39"/>
    </row>
    <row r="1705" spans="1:13" ht="18" customHeight="1" x14ac:dyDescent="0.45">
      <c r="A1705" s="37"/>
      <c r="B1705" s="29"/>
      <c r="C1705" s="29"/>
      <c r="D1705" s="28"/>
      <c r="E1705" s="30" t="str">
        <f>IFERROR(VLOOKUP(D1705,KRX종목마스터!$A:$B,2,FALSE),"")</f>
        <v/>
      </c>
      <c r="F1705" s="42"/>
      <c r="G1705" s="42"/>
      <c r="H1705" s="31" t="str">
        <f t="shared" si="78"/>
        <v/>
      </c>
      <c r="I1705" s="43">
        <f ca="1">IFERROR(SUMPRODUCT((참고!$A$31:$A$130=C1705)*(참고!$B$31:$B$130&lt;=A1705)*(참고!$B$31:$B$130=_xludf.MAXIFS(참고!$B$31:$B$130,참고!$A$31:$A$130,C1705,참고!$B$31:$B$130,"&lt;="&amp;A1705))*참고!$C$31:$C$130)/100,0)</f>
        <v>0</v>
      </c>
      <c r="J1705" s="31" t="str">
        <f t="shared" si="79"/>
        <v/>
      </c>
      <c r="K1705" s="43">
        <f>IF(B1705="매도",IFERROR(SUMPRODUCT((참고!$A$31:$A$130=C1705)*(참고!$B$31:$B$130&lt;=A1705)*(참고!$B$31:$B$130=_xludf.MAXIFS(참고!$B$31:$B$130,참고!$A$31:$A$130,C1705,참고!$B$31:$B$130,"&lt;="&amp;A1705))*참고!$D$31:$D$130)/100,0),0)</f>
        <v>0</v>
      </c>
      <c r="L1705" s="31" t="str">
        <f t="shared" si="80"/>
        <v/>
      </c>
      <c r="M1705" s="39"/>
    </row>
    <row r="1706" spans="1:13" ht="18" customHeight="1" x14ac:dyDescent="0.45">
      <c r="A1706" s="37"/>
      <c r="B1706" s="29"/>
      <c r="C1706" s="29"/>
      <c r="D1706" s="28"/>
      <c r="E1706" s="30" t="str">
        <f>IFERROR(VLOOKUP(D1706,KRX종목마스터!$A:$B,2,FALSE),"")</f>
        <v/>
      </c>
      <c r="F1706" s="42"/>
      <c r="G1706" s="42"/>
      <c r="H1706" s="31" t="str">
        <f t="shared" si="78"/>
        <v/>
      </c>
      <c r="I1706" s="43">
        <f ca="1">IFERROR(SUMPRODUCT((참고!$A$31:$A$130=C1706)*(참고!$B$31:$B$130&lt;=A1706)*(참고!$B$31:$B$130=_xludf.MAXIFS(참고!$B$31:$B$130,참고!$A$31:$A$130,C1706,참고!$B$31:$B$130,"&lt;="&amp;A1706))*참고!$C$31:$C$130)/100,0)</f>
        <v>0</v>
      </c>
      <c r="J1706" s="31" t="str">
        <f t="shared" si="79"/>
        <v/>
      </c>
      <c r="K1706" s="43">
        <f>IF(B1706="매도",IFERROR(SUMPRODUCT((참고!$A$31:$A$130=C1706)*(참고!$B$31:$B$130&lt;=A1706)*(참고!$B$31:$B$130=_xludf.MAXIFS(참고!$B$31:$B$130,참고!$A$31:$A$130,C1706,참고!$B$31:$B$130,"&lt;="&amp;A1706))*참고!$D$31:$D$130)/100,0),0)</f>
        <v>0</v>
      </c>
      <c r="L1706" s="31" t="str">
        <f t="shared" si="80"/>
        <v/>
      </c>
      <c r="M1706" s="39"/>
    </row>
    <row r="1707" spans="1:13" ht="18" customHeight="1" x14ac:dyDescent="0.45">
      <c r="A1707" s="37"/>
      <c r="B1707" s="29"/>
      <c r="C1707" s="29"/>
      <c r="D1707" s="28"/>
      <c r="E1707" s="30" t="str">
        <f>IFERROR(VLOOKUP(D1707,KRX종목마스터!$A:$B,2,FALSE),"")</f>
        <v/>
      </c>
      <c r="F1707" s="42"/>
      <c r="G1707" s="42"/>
      <c r="H1707" s="31" t="str">
        <f t="shared" si="78"/>
        <v/>
      </c>
      <c r="I1707" s="43">
        <f ca="1">IFERROR(SUMPRODUCT((참고!$A$31:$A$130=C1707)*(참고!$B$31:$B$130&lt;=A1707)*(참고!$B$31:$B$130=_xludf.MAXIFS(참고!$B$31:$B$130,참고!$A$31:$A$130,C1707,참고!$B$31:$B$130,"&lt;="&amp;A1707))*참고!$C$31:$C$130)/100,0)</f>
        <v>0</v>
      </c>
      <c r="J1707" s="31" t="str">
        <f t="shared" si="79"/>
        <v/>
      </c>
      <c r="K1707" s="43">
        <f>IF(B1707="매도",IFERROR(SUMPRODUCT((참고!$A$31:$A$130=C1707)*(참고!$B$31:$B$130&lt;=A1707)*(참고!$B$31:$B$130=_xludf.MAXIFS(참고!$B$31:$B$130,참고!$A$31:$A$130,C1707,참고!$B$31:$B$130,"&lt;="&amp;A1707))*참고!$D$31:$D$130)/100,0),0)</f>
        <v>0</v>
      </c>
      <c r="L1707" s="31" t="str">
        <f t="shared" si="80"/>
        <v/>
      </c>
      <c r="M1707" s="39"/>
    </row>
    <row r="1708" spans="1:13" ht="18" customHeight="1" x14ac:dyDescent="0.45">
      <c r="A1708" s="37"/>
      <c r="B1708" s="29"/>
      <c r="C1708" s="29"/>
      <c r="D1708" s="28"/>
      <c r="E1708" s="30" t="str">
        <f>IFERROR(VLOOKUP(D1708,KRX종목마스터!$A:$B,2,FALSE),"")</f>
        <v/>
      </c>
      <c r="F1708" s="42"/>
      <c r="G1708" s="42"/>
      <c r="H1708" s="31" t="str">
        <f t="shared" si="78"/>
        <v/>
      </c>
      <c r="I1708" s="43">
        <f ca="1">IFERROR(SUMPRODUCT((참고!$A$31:$A$130=C1708)*(참고!$B$31:$B$130&lt;=A1708)*(참고!$B$31:$B$130=_xludf.MAXIFS(참고!$B$31:$B$130,참고!$A$31:$A$130,C1708,참고!$B$31:$B$130,"&lt;="&amp;A1708))*참고!$C$31:$C$130)/100,0)</f>
        <v>0</v>
      </c>
      <c r="J1708" s="31" t="str">
        <f t="shared" si="79"/>
        <v/>
      </c>
      <c r="K1708" s="43">
        <f>IF(B1708="매도",IFERROR(SUMPRODUCT((참고!$A$31:$A$130=C1708)*(참고!$B$31:$B$130&lt;=A1708)*(참고!$B$31:$B$130=_xludf.MAXIFS(참고!$B$31:$B$130,참고!$A$31:$A$130,C1708,참고!$B$31:$B$130,"&lt;="&amp;A1708))*참고!$D$31:$D$130)/100,0),0)</f>
        <v>0</v>
      </c>
      <c r="L1708" s="31" t="str">
        <f t="shared" si="80"/>
        <v/>
      </c>
      <c r="M1708" s="39"/>
    </row>
    <row r="1709" spans="1:13" ht="18" customHeight="1" x14ac:dyDescent="0.45">
      <c r="A1709" s="37"/>
      <c r="B1709" s="29"/>
      <c r="C1709" s="29"/>
      <c r="D1709" s="28"/>
      <c r="E1709" s="30" t="str">
        <f>IFERROR(VLOOKUP(D1709,KRX종목마스터!$A:$B,2,FALSE),"")</f>
        <v/>
      </c>
      <c r="F1709" s="42"/>
      <c r="G1709" s="42"/>
      <c r="H1709" s="31" t="str">
        <f t="shared" si="78"/>
        <v/>
      </c>
      <c r="I1709" s="43">
        <f ca="1">IFERROR(SUMPRODUCT((참고!$A$31:$A$130=C1709)*(참고!$B$31:$B$130&lt;=A1709)*(참고!$B$31:$B$130=_xludf.MAXIFS(참고!$B$31:$B$130,참고!$A$31:$A$130,C1709,참고!$B$31:$B$130,"&lt;="&amp;A1709))*참고!$C$31:$C$130)/100,0)</f>
        <v>0</v>
      </c>
      <c r="J1709" s="31" t="str">
        <f t="shared" si="79"/>
        <v/>
      </c>
      <c r="K1709" s="43">
        <f>IF(B1709="매도",IFERROR(SUMPRODUCT((참고!$A$31:$A$130=C1709)*(참고!$B$31:$B$130&lt;=A1709)*(참고!$B$31:$B$130=_xludf.MAXIFS(참고!$B$31:$B$130,참고!$A$31:$A$130,C1709,참고!$B$31:$B$130,"&lt;="&amp;A1709))*참고!$D$31:$D$130)/100,0),0)</f>
        <v>0</v>
      </c>
      <c r="L1709" s="31" t="str">
        <f t="shared" si="80"/>
        <v/>
      </c>
      <c r="M1709" s="39"/>
    </row>
    <row r="1710" spans="1:13" ht="18" customHeight="1" x14ac:dyDescent="0.45">
      <c r="A1710" s="37"/>
      <c r="B1710" s="29"/>
      <c r="C1710" s="29"/>
      <c r="D1710" s="28"/>
      <c r="E1710" s="30" t="str">
        <f>IFERROR(VLOOKUP(D1710,KRX종목마스터!$A:$B,2,FALSE),"")</f>
        <v/>
      </c>
      <c r="F1710" s="42"/>
      <c r="G1710" s="42"/>
      <c r="H1710" s="31" t="str">
        <f t="shared" si="78"/>
        <v/>
      </c>
      <c r="I1710" s="43">
        <f ca="1">IFERROR(SUMPRODUCT((참고!$A$31:$A$130=C1710)*(참고!$B$31:$B$130&lt;=A1710)*(참고!$B$31:$B$130=_xludf.MAXIFS(참고!$B$31:$B$130,참고!$A$31:$A$130,C1710,참고!$B$31:$B$130,"&lt;="&amp;A1710))*참고!$C$31:$C$130)/100,0)</f>
        <v>0</v>
      </c>
      <c r="J1710" s="31" t="str">
        <f t="shared" si="79"/>
        <v/>
      </c>
      <c r="K1710" s="43">
        <f>IF(B1710="매도",IFERROR(SUMPRODUCT((참고!$A$31:$A$130=C1710)*(참고!$B$31:$B$130&lt;=A1710)*(참고!$B$31:$B$130=_xludf.MAXIFS(참고!$B$31:$B$130,참고!$A$31:$A$130,C1710,참고!$B$31:$B$130,"&lt;="&amp;A1710))*참고!$D$31:$D$130)/100,0),0)</f>
        <v>0</v>
      </c>
      <c r="L1710" s="31" t="str">
        <f t="shared" si="80"/>
        <v/>
      </c>
      <c r="M1710" s="39"/>
    </row>
    <row r="1711" spans="1:13" ht="18" customHeight="1" x14ac:dyDescent="0.45">
      <c r="A1711" s="37"/>
      <c r="B1711" s="29"/>
      <c r="C1711" s="29"/>
      <c r="D1711" s="28"/>
      <c r="E1711" s="30" t="str">
        <f>IFERROR(VLOOKUP(D1711,KRX종목마스터!$A:$B,2,FALSE),"")</f>
        <v/>
      </c>
      <c r="F1711" s="42"/>
      <c r="G1711" s="42"/>
      <c r="H1711" s="31" t="str">
        <f t="shared" si="78"/>
        <v/>
      </c>
      <c r="I1711" s="43">
        <f ca="1">IFERROR(SUMPRODUCT((참고!$A$31:$A$130=C1711)*(참고!$B$31:$B$130&lt;=A1711)*(참고!$B$31:$B$130=_xludf.MAXIFS(참고!$B$31:$B$130,참고!$A$31:$A$130,C1711,참고!$B$31:$B$130,"&lt;="&amp;A1711))*참고!$C$31:$C$130)/100,0)</f>
        <v>0</v>
      </c>
      <c r="J1711" s="31" t="str">
        <f t="shared" si="79"/>
        <v/>
      </c>
      <c r="K1711" s="43">
        <f>IF(B1711="매도",IFERROR(SUMPRODUCT((참고!$A$31:$A$130=C1711)*(참고!$B$31:$B$130&lt;=A1711)*(참고!$B$31:$B$130=_xludf.MAXIFS(참고!$B$31:$B$130,참고!$A$31:$A$130,C1711,참고!$B$31:$B$130,"&lt;="&amp;A1711))*참고!$D$31:$D$130)/100,0),0)</f>
        <v>0</v>
      </c>
      <c r="L1711" s="31" t="str">
        <f t="shared" si="80"/>
        <v/>
      </c>
      <c r="M1711" s="39"/>
    </row>
    <row r="1712" spans="1:13" ht="18" customHeight="1" x14ac:dyDescent="0.45">
      <c r="A1712" s="37"/>
      <c r="B1712" s="29"/>
      <c r="C1712" s="29"/>
      <c r="D1712" s="28"/>
      <c r="E1712" s="30" t="str">
        <f>IFERROR(VLOOKUP(D1712,KRX종목마스터!$A:$B,2,FALSE),"")</f>
        <v/>
      </c>
      <c r="F1712" s="42"/>
      <c r="G1712" s="42"/>
      <c r="H1712" s="31" t="str">
        <f t="shared" si="78"/>
        <v/>
      </c>
      <c r="I1712" s="43">
        <f ca="1">IFERROR(SUMPRODUCT((참고!$A$31:$A$130=C1712)*(참고!$B$31:$B$130&lt;=A1712)*(참고!$B$31:$B$130=_xludf.MAXIFS(참고!$B$31:$B$130,참고!$A$31:$A$130,C1712,참고!$B$31:$B$130,"&lt;="&amp;A1712))*참고!$C$31:$C$130)/100,0)</f>
        <v>0</v>
      </c>
      <c r="J1712" s="31" t="str">
        <f t="shared" si="79"/>
        <v/>
      </c>
      <c r="K1712" s="43">
        <f>IF(B1712="매도",IFERROR(SUMPRODUCT((참고!$A$31:$A$130=C1712)*(참고!$B$31:$B$130&lt;=A1712)*(참고!$B$31:$B$130=_xludf.MAXIFS(참고!$B$31:$B$130,참고!$A$31:$A$130,C1712,참고!$B$31:$B$130,"&lt;="&amp;A1712))*참고!$D$31:$D$130)/100,0),0)</f>
        <v>0</v>
      </c>
      <c r="L1712" s="31" t="str">
        <f t="shared" si="80"/>
        <v/>
      </c>
      <c r="M1712" s="39"/>
    </row>
    <row r="1713" spans="1:13" ht="18" customHeight="1" x14ac:dyDescent="0.45">
      <c r="A1713" s="37"/>
      <c r="B1713" s="29"/>
      <c r="C1713" s="29"/>
      <c r="D1713" s="28"/>
      <c r="E1713" s="30" t="str">
        <f>IFERROR(VLOOKUP(D1713,KRX종목마스터!$A:$B,2,FALSE),"")</f>
        <v/>
      </c>
      <c r="F1713" s="42"/>
      <c r="G1713" s="42"/>
      <c r="H1713" s="31" t="str">
        <f t="shared" si="78"/>
        <v/>
      </c>
      <c r="I1713" s="43">
        <f ca="1">IFERROR(SUMPRODUCT((참고!$A$31:$A$130=C1713)*(참고!$B$31:$B$130&lt;=A1713)*(참고!$B$31:$B$130=_xludf.MAXIFS(참고!$B$31:$B$130,참고!$A$31:$A$130,C1713,참고!$B$31:$B$130,"&lt;="&amp;A1713))*참고!$C$31:$C$130)/100,0)</f>
        <v>0</v>
      </c>
      <c r="J1713" s="31" t="str">
        <f t="shared" si="79"/>
        <v/>
      </c>
      <c r="K1713" s="43">
        <f>IF(B1713="매도",IFERROR(SUMPRODUCT((참고!$A$31:$A$130=C1713)*(참고!$B$31:$B$130&lt;=A1713)*(참고!$B$31:$B$130=_xludf.MAXIFS(참고!$B$31:$B$130,참고!$A$31:$A$130,C1713,참고!$B$31:$B$130,"&lt;="&amp;A1713))*참고!$D$31:$D$130)/100,0),0)</f>
        <v>0</v>
      </c>
      <c r="L1713" s="31" t="str">
        <f t="shared" si="80"/>
        <v/>
      </c>
      <c r="M1713" s="39"/>
    </row>
    <row r="1714" spans="1:13" ht="18" customHeight="1" x14ac:dyDescent="0.45">
      <c r="A1714" s="37"/>
      <c r="B1714" s="29"/>
      <c r="C1714" s="29"/>
      <c r="D1714" s="28"/>
      <c r="E1714" s="30" t="str">
        <f>IFERROR(VLOOKUP(D1714,KRX종목마스터!$A:$B,2,FALSE),"")</f>
        <v/>
      </c>
      <c r="F1714" s="42"/>
      <c r="G1714" s="42"/>
      <c r="H1714" s="31" t="str">
        <f t="shared" si="78"/>
        <v/>
      </c>
      <c r="I1714" s="43">
        <f ca="1">IFERROR(SUMPRODUCT((참고!$A$31:$A$130=C1714)*(참고!$B$31:$B$130&lt;=A1714)*(참고!$B$31:$B$130=_xludf.MAXIFS(참고!$B$31:$B$130,참고!$A$31:$A$130,C1714,참고!$B$31:$B$130,"&lt;="&amp;A1714))*참고!$C$31:$C$130)/100,0)</f>
        <v>0</v>
      </c>
      <c r="J1714" s="31" t="str">
        <f t="shared" si="79"/>
        <v/>
      </c>
      <c r="K1714" s="43">
        <f>IF(B1714="매도",IFERROR(SUMPRODUCT((참고!$A$31:$A$130=C1714)*(참고!$B$31:$B$130&lt;=A1714)*(참고!$B$31:$B$130=_xludf.MAXIFS(참고!$B$31:$B$130,참고!$A$31:$A$130,C1714,참고!$B$31:$B$130,"&lt;="&amp;A1714))*참고!$D$31:$D$130)/100,0),0)</f>
        <v>0</v>
      </c>
      <c r="L1714" s="31" t="str">
        <f t="shared" si="80"/>
        <v/>
      </c>
      <c r="M1714" s="39"/>
    </row>
    <row r="1715" spans="1:13" ht="18" customHeight="1" x14ac:dyDescent="0.45">
      <c r="A1715" s="37"/>
      <c r="B1715" s="29"/>
      <c r="C1715" s="29"/>
      <c r="D1715" s="28"/>
      <c r="E1715" s="30" t="str">
        <f>IFERROR(VLOOKUP(D1715,KRX종목마스터!$A:$B,2,FALSE),"")</f>
        <v/>
      </c>
      <c r="F1715" s="42"/>
      <c r="G1715" s="42"/>
      <c r="H1715" s="31" t="str">
        <f t="shared" si="78"/>
        <v/>
      </c>
      <c r="I1715" s="43">
        <f ca="1">IFERROR(SUMPRODUCT((참고!$A$31:$A$130=C1715)*(참고!$B$31:$B$130&lt;=A1715)*(참고!$B$31:$B$130=_xludf.MAXIFS(참고!$B$31:$B$130,참고!$A$31:$A$130,C1715,참고!$B$31:$B$130,"&lt;="&amp;A1715))*참고!$C$31:$C$130)/100,0)</f>
        <v>0</v>
      </c>
      <c r="J1715" s="31" t="str">
        <f t="shared" si="79"/>
        <v/>
      </c>
      <c r="K1715" s="43">
        <f>IF(B1715="매도",IFERROR(SUMPRODUCT((참고!$A$31:$A$130=C1715)*(참고!$B$31:$B$130&lt;=A1715)*(참고!$B$31:$B$130=_xludf.MAXIFS(참고!$B$31:$B$130,참고!$A$31:$A$130,C1715,참고!$B$31:$B$130,"&lt;="&amp;A1715))*참고!$D$31:$D$130)/100,0),0)</f>
        <v>0</v>
      </c>
      <c r="L1715" s="31" t="str">
        <f t="shared" si="80"/>
        <v/>
      </c>
      <c r="M1715" s="39"/>
    </row>
    <row r="1716" spans="1:13" ht="18" customHeight="1" x14ac:dyDescent="0.45">
      <c r="A1716" s="37"/>
      <c r="B1716" s="29"/>
      <c r="C1716" s="29"/>
      <c r="D1716" s="28"/>
      <c r="E1716" s="30" t="str">
        <f>IFERROR(VLOOKUP(D1716,KRX종목마스터!$A:$B,2,FALSE),"")</f>
        <v/>
      </c>
      <c r="F1716" s="42"/>
      <c r="G1716" s="42"/>
      <c r="H1716" s="31" t="str">
        <f t="shared" si="78"/>
        <v/>
      </c>
      <c r="I1716" s="43">
        <f ca="1">IFERROR(SUMPRODUCT((참고!$A$31:$A$130=C1716)*(참고!$B$31:$B$130&lt;=A1716)*(참고!$B$31:$B$130=_xludf.MAXIFS(참고!$B$31:$B$130,참고!$A$31:$A$130,C1716,참고!$B$31:$B$130,"&lt;="&amp;A1716))*참고!$C$31:$C$130)/100,0)</f>
        <v>0</v>
      </c>
      <c r="J1716" s="31" t="str">
        <f t="shared" si="79"/>
        <v/>
      </c>
      <c r="K1716" s="43">
        <f>IF(B1716="매도",IFERROR(SUMPRODUCT((참고!$A$31:$A$130=C1716)*(참고!$B$31:$B$130&lt;=A1716)*(참고!$B$31:$B$130=_xludf.MAXIFS(참고!$B$31:$B$130,참고!$A$31:$A$130,C1716,참고!$B$31:$B$130,"&lt;="&amp;A1716))*참고!$D$31:$D$130)/100,0),0)</f>
        <v>0</v>
      </c>
      <c r="L1716" s="31" t="str">
        <f t="shared" si="80"/>
        <v/>
      </c>
      <c r="M1716" s="39"/>
    </row>
    <row r="1717" spans="1:13" ht="18" customHeight="1" x14ac:dyDescent="0.45">
      <c r="A1717" s="37"/>
      <c r="B1717" s="29"/>
      <c r="C1717" s="29"/>
      <c r="D1717" s="28"/>
      <c r="E1717" s="30" t="str">
        <f>IFERROR(VLOOKUP(D1717,KRX종목마스터!$A:$B,2,FALSE),"")</f>
        <v/>
      </c>
      <c r="F1717" s="42"/>
      <c r="G1717" s="42"/>
      <c r="H1717" s="31" t="str">
        <f t="shared" si="78"/>
        <v/>
      </c>
      <c r="I1717" s="43">
        <f ca="1">IFERROR(SUMPRODUCT((참고!$A$31:$A$130=C1717)*(참고!$B$31:$B$130&lt;=A1717)*(참고!$B$31:$B$130=_xludf.MAXIFS(참고!$B$31:$B$130,참고!$A$31:$A$130,C1717,참고!$B$31:$B$130,"&lt;="&amp;A1717))*참고!$C$31:$C$130)/100,0)</f>
        <v>0</v>
      </c>
      <c r="J1717" s="31" t="str">
        <f t="shared" si="79"/>
        <v/>
      </c>
      <c r="K1717" s="43">
        <f>IF(B1717="매도",IFERROR(SUMPRODUCT((참고!$A$31:$A$130=C1717)*(참고!$B$31:$B$130&lt;=A1717)*(참고!$B$31:$B$130=_xludf.MAXIFS(참고!$B$31:$B$130,참고!$A$31:$A$130,C1717,참고!$B$31:$B$130,"&lt;="&amp;A1717))*참고!$D$31:$D$130)/100,0),0)</f>
        <v>0</v>
      </c>
      <c r="L1717" s="31" t="str">
        <f t="shared" si="80"/>
        <v/>
      </c>
      <c r="M1717" s="39"/>
    </row>
    <row r="1718" spans="1:13" ht="18" customHeight="1" x14ac:dyDescent="0.45">
      <c r="A1718" s="37"/>
      <c r="B1718" s="29"/>
      <c r="C1718" s="29"/>
      <c r="D1718" s="28"/>
      <c r="E1718" s="30" t="str">
        <f>IFERROR(VLOOKUP(D1718,KRX종목마스터!$A:$B,2,FALSE),"")</f>
        <v/>
      </c>
      <c r="F1718" s="42"/>
      <c r="G1718" s="42"/>
      <c r="H1718" s="31" t="str">
        <f t="shared" si="78"/>
        <v/>
      </c>
      <c r="I1718" s="43">
        <f ca="1">IFERROR(SUMPRODUCT((참고!$A$31:$A$130=C1718)*(참고!$B$31:$B$130&lt;=A1718)*(참고!$B$31:$B$130=_xludf.MAXIFS(참고!$B$31:$B$130,참고!$A$31:$A$130,C1718,참고!$B$31:$B$130,"&lt;="&amp;A1718))*참고!$C$31:$C$130)/100,0)</f>
        <v>0</v>
      </c>
      <c r="J1718" s="31" t="str">
        <f t="shared" si="79"/>
        <v/>
      </c>
      <c r="K1718" s="43">
        <f>IF(B1718="매도",IFERROR(SUMPRODUCT((참고!$A$31:$A$130=C1718)*(참고!$B$31:$B$130&lt;=A1718)*(참고!$B$31:$B$130=_xludf.MAXIFS(참고!$B$31:$B$130,참고!$A$31:$A$130,C1718,참고!$B$31:$B$130,"&lt;="&amp;A1718))*참고!$D$31:$D$130)/100,0),0)</f>
        <v>0</v>
      </c>
      <c r="L1718" s="31" t="str">
        <f t="shared" si="80"/>
        <v/>
      </c>
      <c r="M1718" s="39"/>
    </row>
    <row r="1719" spans="1:13" ht="18" customHeight="1" x14ac:dyDescent="0.45">
      <c r="A1719" s="37"/>
      <c r="B1719" s="29"/>
      <c r="C1719" s="29"/>
      <c r="D1719" s="28"/>
      <c r="E1719" s="30" t="str">
        <f>IFERROR(VLOOKUP(D1719,KRX종목마스터!$A:$B,2,FALSE),"")</f>
        <v/>
      </c>
      <c r="F1719" s="42"/>
      <c r="G1719" s="42"/>
      <c r="H1719" s="31" t="str">
        <f t="shared" si="78"/>
        <v/>
      </c>
      <c r="I1719" s="43">
        <f ca="1">IFERROR(SUMPRODUCT((참고!$A$31:$A$130=C1719)*(참고!$B$31:$B$130&lt;=A1719)*(참고!$B$31:$B$130=_xludf.MAXIFS(참고!$B$31:$B$130,참고!$A$31:$A$130,C1719,참고!$B$31:$B$130,"&lt;="&amp;A1719))*참고!$C$31:$C$130)/100,0)</f>
        <v>0</v>
      </c>
      <c r="J1719" s="31" t="str">
        <f t="shared" si="79"/>
        <v/>
      </c>
      <c r="K1719" s="43">
        <f>IF(B1719="매도",IFERROR(SUMPRODUCT((참고!$A$31:$A$130=C1719)*(참고!$B$31:$B$130&lt;=A1719)*(참고!$B$31:$B$130=_xludf.MAXIFS(참고!$B$31:$B$130,참고!$A$31:$A$130,C1719,참고!$B$31:$B$130,"&lt;="&amp;A1719))*참고!$D$31:$D$130)/100,0),0)</f>
        <v>0</v>
      </c>
      <c r="L1719" s="31" t="str">
        <f t="shared" si="80"/>
        <v/>
      </c>
      <c r="M1719" s="39"/>
    </row>
    <row r="1720" spans="1:13" ht="18" customHeight="1" x14ac:dyDescent="0.45">
      <c r="A1720" s="37"/>
      <c r="B1720" s="29"/>
      <c r="C1720" s="29"/>
      <c r="D1720" s="28"/>
      <c r="E1720" s="30" t="str">
        <f>IFERROR(VLOOKUP(D1720,KRX종목마스터!$A:$B,2,FALSE),"")</f>
        <v/>
      </c>
      <c r="F1720" s="42"/>
      <c r="G1720" s="42"/>
      <c r="H1720" s="31" t="str">
        <f t="shared" si="78"/>
        <v/>
      </c>
      <c r="I1720" s="43">
        <f ca="1">IFERROR(SUMPRODUCT((참고!$A$31:$A$130=C1720)*(참고!$B$31:$B$130&lt;=A1720)*(참고!$B$31:$B$130=_xludf.MAXIFS(참고!$B$31:$B$130,참고!$A$31:$A$130,C1720,참고!$B$31:$B$130,"&lt;="&amp;A1720))*참고!$C$31:$C$130)/100,0)</f>
        <v>0</v>
      </c>
      <c r="J1720" s="31" t="str">
        <f t="shared" si="79"/>
        <v/>
      </c>
      <c r="K1720" s="43">
        <f>IF(B1720="매도",IFERROR(SUMPRODUCT((참고!$A$31:$A$130=C1720)*(참고!$B$31:$B$130&lt;=A1720)*(참고!$B$31:$B$130=_xludf.MAXIFS(참고!$B$31:$B$130,참고!$A$31:$A$130,C1720,참고!$B$31:$B$130,"&lt;="&amp;A1720))*참고!$D$31:$D$130)/100,0),0)</f>
        <v>0</v>
      </c>
      <c r="L1720" s="31" t="str">
        <f t="shared" si="80"/>
        <v/>
      </c>
      <c r="M1720" s="39"/>
    </row>
    <row r="1721" spans="1:13" ht="18" customHeight="1" x14ac:dyDescent="0.45">
      <c r="A1721" s="37"/>
      <c r="B1721" s="29"/>
      <c r="C1721" s="29"/>
      <c r="D1721" s="28"/>
      <c r="E1721" s="30" t="str">
        <f>IFERROR(VLOOKUP(D1721,KRX종목마스터!$A:$B,2,FALSE),"")</f>
        <v/>
      </c>
      <c r="F1721" s="42"/>
      <c r="G1721" s="42"/>
      <c r="H1721" s="31" t="str">
        <f t="shared" si="78"/>
        <v/>
      </c>
      <c r="I1721" s="43">
        <f ca="1">IFERROR(SUMPRODUCT((참고!$A$31:$A$130=C1721)*(참고!$B$31:$B$130&lt;=A1721)*(참고!$B$31:$B$130=_xludf.MAXIFS(참고!$B$31:$B$130,참고!$A$31:$A$130,C1721,참고!$B$31:$B$130,"&lt;="&amp;A1721))*참고!$C$31:$C$130)/100,0)</f>
        <v>0</v>
      </c>
      <c r="J1721" s="31" t="str">
        <f t="shared" si="79"/>
        <v/>
      </c>
      <c r="K1721" s="43">
        <f>IF(B1721="매도",IFERROR(SUMPRODUCT((참고!$A$31:$A$130=C1721)*(참고!$B$31:$B$130&lt;=A1721)*(참고!$B$31:$B$130=_xludf.MAXIFS(참고!$B$31:$B$130,참고!$A$31:$A$130,C1721,참고!$B$31:$B$130,"&lt;="&amp;A1721))*참고!$D$31:$D$130)/100,0),0)</f>
        <v>0</v>
      </c>
      <c r="L1721" s="31" t="str">
        <f t="shared" si="80"/>
        <v/>
      </c>
      <c r="M1721" s="39"/>
    </row>
    <row r="1722" spans="1:13" ht="18" customHeight="1" x14ac:dyDescent="0.45">
      <c r="A1722" s="37"/>
      <c r="B1722" s="29"/>
      <c r="C1722" s="29"/>
      <c r="D1722" s="28"/>
      <c r="E1722" s="30" t="str">
        <f>IFERROR(VLOOKUP(D1722,KRX종목마스터!$A:$B,2,FALSE),"")</f>
        <v/>
      </c>
      <c r="F1722" s="42"/>
      <c r="G1722" s="42"/>
      <c r="H1722" s="31" t="str">
        <f t="shared" si="78"/>
        <v/>
      </c>
      <c r="I1722" s="43">
        <f ca="1">IFERROR(SUMPRODUCT((참고!$A$31:$A$130=C1722)*(참고!$B$31:$B$130&lt;=A1722)*(참고!$B$31:$B$130=_xludf.MAXIFS(참고!$B$31:$B$130,참고!$A$31:$A$130,C1722,참고!$B$31:$B$130,"&lt;="&amp;A1722))*참고!$C$31:$C$130)/100,0)</f>
        <v>0</v>
      </c>
      <c r="J1722" s="31" t="str">
        <f t="shared" si="79"/>
        <v/>
      </c>
      <c r="K1722" s="43">
        <f>IF(B1722="매도",IFERROR(SUMPRODUCT((참고!$A$31:$A$130=C1722)*(참고!$B$31:$B$130&lt;=A1722)*(참고!$B$31:$B$130=_xludf.MAXIFS(참고!$B$31:$B$130,참고!$A$31:$A$130,C1722,참고!$B$31:$B$130,"&lt;="&amp;A1722))*참고!$D$31:$D$130)/100,0),0)</f>
        <v>0</v>
      </c>
      <c r="L1722" s="31" t="str">
        <f t="shared" si="80"/>
        <v/>
      </c>
      <c r="M1722" s="39"/>
    </row>
    <row r="1723" spans="1:13" ht="18" customHeight="1" x14ac:dyDescent="0.45">
      <c r="A1723" s="37"/>
      <c r="B1723" s="29"/>
      <c r="C1723" s="29"/>
      <c r="D1723" s="28"/>
      <c r="E1723" s="30" t="str">
        <f>IFERROR(VLOOKUP(D1723,KRX종목마스터!$A:$B,2,FALSE),"")</f>
        <v/>
      </c>
      <c r="F1723" s="42"/>
      <c r="G1723" s="42"/>
      <c r="H1723" s="31" t="str">
        <f t="shared" si="78"/>
        <v/>
      </c>
      <c r="I1723" s="43">
        <f ca="1">IFERROR(SUMPRODUCT((참고!$A$31:$A$130=C1723)*(참고!$B$31:$B$130&lt;=A1723)*(참고!$B$31:$B$130=_xludf.MAXIFS(참고!$B$31:$B$130,참고!$A$31:$A$130,C1723,참고!$B$31:$B$130,"&lt;="&amp;A1723))*참고!$C$31:$C$130)/100,0)</f>
        <v>0</v>
      </c>
      <c r="J1723" s="31" t="str">
        <f t="shared" si="79"/>
        <v/>
      </c>
      <c r="K1723" s="43">
        <f>IF(B1723="매도",IFERROR(SUMPRODUCT((참고!$A$31:$A$130=C1723)*(참고!$B$31:$B$130&lt;=A1723)*(참고!$B$31:$B$130=_xludf.MAXIFS(참고!$B$31:$B$130,참고!$A$31:$A$130,C1723,참고!$B$31:$B$130,"&lt;="&amp;A1723))*참고!$D$31:$D$130)/100,0),0)</f>
        <v>0</v>
      </c>
      <c r="L1723" s="31" t="str">
        <f t="shared" si="80"/>
        <v/>
      </c>
      <c r="M1723" s="39"/>
    </row>
    <row r="1724" spans="1:13" ht="18" customHeight="1" x14ac:dyDescent="0.45">
      <c r="A1724" s="37"/>
      <c r="B1724" s="29"/>
      <c r="C1724" s="29"/>
      <c r="D1724" s="28"/>
      <c r="E1724" s="30" t="str">
        <f>IFERROR(VLOOKUP(D1724,KRX종목마스터!$A:$B,2,FALSE),"")</f>
        <v/>
      </c>
      <c r="F1724" s="42"/>
      <c r="G1724" s="42"/>
      <c r="H1724" s="31" t="str">
        <f t="shared" si="78"/>
        <v/>
      </c>
      <c r="I1724" s="43">
        <f ca="1">IFERROR(SUMPRODUCT((참고!$A$31:$A$130=C1724)*(참고!$B$31:$B$130&lt;=A1724)*(참고!$B$31:$B$130=_xludf.MAXIFS(참고!$B$31:$B$130,참고!$A$31:$A$130,C1724,참고!$B$31:$B$130,"&lt;="&amp;A1724))*참고!$C$31:$C$130)/100,0)</f>
        <v>0</v>
      </c>
      <c r="J1724" s="31" t="str">
        <f t="shared" si="79"/>
        <v/>
      </c>
      <c r="K1724" s="43">
        <f>IF(B1724="매도",IFERROR(SUMPRODUCT((참고!$A$31:$A$130=C1724)*(참고!$B$31:$B$130&lt;=A1724)*(참고!$B$31:$B$130=_xludf.MAXIFS(참고!$B$31:$B$130,참고!$A$31:$A$130,C1724,참고!$B$31:$B$130,"&lt;="&amp;A1724))*참고!$D$31:$D$130)/100,0),0)</f>
        <v>0</v>
      </c>
      <c r="L1724" s="31" t="str">
        <f t="shared" si="80"/>
        <v/>
      </c>
      <c r="M1724" s="39"/>
    </row>
    <row r="1725" spans="1:13" ht="18" customHeight="1" x14ac:dyDescent="0.45">
      <c r="A1725" s="37"/>
      <c r="B1725" s="29"/>
      <c r="C1725" s="29"/>
      <c r="D1725" s="28"/>
      <c r="E1725" s="30" t="str">
        <f>IFERROR(VLOOKUP(D1725,KRX종목마스터!$A:$B,2,FALSE),"")</f>
        <v/>
      </c>
      <c r="F1725" s="42"/>
      <c r="G1725" s="42"/>
      <c r="H1725" s="31" t="str">
        <f t="shared" si="78"/>
        <v/>
      </c>
      <c r="I1725" s="43">
        <f ca="1">IFERROR(SUMPRODUCT((참고!$A$31:$A$130=C1725)*(참고!$B$31:$B$130&lt;=A1725)*(참고!$B$31:$B$130=_xludf.MAXIFS(참고!$B$31:$B$130,참고!$A$31:$A$130,C1725,참고!$B$31:$B$130,"&lt;="&amp;A1725))*참고!$C$31:$C$130)/100,0)</f>
        <v>0</v>
      </c>
      <c r="J1725" s="31" t="str">
        <f t="shared" si="79"/>
        <v/>
      </c>
      <c r="K1725" s="43">
        <f>IF(B1725="매도",IFERROR(SUMPRODUCT((참고!$A$31:$A$130=C1725)*(참고!$B$31:$B$130&lt;=A1725)*(참고!$B$31:$B$130=_xludf.MAXIFS(참고!$B$31:$B$130,참고!$A$31:$A$130,C1725,참고!$B$31:$B$130,"&lt;="&amp;A1725))*참고!$D$31:$D$130)/100,0),0)</f>
        <v>0</v>
      </c>
      <c r="L1725" s="31" t="str">
        <f t="shared" si="80"/>
        <v/>
      </c>
      <c r="M1725" s="39"/>
    </row>
    <row r="1726" spans="1:13" ht="18" customHeight="1" x14ac:dyDescent="0.45">
      <c r="A1726" s="37"/>
      <c r="B1726" s="29"/>
      <c r="C1726" s="29"/>
      <c r="D1726" s="28"/>
      <c r="E1726" s="30" t="str">
        <f>IFERROR(VLOOKUP(D1726,KRX종목마스터!$A:$B,2,FALSE),"")</f>
        <v/>
      </c>
      <c r="F1726" s="42"/>
      <c r="G1726" s="42"/>
      <c r="H1726" s="31" t="str">
        <f t="shared" si="78"/>
        <v/>
      </c>
      <c r="I1726" s="43">
        <f ca="1">IFERROR(SUMPRODUCT((참고!$A$31:$A$130=C1726)*(참고!$B$31:$B$130&lt;=A1726)*(참고!$B$31:$B$130=_xludf.MAXIFS(참고!$B$31:$B$130,참고!$A$31:$A$130,C1726,참고!$B$31:$B$130,"&lt;="&amp;A1726))*참고!$C$31:$C$130)/100,0)</f>
        <v>0</v>
      </c>
      <c r="J1726" s="31" t="str">
        <f t="shared" si="79"/>
        <v/>
      </c>
      <c r="K1726" s="43">
        <f>IF(B1726="매도",IFERROR(SUMPRODUCT((참고!$A$31:$A$130=C1726)*(참고!$B$31:$B$130&lt;=A1726)*(참고!$B$31:$B$130=_xludf.MAXIFS(참고!$B$31:$B$130,참고!$A$31:$A$130,C1726,참고!$B$31:$B$130,"&lt;="&amp;A1726))*참고!$D$31:$D$130)/100,0),0)</f>
        <v>0</v>
      </c>
      <c r="L1726" s="31" t="str">
        <f t="shared" si="80"/>
        <v/>
      </c>
      <c r="M1726" s="39"/>
    </row>
    <row r="1727" spans="1:13" ht="18" customHeight="1" x14ac:dyDescent="0.45">
      <c r="A1727" s="37"/>
      <c r="B1727" s="29"/>
      <c r="C1727" s="29"/>
      <c r="D1727" s="28"/>
      <c r="E1727" s="30" t="str">
        <f>IFERROR(VLOOKUP(D1727,KRX종목마스터!$A:$B,2,FALSE),"")</f>
        <v/>
      </c>
      <c r="F1727" s="42"/>
      <c r="G1727" s="42"/>
      <c r="H1727" s="31" t="str">
        <f t="shared" si="78"/>
        <v/>
      </c>
      <c r="I1727" s="43">
        <f ca="1">IFERROR(SUMPRODUCT((참고!$A$31:$A$130=C1727)*(참고!$B$31:$B$130&lt;=A1727)*(참고!$B$31:$B$130=_xludf.MAXIFS(참고!$B$31:$B$130,참고!$A$31:$A$130,C1727,참고!$B$31:$B$130,"&lt;="&amp;A1727))*참고!$C$31:$C$130)/100,0)</f>
        <v>0</v>
      </c>
      <c r="J1727" s="31" t="str">
        <f t="shared" si="79"/>
        <v/>
      </c>
      <c r="K1727" s="43">
        <f>IF(B1727="매도",IFERROR(SUMPRODUCT((참고!$A$31:$A$130=C1727)*(참고!$B$31:$B$130&lt;=A1727)*(참고!$B$31:$B$130=_xludf.MAXIFS(참고!$B$31:$B$130,참고!$A$31:$A$130,C1727,참고!$B$31:$B$130,"&lt;="&amp;A1727))*참고!$D$31:$D$130)/100,0),0)</f>
        <v>0</v>
      </c>
      <c r="L1727" s="31" t="str">
        <f t="shared" si="80"/>
        <v/>
      </c>
      <c r="M1727" s="39"/>
    </row>
    <row r="1728" spans="1:13" ht="18" customHeight="1" x14ac:dyDescent="0.45">
      <c r="A1728" s="37"/>
      <c r="B1728" s="29"/>
      <c r="C1728" s="29"/>
      <c r="D1728" s="28"/>
      <c r="E1728" s="30" t="str">
        <f>IFERROR(VLOOKUP(D1728,KRX종목마스터!$A:$B,2,FALSE),"")</f>
        <v/>
      </c>
      <c r="F1728" s="42"/>
      <c r="G1728" s="42"/>
      <c r="H1728" s="31" t="str">
        <f t="shared" si="78"/>
        <v/>
      </c>
      <c r="I1728" s="43">
        <f ca="1">IFERROR(SUMPRODUCT((참고!$A$31:$A$130=C1728)*(참고!$B$31:$B$130&lt;=A1728)*(참고!$B$31:$B$130=_xludf.MAXIFS(참고!$B$31:$B$130,참고!$A$31:$A$130,C1728,참고!$B$31:$B$130,"&lt;="&amp;A1728))*참고!$C$31:$C$130)/100,0)</f>
        <v>0</v>
      </c>
      <c r="J1728" s="31" t="str">
        <f t="shared" si="79"/>
        <v/>
      </c>
      <c r="K1728" s="43">
        <f>IF(B1728="매도",IFERROR(SUMPRODUCT((참고!$A$31:$A$130=C1728)*(참고!$B$31:$B$130&lt;=A1728)*(참고!$B$31:$B$130=_xludf.MAXIFS(참고!$B$31:$B$130,참고!$A$31:$A$130,C1728,참고!$B$31:$B$130,"&lt;="&amp;A1728))*참고!$D$31:$D$130)/100,0),0)</f>
        <v>0</v>
      </c>
      <c r="L1728" s="31" t="str">
        <f t="shared" si="80"/>
        <v/>
      </c>
      <c r="M1728" s="39"/>
    </row>
    <row r="1729" spans="1:13" ht="18" customHeight="1" x14ac:dyDescent="0.45">
      <c r="A1729" s="37"/>
      <c r="B1729" s="29"/>
      <c r="C1729" s="29"/>
      <c r="D1729" s="28"/>
      <c r="E1729" s="30" t="str">
        <f>IFERROR(VLOOKUP(D1729,KRX종목마스터!$A:$B,2,FALSE),"")</f>
        <v/>
      </c>
      <c r="F1729" s="42"/>
      <c r="G1729" s="42"/>
      <c r="H1729" s="31" t="str">
        <f t="shared" si="78"/>
        <v/>
      </c>
      <c r="I1729" s="43">
        <f ca="1">IFERROR(SUMPRODUCT((참고!$A$31:$A$130=C1729)*(참고!$B$31:$B$130&lt;=A1729)*(참고!$B$31:$B$130=_xludf.MAXIFS(참고!$B$31:$B$130,참고!$A$31:$A$130,C1729,참고!$B$31:$B$130,"&lt;="&amp;A1729))*참고!$C$31:$C$130)/100,0)</f>
        <v>0</v>
      </c>
      <c r="J1729" s="31" t="str">
        <f t="shared" si="79"/>
        <v/>
      </c>
      <c r="K1729" s="43">
        <f>IF(B1729="매도",IFERROR(SUMPRODUCT((참고!$A$31:$A$130=C1729)*(참고!$B$31:$B$130&lt;=A1729)*(참고!$B$31:$B$130=_xludf.MAXIFS(참고!$B$31:$B$130,참고!$A$31:$A$130,C1729,참고!$B$31:$B$130,"&lt;="&amp;A1729))*참고!$D$31:$D$130)/100,0),0)</f>
        <v>0</v>
      </c>
      <c r="L1729" s="31" t="str">
        <f t="shared" si="80"/>
        <v/>
      </c>
      <c r="M1729" s="39"/>
    </row>
    <row r="1730" spans="1:13" ht="18" customHeight="1" x14ac:dyDescent="0.45">
      <c r="A1730" s="37"/>
      <c r="B1730" s="29"/>
      <c r="C1730" s="29"/>
      <c r="D1730" s="28"/>
      <c r="E1730" s="30" t="str">
        <f>IFERROR(VLOOKUP(D1730,KRX종목마스터!$A:$B,2,FALSE),"")</f>
        <v/>
      </c>
      <c r="F1730" s="42"/>
      <c r="G1730" s="42"/>
      <c r="H1730" s="31" t="str">
        <f t="shared" si="78"/>
        <v/>
      </c>
      <c r="I1730" s="43">
        <f ca="1">IFERROR(SUMPRODUCT((참고!$A$31:$A$130=C1730)*(참고!$B$31:$B$130&lt;=A1730)*(참고!$B$31:$B$130=_xludf.MAXIFS(참고!$B$31:$B$130,참고!$A$31:$A$130,C1730,참고!$B$31:$B$130,"&lt;="&amp;A1730))*참고!$C$31:$C$130)/100,0)</f>
        <v>0</v>
      </c>
      <c r="J1730" s="31" t="str">
        <f t="shared" si="79"/>
        <v/>
      </c>
      <c r="K1730" s="43">
        <f>IF(B1730="매도",IFERROR(SUMPRODUCT((참고!$A$31:$A$130=C1730)*(참고!$B$31:$B$130&lt;=A1730)*(참고!$B$31:$B$130=_xludf.MAXIFS(참고!$B$31:$B$130,참고!$A$31:$A$130,C1730,참고!$B$31:$B$130,"&lt;="&amp;A1730))*참고!$D$31:$D$130)/100,0),0)</f>
        <v>0</v>
      </c>
      <c r="L1730" s="31" t="str">
        <f t="shared" si="80"/>
        <v/>
      </c>
      <c r="M1730" s="39"/>
    </row>
    <row r="1731" spans="1:13" ht="18" customHeight="1" x14ac:dyDescent="0.45">
      <c r="A1731" s="37"/>
      <c r="B1731" s="29"/>
      <c r="C1731" s="29"/>
      <c r="D1731" s="28"/>
      <c r="E1731" s="30" t="str">
        <f>IFERROR(VLOOKUP(D1731,KRX종목마스터!$A:$B,2,FALSE),"")</f>
        <v/>
      </c>
      <c r="F1731" s="42"/>
      <c r="G1731" s="42"/>
      <c r="H1731" s="31" t="str">
        <f t="shared" si="78"/>
        <v/>
      </c>
      <c r="I1731" s="43">
        <f ca="1">IFERROR(SUMPRODUCT((참고!$A$31:$A$130=C1731)*(참고!$B$31:$B$130&lt;=A1731)*(참고!$B$31:$B$130=_xludf.MAXIFS(참고!$B$31:$B$130,참고!$A$31:$A$130,C1731,참고!$B$31:$B$130,"&lt;="&amp;A1731))*참고!$C$31:$C$130)/100,0)</f>
        <v>0</v>
      </c>
      <c r="J1731" s="31" t="str">
        <f t="shared" si="79"/>
        <v/>
      </c>
      <c r="K1731" s="43">
        <f>IF(B1731="매도",IFERROR(SUMPRODUCT((참고!$A$31:$A$130=C1731)*(참고!$B$31:$B$130&lt;=A1731)*(참고!$B$31:$B$130=_xludf.MAXIFS(참고!$B$31:$B$130,참고!$A$31:$A$130,C1731,참고!$B$31:$B$130,"&lt;="&amp;A1731))*참고!$D$31:$D$130)/100,0),0)</f>
        <v>0</v>
      </c>
      <c r="L1731" s="31" t="str">
        <f t="shared" si="80"/>
        <v/>
      </c>
      <c r="M1731" s="39"/>
    </row>
    <row r="1732" spans="1:13" ht="18" customHeight="1" x14ac:dyDescent="0.45">
      <c r="A1732" s="37"/>
      <c r="B1732" s="29"/>
      <c r="C1732" s="29"/>
      <c r="D1732" s="28"/>
      <c r="E1732" s="30" t="str">
        <f>IFERROR(VLOOKUP(D1732,KRX종목마스터!$A:$B,2,FALSE),"")</f>
        <v/>
      </c>
      <c r="F1732" s="42"/>
      <c r="G1732" s="42"/>
      <c r="H1732" s="31" t="str">
        <f t="shared" si="78"/>
        <v/>
      </c>
      <c r="I1732" s="43">
        <f ca="1">IFERROR(SUMPRODUCT((참고!$A$31:$A$130=C1732)*(참고!$B$31:$B$130&lt;=A1732)*(참고!$B$31:$B$130=_xludf.MAXIFS(참고!$B$31:$B$130,참고!$A$31:$A$130,C1732,참고!$B$31:$B$130,"&lt;="&amp;A1732))*참고!$C$31:$C$130)/100,0)</f>
        <v>0</v>
      </c>
      <c r="J1732" s="31" t="str">
        <f t="shared" si="79"/>
        <v/>
      </c>
      <c r="K1732" s="43">
        <f>IF(B1732="매도",IFERROR(SUMPRODUCT((참고!$A$31:$A$130=C1732)*(참고!$B$31:$B$130&lt;=A1732)*(참고!$B$31:$B$130=_xludf.MAXIFS(참고!$B$31:$B$130,참고!$A$31:$A$130,C1732,참고!$B$31:$B$130,"&lt;="&amp;A1732))*참고!$D$31:$D$130)/100,0),0)</f>
        <v>0</v>
      </c>
      <c r="L1732" s="31" t="str">
        <f t="shared" si="80"/>
        <v/>
      </c>
      <c r="M1732" s="39"/>
    </row>
    <row r="1733" spans="1:13" ht="18" customHeight="1" x14ac:dyDescent="0.45">
      <c r="A1733" s="37"/>
      <c r="B1733" s="29"/>
      <c r="C1733" s="29"/>
      <c r="D1733" s="28"/>
      <c r="E1733" s="30" t="str">
        <f>IFERROR(VLOOKUP(D1733,KRX종목마스터!$A:$B,2,FALSE),"")</f>
        <v/>
      </c>
      <c r="F1733" s="42"/>
      <c r="G1733" s="42"/>
      <c r="H1733" s="31" t="str">
        <f t="shared" ref="H1733:H1796" si="81">IF(AND(F1733&lt;&gt;"",G1733&lt;&gt;""),F1733*G1733,"")</f>
        <v/>
      </c>
      <c r="I1733" s="43">
        <f ca="1">IFERROR(SUMPRODUCT((참고!$A$31:$A$130=C1733)*(참고!$B$31:$B$130&lt;=A1733)*(참고!$B$31:$B$130=_xludf.MAXIFS(참고!$B$31:$B$130,참고!$A$31:$A$130,C1733,참고!$B$31:$B$130,"&lt;="&amp;A1733))*참고!$C$31:$C$130)/100,0)</f>
        <v>0</v>
      </c>
      <c r="J1733" s="31" t="str">
        <f t="shared" ref="J1733:J1796" si="82">IF(H1733="","",ROUND(H1733*I1733,0))</f>
        <v/>
      </c>
      <c r="K1733" s="43">
        <f>IF(B1733="매도",IFERROR(SUMPRODUCT((참고!$A$31:$A$130=C1733)*(참고!$B$31:$B$130&lt;=A1733)*(참고!$B$31:$B$130=_xludf.MAXIFS(참고!$B$31:$B$130,참고!$A$31:$A$130,C1733,참고!$B$31:$B$130,"&lt;="&amp;A1733))*참고!$D$31:$D$130)/100,0),0)</f>
        <v>0</v>
      </c>
      <c r="L1733" s="31" t="str">
        <f t="shared" ref="L1733:L1796" si="83">IF(H1733="","",ROUND(H1733*K1733,0))</f>
        <v/>
      </c>
      <c r="M1733" s="39"/>
    </row>
    <row r="1734" spans="1:13" ht="18" customHeight="1" x14ac:dyDescent="0.45">
      <c r="A1734" s="37"/>
      <c r="B1734" s="29"/>
      <c r="C1734" s="29"/>
      <c r="D1734" s="28"/>
      <c r="E1734" s="30" t="str">
        <f>IFERROR(VLOOKUP(D1734,KRX종목마스터!$A:$B,2,FALSE),"")</f>
        <v/>
      </c>
      <c r="F1734" s="42"/>
      <c r="G1734" s="42"/>
      <c r="H1734" s="31" t="str">
        <f t="shared" si="81"/>
        <v/>
      </c>
      <c r="I1734" s="43">
        <f ca="1">IFERROR(SUMPRODUCT((참고!$A$31:$A$130=C1734)*(참고!$B$31:$B$130&lt;=A1734)*(참고!$B$31:$B$130=_xludf.MAXIFS(참고!$B$31:$B$130,참고!$A$31:$A$130,C1734,참고!$B$31:$B$130,"&lt;="&amp;A1734))*참고!$C$31:$C$130)/100,0)</f>
        <v>0</v>
      </c>
      <c r="J1734" s="31" t="str">
        <f t="shared" si="82"/>
        <v/>
      </c>
      <c r="K1734" s="43">
        <f>IF(B1734="매도",IFERROR(SUMPRODUCT((참고!$A$31:$A$130=C1734)*(참고!$B$31:$B$130&lt;=A1734)*(참고!$B$31:$B$130=_xludf.MAXIFS(참고!$B$31:$B$130,참고!$A$31:$A$130,C1734,참고!$B$31:$B$130,"&lt;="&amp;A1734))*참고!$D$31:$D$130)/100,0),0)</f>
        <v>0</v>
      </c>
      <c r="L1734" s="31" t="str">
        <f t="shared" si="83"/>
        <v/>
      </c>
      <c r="M1734" s="39"/>
    </row>
    <row r="1735" spans="1:13" ht="18" customHeight="1" x14ac:dyDescent="0.45">
      <c r="A1735" s="37"/>
      <c r="B1735" s="29"/>
      <c r="C1735" s="29"/>
      <c r="D1735" s="28"/>
      <c r="E1735" s="30" t="str">
        <f>IFERROR(VLOOKUP(D1735,KRX종목마스터!$A:$B,2,FALSE),"")</f>
        <v/>
      </c>
      <c r="F1735" s="42"/>
      <c r="G1735" s="42"/>
      <c r="H1735" s="31" t="str">
        <f t="shared" si="81"/>
        <v/>
      </c>
      <c r="I1735" s="43">
        <f ca="1">IFERROR(SUMPRODUCT((참고!$A$31:$A$130=C1735)*(참고!$B$31:$B$130&lt;=A1735)*(참고!$B$31:$B$130=_xludf.MAXIFS(참고!$B$31:$B$130,참고!$A$31:$A$130,C1735,참고!$B$31:$B$130,"&lt;="&amp;A1735))*참고!$C$31:$C$130)/100,0)</f>
        <v>0</v>
      </c>
      <c r="J1735" s="31" t="str">
        <f t="shared" si="82"/>
        <v/>
      </c>
      <c r="K1735" s="43">
        <f>IF(B1735="매도",IFERROR(SUMPRODUCT((참고!$A$31:$A$130=C1735)*(참고!$B$31:$B$130&lt;=A1735)*(참고!$B$31:$B$130=_xludf.MAXIFS(참고!$B$31:$B$130,참고!$A$31:$A$130,C1735,참고!$B$31:$B$130,"&lt;="&amp;A1735))*참고!$D$31:$D$130)/100,0),0)</f>
        <v>0</v>
      </c>
      <c r="L1735" s="31" t="str">
        <f t="shared" si="83"/>
        <v/>
      </c>
      <c r="M1735" s="39"/>
    </row>
    <row r="1736" spans="1:13" ht="18" customHeight="1" x14ac:dyDescent="0.45">
      <c r="A1736" s="37"/>
      <c r="B1736" s="29"/>
      <c r="C1736" s="29"/>
      <c r="D1736" s="28"/>
      <c r="E1736" s="30" t="str">
        <f>IFERROR(VLOOKUP(D1736,KRX종목마스터!$A:$B,2,FALSE),"")</f>
        <v/>
      </c>
      <c r="F1736" s="42"/>
      <c r="G1736" s="42"/>
      <c r="H1736" s="31" t="str">
        <f t="shared" si="81"/>
        <v/>
      </c>
      <c r="I1736" s="43">
        <f ca="1">IFERROR(SUMPRODUCT((참고!$A$31:$A$130=C1736)*(참고!$B$31:$B$130&lt;=A1736)*(참고!$B$31:$B$130=_xludf.MAXIFS(참고!$B$31:$B$130,참고!$A$31:$A$130,C1736,참고!$B$31:$B$130,"&lt;="&amp;A1736))*참고!$C$31:$C$130)/100,0)</f>
        <v>0</v>
      </c>
      <c r="J1736" s="31" t="str">
        <f t="shared" si="82"/>
        <v/>
      </c>
      <c r="K1736" s="43">
        <f>IF(B1736="매도",IFERROR(SUMPRODUCT((참고!$A$31:$A$130=C1736)*(참고!$B$31:$B$130&lt;=A1736)*(참고!$B$31:$B$130=_xludf.MAXIFS(참고!$B$31:$B$130,참고!$A$31:$A$130,C1736,참고!$B$31:$B$130,"&lt;="&amp;A1736))*참고!$D$31:$D$130)/100,0),0)</f>
        <v>0</v>
      </c>
      <c r="L1736" s="31" t="str">
        <f t="shared" si="83"/>
        <v/>
      </c>
      <c r="M1736" s="39"/>
    </row>
    <row r="1737" spans="1:13" ht="18" customHeight="1" x14ac:dyDescent="0.45">
      <c r="A1737" s="37"/>
      <c r="B1737" s="29"/>
      <c r="C1737" s="29"/>
      <c r="D1737" s="28"/>
      <c r="E1737" s="30" t="str">
        <f>IFERROR(VLOOKUP(D1737,KRX종목마스터!$A:$B,2,FALSE),"")</f>
        <v/>
      </c>
      <c r="F1737" s="42"/>
      <c r="G1737" s="42"/>
      <c r="H1737" s="31" t="str">
        <f t="shared" si="81"/>
        <v/>
      </c>
      <c r="I1737" s="43">
        <f ca="1">IFERROR(SUMPRODUCT((참고!$A$31:$A$130=C1737)*(참고!$B$31:$B$130&lt;=A1737)*(참고!$B$31:$B$130=_xludf.MAXIFS(참고!$B$31:$B$130,참고!$A$31:$A$130,C1737,참고!$B$31:$B$130,"&lt;="&amp;A1737))*참고!$C$31:$C$130)/100,0)</f>
        <v>0</v>
      </c>
      <c r="J1737" s="31" t="str">
        <f t="shared" si="82"/>
        <v/>
      </c>
      <c r="K1737" s="43">
        <f>IF(B1737="매도",IFERROR(SUMPRODUCT((참고!$A$31:$A$130=C1737)*(참고!$B$31:$B$130&lt;=A1737)*(참고!$B$31:$B$130=_xludf.MAXIFS(참고!$B$31:$B$130,참고!$A$31:$A$130,C1737,참고!$B$31:$B$130,"&lt;="&amp;A1737))*참고!$D$31:$D$130)/100,0),0)</f>
        <v>0</v>
      </c>
      <c r="L1737" s="31" t="str">
        <f t="shared" si="83"/>
        <v/>
      </c>
      <c r="M1737" s="39"/>
    </row>
    <row r="1738" spans="1:13" ht="18" customHeight="1" x14ac:dyDescent="0.45">
      <c r="A1738" s="37"/>
      <c r="B1738" s="29"/>
      <c r="C1738" s="29"/>
      <c r="D1738" s="28"/>
      <c r="E1738" s="30" t="str">
        <f>IFERROR(VLOOKUP(D1738,KRX종목마스터!$A:$B,2,FALSE),"")</f>
        <v/>
      </c>
      <c r="F1738" s="42"/>
      <c r="G1738" s="42"/>
      <c r="H1738" s="31" t="str">
        <f t="shared" si="81"/>
        <v/>
      </c>
      <c r="I1738" s="43">
        <f ca="1">IFERROR(SUMPRODUCT((참고!$A$31:$A$130=C1738)*(참고!$B$31:$B$130&lt;=A1738)*(참고!$B$31:$B$130=_xludf.MAXIFS(참고!$B$31:$B$130,참고!$A$31:$A$130,C1738,참고!$B$31:$B$130,"&lt;="&amp;A1738))*참고!$C$31:$C$130)/100,0)</f>
        <v>0</v>
      </c>
      <c r="J1738" s="31" t="str">
        <f t="shared" si="82"/>
        <v/>
      </c>
      <c r="K1738" s="43">
        <f>IF(B1738="매도",IFERROR(SUMPRODUCT((참고!$A$31:$A$130=C1738)*(참고!$B$31:$B$130&lt;=A1738)*(참고!$B$31:$B$130=_xludf.MAXIFS(참고!$B$31:$B$130,참고!$A$31:$A$130,C1738,참고!$B$31:$B$130,"&lt;="&amp;A1738))*참고!$D$31:$D$130)/100,0),0)</f>
        <v>0</v>
      </c>
      <c r="L1738" s="31" t="str">
        <f t="shared" si="83"/>
        <v/>
      </c>
      <c r="M1738" s="39"/>
    </row>
    <row r="1739" spans="1:13" ht="18" customHeight="1" x14ac:dyDescent="0.45">
      <c r="A1739" s="37"/>
      <c r="B1739" s="29"/>
      <c r="C1739" s="29"/>
      <c r="D1739" s="28"/>
      <c r="E1739" s="30" t="str">
        <f>IFERROR(VLOOKUP(D1739,KRX종목마스터!$A:$B,2,FALSE),"")</f>
        <v/>
      </c>
      <c r="F1739" s="42"/>
      <c r="G1739" s="42"/>
      <c r="H1739" s="31" t="str">
        <f t="shared" si="81"/>
        <v/>
      </c>
      <c r="I1739" s="43">
        <f ca="1">IFERROR(SUMPRODUCT((참고!$A$31:$A$130=C1739)*(참고!$B$31:$B$130&lt;=A1739)*(참고!$B$31:$B$130=_xludf.MAXIFS(참고!$B$31:$B$130,참고!$A$31:$A$130,C1739,참고!$B$31:$B$130,"&lt;="&amp;A1739))*참고!$C$31:$C$130)/100,0)</f>
        <v>0</v>
      </c>
      <c r="J1739" s="31" t="str">
        <f t="shared" si="82"/>
        <v/>
      </c>
      <c r="K1739" s="43">
        <f>IF(B1739="매도",IFERROR(SUMPRODUCT((참고!$A$31:$A$130=C1739)*(참고!$B$31:$B$130&lt;=A1739)*(참고!$B$31:$B$130=_xludf.MAXIFS(참고!$B$31:$B$130,참고!$A$31:$A$130,C1739,참고!$B$31:$B$130,"&lt;="&amp;A1739))*참고!$D$31:$D$130)/100,0),0)</f>
        <v>0</v>
      </c>
      <c r="L1739" s="31" t="str">
        <f t="shared" si="83"/>
        <v/>
      </c>
      <c r="M1739" s="39"/>
    </row>
    <row r="1740" spans="1:13" ht="18" customHeight="1" x14ac:dyDescent="0.45">
      <c r="A1740" s="37"/>
      <c r="B1740" s="29"/>
      <c r="C1740" s="29"/>
      <c r="D1740" s="28"/>
      <c r="E1740" s="30" t="str">
        <f>IFERROR(VLOOKUP(D1740,KRX종목마스터!$A:$B,2,FALSE),"")</f>
        <v/>
      </c>
      <c r="F1740" s="42"/>
      <c r="G1740" s="42"/>
      <c r="H1740" s="31" t="str">
        <f t="shared" si="81"/>
        <v/>
      </c>
      <c r="I1740" s="43">
        <f ca="1">IFERROR(SUMPRODUCT((참고!$A$31:$A$130=C1740)*(참고!$B$31:$B$130&lt;=A1740)*(참고!$B$31:$B$130=_xludf.MAXIFS(참고!$B$31:$B$130,참고!$A$31:$A$130,C1740,참고!$B$31:$B$130,"&lt;="&amp;A1740))*참고!$C$31:$C$130)/100,0)</f>
        <v>0</v>
      </c>
      <c r="J1740" s="31" t="str">
        <f t="shared" si="82"/>
        <v/>
      </c>
      <c r="K1740" s="43">
        <f>IF(B1740="매도",IFERROR(SUMPRODUCT((참고!$A$31:$A$130=C1740)*(참고!$B$31:$B$130&lt;=A1740)*(참고!$B$31:$B$130=_xludf.MAXIFS(참고!$B$31:$B$130,참고!$A$31:$A$130,C1740,참고!$B$31:$B$130,"&lt;="&amp;A1740))*참고!$D$31:$D$130)/100,0),0)</f>
        <v>0</v>
      </c>
      <c r="L1740" s="31" t="str">
        <f t="shared" si="83"/>
        <v/>
      </c>
      <c r="M1740" s="39"/>
    </row>
    <row r="1741" spans="1:13" ht="18" customHeight="1" x14ac:dyDescent="0.45">
      <c r="A1741" s="37"/>
      <c r="B1741" s="29"/>
      <c r="C1741" s="29"/>
      <c r="D1741" s="28"/>
      <c r="E1741" s="30" t="str">
        <f>IFERROR(VLOOKUP(D1741,KRX종목마스터!$A:$B,2,FALSE),"")</f>
        <v/>
      </c>
      <c r="F1741" s="42"/>
      <c r="G1741" s="42"/>
      <c r="H1741" s="31" t="str">
        <f t="shared" si="81"/>
        <v/>
      </c>
      <c r="I1741" s="43">
        <f ca="1">IFERROR(SUMPRODUCT((참고!$A$31:$A$130=C1741)*(참고!$B$31:$B$130&lt;=A1741)*(참고!$B$31:$B$130=_xludf.MAXIFS(참고!$B$31:$B$130,참고!$A$31:$A$130,C1741,참고!$B$31:$B$130,"&lt;="&amp;A1741))*참고!$C$31:$C$130)/100,0)</f>
        <v>0</v>
      </c>
      <c r="J1741" s="31" t="str">
        <f t="shared" si="82"/>
        <v/>
      </c>
      <c r="K1741" s="43">
        <f>IF(B1741="매도",IFERROR(SUMPRODUCT((참고!$A$31:$A$130=C1741)*(참고!$B$31:$B$130&lt;=A1741)*(참고!$B$31:$B$130=_xludf.MAXIFS(참고!$B$31:$B$130,참고!$A$31:$A$130,C1741,참고!$B$31:$B$130,"&lt;="&amp;A1741))*참고!$D$31:$D$130)/100,0),0)</f>
        <v>0</v>
      </c>
      <c r="L1741" s="31" t="str">
        <f t="shared" si="83"/>
        <v/>
      </c>
      <c r="M1741" s="39"/>
    </row>
    <row r="1742" spans="1:13" ht="18" customHeight="1" x14ac:dyDescent="0.45">
      <c r="A1742" s="37"/>
      <c r="B1742" s="29"/>
      <c r="C1742" s="29"/>
      <c r="D1742" s="28"/>
      <c r="E1742" s="30" t="str">
        <f>IFERROR(VLOOKUP(D1742,KRX종목마스터!$A:$B,2,FALSE),"")</f>
        <v/>
      </c>
      <c r="F1742" s="42"/>
      <c r="G1742" s="42"/>
      <c r="H1742" s="31" t="str">
        <f t="shared" si="81"/>
        <v/>
      </c>
      <c r="I1742" s="43">
        <f ca="1">IFERROR(SUMPRODUCT((참고!$A$31:$A$130=C1742)*(참고!$B$31:$B$130&lt;=A1742)*(참고!$B$31:$B$130=_xludf.MAXIFS(참고!$B$31:$B$130,참고!$A$31:$A$130,C1742,참고!$B$31:$B$130,"&lt;="&amp;A1742))*참고!$C$31:$C$130)/100,0)</f>
        <v>0</v>
      </c>
      <c r="J1742" s="31" t="str">
        <f t="shared" si="82"/>
        <v/>
      </c>
      <c r="K1742" s="43">
        <f>IF(B1742="매도",IFERROR(SUMPRODUCT((참고!$A$31:$A$130=C1742)*(참고!$B$31:$B$130&lt;=A1742)*(참고!$B$31:$B$130=_xludf.MAXIFS(참고!$B$31:$B$130,참고!$A$31:$A$130,C1742,참고!$B$31:$B$130,"&lt;="&amp;A1742))*참고!$D$31:$D$130)/100,0),0)</f>
        <v>0</v>
      </c>
      <c r="L1742" s="31" t="str">
        <f t="shared" si="83"/>
        <v/>
      </c>
      <c r="M1742" s="39"/>
    </row>
    <row r="1743" spans="1:13" ht="18" customHeight="1" x14ac:dyDescent="0.45">
      <c r="A1743" s="37"/>
      <c r="B1743" s="29"/>
      <c r="C1743" s="29"/>
      <c r="D1743" s="28"/>
      <c r="E1743" s="30" t="str">
        <f>IFERROR(VLOOKUP(D1743,KRX종목마스터!$A:$B,2,FALSE),"")</f>
        <v/>
      </c>
      <c r="F1743" s="42"/>
      <c r="G1743" s="42"/>
      <c r="H1743" s="31" t="str">
        <f t="shared" si="81"/>
        <v/>
      </c>
      <c r="I1743" s="43">
        <f ca="1">IFERROR(SUMPRODUCT((참고!$A$31:$A$130=C1743)*(참고!$B$31:$B$130&lt;=A1743)*(참고!$B$31:$B$130=_xludf.MAXIFS(참고!$B$31:$B$130,참고!$A$31:$A$130,C1743,참고!$B$31:$B$130,"&lt;="&amp;A1743))*참고!$C$31:$C$130)/100,0)</f>
        <v>0</v>
      </c>
      <c r="J1743" s="31" t="str">
        <f t="shared" si="82"/>
        <v/>
      </c>
      <c r="K1743" s="43">
        <f>IF(B1743="매도",IFERROR(SUMPRODUCT((참고!$A$31:$A$130=C1743)*(참고!$B$31:$B$130&lt;=A1743)*(참고!$B$31:$B$130=_xludf.MAXIFS(참고!$B$31:$B$130,참고!$A$31:$A$130,C1743,참고!$B$31:$B$130,"&lt;="&amp;A1743))*참고!$D$31:$D$130)/100,0),0)</f>
        <v>0</v>
      </c>
      <c r="L1743" s="31" t="str">
        <f t="shared" si="83"/>
        <v/>
      </c>
      <c r="M1743" s="39"/>
    </row>
    <row r="1744" spans="1:13" ht="18" customHeight="1" x14ac:dyDescent="0.45">
      <c r="A1744" s="37"/>
      <c r="B1744" s="29"/>
      <c r="C1744" s="29"/>
      <c r="D1744" s="28"/>
      <c r="E1744" s="30" t="str">
        <f>IFERROR(VLOOKUP(D1744,KRX종목마스터!$A:$B,2,FALSE),"")</f>
        <v/>
      </c>
      <c r="F1744" s="42"/>
      <c r="G1744" s="42"/>
      <c r="H1744" s="31" t="str">
        <f t="shared" si="81"/>
        <v/>
      </c>
      <c r="I1744" s="43">
        <f ca="1">IFERROR(SUMPRODUCT((참고!$A$31:$A$130=C1744)*(참고!$B$31:$B$130&lt;=A1744)*(참고!$B$31:$B$130=_xludf.MAXIFS(참고!$B$31:$B$130,참고!$A$31:$A$130,C1744,참고!$B$31:$B$130,"&lt;="&amp;A1744))*참고!$C$31:$C$130)/100,0)</f>
        <v>0</v>
      </c>
      <c r="J1744" s="31" t="str">
        <f t="shared" si="82"/>
        <v/>
      </c>
      <c r="K1744" s="43">
        <f>IF(B1744="매도",IFERROR(SUMPRODUCT((참고!$A$31:$A$130=C1744)*(참고!$B$31:$B$130&lt;=A1744)*(참고!$B$31:$B$130=_xludf.MAXIFS(참고!$B$31:$B$130,참고!$A$31:$A$130,C1744,참고!$B$31:$B$130,"&lt;="&amp;A1744))*참고!$D$31:$D$130)/100,0),0)</f>
        <v>0</v>
      </c>
      <c r="L1744" s="31" t="str">
        <f t="shared" si="83"/>
        <v/>
      </c>
      <c r="M1744" s="39"/>
    </row>
    <row r="1745" spans="1:13" ht="18" customHeight="1" x14ac:dyDescent="0.45">
      <c r="A1745" s="37"/>
      <c r="B1745" s="29"/>
      <c r="C1745" s="29"/>
      <c r="D1745" s="28"/>
      <c r="E1745" s="30" t="str">
        <f>IFERROR(VLOOKUP(D1745,KRX종목마스터!$A:$B,2,FALSE),"")</f>
        <v/>
      </c>
      <c r="F1745" s="42"/>
      <c r="G1745" s="42"/>
      <c r="H1745" s="31" t="str">
        <f t="shared" si="81"/>
        <v/>
      </c>
      <c r="I1745" s="43">
        <f ca="1">IFERROR(SUMPRODUCT((참고!$A$31:$A$130=C1745)*(참고!$B$31:$B$130&lt;=A1745)*(참고!$B$31:$B$130=_xludf.MAXIFS(참고!$B$31:$B$130,참고!$A$31:$A$130,C1745,참고!$B$31:$B$130,"&lt;="&amp;A1745))*참고!$C$31:$C$130)/100,0)</f>
        <v>0</v>
      </c>
      <c r="J1745" s="31" t="str">
        <f t="shared" si="82"/>
        <v/>
      </c>
      <c r="K1745" s="43">
        <f>IF(B1745="매도",IFERROR(SUMPRODUCT((참고!$A$31:$A$130=C1745)*(참고!$B$31:$B$130&lt;=A1745)*(참고!$B$31:$B$130=_xludf.MAXIFS(참고!$B$31:$B$130,참고!$A$31:$A$130,C1745,참고!$B$31:$B$130,"&lt;="&amp;A1745))*참고!$D$31:$D$130)/100,0),0)</f>
        <v>0</v>
      </c>
      <c r="L1745" s="31" t="str">
        <f t="shared" si="83"/>
        <v/>
      </c>
      <c r="M1745" s="39"/>
    </row>
    <row r="1746" spans="1:13" ht="18" customHeight="1" x14ac:dyDescent="0.45">
      <c r="A1746" s="37"/>
      <c r="B1746" s="29"/>
      <c r="C1746" s="29"/>
      <c r="D1746" s="28"/>
      <c r="E1746" s="30" t="str">
        <f>IFERROR(VLOOKUP(D1746,KRX종목마스터!$A:$B,2,FALSE),"")</f>
        <v/>
      </c>
      <c r="F1746" s="42"/>
      <c r="G1746" s="42"/>
      <c r="H1746" s="31" t="str">
        <f t="shared" si="81"/>
        <v/>
      </c>
      <c r="I1746" s="43">
        <f ca="1">IFERROR(SUMPRODUCT((참고!$A$31:$A$130=C1746)*(참고!$B$31:$B$130&lt;=A1746)*(참고!$B$31:$B$130=_xludf.MAXIFS(참고!$B$31:$B$130,참고!$A$31:$A$130,C1746,참고!$B$31:$B$130,"&lt;="&amp;A1746))*참고!$C$31:$C$130)/100,0)</f>
        <v>0</v>
      </c>
      <c r="J1746" s="31" t="str">
        <f t="shared" si="82"/>
        <v/>
      </c>
      <c r="K1746" s="43">
        <f>IF(B1746="매도",IFERROR(SUMPRODUCT((참고!$A$31:$A$130=C1746)*(참고!$B$31:$B$130&lt;=A1746)*(참고!$B$31:$B$130=_xludf.MAXIFS(참고!$B$31:$B$130,참고!$A$31:$A$130,C1746,참고!$B$31:$B$130,"&lt;="&amp;A1746))*참고!$D$31:$D$130)/100,0),0)</f>
        <v>0</v>
      </c>
      <c r="L1746" s="31" t="str">
        <f t="shared" si="83"/>
        <v/>
      </c>
      <c r="M1746" s="39"/>
    </row>
    <row r="1747" spans="1:13" ht="18" customHeight="1" x14ac:dyDescent="0.45">
      <c r="A1747" s="37"/>
      <c r="B1747" s="29"/>
      <c r="C1747" s="29"/>
      <c r="D1747" s="28"/>
      <c r="E1747" s="30" t="str">
        <f>IFERROR(VLOOKUP(D1747,KRX종목마스터!$A:$B,2,FALSE),"")</f>
        <v/>
      </c>
      <c r="F1747" s="42"/>
      <c r="G1747" s="42"/>
      <c r="H1747" s="31" t="str">
        <f t="shared" si="81"/>
        <v/>
      </c>
      <c r="I1747" s="43">
        <f ca="1">IFERROR(SUMPRODUCT((참고!$A$31:$A$130=C1747)*(참고!$B$31:$B$130&lt;=A1747)*(참고!$B$31:$B$130=_xludf.MAXIFS(참고!$B$31:$B$130,참고!$A$31:$A$130,C1747,참고!$B$31:$B$130,"&lt;="&amp;A1747))*참고!$C$31:$C$130)/100,0)</f>
        <v>0</v>
      </c>
      <c r="J1747" s="31" t="str">
        <f t="shared" si="82"/>
        <v/>
      </c>
      <c r="K1747" s="43">
        <f>IF(B1747="매도",IFERROR(SUMPRODUCT((참고!$A$31:$A$130=C1747)*(참고!$B$31:$B$130&lt;=A1747)*(참고!$B$31:$B$130=_xludf.MAXIFS(참고!$B$31:$B$130,참고!$A$31:$A$130,C1747,참고!$B$31:$B$130,"&lt;="&amp;A1747))*참고!$D$31:$D$130)/100,0),0)</f>
        <v>0</v>
      </c>
      <c r="L1747" s="31" t="str">
        <f t="shared" si="83"/>
        <v/>
      </c>
      <c r="M1747" s="39"/>
    </row>
    <row r="1748" spans="1:13" ht="18" customHeight="1" x14ac:dyDescent="0.45">
      <c r="A1748" s="37"/>
      <c r="B1748" s="29"/>
      <c r="C1748" s="29"/>
      <c r="D1748" s="28"/>
      <c r="E1748" s="30" t="str">
        <f>IFERROR(VLOOKUP(D1748,KRX종목마스터!$A:$B,2,FALSE),"")</f>
        <v/>
      </c>
      <c r="F1748" s="42"/>
      <c r="G1748" s="42"/>
      <c r="H1748" s="31" t="str">
        <f t="shared" si="81"/>
        <v/>
      </c>
      <c r="I1748" s="43">
        <f ca="1">IFERROR(SUMPRODUCT((참고!$A$31:$A$130=C1748)*(참고!$B$31:$B$130&lt;=A1748)*(참고!$B$31:$B$130=_xludf.MAXIFS(참고!$B$31:$B$130,참고!$A$31:$A$130,C1748,참고!$B$31:$B$130,"&lt;="&amp;A1748))*참고!$C$31:$C$130)/100,0)</f>
        <v>0</v>
      </c>
      <c r="J1748" s="31" t="str">
        <f t="shared" si="82"/>
        <v/>
      </c>
      <c r="K1748" s="43">
        <f>IF(B1748="매도",IFERROR(SUMPRODUCT((참고!$A$31:$A$130=C1748)*(참고!$B$31:$B$130&lt;=A1748)*(참고!$B$31:$B$130=_xludf.MAXIFS(참고!$B$31:$B$130,참고!$A$31:$A$130,C1748,참고!$B$31:$B$130,"&lt;="&amp;A1748))*참고!$D$31:$D$130)/100,0),0)</f>
        <v>0</v>
      </c>
      <c r="L1748" s="31" t="str">
        <f t="shared" si="83"/>
        <v/>
      </c>
      <c r="M1748" s="39"/>
    </row>
    <row r="1749" spans="1:13" ht="18" customHeight="1" x14ac:dyDescent="0.45">
      <c r="A1749" s="37"/>
      <c r="B1749" s="29"/>
      <c r="C1749" s="29"/>
      <c r="D1749" s="28"/>
      <c r="E1749" s="30" t="str">
        <f>IFERROR(VLOOKUP(D1749,KRX종목마스터!$A:$B,2,FALSE),"")</f>
        <v/>
      </c>
      <c r="F1749" s="42"/>
      <c r="G1749" s="42"/>
      <c r="H1749" s="31" t="str">
        <f t="shared" si="81"/>
        <v/>
      </c>
      <c r="I1749" s="43">
        <f ca="1">IFERROR(SUMPRODUCT((참고!$A$31:$A$130=C1749)*(참고!$B$31:$B$130&lt;=A1749)*(참고!$B$31:$B$130=_xludf.MAXIFS(참고!$B$31:$B$130,참고!$A$31:$A$130,C1749,참고!$B$31:$B$130,"&lt;="&amp;A1749))*참고!$C$31:$C$130)/100,0)</f>
        <v>0</v>
      </c>
      <c r="J1749" s="31" t="str">
        <f t="shared" si="82"/>
        <v/>
      </c>
      <c r="K1749" s="43">
        <f>IF(B1749="매도",IFERROR(SUMPRODUCT((참고!$A$31:$A$130=C1749)*(참고!$B$31:$B$130&lt;=A1749)*(참고!$B$31:$B$130=_xludf.MAXIFS(참고!$B$31:$B$130,참고!$A$31:$A$130,C1749,참고!$B$31:$B$130,"&lt;="&amp;A1749))*참고!$D$31:$D$130)/100,0),0)</f>
        <v>0</v>
      </c>
      <c r="L1749" s="31" t="str">
        <f t="shared" si="83"/>
        <v/>
      </c>
      <c r="M1749" s="39"/>
    </row>
    <row r="1750" spans="1:13" ht="18" customHeight="1" x14ac:dyDescent="0.45">
      <c r="A1750" s="37"/>
      <c r="B1750" s="29"/>
      <c r="C1750" s="29"/>
      <c r="D1750" s="28"/>
      <c r="E1750" s="30" t="str">
        <f>IFERROR(VLOOKUP(D1750,KRX종목마스터!$A:$B,2,FALSE),"")</f>
        <v/>
      </c>
      <c r="F1750" s="42"/>
      <c r="G1750" s="42"/>
      <c r="H1750" s="31" t="str">
        <f t="shared" si="81"/>
        <v/>
      </c>
      <c r="I1750" s="43">
        <f ca="1">IFERROR(SUMPRODUCT((참고!$A$31:$A$130=C1750)*(참고!$B$31:$B$130&lt;=A1750)*(참고!$B$31:$B$130=_xludf.MAXIFS(참고!$B$31:$B$130,참고!$A$31:$A$130,C1750,참고!$B$31:$B$130,"&lt;="&amp;A1750))*참고!$C$31:$C$130)/100,0)</f>
        <v>0</v>
      </c>
      <c r="J1750" s="31" t="str">
        <f t="shared" si="82"/>
        <v/>
      </c>
      <c r="K1750" s="43">
        <f>IF(B1750="매도",IFERROR(SUMPRODUCT((참고!$A$31:$A$130=C1750)*(참고!$B$31:$B$130&lt;=A1750)*(참고!$B$31:$B$130=_xludf.MAXIFS(참고!$B$31:$B$130,참고!$A$31:$A$130,C1750,참고!$B$31:$B$130,"&lt;="&amp;A1750))*참고!$D$31:$D$130)/100,0),0)</f>
        <v>0</v>
      </c>
      <c r="L1750" s="31" t="str">
        <f t="shared" si="83"/>
        <v/>
      </c>
      <c r="M1750" s="39"/>
    </row>
    <row r="1751" spans="1:13" ht="18" customHeight="1" x14ac:dyDescent="0.45">
      <c r="A1751" s="37"/>
      <c r="B1751" s="29"/>
      <c r="C1751" s="29"/>
      <c r="D1751" s="28"/>
      <c r="E1751" s="30" t="str">
        <f>IFERROR(VLOOKUP(D1751,KRX종목마스터!$A:$B,2,FALSE),"")</f>
        <v/>
      </c>
      <c r="F1751" s="42"/>
      <c r="G1751" s="42"/>
      <c r="H1751" s="31" t="str">
        <f t="shared" si="81"/>
        <v/>
      </c>
      <c r="I1751" s="43">
        <f ca="1">IFERROR(SUMPRODUCT((참고!$A$31:$A$130=C1751)*(참고!$B$31:$B$130&lt;=A1751)*(참고!$B$31:$B$130=_xludf.MAXIFS(참고!$B$31:$B$130,참고!$A$31:$A$130,C1751,참고!$B$31:$B$130,"&lt;="&amp;A1751))*참고!$C$31:$C$130)/100,0)</f>
        <v>0</v>
      </c>
      <c r="J1751" s="31" t="str">
        <f t="shared" si="82"/>
        <v/>
      </c>
      <c r="K1751" s="43">
        <f>IF(B1751="매도",IFERROR(SUMPRODUCT((참고!$A$31:$A$130=C1751)*(참고!$B$31:$B$130&lt;=A1751)*(참고!$B$31:$B$130=_xludf.MAXIFS(참고!$B$31:$B$130,참고!$A$31:$A$130,C1751,참고!$B$31:$B$130,"&lt;="&amp;A1751))*참고!$D$31:$D$130)/100,0),0)</f>
        <v>0</v>
      </c>
      <c r="L1751" s="31" t="str">
        <f t="shared" si="83"/>
        <v/>
      </c>
      <c r="M1751" s="39"/>
    </row>
    <row r="1752" spans="1:13" ht="18" customHeight="1" x14ac:dyDescent="0.45">
      <c r="A1752" s="37"/>
      <c r="B1752" s="29"/>
      <c r="C1752" s="29"/>
      <c r="D1752" s="28"/>
      <c r="E1752" s="30" t="str">
        <f>IFERROR(VLOOKUP(D1752,KRX종목마스터!$A:$B,2,FALSE),"")</f>
        <v/>
      </c>
      <c r="F1752" s="42"/>
      <c r="G1752" s="42"/>
      <c r="H1752" s="31" t="str">
        <f t="shared" si="81"/>
        <v/>
      </c>
      <c r="I1752" s="43">
        <f ca="1">IFERROR(SUMPRODUCT((참고!$A$31:$A$130=C1752)*(참고!$B$31:$B$130&lt;=A1752)*(참고!$B$31:$B$130=_xludf.MAXIFS(참고!$B$31:$B$130,참고!$A$31:$A$130,C1752,참고!$B$31:$B$130,"&lt;="&amp;A1752))*참고!$C$31:$C$130)/100,0)</f>
        <v>0</v>
      </c>
      <c r="J1752" s="31" t="str">
        <f t="shared" si="82"/>
        <v/>
      </c>
      <c r="K1752" s="43">
        <f>IF(B1752="매도",IFERROR(SUMPRODUCT((참고!$A$31:$A$130=C1752)*(참고!$B$31:$B$130&lt;=A1752)*(참고!$B$31:$B$130=_xludf.MAXIFS(참고!$B$31:$B$130,참고!$A$31:$A$130,C1752,참고!$B$31:$B$130,"&lt;="&amp;A1752))*참고!$D$31:$D$130)/100,0),0)</f>
        <v>0</v>
      </c>
      <c r="L1752" s="31" t="str">
        <f t="shared" si="83"/>
        <v/>
      </c>
      <c r="M1752" s="39"/>
    </row>
    <row r="1753" spans="1:13" ht="18" customHeight="1" x14ac:dyDescent="0.45">
      <c r="A1753" s="37"/>
      <c r="B1753" s="29"/>
      <c r="C1753" s="29"/>
      <c r="D1753" s="28"/>
      <c r="E1753" s="30" t="str">
        <f>IFERROR(VLOOKUP(D1753,KRX종목마스터!$A:$B,2,FALSE),"")</f>
        <v/>
      </c>
      <c r="F1753" s="42"/>
      <c r="G1753" s="42"/>
      <c r="H1753" s="31" t="str">
        <f t="shared" si="81"/>
        <v/>
      </c>
      <c r="I1753" s="43">
        <f ca="1">IFERROR(SUMPRODUCT((참고!$A$31:$A$130=C1753)*(참고!$B$31:$B$130&lt;=A1753)*(참고!$B$31:$B$130=_xludf.MAXIFS(참고!$B$31:$B$130,참고!$A$31:$A$130,C1753,참고!$B$31:$B$130,"&lt;="&amp;A1753))*참고!$C$31:$C$130)/100,0)</f>
        <v>0</v>
      </c>
      <c r="J1753" s="31" t="str">
        <f t="shared" si="82"/>
        <v/>
      </c>
      <c r="K1753" s="43">
        <f>IF(B1753="매도",IFERROR(SUMPRODUCT((참고!$A$31:$A$130=C1753)*(참고!$B$31:$B$130&lt;=A1753)*(참고!$B$31:$B$130=_xludf.MAXIFS(참고!$B$31:$B$130,참고!$A$31:$A$130,C1753,참고!$B$31:$B$130,"&lt;="&amp;A1753))*참고!$D$31:$D$130)/100,0),0)</f>
        <v>0</v>
      </c>
      <c r="L1753" s="31" t="str">
        <f t="shared" si="83"/>
        <v/>
      </c>
      <c r="M1753" s="39"/>
    </row>
    <row r="1754" spans="1:13" ht="18" customHeight="1" x14ac:dyDescent="0.45">
      <c r="A1754" s="37"/>
      <c r="B1754" s="29"/>
      <c r="C1754" s="29"/>
      <c r="D1754" s="28"/>
      <c r="E1754" s="30" t="str">
        <f>IFERROR(VLOOKUP(D1754,KRX종목마스터!$A:$B,2,FALSE),"")</f>
        <v/>
      </c>
      <c r="F1754" s="42"/>
      <c r="G1754" s="42"/>
      <c r="H1754" s="31" t="str">
        <f t="shared" si="81"/>
        <v/>
      </c>
      <c r="I1754" s="43">
        <f ca="1">IFERROR(SUMPRODUCT((참고!$A$31:$A$130=C1754)*(참고!$B$31:$B$130&lt;=A1754)*(참고!$B$31:$B$130=_xludf.MAXIFS(참고!$B$31:$B$130,참고!$A$31:$A$130,C1754,참고!$B$31:$B$130,"&lt;="&amp;A1754))*참고!$C$31:$C$130)/100,0)</f>
        <v>0</v>
      </c>
      <c r="J1754" s="31" t="str">
        <f t="shared" si="82"/>
        <v/>
      </c>
      <c r="K1754" s="43">
        <f>IF(B1754="매도",IFERROR(SUMPRODUCT((참고!$A$31:$A$130=C1754)*(참고!$B$31:$B$130&lt;=A1754)*(참고!$B$31:$B$130=_xludf.MAXIFS(참고!$B$31:$B$130,참고!$A$31:$A$130,C1754,참고!$B$31:$B$130,"&lt;="&amp;A1754))*참고!$D$31:$D$130)/100,0),0)</f>
        <v>0</v>
      </c>
      <c r="L1754" s="31" t="str">
        <f t="shared" si="83"/>
        <v/>
      </c>
      <c r="M1754" s="39"/>
    </row>
    <row r="1755" spans="1:13" ht="18" customHeight="1" x14ac:dyDescent="0.45">
      <c r="A1755" s="37"/>
      <c r="B1755" s="29"/>
      <c r="C1755" s="29"/>
      <c r="D1755" s="28"/>
      <c r="E1755" s="30" t="str">
        <f>IFERROR(VLOOKUP(D1755,KRX종목마스터!$A:$B,2,FALSE),"")</f>
        <v/>
      </c>
      <c r="F1755" s="42"/>
      <c r="G1755" s="42"/>
      <c r="H1755" s="31" t="str">
        <f t="shared" si="81"/>
        <v/>
      </c>
      <c r="I1755" s="43">
        <f ca="1">IFERROR(SUMPRODUCT((참고!$A$31:$A$130=C1755)*(참고!$B$31:$B$130&lt;=A1755)*(참고!$B$31:$B$130=_xludf.MAXIFS(참고!$B$31:$B$130,참고!$A$31:$A$130,C1755,참고!$B$31:$B$130,"&lt;="&amp;A1755))*참고!$C$31:$C$130)/100,0)</f>
        <v>0</v>
      </c>
      <c r="J1755" s="31" t="str">
        <f t="shared" si="82"/>
        <v/>
      </c>
      <c r="K1755" s="43">
        <f>IF(B1755="매도",IFERROR(SUMPRODUCT((참고!$A$31:$A$130=C1755)*(참고!$B$31:$B$130&lt;=A1755)*(참고!$B$31:$B$130=_xludf.MAXIFS(참고!$B$31:$B$130,참고!$A$31:$A$130,C1755,참고!$B$31:$B$130,"&lt;="&amp;A1755))*참고!$D$31:$D$130)/100,0),0)</f>
        <v>0</v>
      </c>
      <c r="L1755" s="31" t="str">
        <f t="shared" si="83"/>
        <v/>
      </c>
      <c r="M1755" s="39"/>
    </row>
    <row r="1756" spans="1:13" ht="18" customHeight="1" x14ac:dyDescent="0.45">
      <c r="A1756" s="37"/>
      <c r="B1756" s="29"/>
      <c r="C1756" s="29"/>
      <c r="D1756" s="28"/>
      <c r="E1756" s="30" t="str">
        <f>IFERROR(VLOOKUP(D1756,KRX종목마스터!$A:$B,2,FALSE),"")</f>
        <v/>
      </c>
      <c r="F1756" s="42"/>
      <c r="G1756" s="42"/>
      <c r="H1756" s="31" t="str">
        <f t="shared" si="81"/>
        <v/>
      </c>
      <c r="I1756" s="43">
        <f ca="1">IFERROR(SUMPRODUCT((참고!$A$31:$A$130=C1756)*(참고!$B$31:$B$130&lt;=A1756)*(참고!$B$31:$B$130=_xludf.MAXIFS(참고!$B$31:$B$130,참고!$A$31:$A$130,C1756,참고!$B$31:$B$130,"&lt;="&amp;A1756))*참고!$C$31:$C$130)/100,0)</f>
        <v>0</v>
      </c>
      <c r="J1756" s="31" t="str">
        <f t="shared" si="82"/>
        <v/>
      </c>
      <c r="K1756" s="43">
        <f>IF(B1756="매도",IFERROR(SUMPRODUCT((참고!$A$31:$A$130=C1756)*(참고!$B$31:$B$130&lt;=A1756)*(참고!$B$31:$B$130=_xludf.MAXIFS(참고!$B$31:$B$130,참고!$A$31:$A$130,C1756,참고!$B$31:$B$130,"&lt;="&amp;A1756))*참고!$D$31:$D$130)/100,0),0)</f>
        <v>0</v>
      </c>
      <c r="L1756" s="31" t="str">
        <f t="shared" si="83"/>
        <v/>
      </c>
      <c r="M1756" s="39"/>
    </row>
    <row r="1757" spans="1:13" ht="18" customHeight="1" x14ac:dyDescent="0.45">
      <c r="A1757" s="37"/>
      <c r="B1757" s="29"/>
      <c r="C1757" s="29"/>
      <c r="D1757" s="28"/>
      <c r="E1757" s="30" t="str">
        <f>IFERROR(VLOOKUP(D1757,KRX종목마스터!$A:$B,2,FALSE),"")</f>
        <v/>
      </c>
      <c r="F1757" s="42"/>
      <c r="G1757" s="42"/>
      <c r="H1757" s="31" t="str">
        <f t="shared" si="81"/>
        <v/>
      </c>
      <c r="I1757" s="43">
        <f ca="1">IFERROR(SUMPRODUCT((참고!$A$31:$A$130=C1757)*(참고!$B$31:$B$130&lt;=A1757)*(참고!$B$31:$B$130=_xludf.MAXIFS(참고!$B$31:$B$130,참고!$A$31:$A$130,C1757,참고!$B$31:$B$130,"&lt;="&amp;A1757))*참고!$C$31:$C$130)/100,0)</f>
        <v>0</v>
      </c>
      <c r="J1757" s="31" t="str">
        <f t="shared" si="82"/>
        <v/>
      </c>
      <c r="K1757" s="43">
        <f>IF(B1757="매도",IFERROR(SUMPRODUCT((참고!$A$31:$A$130=C1757)*(참고!$B$31:$B$130&lt;=A1757)*(참고!$B$31:$B$130=_xludf.MAXIFS(참고!$B$31:$B$130,참고!$A$31:$A$130,C1757,참고!$B$31:$B$130,"&lt;="&amp;A1757))*참고!$D$31:$D$130)/100,0),0)</f>
        <v>0</v>
      </c>
      <c r="L1757" s="31" t="str">
        <f t="shared" si="83"/>
        <v/>
      </c>
      <c r="M1757" s="39"/>
    </row>
    <row r="1758" spans="1:13" ht="18" customHeight="1" x14ac:dyDescent="0.45">
      <c r="A1758" s="37"/>
      <c r="B1758" s="29"/>
      <c r="C1758" s="29"/>
      <c r="D1758" s="28"/>
      <c r="E1758" s="30" t="str">
        <f>IFERROR(VLOOKUP(D1758,KRX종목마스터!$A:$B,2,FALSE),"")</f>
        <v/>
      </c>
      <c r="F1758" s="42"/>
      <c r="G1758" s="42"/>
      <c r="H1758" s="31" t="str">
        <f t="shared" si="81"/>
        <v/>
      </c>
      <c r="I1758" s="43">
        <f ca="1">IFERROR(SUMPRODUCT((참고!$A$31:$A$130=C1758)*(참고!$B$31:$B$130&lt;=A1758)*(참고!$B$31:$B$130=_xludf.MAXIFS(참고!$B$31:$B$130,참고!$A$31:$A$130,C1758,참고!$B$31:$B$130,"&lt;="&amp;A1758))*참고!$C$31:$C$130)/100,0)</f>
        <v>0</v>
      </c>
      <c r="J1758" s="31" t="str">
        <f t="shared" si="82"/>
        <v/>
      </c>
      <c r="K1758" s="43">
        <f>IF(B1758="매도",IFERROR(SUMPRODUCT((참고!$A$31:$A$130=C1758)*(참고!$B$31:$B$130&lt;=A1758)*(참고!$B$31:$B$130=_xludf.MAXIFS(참고!$B$31:$B$130,참고!$A$31:$A$130,C1758,참고!$B$31:$B$130,"&lt;="&amp;A1758))*참고!$D$31:$D$130)/100,0),0)</f>
        <v>0</v>
      </c>
      <c r="L1758" s="31" t="str">
        <f t="shared" si="83"/>
        <v/>
      </c>
      <c r="M1758" s="39"/>
    </row>
    <row r="1759" spans="1:13" ht="18" customHeight="1" x14ac:dyDescent="0.45">
      <c r="A1759" s="37"/>
      <c r="B1759" s="29"/>
      <c r="C1759" s="29"/>
      <c r="D1759" s="28"/>
      <c r="E1759" s="30" t="str">
        <f>IFERROR(VLOOKUP(D1759,KRX종목마스터!$A:$B,2,FALSE),"")</f>
        <v/>
      </c>
      <c r="F1759" s="42"/>
      <c r="G1759" s="42"/>
      <c r="H1759" s="31" t="str">
        <f t="shared" si="81"/>
        <v/>
      </c>
      <c r="I1759" s="43">
        <f ca="1">IFERROR(SUMPRODUCT((참고!$A$31:$A$130=C1759)*(참고!$B$31:$B$130&lt;=A1759)*(참고!$B$31:$B$130=_xludf.MAXIFS(참고!$B$31:$B$130,참고!$A$31:$A$130,C1759,참고!$B$31:$B$130,"&lt;="&amp;A1759))*참고!$C$31:$C$130)/100,0)</f>
        <v>0</v>
      </c>
      <c r="J1759" s="31" t="str">
        <f t="shared" si="82"/>
        <v/>
      </c>
      <c r="K1759" s="43">
        <f>IF(B1759="매도",IFERROR(SUMPRODUCT((참고!$A$31:$A$130=C1759)*(참고!$B$31:$B$130&lt;=A1759)*(참고!$B$31:$B$130=_xludf.MAXIFS(참고!$B$31:$B$130,참고!$A$31:$A$130,C1759,참고!$B$31:$B$130,"&lt;="&amp;A1759))*참고!$D$31:$D$130)/100,0),0)</f>
        <v>0</v>
      </c>
      <c r="L1759" s="31" t="str">
        <f t="shared" si="83"/>
        <v/>
      </c>
      <c r="M1759" s="39"/>
    </row>
    <row r="1760" spans="1:13" ht="18" customHeight="1" x14ac:dyDescent="0.45">
      <c r="A1760" s="37"/>
      <c r="B1760" s="29"/>
      <c r="C1760" s="29"/>
      <c r="D1760" s="28"/>
      <c r="E1760" s="30" t="str">
        <f>IFERROR(VLOOKUP(D1760,KRX종목마스터!$A:$B,2,FALSE),"")</f>
        <v/>
      </c>
      <c r="F1760" s="42"/>
      <c r="G1760" s="42"/>
      <c r="H1760" s="31" t="str">
        <f t="shared" si="81"/>
        <v/>
      </c>
      <c r="I1760" s="43">
        <f ca="1">IFERROR(SUMPRODUCT((참고!$A$31:$A$130=C1760)*(참고!$B$31:$B$130&lt;=A1760)*(참고!$B$31:$B$130=_xludf.MAXIFS(참고!$B$31:$B$130,참고!$A$31:$A$130,C1760,참고!$B$31:$B$130,"&lt;="&amp;A1760))*참고!$C$31:$C$130)/100,0)</f>
        <v>0</v>
      </c>
      <c r="J1760" s="31" t="str">
        <f t="shared" si="82"/>
        <v/>
      </c>
      <c r="K1760" s="43">
        <f>IF(B1760="매도",IFERROR(SUMPRODUCT((참고!$A$31:$A$130=C1760)*(참고!$B$31:$B$130&lt;=A1760)*(참고!$B$31:$B$130=_xludf.MAXIFS(참고!$B$31:$B$130,참고!$A$31:$A$130,C1760,참고!$B$31:$B$130,"&lt;="&amp;A1760))*참고!$D$31:$D$130)/100,0),0)</f>
        <v>0</v>
      </c>
      <c r="L1760" s="31" t="str">
        <f t="shared" si="83"/>
        <v/>
      </c>
      <c r="M1760" s="39"/>
    </row>
    <row r="1761" spans="1:13" ht="18" customHeight="1" x14ac:dyDescent="0.45">
      <c r="A1761" s="37"/>
      <c r="B1761" s="29"/>
      <c r="C1761" s="29"/>
      <c r="D1761" s="28"/>
      <c r="E1761" s="30" t="str">
        <f>IFERROR(VLOOKUP(D1761,KRX종목마스터!$A:$B,2,FALSE),"")</f>
        <v/>
      </c>
      <c r="F1761" s="42"/>
      <c r="G1761" s="42"/>
      <c r="H1761" s="31" t="str">
        <f t="shared" si="81"/>
        <v/>
      </c>
      <c r="I1761" s="43">
        <f ca="1">IFERROR(SUMPRODUCT((참고!$A$31:$A$130=C1761)*(참고!$B$31:$B$130&lt;=A1761)*(참고!$B$31:$B$130=_xludf.MAXIFS(참고!$B$31:$B$130,참고!$A$31:$A$130,C1761,참고!$B$31:$B$130,"&lt;="&amp;A1761))*참고!$C$31:$C$130)/100,0)</f>
        <v>0</v>
      </c>
      <c r="J1761" s="31" t="str">
        <f t="shared" si="82"/>
        <v/>
      </c>
      <c r="K1761" s="43">
        <f>IF(B1761="매도",IFERROR(SUMPRODUCT((참고!$A$31:$A$130=C1761)*(참고!$B$31:$B$130&lt;=A1761)*(참고!$B$31:$B$130=_xludf.MAXIFS(참고!$B$31:$B$130,참고!$A$31:$A$130,C1761,참고!$B$31:$B$130,"&lt;="&amp;A1761))*참고!$D$31:$D$130)/100,0),0)</f>
        <v>0</v>
      </c>
      <c r="L1761" s="31" t="str">
        <f t="shared" si="83"/>
        <v/>
      </c>
      <c r="M1761" s="39"/>
    </row>
    <row r="1762" spans="1:13" ht="18" customHeight="1" x14ac:dyDescent="0.45">
      <c r="A1762" s="37"/>
      <c r="B1762" s="29"/>
      <c r="C1762" s="29"/>
      <c r="D1762" s="28"/>
      <c r="E1762" s="30" t="str">
        <f>IFERROR(VLOOKUP(D1762,KRX종목마스터!$A:$B,2,FALSE),"")</f>
        <v/>
      </c>
      <c r="F1762" s="42"/>
      <c r="G1762" s="42"/>
      <c r="H1762" s="31" t="str">
        <f t="shared" si="81"/>
        <v/>
      </c>
      <c r="I1762" s="43">
        <f ca="1">IFERROR(SUMPRODUCT((참고!$A$31:$A$130=C1762)*(참고!$B$31:$B$130&lt;=A1762)*(참고!$B$31:$B$130=_xludf.MAXIFS(참고!$B$31:$B$130,참고!$A$31:$A$130,C1762,참고!$B$31:$B$130,"&lt;="&amp;A1762))*참고!$C$31:$C$130)/100,0)</f>
        <v>0</v>
      </c>
      <c r="J1762" s="31" t="str">
        <f t="shared" si="82"/>
        <v/>
      </c>
      <c r="K1762" s="43">
        <f>IF(B1762="매도",IFERROR(SUMPRODUCT((참고!$A$31:$A$130=C1762)*(참고!$B$31:$B$130&lt;=A1762)*(참고!$B$31:$B$130=_xludf.MAXIFS(참고!$B$31:$B$130,참고!$A$31:$A$130,C1762,참고!$B$31:$B$130,"&lt;="&amp;A1762))*참고!$D$31:$D$130)/100,0),0)</f>
        <v>0</v>
      </c>
      <c r="L1762" s="31" t="str">
        <f t="shared" si="83"/>
        <v/>
      </c>
      <c r="M1762" s="39"/>
    </row>
    <row r="1763" spans="1:13" ht="18" customHeight="1" x14ac:dyDescent="0.45">
      <c r="A1763" s="37"/>
      <c r="B1763" s="29"/>
      <c r="C1763" s="29"/>
      <c r="D1763" s="28"/>
      <c r="E1763" s="30" t="str">
        <f>IFERROR(VLOOKUP(D1763,KRX종목마스터!$A:$B,2,FALSE),"")</f>
        <v/>
      </c>
      <c r="F1763" s="42"/>
      <c r="G1763" s="42"/>
      <c r="H1763" s="31" t="str">
        <f t="shared" si="81"/>
        <v/>
      </c>
      <c r="I1763" s="43">
        <f ca="1">IFERROR(SUMPRODUCT((참고!$A$31:$A$130=C1763)*(참고!$B$31:$B$130&lt;=A1763)*(참고!$B$31:$B$130=_xludf.MAXIFS(참고!$B$31:$B$130,참고!$A$31:$A$130,C1763,참고!$B$31:$B$130,"&lt;="&amp;A1763))*참고!$C$31:$C$130)/100,0)</f>
        <v>0</v>
      </c>
      <c r="J1763" s="31" t="str">
        <f t="shared" si="82"/>
        <v/>
      </c>
      <c r="K1763" s="43">
        <f>IF(B1763="매도",IFERROR(SUMPRODUCT((참고!$A$31:$A$130=C1763)*(참고!$B$31:$B$130&lt;=A1763)*(참고!$B$31:$B$130=_xludf.MAXIFS(참고!$B$31:$B$130,참고!$A$31:$A$130,C1763,참고!$B$31:$B$130,"&lt;="&amp;A1763))*참고!$D$31:$D$130)/100,0),0)</f>
        <v>0</v>
      </c>
      <c r="L1763" s="31" t="str">
        <f t="shared" si="83"/>
        <v/>
      </c>
      <c r="M1763" s="39"/>
    </row>
    <row r="1764" spans="1:13" ht="18" customHeight="1" x14ac:dyDescent="0.45">
      <c r="A1764" s="37"/>
      <c r="B1764" s="29"/>
      <c r="C1764" s="29"/>
      <c r="D1764" s="28"/>
      <c r="E1764" s="30" t="str">
        <f>IFERROR(VLOOKUP(D1764,KRX종목마스터!$A:$B,2,FALSE),"")</f>
        <v/>
      </c>
      <c r="F1764" s="42"/>
      <c r="G1764" s="42"/>
      <c r="H1764" s="31" t="str">
        <f t="shared" si="81"/>
        <v/>
      </c>
      <c r="I1764" s="43">
        <f ca="1">IFERROR(SUMPRODUCT((참고!$A$31:$A$130=C1764)*(참고!$B$31:$B$130&lt;=A1764)*(참고!$B$31:$B$130=_xludf.MAXIFS(참고!$B$31:$B$130,참고!$A$31:$A$130,C1764,참고!$B$31:$B$130,"&lt;="&amp;A1764))*참고!$C$31:$C$130)/100,0)</f>
        <v>0</v>
      </c>
      <c r="J1764" s="31" t="str">
        <f t="shared" si="82"/>
        <v/>
      </c>
      <c r="K1764" s="43">
        <f>IF(B1764="매도",IFERROR(SUMPRODUCT((참고!$A$31:$A$130=C1764)*(참고!$B$31:$B$130&lt;=A1764)*(참고!$B$31:$B$130=_xludf.MAXIFS(참고!$B$31:$B$130,참고!$A$31:$A$130,C1764,참고!$B$31:$B$130,"&lt;="&amp;A1764))*참고!$D$31:$D$130)/100,0),0)</f>
        <v>0</v>
      </c>
      <c r="L1764" s="31" t="str">
        <f t="shared" si="83"/>
        <v/>
      </c>
      <c r="M1764" s="39"/>
    </row>
    <row r="1765" spans="1:13" ht="18" customHeight="1" x14ac:dyDescent="0.45">
      <c r="A1765" s="37"/>
      <c r="B1765" s="29"/>
      <c r="C1765" s="29"/>
      <c r="D1765" s="28"/>
      <c r="E1765" s="30" t="str">
        <f>IFERROR(VLOOKUP(D1765,KRX종목마스터!$A:$B,2,FALSE),"")</f>
        <v/>
      </c>
      <c r="F1765" s="42"/>
      <c r="G1765" s="42"/>
      <c r="H1765" s="31" t="str">
        <f t="shared" si="81"/>
        <v/>
      </c>
      <c r="I1765" s="43">
        <f ca="1">IFERROR(SUMPRODUCT((참고!$A$31:$A$130=C1765)*(참고!$B$31:$B$130&lt;=A1765)*(참고!$B$31:$B$130=_xludf.MAXIFS(참고!$B$31:$B$130,참고!$A$31:$A$130,C1765,참고!$B$31:$B$130,"&lt;="&amp;A1765))*참고!$C$31:$C$130)/100,0)</f>
        <v>0</v>
      </c>
      <c r="J1765" s="31" t="str">
        <f t="shared" si="82"/>
        <v/>
      </c>
      <c r="K1765" s="43">
        <f>IF(B1765="매도",IFERROR(SUMPRODUCT((참고!$A$31:$A$130=C1765)*(참고!$B$31:$B$130&lt;=A1765)*(참고!$B$31:$B$130=_xludf.MAXIFS(참고!$B$31:$B$130,참고!$A$31:$A$130,C1765,참고!$B$31:$B$130,"&lt;="&amp;A1765))*참고!$D$31:$D$130)/100,0),0)</f>
        <v>0</v>
      </c>
      <c r="L1765" s="31" t="str">
        <f t="shared" si="83"/>
        <v/>
      </c>
      <c r="M1765" s="39"/>
    </row>
    <row r="1766" spans="1:13" ht="18" customHeight="1" x14ac:dyDescent="0.45">
      <c r="A1766" s="37"/>
      <c r="B1766" s="29"/>
      <c r="C1766" s="29"/>
      <c r="D1766" s="28"/>
      <c r="E1766" s="30" t="str">
        <f>IFERROR(VLOOKUP(D1766,KRX종목마스터!$A:$B,2,FALSE),"")</f>
        <v/>
      </c>
      <c r="F1766" s="42"/>
      <c r="G1766" s="42"/>
      <c r="H1766" s="31" t="str">
        <f t="shared" si="81"/>
        <v/>
      </c>
      <c r="I1766" s="43">
        <f ca="1">IFERROR(SUMPRODUCT((참고!$A$31:$A$130=C1766)*(참고!$B$31:$B$130&lt;=A1766)*(참고!$B$31:$B$130=_xludf.MAXIFS(참고!$B$31:$B$130,참고!$A$31:$A$130,C1766,참고!$B$31:$B$130,"&lt;="&amp;A1766))*참고!$C$31:$C$130)/100,0)</f>
        <v>0</v>
      </c>
      <c r="J1766" s="31" t="str">
        <f t="shared" si="82"/>
        <v/>
      </c>
      <c r="K1766" s="43">
        <f>IF(B1766="매도",IFERROR(SUMPRODUCT((참고!$A$31:$A$130=C1766)*(참고!$B$31:$B$130&lt;=A1766)*(참고!$B$31:$B$130=_xludf.MAXIFS(참고!$B$31:$B$130,참고!$A$31:$A$130,C1766,참고!$B$31:$B$130,"&lt;="&amp;A1766))*참고!$D$31:$D$130)/100,0),0)</f>
        <v>0</v>
      </c>
      <c r="L1766" s="31" t="str">
        <f t="shared" si="83"/>
        <v/>
      </c>
      <c r="M1766" s="39"/>
    </row>
    <row r="1767" spans="1:13" ht="18" customHeight="1" x14ac:dyDescent="0.45">
      <c r="A1767" s="37"/>
      <c r="B1767" s="29"/>
      <c r="C1767" s="29"/>
      <c r="D1767" s="28"/>
      <c r="E1767" s="30" t="str">
        <f>IFERROR(VLOOKUP(D1767,KRX종목마스터!$A:$B,2,FALSE),"")</f>
        <v/>
      </c>
      <c r="F1767" s="42"/>
      <c r="G1767" s="42"/>
      <c r="H1767" s="31" t="str">
        <f t="shared" si="81"/>
        <v/>
      </c>
      <c r="I1767" s="43">
        <f ca="1">IFERROR(SUMPRODUCT((참고!$A$31:$A$130=C1767)*(참고!$B$31:$B$130&lt;=A1767)*(참고!$B$31:$B$130=_xludf.MAXIFS(참고!$B$31:$B$130,참고!$A$31:$A$130,C1767,참고!$B$31:$B$130,"&lt;="&amp;A1767))*참고!$C$31:$C$130)/100,0)</f>
        <v>0</v>
      </c>
      <c r="J1767" s="31" t="str">
        <f t="shared" si="82"/>
        <v/>
      </c>
      <c r="K1767" s="43">
        <f>IF(B1767="매도",IFERROR(SUMPRODUCT((참고!$A$31:$A$130=C1767)*(참고!$B$31:$B$130&lt;=A1767)*(참고!$B$31:$B$130=_xludf.MAXIFS(참고!$B$31:$B$130,참고!$A$31:$A$130,C1767,참고!$B$31:$B$130,"&lt;="&amp;A1767))*참고!$D$31:$D$130)/100,0),0)</f>
        <v>0</v>
      </c>
      <c r="L1767" s="31" t="str">
        <f t="shared" si="83"/>
        <v/>
      </c>
      <c r="M1767" s="39"/>
    </row>
    <row r="1768" spans="1:13" ht="18" customHeight="1" x14ac:dyDescent="0.45">
      <c r="A1768" s="37"/>
      <c r="B1768" s="29"/>
      <c r="C1768" s="29"/>
      <c r="D1768" s="28"/>
      <c r="E1768" s="30" t="str">
        <f>IFERROR(VLOOKUP(D1768,KRX종목마스터!$A:$B,2,FALSE),"")</f>
        <v/>
      </c>
      <c r="F1768" s="42"/>
      <c r="G1768" s="42"/>
      <c r="H1768" s="31" t="str">
        <f t="shared" si="81"/>
        <v/>
      </c>
      <c r="I1768" s="43">
        <f ca="1">IFERROR(SUMPRODUCT((참고!$A$31:$A$130=C1768)*(참고!$B$31:$B$130&lt;=A1768)*(참고!$B$31:$B$130=_xludf.MAXIFS(참고!$B$31:$B$130,참고!$A$31:$A$130,C1768,참고!$B$31:$B$130,"&lt;="&amp;A1768))*참고!$C$31:$C$130)/100,0)</f>
        <v>0</v>
      </c>
      <c r="J1768" s="31" t="str">
        <f t="shared" si="82"/>
        <v/>
      </c>
      <c r="K1768" s="43">
        <f>IF(B1768="매도",IFERROR(SUMPRODUCT((참고!$A$31:$A$130=C1768)*(참고!$B$31:$B$130&lt;=A1768)*(참고!$B$31:$B$130=_xludf.MAXIFS(참고!$B$31:$B$130,참고!$A$31:$A$130,C1768,참고!$B$31:$B$130,"&lt;="&amp;A1768))*참고!$D$31:$D$130)/100,0),0)</f>
        <v>0</v>
      </c>
      <c r="L1768" s="31" t="str">
        <f t="shared" si="83"/>
        <v/>
      </c>
      <c r="M1768" s="39"/>
    </row>
    <row r="1769" spans="1:13" ht="18" customHeight="1" x14ac:dyDescent="0.45">
      <c r="A1769" s="37"/>
      <c r="B1769" s="29"/>
      <c r="C1769" s="29"/>
      <c r="D1769" s="28"/>
      <c r="E1769" s="30" t="str">
        <f>IFERROR(VLOOKUP(D1769,KRX종목마스터!$A:$B,2,FALSE),"")</f>
        <v/>
      </c>
      <c r="F1769" s="42"/>
      <c r="G1769" s="42"/>
      <c r="H1769" s="31" t="str">
        <f t="shared" si="81"/>
        <v/>
      </c>
      <c r="I1769" s="43">
        <f ca="1">IFERROR(SUMPRODUCT((참고!$A$31:$A$130=C1769)*(참고!$B$31:$B$130&lt;=A1769)*(참고!$B$31:$B$130=_xludf.MAXIFS(참고!$B$31:$B$130,참고!$A$31:$A$130,C1769,참고!$B$31:$B$130,"&lt;="&amp;A1769))*참고!$C$31:$C$130)/100,0)</f>
        <v>0</v>
      </c>
      <c r="J1769" s="31" t="str">
        <f t="shared" si="82"/>
        <v/>
      </c>
      <c r="K1769" s="43">
        <f>IF(B1769="매도",IFERROR(SUMPRODUCT((참고!$A$31:$A$130=C1769)*(참고!$B$31:$B$130&lt;=A1769)*(참고!$B$31:$B$130=_xludf.MAXIFS(참고!$B$31:$B$130,참고!$A$31:$A$130,C1769,참고!$B$31:$B$130,"&lt;="&amp;A1769))*참고!$D$31:$D$130)/100,0),0)</f>
        <v>0</v>
      </c>
      <c r="L1769" s="31" t="str">
        <f t="shared" si="83"/>
        <v/>
      </c>
      <c r="M1769" s="39"/>
    </row>
    <row r="1770" spans="1:13" ht="18" customHeight="1" x14ac:dyDescent="0.45">
      <c r="A1770" s="37"/>
      <c r="B1770" s="29"/>
      <c r="C1770" s="29"/>
      <c r="D1770" s="28"/>
      <c r="E1770" s="30" t="str">
        <f>IFERROR(VLOOKUP(D1770,KRX종목마스터!$A:$B,2,FALSE),"")</f>
        <v/>
      </c>
      <c r="F1770" s="42"/>
      <c r="G1770" s="42"/>
      <c r="H1770" s="31" t="str">
        <f t="shared" si="81"/>
        <v/>
      </c>
      <c r="I1770" s="43">
        <f ca="1">IFERROR(SUMPRODUCT((참고!$A$31:$A$130=C1770)*(참고!$B$31:$B$130&lt;=A1770)*(참고!$B$31:$B$130=_xludf.MAXIFS(참고!$B$31:$B$130,참고!$A$31:$A$130,C1770,참고!$B$31:$B$130,"&lt;="&amp;A1770))*참고!$C$31:$C$130)/100,0)</f>
        <v>0</v>
      </c>
      <c r="J1770" s="31" t="str">
        <f t="shared" si="82"/>
        <v/>
      </c>
      <c r="K1770" s="43">
        <f>IF(B1770="매도",IFERROR(SUMPRODUCT((참고!$A$31:$A$130=C1770)*(참고!$B$31:$B$130&lt;=A1770)*(참고!$B$31:$B$130=_xludf.MAXIFS(참고!$B$31:$B$130,참고!$A$31:$A$130,C1770,참고!$B$31:$B$130,"&lt;="&amp;A1770))*참고!$D$31:$D$130)/100,0),0)</f>
        <v>0</v>
      </c>
      <c r="L1770" s="31" t="str">
        <f t="shared" si="83"/>
        <v/>
      </c>
      <c r="M1770" s="39"/>
    </row>
    <row r="1771" spans="1:13" ht="18" customHeight="1" x14ac:dyDescent="0.45">
      <c r="A1771" s="37"/>
      <c r="B1771" s="29"/>
      <c r="C1771" s="29"/>
      <c r="D1771" s="28"/>
      <c r="E1771" s="30" t="str">
        <f>IFERROR(VLOOKUP(D1771,KRX종목마스터!$A:$B,2,FALSE),"")</f>
        <v/>
      </c>
      <c r="F1771" s="42"/>
      <c r="G1771" s="42"/>
      <c r="H1771" s="31" t="str">
        <f t="shared" si="81"/>
        <v/>
      </c>
      <c r="I1771" s="43">
        <f ca="1">IFERROR(SUMPRODUCT((참고!$A$31:$A$130=C1771)*(참고!$B$31:$B$130&lt;=A1771)*(참고!$B$31:$B$130=_xludf.MAXIFS(참고!$B$31:$B$130,참고!$A$31:$A$130,C1771,참고!$B$31:$B$130,"&lt;="&amp;A1771))*참고!$C$31:$C$130)/100,0)</f>
        <v>0</v>
      </c>
      <c r="J1771" s="31" t="str">
        <f t="shared" si="82"/>
        <v/>
      </c>
      <c r="K1771" s="43">
        <f>IF(B1771="매도",IFERROR(SUMPRODUCT((참고!$A$31:$A$130=C1771)*(참고!$B$31:$B$130&lt;=A1771)*(참고!$B$31:$B$130=_xludf.MAXIFS(참고!$B$31:$B$130,참고!$A$31:$A$130,C1771,참고!$B$31:$B$130,"&lt;="&amp;A1771))*참고!$D$31:$D$130)/100,0),0)</f>
        <v>0</v>
      </c>
      <c r="L1771" s="31" t="str">
        <f t="shared" si="83"/>
        <v/>
      </c>
      <c r="M1771" s="39"/>
    </row>
    <row r="1772" spans="1:13" ht="18" customHeight="1" x14ac:dyDescent="0.45">
      <c r="A1772" s="37"/>
      <c r="B1772" s="29"/>
      <c r="C1772" s="29"/>
      <c r="D1772" s="28"/>
      <c r="E1772" s="30" t="str">
        <f>IFERROR(VLOOKUP(D1772,KRX종목마스터!$A:$B,2,FALSE),"")</f>
        <v/>
      </c>
      <c r="F1772" s="42"/>
      <c r="G1772" s="42"/>
      <c r="H1772" s="31" t="str">
        <f t="shared" si="81"/>
        <v/>
      </c>
      <c r="I1772" s="43">
        <f ca="1">IFERROR(SUMPRODUCT((참고!$A$31:$A$130=C1772)*(참고!$B$31:$B$130&lt;=A1772)*(참고!$B$31:$B$130=_xludf.MAXIFS(참고!$B$31:$B$130,참고!$A$31:$A$130,C1772,참고!$B$31:$B$130,"&lt;="&amp;A1772))*참고!$C$31:$C$130)/100,0)</f>
        <v>0</v>
      </c>
      <c r="J1772" s="31" t="str">
        <f t="shared" si="82"/>
        <v/>
      </c>
      <c r="K1772" s="43">
        <f>IF(B1772="매도",IFERROR(SUMPRODUCT((참고!$A$31:$A$130=C1772)*(참고!$B$31:$B$130&lt;=A1772)*(참고!$B$31:$B$130=_xludf.MAXIFS(참고!$B$31:$B$130,참고!$A$31:$A$130,C1772,참고!$B$31:$B$130,"&lt;="&amp;A1772))*참고!$D$31:$D$130)/100,0),0)</f>
        <v>0</v>
      </c>
      <c r="L1772" s="31" t="str">
        <f t="shared" si="83"/>
        <v/>
      </c>
      <c r="M1772" s="39"/>
    </row>
    <row r="1773" spans="1:13" ht="18" customHeight="1" x14ac:dyDescent="0.45">
      <c r="A1773" s="37"/>
      <c r="B1773" s="29"/>
      <c r="C1773" s="29"/>
      <c r="D1773" s="28"/>
      <c r="E1773" s="30" t="str">
        <f>IFERROR(VLOOKUP(D1773,KRX종목마스터!$A:$B,2,FALSE),"")</f>
        <v/>
      </c>
      <c r="F1773" s="42"/>
      <c r="G1773" s="42"/>
      <c r="H1773" s="31" t="str">
        <f t="shared" si="81"/>
        <v/>
      </c>
      <c r="I1773" s="43">
        <f ca="1">IFERROR(SUMPRODUCT((참고!$A$31:$A$130=C1773)*(참고!$B$31:$B$130&lt;=A1773)*(참고!$B$31:$B$130=_xludf.MAXIFS(참고!$B$31:$B$130,참고!$A$31:$A$130,C1773,참고!$B$31:$B$130,"&lt;="&amp;A1773))*참고!$C$31:$C$130)/100,0)</f>
        <v>0</v>
      </c>
      <c r="J1773" s="31" t="str">
        <f t="shared" si="82"/>
        <v/>
      </c>
      <c r="K1773" s="43">
        <f>IF(B1773="매도",IFERROR(SUMPRODUCT((참고!$A$31:$A$130=C1773)*(참고!$B$31:$B$130&lt;=A1773)*(참고!$B$31:$B$130=_xludf.MAXIFS(참고!$B$31:$B$130,참고!$A$31:$A$130,C1773,참고!$B$31:$B$130,"&lt;="&amp;A1773))*참고!$D$31:$D$130)/100,0),0)</f>
        <v>0</v>
      </c>
      <c r="L1773" s="31" t="str">
        <f t="shared" si="83"/>
        <v/>
      </c>
      <c r="M1773" s="39"/>
    </row>
    <row r="1774" spans="1:13" ht="18" customHeight="1" x14ac:dyDescent="0.45">
      <c r="A1774" s="37"/>
      <c r="B1774" s="29"/>
      <c r="C1774" s="29"/>
      <c r="D1774" s="28"/>
      <c r="E1774" s="30" t="str">
        <f>IFERROR(VLOOKUP(D1774,KRX종목마스터!$A:$B,2,FALSE),"")</f>
        <v/>
      </c>
      <c r="F1774" s="42"/>
      <c r="G1774" s="42"/>
      <c r="H1774" s="31" t="str">
        <f t="shared" si="81"/>
        <v/>
      </c>
      <c r="I1774" s="43">
        <f ca="1">IFERROR(SUMPRODUCT((참고!$A$31:$A$130=C1774)*(참고!$B$31:$B$130&lt;=A1774)*(참고!$B$31:$B$130=_xludf.MAXIFS(참고!$B$31:$B$130,참고!$A$31:$A$130,C1774,참고!$B$31:$B$130,"&lt;="&amp;A1774))*참고!$C$31:$C$130)/100,0)</f>
        <v>0</v>
      </c>
      <c r="J1774" s="31" t="str">
        <f t="shared" si="82"/>
        <v/>
      </c>
      <c r="K1774" s="43">
        <f>IF(B1774="매도",IFERROR(SUMPRODUCT((참고!$A$31:$A$130=C1774)*(참고!$B$31:$B$130&lt;=A1774)*(참고!$B$31:$B$130=_xludf.MAXIFS(참고!$B$31:$B$130,참고!$A$31:$A$130,C1774,참고!$B$31:$B$130,"&lt;="&amp;A1774))*참고!$D$31:$D$130)/100,0),0)</f>
        <v>0</v>
      </c>
      <c r="L1774" s="31" t="str">
        <f t="shared" si="83"/>
        <v/>
      </c>
      <c r="M1774" s="39"/>
    </row>
    <row r="1775" spans="1:13" ht="18" customHeight="1" x14ac:dyDescent="0.45">
      <c r="A1775" s="37"/>
      <c r="B1775" s="29"/>
      <c r="C1775" s="29"/>
      <c r="D1775" s="28"/>
      <c r="E1775" s="30" t="str">
        <f>IFERROR(VLOOKUP(D1775,KRX종목마스터!$A:$B,2,FALSE),"")</f>
        <v/>
      </c>
      <c r="F1775" s="42"/>
      <c r="G1775" s="42"/>
      <c r="H1775" s="31" t="str">
        <f t="shared" si="81"/>
        <v/>
      </c>
      <c r="I1775" s="43">
        <f ca="1">IFERROR(SUMPRODUCT((참고!$A$31:$A$130=C1775)*(참고!$B$31:$B$130&lt;=A1775)*(참고!$B$31:$B$130=_xludf.MAXIFS(참고!$B$31:$B$130,참고!$A$31:$A$130,C1775,참고!$B$31:$B$130,"&lt;="&amp;A1775))*참고!$C$31:$C$130)/100,0)</f>
        <v>0</v>
      </c>
      <c r="J1775" s="31" t="str">
        <f t="shared" si="82"/>
        <v/>
      </c>
      <c r="K1775" s="43">
        <f>IF(B1775="매도",IFERROR(SUMPRODUCT((참고!$A$31:$A$130=C1775)*(참고!$B$31:$B$130&lt;=A1775)*(참고!$B$31:$B$130=_xludf.MAXIFS(참고!$B$31:$B$130,참고!$A$31:$A$130,C1775,참고!$B$31:$B$130,"&lt;="&amp;A1775))*참고!$D$31:$D$130)/100,0),0)</f>
        <v>0</v>
      </c>
      <c r="L1775" s="31" t="str">
        <f t="shared" si="83"/>
        <v/>
      </c>
      <c r="M1775" s="39"/>
    </row>
    <row r="1776" spans="1:13" ht="18" customHeight="1" x14ac:dyDescent="0.45">
      <c r="A1776" s="37"/>
      <c r="B1776" s="29"/>
      <c r="C1776" s="29"/>
      <c r="D1776" s="28"/>
      <c r="E1776" s="30" t="str">
        <f>IFERROR(VLOOKUP(D1776,KRX종목마스터!$A:$B,2,FALSE),"")</f>
        <v/>
      </c>
      <c r="F1776" s="42"/>
      <c r="G1776" s="42"/>
      <c r="H1776" s="31" t="str">
        <f t="shared" si="81"/>
        <v/>
      </c>
      <c r="I1776" s="43">
        <f ca="1">IFERROR(SUMPRODUCT((참고!$A$31:$A$130=C1776)*(참고!$B$31:$B$130&lt;=A1776)*(참고!$B$31:$B$130=_xludf.MAXIFS(참고!$B$31:$B$130,참고!$A$31:$A$130,C1776,참고!$B$31:$B$130,"&lt;="&amp;A1776))*참고!$C$31:$C$130)/100,0)</f>
        <v>0</v>
      </c>
      <c r="J1776" s="31" t="str">
        <f t="shared" si="82"/>
        <v/>
      </c>
      <c r="K1776" s="43">
        <f>IF(B1776="매도",IFERROR(SUMPRODUCT((참고!$A$31:$A$130=C1776)*(참고!$B$31:$B$130&lt;=A1776)*(참고!$B$31:$B$130=_xludf.MAXIFS(참고!$B$31:$B$130,참고!$A$31:$A$130,C1776,참고!$B$31:$B$130,"&lt;="&amp;A1776))*참고!$D$31:$D$130)/100,0),0)</f>
        <v>0</v>
      </c>
      <c r="L1776" s="31" t="str">
        <f t="shared" si="83"/>
        <v/>
      </c>
      <c r="M1776" s="39"/>
    </row>
    <row r="1777" spans="1:13" ht="18" customHeight="1" x14ac:dyDescent="0.45">
      <c r="A1777" s="37"/>
      <c r="B1777" s="29"/>
      <c r="C1777" s="29"/>
      <c r="D1777" s="28"/>
      <c r="E1777" s="30" t="str">
        <f>IFERROR(VLOOKUP(D1777,KRX종목마스터!$A:$B,2,FALSE),"")</f>
        <v/>
      </c>
      <c r="F1777" s="42"/>
      <c r="G1777" s="42"/>
      <c r="H1777" s="31" t="str">
        <f t="shared" si="81"/>
        <v/>
      </c>
      <c r="I1777" s="43">
        <f ca="1">IFERROR(SUMPRODUCT((참고!$A$31:$A$130=C1777)*(참고!$B$31:$B$130&lt;=A1777)*(참고!$B$31:$B$130=_xludf.MAXIFS(참고!$B$31:$B$130,참고!$A$31:$A$130,C1777,참고!$B$31:$B$130,"&lt;="&amp;A1777))*참고!$C$31:$C$130)/100,0)</f>
        <v>0</v>
      </c>
      <c r="J1777" s="31" t="str">
        <f t="shared" si="82"/>
        <v/>
      </c>
      <c r="K1777" s="43">
        <f>IF(B1777="매도",IFERROR(SUMPRODUCT((참고!$A$31:$A$130=C1777)*(참고!$B$31:$B$130&lt;=A1777)*(참고!$B$31:$B$130=_xludf.MAXIFS(참고!$B$31:$B$130,참고!$A$31:$A$130,C1777,참고!$B$31:$B$130,"&lt;="&amp;A1777))*참고!$D$31:$D$130)/100,0),0)</f>
        <v>0</v>
      </c>
      <c r="L1777" s="31" t="str">
        <f t="shared" si="83"/>
        <v/>
      </c>
      <c r="M1777" s="39"/>
    </row>
    <row r="1778" spans="1:13" ht="18" customHeight="1" x14ac:dyDescent="0.45">
      <c r="A1778" s="37"/>
      <c r="B1778" s="29"/>
      <c r="C1778" s="29"/>
      <c r="D1778" s="28"/>
      <c r="E1778" s="30" t="str">
        <f>IFERROR(VLOOKUP(D1778,KRX종목마스터!$A:$B,2,FALSE),"")</f>
        <v/>
      </c>
      <c r="F1778" s="42"/>
      <c r="G1778" s="42"/>
      <c r="H1778" s="31" t="str">
        <f t="shared" si="81"/>
        <v/>
      </c>
      <c r="I1778" s="43">
        <f ca="1">IFERROR(SUMPRODUCT((참고!$A$31:$A$130=C1778)*(참고!$B$31:$B$130&lt;=A1778)*(참고!$B$31:$B$130=_xludf.MAXIFS(참고!$B$31:$B$130,참고!$A$31:$A$130,C1778,참고!$B$31:$B$130,"&lt;="&amp;A1778))*참고!$C$31:$C$130)/100,0)</f>
        <v>0</v>
      </c>
      <c r="J1778" s="31" t="str">
        <f t="shared" si="82"/>
        <v/>
      </c>
      <c r="K1778" s="43">
        <f>IF(B1778="매도",IFERROR(SUMPRODUCT((참고!$A$31:$A$130=C1778)*(참고!$B$31:$B$130&lt;=A1778)*(참고!$B$31:$B$130=_xludf.MAXIFS(참고!$B$31:$B$130,참고!$A$31:$A$130,C1778,참고!$B$31:$B$130,"&lt;="&amp;A1778))*참고!$D$31:$D$130)/100,0),0)</f>
        <v>0</v>
      </c>
      <c r="L1778" s="31" t="str">
        <f t="shared" si="83"/>
        <v/>
      </c>
      <c r="M1778" s="39"/>
    </row>
    <row r="1779" spans="1:13" ht="18" customHeight="1" x14ac:dyDescent="0.45">
      <c r="A1779" s="37"/>
      <c r="B1779" s="29"/>
      <c r="C1779" s="29"/>
      <c r="D1779" s="28"/>
      <c r="E1779" s="30" t="str">
        <f>IFERROR(VLOOKUP(D1779,KRX종목마스터!$A:$B,2,FALSE),"")</f>
        <v/>
      </c>
      <c r="F1779" s="42"/>
      <c r="G1779" s="42"/>
      <c r="H1779" s="31" t="str">
        <f t="shared" si="81"/>
        <v/>
      </c>
      <c r="I1779" s="43">
        <f ca="1">IFERROR(SUMPRODUCT((참고!$A$31:$A$130=C1779)*(참고!$B$31:$B$130&lt;=A1779)*(참고!$B$31:$B$130=_xludf.MAXIFS(참고!$B$31:$B$130,참고!$A$31:$A$130,C1779,참고!$B$31:$B$130,"&lt;="&amp;A1779))*참고!$C$31:$C$130)/100,0)</f>
        <v>0</v>
      </c>
      <c r="J1779" s="31" t="str">
        <f t="shared" si="82"/>
        <v/>
      </c>
      <c r="K1779" s="43">
        <f>IF(B1779="매도",IFERROR(SUMPRODUCT((참고!$A$31:$A$130=C1779)*(참고!$B$31:$B$130&lt;=A1779)*(참고!$B$31:$B$130=_xludf.MAXIFS(참고!$B$31:$B$130,참고!$A$31:$A$130,C1779,참고!$B$31:$B$130,"&lt;="&amp;A1779))*참고!$D$31:$D$130)/100,0),0)</f>
        <v>0</v>
      </c>
      <c r="L1779" s="31" t="str">
        <f t="shared" si="83"/>
        <v/>
      </c>
      <c r="M1779" s="39"/>
    </row>
    <row r="1780" spans="1:13" ht="18" customHeight="1" x14ac:dyDescent="0.45">
      <c r="A1780" s="37"/>
      <c r="B1780" s="29"/>
      <c r="C1780" s="29"/>
      <c r="D1780" s="28"/>
      <c r="E1780" s="30" t="str">
        <f>IFERROR(VLOOKUP(D1780,KRX종목마스터!$A:$B,2,FALSE),"")</f>
        <v/>
      </c>
      <c r="F1780" s="42"/>
      <c r="G1780" s="42"/>
      <c r="H1780" s="31" t="str">
        <f t="shared" si="81"/>
        <v/>
      </c>
      <c r="I1780" s="43">
        <f ca="1">IFERROR(SUMPRODUCT((참고!$A$31:$A$130=C1780)*(참고!$B$31:$B$130&lt;=A1780)*(참고!$B$31:$B$130=_xludf.MAXIFS(참고!$B$31:$B$130,참고!$A$31:$A$130,C1780,참고!$B$31:$B$130,"&lt;="&amp;A1780))*참고!$C$31:$C$130)/100,0)</f>
        <v>0</v>
      </c>
      <c r="J1780" s="31" t="str">
        <f t="shared" si="82"/>
        <v/>
      </c>
      <c r="K1780" s="43">
        <f>IF(B1780="매도",IFERROR(SUMPRODUCT((참고!$A$31:$A$130=C1780)*(참고!$B$31:$B$130&lt;=A1780)*(참고!$B$31:$B$130=_xludf.MAXIFS(참고!$B$31:$B$130,참고!$A$31:$A$130,C1780,참고!$B$31:$B$130,"&lt;="&amp;A1780))*참고!$D$31:$D$130)/100,0),0)</f>
        <v>0</v>
      </c>
      <c r="L1780" s="31" t="str">
        <f t="shared" si="83"/>
        <v/>
      </c>
      <c r="M1780" s="39"/>
    </row>
    <row r="1781" spans="1:13" ht="18" customHeight="1" x14ac:dyDescent="0.45">
      <c r="A1781" s="37"/>
      <c r="B1781" s="29"/>
      <c r="C1781" s="29"/>
      <c r="D1781" s="28"/>
      <c r="E1781" s="30" t="str">
        <f>IFERROR(VLOOKUP(D1781,KRX종목마스터!$A:$B,2,FALSE),"")</f>
        <v/>
      </c>
      <c r="F1781" s="42"/>
      <c r="G1781" s="42"/>
      <c r="H1781" s="31" t="str">
        <f t="shared" si="81"/>
        <v/>
      </c>
      <c r="I1781" s="43">
        <f ca="1">IFERROR(SUMPRODUCT((참고!$A$31:$A$130=C1781)*(참고!$B$31:$B$130&lt;=A1781)*(참고!$B$31:$B$130=_xludf.MAXIFS(참고!$B$31:$B$130,참고!$A$31:$A$130,C1781,참고!$B$31:$B$130,"&lt;="&amp;A1781))*참고!$C$31:$C$130)/100,0)</f>
        <v>0</v>
      </c>
      <c r="J1781" s="31" t="str">
        <f t="shared" si="82"/>
        <v/>
      </c>
      <c r="K1781" s="43">
        <f>IF(B1781="매도",IFERROR(SUMPRODUCT((참고!$A$31:$A$130=C1781)*(참고!$B$31:$B$130&lt;=A1781)*(참고!$B$31:$B$130=_xludf.MAXIFS(참고!$B$31:$B$130,참고!$A$31:$A$130,C1781,참고!$B$31:$B$130,"&lt;="&amp;A1781))*참고!$D$31:$D$130)/100,0),0)</f>
        <v>0</v>
      </c>
      <c r="L1781" s="31" t="str">
        <f t="shared" si="83"/>
        <v/>
      </c>
      <c r="M1781" s="39"/>
    </row>
    <row r="1782" spans="1:13" ht="18" customHeight="1" x14ac:dyDescent="0.45">
      <c r="A1782" s="37"/>
      <c r="B1782" s="29"/>
      <c r="C1782" s="29"/>
      <c r="D1782" s="28"/>
      <c r="E1782" s="30" t="str">
        <f>IFERROR(VLOOKUP(D1782,KRX종목마스터!$A:$B,2,FALSE),"")</f>
        <v/>
      </c>
      <c r="F1782" s="42"/>
      <c r="G1782" s="42"/>
      <c r="H1782" s="31" t="str">
        <f t="shared" si="81"/>
        <v/>
      </c>
      <c r="I1782" s="43">
        <f ca="1">IFERROR(SUMPRODUCT((참고!$A$31:$A$130=C1782)*(참고!$B$31:$B$130&lt;=A1782)*(참고!$B$31:$B$130=_xludf.MAXIFS(참고!$B$31:$B$130,참고!$A$31:$A$130,C1782,참고!$B$31:$B$130,"&lt;="&amp;A1782))*참고!$C$31:$C$130)/100,0)</f>
        <v>0</v>
      </c>
      <c r="J1782" s="31" t="str">
        <f t="shared" si="82"/>
        <v/>
      </c>
      <c r="K1782" s="43">
        <f>IF(B1782="매도",IFERROR(SUMPRODUCT((참고!$A$31:$A$130=C1782)*(참고!$B$31:$B$130&lt;=A1782)*(참고!$B$31:$B$130=_xludf.MAXIFS(참고!$B$31:$B$130,참고!$A$31:$A$130,C1782,참고!$B$31:$B$130,"&lt;="&amp;A1782))*참고!$D$31:$D$130)/100,0),0)</f>
        <v>0</v>
      </c>
      <c r="L1782" s="31" t="str">
        <f t="shared" si="83"/>
        <v/>
      </c>
      <c r="M1782" s="39"/>
    </row>
    <row r="1783" spans="1:13" ht="18" customHeight="1" x14ac:dyDescent="0.45">
      <c r="A1783" s="37"/>
      <c r="B1783" s="29"/>
      <c r="C1783" s="29"/>
      <c r="D1783" s="28"/>
      <c r="E1783" s="30" t="str">
        <f>IFERROR(VLOOKUP(D1783,KRX종목마스터!$A:$B,2,FALSE),"")</f>
        <v/>
      </c>
      <c r="F1783" s="42"/>
      <c r="G1783" s="42"/>
      <c r="H1783" s="31" t="str">
        <f t="shared" si="81"/>
        <v/>
      </c>
      <c r="I1783" s="43">
        <f ca="1">IFERROR(SUMPRODUCT((참고!$A$31:$A$130=C1783)*(참고!$B$31:$B$130&lt;=A1783)*(참고!$B$31:$B$130=_xludf.MAXIFS(참고!$B$31:$B$130,참고!$A$31:$A$130,C1783,참고!$B$31:$B$130,"&lt;="&amp;A1783))*참고!$C$31:$C$130)/100,0)</f>
        <v>0</v>
      </c>
      <c r="J1783" s="31" t="str">
        <f t="shared" si="82"/>
        <v/>
      </c>
      <c r="K1783" s="43">
        <f>IF(B1783="매도",IFERROR(SUMPRODUCT((참고!$A$31:$A$130=C1783)*(참고!$B$31:$B$130&lt;=A1783)*(참고!$B$31:$B$130=_xludf.MAXIFS(참고!$B$31:$B$130,참고!$A$31:$A$130,C1783,참고!$B$31:$B$130,"&lt;="&amp;A1783))*참고!$D$31:$D$130)/100,0),0)</f>
        <v>0</v>
      </c>
      <c r="L1783" s="31" t="str">
        <f t="shared" si="83"/>
        <v/>
      </c>
      <c r="M1783" s="39"/>
    </row>
    <row r="1784" spans="1:13" ht="18" customHeight="1" x14ac:dyDescent="0.45">
      <c r="A1784" s="37"/>
      <c r="B1784" s="29"/>
      <c r="C1784" s="29"/>
      <c r="D1784" s="28"/>
      <c r="E1784" s="30" t="str">
        <f>IFERROR(VLOOKUP(D1784,KRX종목마스터!$A:$B,2,FALSE),"")</f>
        <v/>
      </c>
      <c r="F1784" s="42"/>
      <c r="G1784" s="42"/>
      <c r="H1784" s="31" t="str">
        <f t="shared" si="81"/>
        <v/>
      </c>
      <c r="I1784" s="43">
        <f ca="1">IFERROR(SUMPRODUCT((참고!$A$31:$A$130=C1784)*(참고!$B$31:$B$130&lt;=A1784)*(참고!$B$31:$B$130=_xludf.MAXIFS(참고!$B$31:$B$130,참고!$A$31:$A$130,C1784,참고!$B$31:$B$130,"&lt;="&amp;A1784))*참고!$C$31:$C$130)/100,0)</f>
        <v>0</v>
      </c>
      <c r="J1784" s="31" t="str">
        <f t="shared" si="82"/>
        <v/>
      </c>
      <c r="K1784" s="43">
        <f>IF(B1784="매도",IFERROR(SUMPRODUCT((참고!$A$31:$A$130=C1784)*(참고!$B$31:$B$130&lt;=A1784)*(참고!$B$31:$B$130=_xludf.MAXIFS(참고!$B$31:$B$130,참고!$A$31:$A$130,C1784,참고!$B$31:$B$130,"&lt;="&amp;A1784))*참고!$D$31:$D$130)/100,0),0)</f>
        <v>0</v>
      </c>
      <c r="L1784" s="31" t="str">
        <f t="shared" si="83"/>
        <v/>
      </c>
      <c r="M1784" s="39"/>
    </row>
    <row r="1785" spans="1:13" ht="18" customHeight="1" x14ac:dyDescent="0.45">
      <c r="A1785" s="37"/>
      <c r="B1785" s="29"/>
      <c r="C1785" s="29"/>
      <c r="D1785" s="28"/>
      <c r="E1785" s="30" t="str">
        <f>IFERROR(VLOOKUP(D1785,KRX종목마스터!$A:$B,2,FALSE),"")</f>
        <v/>
      </c>
      <c r="F1785" s="42"/>
      <c r="G1785" s="42"/>
      <c r="H1785" s="31" t="str">
        <f t="shared" si="81"/>
        <v/>
      </c>
      <c r="I1785" s="43">
        <f ca="1">IFERROR(SUMPRODUCT((참고!$A$31:$A$130=C1785)*(참고!$B$31:$B$130&lt;=A1785)*(참고!$B$31:$B$130=_xludf.MAXIFS(참고!$B$31:$B$130,참고!$A$31:$A$130,C1785,참고!$B$31:$B$130,"&lt;="&amp;A1785))*참고!$C$31:$C$130)/100,0)</f>
        <v>0</v>
      </c>
      <c r="J1785" s="31" t="str">
        <f t="shared" si="82"/>
        <v/>
      </c>
      <c r="K1785" s="43">
        <f>IF(B1785="매도",IFERROR(SUMPRODUCT((참고!$A$31:$A$130=C1785)*(참고!$B$31:$B$130&lt;=A1785)*(참고!$B$31:$B$130=_xludf.MAXIFS(참고!$B$31:$B$130,참고!$A$31:$A$130,C1785,참고!$B$31:$B$130,"&lt;="&amp;A1785))*참고!$D$31:$D$130)/100,0),0)</f>
        <v>0</v>
      </c>
      <c r="L1785" s="31" t="str">
        <f t="shared" si="83"/>
        <v/>
      </c>
      <c r="M1785" s="39"/>
    </row>
    <row r="1786" spans="1:13" ht="18" customHeight="1" x14ac:dyDescent="0.45">
      <c r="A1786" s="37"/>
      <c r="B1786" s="29"/>
      <c r="C1786" s="29"/>
      <c r="D1786" s="28"/>
      <c r="E1786" s="30" t="str">
        <f>IFERROR(VLOOKUP(D1786,KRX종목마스터!$A:$B,2,FALSE),"")</f>
        <v/>
      </c>
      <c r="F1786" s="42"/>
      <c r="G1786" s="42"/>
      <c r="H1786" s="31" t="str">
        <f t="shared" si="81"/>
        <v/>
      </c>
      <c r="I1786" s="43">
        <f ca="1">IFERROR(SUMPRODUCT((참고!$A$31:$A$130=C1786)*(참고!$B$31:$B$130&lt;=A1786)*(참고!$B$31:$B$130=_xludf.MAXIFS(참고!$B$31:$B$130,참고!$A$31:$A$130,C1786,참고!$B$31:$B$130,"&lt;="&amp;A1786))*참고!$C$31:$C$130)/100,0)</f>
        <v>0</v>
      </c>
      <c r="J1786" s="31" t="str">
        <f t="shared" si="82"/>
        <v/>
      </c>
      <c r="K1786" s="43">
        <f>IF(B1786="매도",IFERROR(SUMPRODUCT((참고!$A$31:$A$130=C1786)*(참고!$B$31:$B$130&lt;=A1786)*(참고!$B$31:$B$130=_xludf.MAXIFS(참고!$B$31:$B$130,참고!$A$31:$A$130,C1786,참고!$B$31:$B$130,"&lt;="&amp;A1786))*참고!$D$31:$D$130)/100,0),0)</f>
        <v>0</v>
      </c>
      <c r="L1786" s="31" t="str">
        <f t="shared" si="83"/>
        <v/>
      </c>
      <c r="M1786" s="39"/>
    </row>
    <row r="1787" spans="1:13" ht="18" customHeight="1" x14ac:dyDescent="0.45">
      <c r="A1787" s="37"/>
      <c r="B1787" s="29"/>
      <c r="C1787" s="29"/>
      <c r="D1787" s="28"/>
      <c r="E1787" s="30" t="str">
        <f>IFERROR(VLOOKUP(D1787,KRX종목마스터!$A:$B,2,FALSE),"")</f>
        <v/>
      </c>
      <c r="F1787" s="42"/>
      <c r="G1787" s="42"/>
      <c r="H1787" s="31" t="str">
        <f t="shared" si="81"/>
        <v/>
      </c>
      <c r="I1787" s="43">
        <f ca="1">IFERROR(SUMPRODUCT((참고!$A$31:$A$130=C1787)*(참고!$B$31:$B$130&lt;=A1787)*(참고!$B$31:$B$130=_xludf.MAXIFS(참고!$B$31:$B$130,참고!$A$31:$A$130,C1787,참고!$B$31:$B$130,"&lt;="&amp;A1787))*참고!$C$31:$C$130)/100,0)</f>
        <v>0</v>
      </c>
      <c r="J1787" s="31" t="str">
        <f t="shared" si="82"/>
        <v/>
      </c>
      <c r="K1787" s="43">
        <f>IF(B1787="매도",IFERROR(SUMPRODUCT((참고!$A$31:$A$130=C1787)*(참고!$B$31:$B$130&lt;=A1787)*(참고!$B$31:$B$130=_xludf.MAXIFS(참고!$B$31:$B$130,참고!$A$31:$A$130,C1787,참고!$B$31:$B$130,"&lt;="&amp;A1787))*참고!$D$31:$D$130)/100,0),0)</f>
        <v>0</v>
      </c>
      <c r="L1787" s="31" t="str">
        <f t="shared" si="83"/>
        <v/>
      </c>
      <c r="M1787" s="39"/>
    </row>
    <row r="1788" spans="1:13" ht="18" customHeight="1" x14ac:dyDescent="0.45">
      <c r="A1788" s="37"/>
      <c r="B1788" s="29"/>
      <c r="C1788" s="29"/>
      <c r="D1788" s="28"/>
      <c r="E1788" s="30" t="str">
        <f>IFERROR(VLOOKUP(D1788,KRX종목마스터!$A:$B,2,FALSE),"")</f>
        <v/>
      </c>
      <c r="F1788" s="42"/>
      <c r="G1788" s="42"/>
      <c r="H1788" s="31" t="str">
        <f t="shared" si="81"/>
        <v/>
      </c>
      <c r="I1788" s="43">
        <f ca="1">IFERROR(SUMPRODUCT((참고!$A$31:$A$130=C1788)*(참고!$B$31:$B$130&lt;=A1788)*(참고!$B$31:$B$130=_xludf.MAXIFS(참고!$B$31:$B$130,참고!$A$31:$A$130,C1788,참고!$B$31:$B$130,"&lt;="&amp;A1788))*참고!$C$31:$C$130)/100,0)</f>
        <v>0</v>
      </c>
      <c r="J1788" s="31" t="str">
        <f t="shared" si="82"/>
        <v/>
      </c>
      <c r="K1788" s="43">
        <f>IF(B1788="매도",IFERROR(SUMPRODUCT((참고!$A$31:$A$130=C1788)*(참고!$B$31:$B$130&lt;=A1788)*(참고!$B$31:$B$130=_xludf.MAXIFS(참고!$B$31:$B$130,참고!$A$31:$A$130,C1788,참고!$B$31:$B$130,"&lt;="&amp;A1788))*참고!$D$31:$D$130)/100,0),0)</f>
        <v>0</v>
      </c>
      <c r="L1788" s="31" t="str">
        <f t="shared" si="83"/>
        <v/>
      </c>
      <c r="M1788" s="39"/>
    </row>
    <row r="1789" spans="1:13" ht="18" customHeight="1" x14ac:dyDescent="0.45">
      <c r="A1789" s="37"/>
      <c r="B1789" s="29"/>
      <c r="C1789" s="29"/>
      <c r="D1789" s="28"/>
      <c r="E1789" s="30" t="str">
        <f>IFERROR(VLOOKUP(D1789,KRX종목마스터!$A:$B,2,FALSE),"")</f>
        <v/>
      </c>
      <c r="F1789" s="42"/>
      <c r="G1789" s="42"/>
      <c r="H1789" s="31" t="str">
        <f t="shared" si="81"/>
        <v/>
      </c>
      <c r="I1789" s="43">
        <f ca="1">IFERROR(SUMPRODUCT((참고!$A$31:$A$130=C1789)*(참고!$B$31:$B$130&lt;=A1789)*(참고!$B$31:$B$130=_xludf.MAXIFS(참고!$B$31:$B$130,참고!$A$31:$A$130,C1789,참고!$B$31:$B$130,"&lt;="&amp;A1789))*참고!$C$31:$C$130)/100,0)</f>
        <v>0</v>
      </c>
      <c r="J1789" s="31" t="str">
        <f t="shared" si="82"/>
        <v/>
      </c>
      <c r="K1789" s="43">
        <f>IF(B1789="매도",IFERROR(SUMPRODUCT((참고!$A$31:$A$130=C1789)*(참고!$B$31:$B$130&lt;=A1789)*(참고!$B$31:$B$130=_xludf.MAXIFS(참고!$B$31:$B$130,참고!$A$31:$A$130,C1789,참고!$B$31:$B$130,"&lt;="&amp;A1789))*참고!$D$31:$D$130)/100,0),0)</f>
        <v>0</v>
      </c>
      <c r="L1789" s="31" t="str">
        <f t="shared" si="83"/>
        <v/>
      </c>
      <c r="M1789" s="39"/>
    </row>
    <row r="1790" spans="1:13" ht="18" customHeight="1" x14ac:dyDescent="0.45">
      <c r="A1790" s="37"/>
      <c r="B1790" s="29"/>
      <c r="C1790" s="29"/>
      <c r="D1790" s="28"/>
      <c r="E1790" s="30" t="str">
        <f>IFERROR(VLOOKUP(D1790,KRX종목마스터!$A:$B,2,FALSE),"")</f>
        <v/>
      </c>
      <c r="F1790" s="42"/>
      <c r="G1790" s="42"/>
      <c r="H1790" s="31" t="str">
        <f t="shared" si="81"/>
        <v/>
      </c>
      <c r="I1790" s="43">
        <f ca="1">IFERROR(SUMPRODUCT((참고!$A$31:$A$130=C1790)*(참고!$B$31:$B$130&lt;=A1790)*(참고!$B$31:$B$130=_xludf.MAXIFS(참고!$B$31:$B$130,참고!$A$31:$A$130,C1790,참고!$B$31:$B$130,"&lt;="&amp;A1790))*참고!$C$31:$C$130)/100,0)</f>
        <v>0</v>
      </c>
      <c r="J1790" s="31" t="str">
        <f t="shared" si="82"/>
        <v/>
      </c>
      <c r="K1790" s="43">
        <f>IF(B1790="매도",IFERROR(SUMPRODUCT((참고!$A$31:$A$130=C1790)*(참고!$B$31:$B$130&lt;=A1790)*(참고!$B$31:$B$130=_xludf.MAXIFS(참고!$B$31:$B$130,참고!$A$31:$A$130,C1790,참고!$B$31:$B$130,"&lt;="&amp;A1790))*참고!$D$31:$D$130)/100,0),0)</f>
        <v>0</v>
      </c>
      <c r="L1790" s="31" t="str">
        <f t="shared" si="83"/>
        <v/>
      </c>
      <c r="M1790" s="39"/>
    </row>
    <row r="1791" spans="1:13" ht="18" customHeight="1" x14ac:dyDescent="0.45">
      <c r="A1791" s="37"/>
      <c r="B1791" s="29"/>
      <c r="C1791" s="29"/>
      <c r="D1791" s="28"/>
      <c r="E1791" s="30" t="str">
        <f>IFERROR(VLOOKUP(D1791,KRX종목마스터!$A:$B,2,FALSE),"")</f>
        <v/>
      </c>
      <c r="F1791" s="42"/>
      <c r="G1791" s="42"/>
      <c r="H1791" s="31" t="str">
        <f t="shared" si="81"/>
        <v/>
      </c>
      <c r="I1791" s="43">
        <f ca="1">IFERROR(SUMPRODUCT((참고!$A$31:$A$130=C1791)*(참고!$B$31:$B$130&lt;=A1791)*(참고!$B$31:$B$130=_xludf.MAXIFS(참고!$B$31:$B$130,참고!$A$31:$A$130,C1791,참고!$B$31:$B$130,"&lt;="&amp;A1791))*참고!$C$31:$C$130)/100,0)</f>
        <v>0</v>
      </c>
      <c r="J1791" s="31" t="str">
        <f t="shared" si="82"/>
        <v/>
      </c>
      <c r="K1791" s="43">
        <f>IF(B1791="매도",IFERROR(SUMPRODUCT((참고!$A$31:$A$130=C1791)*(참고!$B$31:$B$130&lt;=A1791)*(참고!$B$31:$B$130=_xludf.MAXIFS(참고!$B$31:$B$130,참고!$A$31:$A$130,C1791,참고!$B$31:$B$130,"&lt;="&amp;A1791))*참고!$D$31:$D$130)/100,0),0)</f>
        <v>0</v>
      </c>
      <c r="L1791" s="31" t="str">
        <f t="shared" si="83"/>
        <v/>
      </c>
      <c r="M1791" s="39"/>
    </row>
    <row r="1792" spans="1:13" ht="18" customHeight="1" x14ac:dyDescent="0.45">
      <c r="A1792" s="37"/>
      <c r="B1792" s="29"/>
      <c r="C1792" s="29"/>
      <c r="D1792" s="28"/>
      <c r="E1792" s="30" t="str">
        <f>IFERROR(VLOOKUP(D1792,KRX종목마스터!$A:$B,2,FALSE),"")</f>
        <v/>
      </c>
      <c r="F1792" s="42"/>
      <c r="G1792" s="42"/>
      <c r="H1792" s="31" t="str">
        <f t="shared" si="81"/>
        <v/>
      </c>
      <c r="I1792" s="43">
        <f ca="1">IFERROR(SUMPRODUCT((참고!$A$31:$A$130=C1792)*(참고!$B$31:$B$130&lt;=A1792)*(참고!$B$31:$B$130=_xludf.MAXIFS(참고!$B$31:$B$130,참고!$A$31:$A$130,C1792,참고!$B$31:$B$130,"&lt;="&amp;A1792))*참고!$C$31:$C$130)/100,0)</f>
        <v>0</v>
      </c>
      <c r="J1792" s="31" t="str">
        <f t="shared" si="82"/>
        <v/>
      </c>
      <c r="K1792" s="43">
        <f>IF(B1792="매도",IFERROR(SUMPRODUCT((참고!$A$31:$A$130=C1792)*(참고!$B$31:$B$130&lt;=A1792)*(참고!$B$31:$B$130=_xludf.MAXIFS(참고!$B$31:$B$130,참고!$A$31:$A$130,C1792,참고!$B$31:$B$130,"&lt;="&amp;A1792))*참고!$D$31:$D$130)/100,0),0)</f>
        <v>0</v>
      </c>
      <c r="L1792" s="31" t="str">
        <f t="shared" si="83"/>
        <v/>
      </c>
      <c r="M1792" s="39"/>
    </row>
    <row r="1793" spans="1:13" ht="18" customHeight="1" x14ac:dyDescent="0.45">
      <c r="A1793" s="37"/>
      <c r="B1793" s="29"/>
      <c r="C1793" s="29"/>
      <c r="D1793" s="28"/>
      <c r="E1793" s="30" t="str">
        <f>IFERROR(VLOOKUP(D1793,KRX종목마스터!$A:$B,2,FALSE),"")</f>
        <v/>
      </c>
      <c r="F1793" s="42"/>
      <c r="G1793" s="42"/>
      <c r="H1793" s="31" t="str">
        <f t="shared" si="81"/>
        <v/>
      </c>
      <c r="I1793" s="43">
        <f ca="1">IFERROR(SUMPRODUCT((참고!$A$31:$A$130=C1793)*(참고!$B$31:$B$130&lt;=A1793)*(참고!$B$31:$B$130=_xludf.MAXIFS(참고!$B$31:$B$130,참고!$A$31:$A$130,C1793,참고!$B$31:$B$130,"&lt;="&amp;A1793))*참고!$C$31:$C$130)/100,0)</f>
        <v>0</v>
      </c>
      <c r="J1793" s="31" t="str">
        <f t="shared" si="82"/>
        <v/>
      </c>
      <c r="K1793" s="43">
        <f>IF(B1793="매도",IFERROR(SUMPRODUCT((참고!$A$31:$A$130=C1793)*(참고!$B$31:$B$130&lt;=A1793)*(참고!$B$31:$B$130=_xludf.MAXIFS(참고!$B$31:$B$130,참고!$A$31:$A$130,C1793,참고!$B$31:$B$130,"&lt;="&amp;A1793))*참고!$D$31:$D$130)/100,0),0)</f>
        <v>0</v>
      </c>
      <c r="L1793" s="31" t="str">
        <f t="shared" si="83"/>
        <v/>
      </c>
      <c r="M1793" s="39"/>
    </row>
    <row r="1794" spans="1:13" ht="18" customHeight="1" x14ac:dyDescent="0.45">
      <c r="A1794" s="37"/>
      <c r="B1794" s="29"/>
      <c r="C1794" s="29"/>
      <c r="D1794" s="28"/>
      <c r="E1794" s="30" t="str">
        <f>IFERROR(VLOOKUP(D1794,KRX종목마스터!$A:$B,2,FALSE),"")</f>
        <v/>
      </c>
      <c r="F1794" s="42"/>
      <c r="G1794" s="42"/>
      <c r="H1794" s="31" t="str">
        <f t="shared" si="81"/>
        <v/>
      </c>
      <c r="I1794" s="43">
        <f ca="1">IFERROR(SUMPRODUCT((참고!$A$31:$A$130=C1794)*(참고!$B$31:$B$130&lt;=A1794)*(참고!$B$31:$B$130=_xludf.MAXIFS(참고!$B$31:$B$130,참고!$A$31:$A$130,C1794,참고!$B$31:$B$130,"&lt;="&amp;A1794))*참고!$C$31:$C$130)/100,0)</f>
        <v>0</v>
      </c>
      <c r="J1794" s="31" t="str">
        <f t="shared" si="82"/>
        <v/>
      </c>
      <c r="K1794" s="43">
        <f>IF(B1794="매도",IFERROR(SUMPRODUCT((참고!$A$31:$A$130=C1794)*(참고!$B$31:$B$130&lt;=A1794)*(참고!$B$31:$B$130=_xludf.MAXIFS(참고!$B$31:$B$130,참고!$A$31:$A$130,C1794,참고!$B$31:$B$130,"&lt;="&amp;A1794))*참고!$D$31:$D$130)/100,0),0)</f>
        <v>0</v>
      </c>
      <c r="L1794" s="31" t="str">
        <f t="shared" si="83"/>
        <v/>
      </c>
      <c r="M1794" s="39"/>
    </row>
    <row r="1795" spans="1:13" ht="18" customHeight="1" x14ac:dyDescent="0.45">
      <c r="A1795" s="37"/>
      <c r="B1795" s="29"/>
      <c r="C1795" s="29"/>
      <c r="D1795" s="28"/>
      <c r="E1795" s="30" t="str">
        <f>IFERROR(VLOOKUP(D1795,KRX종목마스터!$A:$B,2,FALSE),"")</f>
        <v/>
      </c>
      <c r="F1795" s="42"/>
      <c r="G1795" s="42"/>
      <c r="H1795" s="31" t="str">
        <f t="shared" si="81"/>
        <v/>
      </c>
      <c r="I1795" s="43">
        <f ca="1">IFERROR(SUMPRODUCT((참고!$A$31:$A$130=C1795)*(참고!$B$31:$B$130&lt;=A1795)*(참고!$B$31:$B$130=_xludf.MAXIFS(참고!$B$31:$B$130,참고!$A$31:$A$130,C1795,참고!$B$31:$B$130,"&lt;="&amp;A1795))*참고!$C$31:$C$130)/100,0)</f>
        <v>0</v>
      </c>
      <c r="J1795" s="31" t="str">
        <f t="shared" si="82"/>
        <v/>
      </c>
      <c r="K1795" s="43">
        <f>IF(B1795="매도",IFERROR(SUMPRODUCT((참고!$A$31:$A$130=C1795)*(참고!$B$31:$B$130&lt;=A1795)*(참고!$B$31:$B$130=_xludf.MAXIFS(참고!$B$31:$B$130,참고!$A$31:$A$130,C1795,참고!$B$31:$B$130,"&lt;="&amp;A1795))*참고!$D$31:$D$130)/100,0),0)</f>
        <v>0</v>
      </c>
      <c r="L1795" s="31" t="str">
        <f t="shared" si="83"/>
        <v/>
      </c>
      <c r="M1795" s="39"/>
    </row>
    <row r="1796" spans="1:13" ht="18" customHeight="1" x14ac:dyDescent="0.45">
      <c r="A1796" s="37"/>
      <c r="B1796" s="29"/>
      <c r="C1796" s="29"/>
      <c r="D1796" s="28"/>
      <c r="E1796" s="30" t="str">
        <f>IFERROR(VLOOKUP(D1796,KRX종목마스터!$A:$B,2,FALSE),"")</f>
        <v/>
      </c>
      <c r="F1796" s="42"/>
      <c r="G1796" s="42"/>
      <c r="H1796" s="31" t="str">
        <f t="shared" si="81"/>
        <v/>
      </c>
      <c r="I1796" s="43">
        <f ca="1">IFERROR(SUMPRODUCT((참고!$A$31:$A$130=C1796)*(참고!$B$31:$B$130&lt;=A1796)*(참고!$B$31:$B$130=_xludf.MAXIFS(참고!$B$31:$B$130,참고!$A$31:$A$130,C1796,참고!$B$31:$B$130,"&lt;="&amp;A1796))*참고!$C$31:$C$130)/100,0)</f>
        <v>0</v>
      </c>
      <c r="J1796" s="31" t="str">
        <f t="shared" si="82"/>
        <v/>
      </c>
      <c r="K1796" s="43">
        <f>IF(B1796="매도",IFERROR(SUMPRODUCT((참고!$A$31:$A$130=C1796)*(참고!$B$31:$B$130&lt;=A1796)*(참고!$B$31:$B$130=_xludf.MAXIFS(참고!$B$31:$B$130,참고!$A$31:$A$130,C1796,참고!$B$31:$B$130,"&lt;="&amp;A1796))*참고!$D$31:$D$130)/100,0),0)</f>
        <v>0</v>
      </c>
      <c r="L1796" s="31" t="str">
        <f t="shared" si="83"/>
        <v/>
      </c>
      <c r="M1796" s="39"/>
    </row>
    <row r="1797" spans="1:13" ht="18" customHeight="1" x14ac:dyDescent="0.45">
      <c r="A1797" s="37"/>
      <c r="B1797" s="29"/>
      <c r="C1797" s="29"/>
      <c r="D1797" s="28"/>
      <c r="E1797" s="30" t="str">
        <f>IFERROR(VLOOKUP(D1797,KRX종목마스터!$A:$B,2,FALSE),"")</f>
        <v/>
      </c>
      <c r="F1797" s="42"/>
      <c r="G1797" s="42"/>
      <c r="H1797" s="31" t="str">
        <f t="shared" ref="H1797:H1860" si="84">IF(AND(F1797&lt;&gt;"",G1797&lt;&gt;""),F1797*G1797,"")</f>
        <v/>
      </c>
      <c r="I1797" s="43">
        <f ca="1">IFERROR(SUMPRODUCT((참고!$A$31:$A$130=C1797)*(참고!$B$31:$B$130&lt;=A1797)*(참고!$B$31:$B$130=_xludf.MAXIFS(참고!$B$31:$B$130,참고!$A$31:$A$130,C1797,참고!$B$31:$B$130,"&lt;="&amp;A1797))*참고!$C$31:$C$130)/100,0)</f>
        <v>0</v>
      </c>
      <c r="J1797" s="31" t="str">
        <f t="shared" ref="J1797:J1860" si="85">IF(H1797="","",ROUND(H1797*I1797,0))</f>
        <v/>
      </c>
      <c r="K1797" s="43">
        <f>IF(B1797="매도",IFERROR(SUMPRODUCT((참고!$A$31:$A$130=C1797)*(참고!$B$31:$B$130&lt;=A1797)*(참고!$B$31:$B$130=_xludf.MAXIFS(참고!$B$31:$B$130,참고!$A$31:$A$130,C1797,참고!$B$31:$B$130,"&lt;="&amp;A1797))*참고!$D$31:$D$130)/100,0),0)</f>
        <v>0</v>
      </c>
      <c r="L1797" s="31" t="str">
        <f t="shared" ref="L1797:L1860" si="86">IF(H1797="","",ROUND(H1797*K1797,0))</f>
        <v/>
      </c>
      <c r="M1797" s="39"/>
    </row>
    <row r="1798" spans="1:13" ht="18" customHeight="1" x14ac:dyDescent="0.45">
      <c r="A1798" s="37"/>
      <c r="B1798" s="29"/>
      <c r="C1798" s="29"/>
      <c r="D1798" s="28"/>
      <c r="E1798" s="30" t="str">
        <f>IFERROR(VLOOKUP(D1798,KRX종목마스터!$A:$B,2,FALSE),"")</f>
        <v/>
      </c>
      <c r="F1798" s="42"/>
      <c r="G1798" s="42"/>
      <c r="H1798" s="31" t="str">
        <f t="shared" si="84"/>
        <v/>
      </c>
      <c r="I1798" s="43">
        <f ca="1">IFERROR(SUMPRODUCT((참고!$A$31:$A$130=C1798)*(참고!$B$31:$B$130&lt;=A1798)*(참고!$B$31:$B$130=_xludf.MAXIFS(참고!$B$31:$B$130,참고!$A$31:$A$130,C1798,참고!$B$31:$B$130,"&lt;="&amp;A1798))*참고!$C$31:$C$130)/100,0)</f>
        <v>0</v>
      </c>
      <c r="J1798" s="31" t="str">
        <f t="shared" si="85"/>
        <v/>
      </c>
      <c r="K1798" s="43">
        <f>IF(B1798="매도",IFERROR(SUMPRODUCT((참고!$A$31:$A$130=C1798)*(참고!$B$31:$B$130&lt;=A1798)*(참고!$B$31:$B$130=_xludf.MAXIFS(참고!$B$31:$B$130,참고!$A$31:$A$130,C1798,참고!$B$31:$B$130,"&lt;="&amp;A1798))*참고!$D$31:$D$130)/100,0),0)</f>
        <v>0</v>
      </c>
      <c r="L1798" s="31" t="str">
        <f t="shared" si="86"/>
        <v/>
      </c>
      <c r="M1798" s="39"/>
    </row>
    <row r="1799" spans="1:13" ht="18" customHeight="1" x14ac:dyDescent="0.45">
      <c r="A1799" s="37"/>
      <c r="B1799" s="29"/>
      <c r="C1799" s="29"/>
      <c r="D1799" s="28"/>
      <c r="E1799" s="30" t="str">
        <f>IFERROR(VLOOKUP(D1799,KRX종목마스터!$A:$B,2,FALSE),"")</f>
        <v/>
      </c>
      <c r="F1799" s="42"/>
      <c r="G1799" s="42"/>
      <c r="H1799" s="31" t="str">
        <f t="shared" si="84"/>
        <v/>
      </c>
      <c r="I1799" s="43">
        <f ca="1">IFERROR(SUMPRODUCT((참고!$A$31:$A$130=C1799)*(참고!$B$31:$B$130&lt;=A1799)*(참고!$B$31:$B$130=_xludf.MAXIFS(참고!$B$31:$B$130,참고!$A$31:$A$130,C1799,참고!$B$31:$B$130,"&lt;="&amp;A1799))*참고!$C$31:$C$130)/100,0)</f>
        <v>0</v>
      </c>
      <c r="J1799" s="31" t="str">
        <f t="shared" si="85"/>
        <v/>
      </c>
      <c r="K1799" s="43">
        <f>IF(B1799="매도",IFERROR(SUMPRODUCT((참고!$A$31:$A$130=C1799)*(참고!$B$31:$B$130&lt;=A1799)*(참고!$B$31:$B$130=_xludf.MAXIFS(참고!$B$31:$B$130,참고!$A$31:$A$130,C1799,참고!$B$31:$B$130,"&lt;="&amp;A1799))*참고!$D$31:$D$130)/100,0),0)</f>
        <v>0</v>
      </c>
      <c r="L1799" s="31" t="str">
        <f t="shared" si="86"/>
        <v/>
      </c>
      <c r="M1799" s="39"/>
    </row>
    <row r="1800" spans="1:13" ht="18" customHeight="1" x14ac:dyDescent="0.45">
      <c r="A1800" s="37"/>
      <c r="B1800" s="29"/>
      <c r="C1800" s="29"/>
      <c r="D1800" s="28"/>
      <c r="E1800" s="30" t="str">
        <f>IFERROR(VLOOKUP(D1800,KRX종목마스터!$A:$B,2,FALSE),"")</f>
        <v/>
      </c>
      <c r="F1800" s="42"/>
      <c r="G1800" s="42"/>
      <c r="H1800" s="31" t="str">
        <f t="shared" si="84"/>
        <v/>
      </c>
      <c r="I1800" s="43">
        <f ca="1">IFERROR(SUMPRODUCT((참고!$A$31:$A$130=C1800)*(참고!$B$31:$B$130&lt;=A1800)*(참고!$B$31:$B$130=_xludf.MAXIFS(참고!$B$31:$B$130,참고!$A$31:$A$130,C1800,참고!$B$31:$B$130,"&lt;="&amp;A1800))*참고!$C$31:$C$130)/100,0)</f>
        <v>0</v>
      </c>
      <c r="J1800" s="31" t="str">
        <f t="shared" si="85"/>
        <v/>
      </c>
      <c r="K1800" s="43">
        <f>IF(B1800="매도",IFERROR(SUMPRODUCT((참고!$A$31:$A$130=C1800)*(참고!$B$31:$B$130&lt;=A1800)*(참고!$B$31:$B$130=_xludf.MAXIFS(참고!$B$31:$B$130,참고!$A$31:$A$130,C1800,참고!$B$31:$B$130,"&lt;="&amp;A1800))*참고!$D$31:$D$130)/100,0),0)</f>
        <v>0</v>
      </c>
      <c r="L1800" s="31" t="str">
        <f t="shared" si="86"/>
        <v/>
      </c>
      <c r="M1800" s="39"/>
    </row>
    <row r="1801" spans="1:13" ht="18" customHeight="1" x14ac:dyDescent="0.45">
      <c r="A1801" s="37"/>
      <c r="B1801" s="29"/>
      <c r="C1801" s="29"/>
      <c r="D1801" s="28"/>
      <c r="E1801" s="30" t="str">
        <f>IFERROR(VLOOKUP(D1801,KRX종목마스터!$A:$B,2,FALSE),"")</f>
        <v/>
      </c>
      <c r="F1801" s="42"/>
      <c r="G1801" s="42"/>
      <c r="H1801" s="31" t="str">
        <f t="shared" si="84"/>
        <v/>
      </c>
      <c r="I1801" s="43">
        <f ca="1">IFERROR(SUMPRODUCT((참고!$A$31:$A$130=C1801)*(참고!$B$31:$B$130&lt;=A1801)*(참고!$B$31:$B$130=_xludf.MAXIFS(참고!$B$31:$B$130,참고!$A$31:$A$130,C1801,참고!$B$31:$B$130,"&lt;="&amp;A1801))*참고!$C$31:$C$130)/100,0)</f>
        <v>0</v>
      </c>
      <c r="J1801" s="31" t="str">
        <f t="shared" si="85"/>
        <v/>
      </c>
      <c r="K1801" s="43">
        <f>IF(B1801="매도",IFERROR(SUMPRODUCT((참고!$A$31:$A$130=C1801)*(참고!$B$31:$B$130&lt;=A1801)*(참고!$B$31:$B$130=_xludf.MAXIFS(참고!$B$31:$B$130,참고!$A$31:$A$130,C1801,참고!$B$31:$B$130,"&lt;="&amp;A1801))*참고!$D$31:$D$130)/100,0),0)</f>
        <v>0</v>
      </c>
      <c r="L1801" s="31" t="str">
        <f t="shared" si="86"/>
        <v/>
      </c>
      <c r="M1801" s="39"/>
    </row>
    <row r="1802" spans="1:13" ht="18" customHeight="1" x14ac:dyDescent="0.45">
      <c r="A1802" s="37"/>
      <c r="B1802" s="29"/>
      <c r="C1802" s="29"/>
      <c r="D1802" s="28"/>
      <c r="E1802" s="30" t="str">
        <f>IFERROR(VLOOKUP(D1802,KRX종목마스터!$A:$B,2,FALSE),"")</f>
        <v/>
      </c>
      <c r="F1802" s="42"/>
      <c r="G1802" s="42"/>
      <c r="H1802" s="31" t="str">
        <f t="shared" si="84"/>
        <v/>
      </c>
      <c r="I1802" s="43">
        <f ca="1">IFERROR(SUMPRODUCT((참고!$A$31:$A$130=C1802)*(참고!$B$31:$B$130&lt;=A1802)*(참고!$B$31:$B$130=_xludf.MAXIFS(참고!$B$31:$B$130,참고!$A$31:$A$130,C1802,참고!$B$31:$B$130,"&lt;="&amp;A1802))*참고!$C$31:$C$130)/100,0)</f>
        <v>0</v>
      </c>
      <c r="J1802" s="31" t="str">
        <f t="shared" si="85"/>
        <v/>
      </c>
      <c r="K1802" s="43">
        <f>IF(B1802="매도",IFERROR(SUMPRODUCT((참고!$A$31:$A$130=C1802)*(참고!$B$31:$B$130&lt;=A1802)*(참고!$B$31:$B$130=_xludf.MAXIFS(참고!$B$31:$B$130,참고!$A$31:$A$130,C1802,참고!$B$31:$B$130,"&lt;="&amp;A1802))*참고!$D$31:$D$130)/100,0),0)</f>
        <v>0</v>
      </c>
      <c r="L1802" s="31" t="str">
        <f t="shared" si="86"/>
        <v/>
      </c>
      <c r="M1802" s="39"/>
    </row>
    <row r="1803" spans="1:13" ht="18" customHeight="1" x14ac:dyDescent="0.45">
      <c r="A1803" s="37"/>
      <c r="B1803" s="29"/>
      <c r="C1803" s="29"/>
      <c r="D1803" s="28"/>
      <c r="E1803" s="30" t="str">
        <f>IFERROR(VLOOKUP(D1803,KRX종목마스터!$A:$B,2,FALSE),"")</f>
        <v/>
      </c>
      <c r="F1803" s="42"/>
      <c r="G1803" s="42"/>
      <c r="H1803" s="31" t="str">
        <f t="shared" si="84"/>
        <v/>
      </c>
      <c r="I1803" s="43">
        <f ca="1">IFERROR(SUMPRODUCT((참고!$A$31:$A$130=C1803)*(참고!$B$31:$B$130&lt;=A1803)*(참고!$B$31:$B$130=_xludf.MAXIFS(참고!$B$31:$B$130,참고!$A$31:$A$130,C1803,참고!$B$31:$B$130,"&lt;="&amp;A1803))*참고!$C$31:$C$130)/100,0)</f>
        <v>0</v>
      </c>
      <c r="J1803" s="31" t="str">
        <f t="shared" si="85"/>
        <v/>
      </c>
      <c r="K1803" s="43">
        <f>IF(B1803="매도",IFERROR(SUMPRODUCT((참고!$A$31:$A$130=C1803)*(참고!$B$31:$B$130&lt;=A1803)*(참고!$B$31:$B$130=_xludf.MAXIFS(참고!$B$31:$B$130,참고!$A$31:$A$130,C1803,참고!$B$31:$B$130,"&lt;="&amp;A1803))*참고!$D$31:$D$130)/100,0),0)</f>
        <v>0</v>
      </c>
      <c r="L1803" s="31" t="str">
        <f t="shared" si="86"/>
        <v/>
      </c>
      <c r="M1803" s="39"/>
    </row>
    <row r="1804" spans="1:13" ht="18" customHeight="1" x14ac:dyDescent="0.45">
      <c r="A1804" s="37"/>
      <c r="B1804" s="29"/>
      <c r="C1804" s="29"/>
      <c r="D1804" s="28"/>
      <c r="E1804" s="30" t="str">
        <f>IFERROR(VLOOKUP(D1804,KRX종목마스터!$A:$B,2,FALSE),"")</f>
        <v/>
      </c>
      <c r="F1804" s="42"/>
      <c r="G1804" s="42"/>
      <c r="H1804" s="31" t="str">
        <f t="shared" si="84"/>
        <v/>
      </c>
      <c r="I1804" s="43">
        <f ca="1">IFERROR(SUMPRODUCT((참고!$A$31:$A$130=C1804)*(참고!$B$31:$B$130&lt;=A1804)*(참고!$B$31:$B$130=_xludf.MAXIFS(참고!$B$31:$B$130,참고!$A$31:$A$130,C1804,참고!$B$31:$B$130,"&lt;="&amp;A1804))*참고!$C$31:$C$130)/100,0)</f>
        <v>0</v>
      </c>
      <c r="J1804" s="31" t="str">
        <f t="shared" si="85"/>
        <v/>
      </c>
      <c r="K1804" s="43">
        <f>IF(B1804="매도",IFERROR(SUMPRODUCT((참고!$A$31:$A$130=C1804)*(참고!$B$31:$B$130&lt;=A1804)*(참고!$B$31:$B$130=_xludf.MAXIFS(참고!$B$31:$B$130,참고!$A$31:$A$130,C1804,참고!$B$31:$B$130,"&lt;="&amp;A1804))*참고!$D$31:$D$130)/100,0),0)</f>
        <v>0</v>
      </c>
      <c r="L1804" s="31" t="str">
        <f t="shared" si="86"/>
        <v/>
      </c>
      <c r="M1804" s="39"/>
    </row>
    <row r="1805" spans="1:13" ht="18" customHeight="1" x14ac:dyDescent="0.45">
      <c r="A1805" s="37"/>
      <c r="B1805" s="29"/>
      <c r="C1805" s="29"/>
      <c r="D1805" s="28"/>
      <c r="E1805" s="30" t="str">
        <f>IFERROR(VLOOKUP(D1805,KRX종목마스터!$A:$B,2,FALSE),"")</f>
        <v/>
      </c>
      <c r="F1805" s="42"/>
      <c r="G1805" s="42"/>
      <c r="H1805" s="31" t="str">
        <f t="shared" si="84"/>
        <v/>
      </c>
      <c r="I1805" s="43">
        <f ca="1">IFERROR(SUMPRODUCT((참고!$A$31:$A$130=C1805)*(참고!$B$31:$B$130&lt;=A1805)*(참고!$B$31:$B$130=_xludf.MAXIFS(참고!$B$31:$B$130,참고!$A$31:$A$130,C1805,참고!$B$31:$B$130,"&lt;="&amp;A1805))*참고!$C$31:$C$130)/100,0)</f>
        <v>0</v>
      </c>
      <c r="J1805" s="31" t="str">
        <f t="shared" si="85"/>
        <v/>
      </c>
      <c r="K1805" s="43">
        <f>IF(B1805="매도",IFERROR(SUMPRODUCT((참고!$A$31:$A$130=C1805)*(참고!$B$31:$B$130&lt;=A1805)*(참고!$B$31:$B$130=_xludf.MAXIFS(참고!$B$31:$B$130,참고!$A$31:$A$130,C1805,참고!$B$31:$B$130,"&lt;="&amp;A1805))*참고!$D$31:$D$130)/100,0),0)</f>
        <v>0</v>
      </c>
      <c r="L1805" s="31" t="str">
        <f t="shared" si="86"/>
        <v/>
      </c>
      <c r="M1805" s="39"/>
    </row>
    <row r="1806" spans="1:13" ht="18" customHeight="1" x14ac:dyDescent="0.45">
      <c r="A1806" s="37"/>
      <c r="B1806" s="29"/>
      <c r="C1806" s="29"/>
      <c r="D1806" s="28"/>
      <c r="E1806" s="30" t="str">
        <f>IFERROR(VLOOKUP(D1806,KRX종목마스터!$A:$B,2,FALSE),"")</f>
        <v/>
      </c>
      <c r="F1806" s="42"/>
      <c r="G1806" s="42"/>
      <c r="H1806" s="31" t="str">
        <f t="shared" si="84"/>
        <v/>
      </c>
      <c r="I1806" s="43">
        <f ca="1">IFERROR(SUMPRODUCT((참고!$A$31:$A$130=C1806)*(참고!$B$31:$B$130&lt;=A1806)*(참고!$B$31:$B$130=_xludf.MAXIFS(참고!$B$31:$B$130,참고!$A$31:$A$130,C1806,참고!$B$31:$B$130,"&lt;="&amp;A1806))*참고!$C$31:$C$130)/100,0)</f>
        <v>0</v>
      </c>
      <c r="J1806" s="31" t="str">
        <f t="shared" si="85"/>
        <v/>
      </c>
      <c r="K1806" s="43">
        <f>IF(B1806="매도",IFERROR(SUMPRODUCT((참고!$A$31:$A$130=C1806)*(참고!$B$31:$B$130&lt;=A1806)*(참고!$B$31:$B$130=_xludf.MAXIFS(참고!$B$31:$B$130,참고!$A$31:$A$130,C1806,참고!$B$31:$B$130,"&lt;="&amp;A1806))*참고!$D$31:$D$130)/100,0),0)</f>
        <v>0</v>
      </c>
      <c r="L1806" s="31" t="str">
        <f t="shared" si="86"/>
        <v/>
      </c>
      <c r="M1806" s="39"/>
    </row>
    <row r="1807" spans="1:13" ht="18" customHeight="1" x14ac:dyDescent="0.45">
      <c r="A1807" s="37"/>
      <c r="B1807" s="29"/>
      <c r="C1807" s="29"/>
      <c r="D1807" s="28"/>
      <c r="E1807" s="30" t="str">
        <f>IFERROR(VLOOKUP(D1807,KRX종목마스터!$A:$B,2,FALSE),"")</f>
        <v/>
      </c>
      <c r="F1807" s="42"/>
      <c r="G1807" s="42"/>
      <c r="H1807" s="31" t="str">
        <f t="shared" si="84"/>
        <v/>
      </c>
      <c r="I1807" s="43">
        <f ca="1">IFERROR(SUMPRODUCT((참고!$A$31:$A$130=C1807)*(참고!$B$31:$B$130&lt;=A1807)*(참고!$B$31:$B$130=_xludf.MAXIFS(참고!$B$31:$B$130,참고!$A$31:$A$130,C1807,참고!$B$31:$B$130,"&lt;="&amp;A1807))*참고!$C$31:$C$130)/100,0)</f>
        <v>0</v>
      </c>
      <c r="J1807" s="31" t="str">
        <f t="shared" si="85"/>
        <v/>
      </c>
      <c r="K1807" s="43">
        <f>IF(B1807="매도",IFERROR(SUMPRODUCT((참고!$A$31:$A$130=C1807)*(참고!$B$31:$B$130&lt;=A1807)*(참고!$B$31:$B$130=_xludf.MAXIFS(참고!$B$31:$B$130,참고!$A$31:$A$130,C1807,참고!$B$31:$B$130,"&lt;="&amp;A1807))*참고!$D$31:$D$130)/100,0),0)</f>
        <v>0</v>
      </c>
      <c r="L1807" s="31" t="str">
        <f t="shared" si="86"/>
        <v/>
      </c>
      <c r="M1807" s="39"/>
    </row>
    <row r="1808" spans="1:13" ht="18" customHeight="1" x14ac:dyDescent="0.45">
      <c r="A1808" s="37"/>
      <c r="B1808" s="29"/>
      <c r="C1808" s="29"/>
      <c r="D1808" s="28"/>
      <c r="E1808" s="30" t="str">
        <f>IFERROR(VLOOKUP(D1808,KRX종목마스터!$A:$B,2,FALSE),"")</f>
        <v/>
      </c>
      <c r="F1808" s="42"/>
      <c r="G1808" s="42"/>
      <c r="H1808" s="31" t="str">
        <f t="shared" si="84"/>
        <v/>
      </c>
      <c r="I1808" s="43">
        <f ca="1">IFERROR(SUMPRODUCT((참고!$A$31:$A$130=C1808)*(참고!$B$31:$B$130&lt;=A1808)*(참고!$B$31:$B$130=_xludf.MAXIFS(참고!$B$31:$B$130,참고!$A$31:$A$130,C1808,참고!$B$31:$B$130,"&lt;="&amp;A1808))*참고!$C$31:$C$130)/100,0)</f>
        <v>0</v>
      </c>
      <c r="J1808" s="31" t="str">
        <f t="shared" si="85"/>
        <v/>
      </c>
      <c r="K1808" s="43">
        <f>IF(B1808="매도",IFERROR(SUMPRODUCT((참고!$A$31:$A$130=C1808)*(참고!$B$31:$B$130&lt;=A1808)*(참고!$B$31:$B$130=_xludf.MAXIFS(참고!$B$31:$B$130,참고!$A$31:$A$130,C1808,참고!$B$31:$B$130,"&lt;="&amp;A1808))*참고!$D$31:$D$130)/100,0),0)</f>
        <v>0</v>
      </c>
      <c r="L1808" s="31" t="str">
        <f t="shared" si="86"/>
        <v/>
      </c>
      <c r="M1808" s="39"/>
    </row>
    <row r="1809" spans="1:13" ht="18" customHeight="1" x14ac:dyDescent="0.45">
      <c r="A1809" s="37"/>
      <c r="B1809" s="29"/>
      <c r="C1809" s="29"/>
      <c r="D1809" s="28"/>
      <c r="E1809" s="30" t="str">
        <f>IFERROR(VLOOKUP(D1809,KRX종목마스터!$A:$B,2,FALSE),"")</f>
        <v/>
      </c>
      <c r="F1809" s="42"/>
      <c r="G1809" s="42"/>
      <c r="H1809" s="31" t="str">
        <f t="shared" si="84"/>
        <v/>
      </c>
      <c r="I1809" s="43">
        <f ca="1">IFERROR(SUMPRODUCT((참고!$A$31:$A$130=C1809)*(참고!$B$31:$B$130&lt;=A1809)*(참고!$B$31:$B$130=_xludf.MAXIFS(참고!$B$31:$B$130,참고!$A$31:$A$130,C1809,참고!$B$31:$B$130,"&lt;="&amp;A1809))*참고!$C$31:$C$130)/100,0)</f>
        <v>0</v>
      </c>
      <c r="J1809" s="31" t="str">
        <f t="shared" si="85"/>
        <v/>
      </c>
      <c r="K1809" s="43">
        <f>IF(B1809="매도",IFERROR(SUMPRODUCT((참고!$A$31:$A$130=C1809)*(참고!$B$31:$B$130&lt;=A1809)*(참고!$B$31:$B$130=_xludf.MAXIFS(참고!$B$31:$B$130,참고!$A$31:$A$130,C1809,참고!$B$31:$B$130,"&lt;="&amp;A1809))*참고!$D$31:$D$130)/100,0),0)</f>
        <v>0</v>
      </c>
      <c r="L1809" s="31" t="str">
        <f t="shared" si="86"/>
        <v/>
      </c>
      <c r="M1809" s="39"/>
    </row>
    <row r="1810" spans="1:13" ht="18" customHeight="1" x14ac:dyDescent="0.45">
      <c r="A1810" s="37"/>
      <c r="B1810" s="29"/>
      <c r="C1810" s="29"/>
      <c r="D1810" s="28"/>
      <c r="E1810" s="30" t="str">
        <f>IFERROR(VLOOKUP(D1810,KRX종목마스터!$A:$B,2,FALSE),"")</f>
        <v/>
      </c>
      <c r="F1810" s="42"/>
      <c r="G1810" s="42"/>
      <c r="H1810" s="31" t="str">
        <f t="shared" si="84"/>
        <v/>
      </c>
      <c r="I1810" s="43">
        <f ca="1">IFERROR(SUMPRODUCT((참고!$A$31:$A$130=C1810)*(참고!$B$31:$B$130&lt;=A1810)*(참고!$B$31:$B$130=_xludf.MAXIFS(참고!$B$31:$B$130,참고!$A$31:$A$130,C1810,참고!$B$31:$B$130,"&lt;="&amp;A1810))*참고!$C$31:$C$130)/100,0)</f>
        <v>0</v>
      </c>
      <c r="J1810" s="31" t="str">
        <f t="shared" si="85"/>
        <v/>
      </c>
      <c r="K1810" s="43">
        <f>IF(B1810="매도",IFERROR(SUMPRODUCT((참고!$A$31:$A$130=C1810)*(참고!$B$31:$B$130&lt;=A1810)*(참고!$B$31:$B$130=_xludf.MAXIFS(참고!$B$31:$B$130,참고!$A$31:$A$130,C1810,참고!$B$31:$B$130,"&lt;="&amp;A1810))*참고!$D$31:$D$130)/100,0),0)</f>
        <v>0</v>
      </c>
      <c r="L1810" s="31" t="str">
        <f t="shared" si="86"/>
        <v/>
      </c>
      <c r="M1810" s="39"/>
    </row>
    <row r="1811" spans="1:13" ht="18" customHeight="1" x14ac:dyDescent="0.45">
      <c r="A1811" s="37"/>
      <c r="B1811" s="29"/>
      <c r="C1811" s="29"/>
      <c r="D1811" s="28"/>
      <c r="E1811" s="30" t="str">
        <f>IFERROR(VLOOKUP(D1811,KRX종목마스터!$A:$B,2,FALSE),"")</f>
        <v/>
      </c>
      <c r="F1811" s="42"/>
      <c r="G1811" s="42"/>
      <c r="H1811" s="31" t="str">
        <f t="shared" si="84"/>
        <v/>
      </c>
      <c r="I1811" s="43">
        <f ca="1">IFERROR(SUMPRODUCT((참고!$A$31:$A$130=C1811)*(참고!$B$31:$B$130&lt;=A1811)*(참고!$B$31:$B$130=_xludf.MAXIFS(참고!$B$31:$B$130,참고!$A$31:$A$130,C1811,참고!$B$31:$B$130,"&lt;="&amp;A1811))*참고!$C$31:$C$130)/100,0)</f>
        <v>0</v>
      </c>
      <c r="J1811" s="31" t="str">
        <f t="shared" si="85"/>
        <v/>
      </c>
      <c r="K1811" s="43">
        <f>IF(B1811="매도",IFERROR(SUMPRODUCT((참고!$A$31:$A$130=C1811)*(참고!$B$31:$B$130&lt;=A1811)*(참고!$B$31:$B$130=_xludf.MAXIFS(참고!$B$31:$B$130,참고!$A$31:$A$130,C1811,참고!$B$31:$B$130,"&lt;="&amp;A1811))*참고!$D$31:$D$130)/100,0),0)</f>
        <v>0</v>
      </c>
      <c r="L1811" s="31" t="str">
        <f t="shared" si="86"/>
        <v/>
      </c>
      <c r="M1811" s="39"/>
    </row>
    <row r="1812" spans="1:13" ht="18" customHeight="1" x14ac:dyDescent="0.45">
      <c r="A1812" s="37"/>
      <c r="B1812" s="29"/>
      <c r="C1812" s="29"/>
      <c r="D1812" s="28"/>
      <c r="E1812" s="30" t="str">
        <f>IFERROR(VLOOKUP(D1812,KRX종목마스터!$A:$B,2,FALSE),"")</f>
        <v/>
      </c>
      <c r="F1812" s="42"/>
      <c r="G1812" s="42"/>
      <c r="H1812" s="31" t="str">
        <f t="shared" si="84"/>
        <v/>
      </c>
      <c r="I1812" s="43">
        <f ca="1">IFERROR(SUMPRODUCT((참고!$A$31:$A$130=C1812)*(참고!$B$31:$B$130&lt;=A1812)*(참고!$B$31:$B$130=_xludf.MAXIFS(참고!$B$31:$B$130,참고!$A$31:$A$130,C1812,참고!$B$31:$B$130,"&lt;="&amp;A1812))*참고!$C$31:$C$130)/100,0)</f>
        <v>0</v>
      </c>
      <c r="J1812" s="31" t="str">
        <f t="shared" si="85"/>
        <v/>
      </c>
      <c r="K1812" s="43">
        <f>IF(B1812="매도",IFERROR(SUMPRODUCT((참고!$A$31:$A$130=C1812)*(참고!$B$31:$B$130&lt;=A1812)*(참고!$B$31:$B$130=_xludf.MAXIFS(참고!$B$31:$B$130,참고!$A$31:$A$130,C1812,참고!$B$31:$B$130,"&lt;="&amp;A1812))*참고!$D$31:$D$130)/100,0),0)</f>
        <v>0</v>
      </c>
      <c r="L1812" s="31" t="str">
        <f t="shared" si="86"/>
        <v/>
      </c>
      <c r="M1812" s="39"/>
    </row>
    <row r="1813" spans="1:13" ht="18" customHeight="1" x14ac:dyDescent="0.45">
      <c r="A1813" s="37"/>
      <c r="B1813" s="29"/>
      <c r="C1813" s="29"/>
      <c r="D1813" s="28"/>
      <c r="E1813" s="30" t="str">
        <f>IFERROR(VLOOKUP(D1813,KRX종목마스터!$A:$B,2,FALSE),"")</f>
        <v/>
      </c>
      <c r="F1813" s="42"/>
      <c r="G1813" s="42"/>
      <c r="H1813" s="31" t="str">
        <f t="shared" si="84"/>
        <v/>
      </c>
      <c r="I1813" s="43">
        <f ca="1">IFERROR(SUMPRODUCT((참고!$A$31:$A$130=C1813)*(참고!$B$31:$B$130&lt;=A1813)*(참고!$B$31:$B$130=_xludf.MAXIFS(참고!$B$31:$B$130,참고!$A$31:$A$130,C1813,참고!$B$31:$B$130,"&lt;="&amp;A1813))*참고!$C$31:$C$130)/100,0)</f>
        <v>0</v>
      </c>
      <c r="J1813" s="31" t="str">
        <f t="shared" si="85"/>
        <v/>
      </c>
      <c r="K1813" s="43">
        <f>IF(B1813="매도",IFERROR(SUMPRODUCT((참고!$A$31:$A$130=C1813)*(참고!$B$31:$B$130&lt;=A1813)*(참고!$B$31:$B$130=_xludf.MAXIFS(참고!$B$31:$B$130,참고!$A$31:$A$130,C1813,참고!$B$31:$B$130,"&lt;="&amp;A1813))*참고!$D$31:$D$130)/100,0),0)</f>
        <v>0</v>
      </c>
      <c r="L1813" s="31" t="str">
        <f t="shared" si="86"/>
        <v/>
      </c>
      <c r="M1813" s="39"/>
    </row>
    <row r="1814" spans="1:13" ht="18" customHeight="1" x14ac:dyDescent="0.45">
      <c r="A1814" s="37"/>
      <c r="B1814" s="29"/>
      <c r="C1814" s="29"/>
      <c r="D1814" s="28"/>
      <c r="E1814" s="30" t="str">
        <f>IFERROR(VLOOKUP(D1814,KRX종목마스터!$A:$B,2,FALSE),"")</f>
        <v/>
      </c>
      <c r="F1814" s="42"/>
      <c r="G1814" s="42"/>
      <c r="H1814" s="31" t="str">
        <f t="shared" si="84"/>
        <v/>
      </c>
      <c r="I1814" s="43">
        <f ca="1">IFERROR(SUMPRODUCT((참고!$A$31:$A$130=C1814)*(참고!$B$31:$B$130&lt;=A1814)*(참고!$B$31:$B$130=_xludf.MAXIFS(참고!$B$31:$B$130,참고!$A$31:$A$130,C1814,참고!$B$31:$B$130,"&lt;="&amp;A1814))*참고!$C$31:$C$130)/100,0)</f>
        <v>0</v>
      </c>
      <c r="J1814" s="31" t="str">
        <f t="shared" si="85"/>
        <v/>
      </c>
      <c r="K1814" s="43">
        <f>IF(B1814="매도",IFERROR(SUMPRODUCT((참고!$A$31:$A$130=C1814)*(참고!$B$31:$B$130&lt;=A1814)*(참고!$B$31:$B$130=_xludf.MAXIFS(참고!$B$31:$B$130,참고!$A$31:$A$130,C1814,참고!$B$31:$B$130,"&lt;="&amp;A1814))*참고!$D$31:$D$130)/100,0),0)</f>
        <v>0</v>
      </c>
      <c r="L1814" s="31" t="str">
        <f t="shared" si="86"/>
        <v/>
      </c>
      <c r="M1814" s="39"/>
    </row>
    <row r="1815" spans="1:13" ht="18" customHeight="1" x14ac:dyDescent="0.45">
      <c r="A1815" s="37"/>
      <c r="B1815" s="29"/>
      <c r="C1815" s="29"/>
      <c r="D1815" s="28"/>
      <c r="E1815" s="30" t="str">
        <f>IFERROR(VLOOKUP(D1815,KRX종목마스터!$A:$B,2,FALSE),"")</f>
        <v/>
      </c>
      <c r="F1815" s="42"/>
      <c r="G1815" s="42"/>
      <c r="H1815" s="31" t="str">
        <f t="shared" si="84"/>
        <v/>
      </c>
      <c r="I1815" s="43">
        <f ca="1">IFERROR(SUMPRODUCT((참고!$A$31:$A$130=C1815)*(참고!$B$31:$B$130&lt;=A1815)*(참고!$B$31:$B$130=_xludf.MAXIFS(참고!$B$31:$B$130,참고!$A$31:$A$130,C1815,참고!$B$31:$B$130,"&lt;="&amp;A1815))*참고!$C$31:$C$130)/100,0)</f>
        <v>0</v>
      </c>
      <c r="J1815" s="31" t="str">
        <f t="shared" si="85"/>
        <v/>
      </c>
      <c r="K1815" s="43">
        <f>IF(B1815="매도",IFERROR(SUMPRODUCT((참고!$A$31:$A$130=C1815)*(참고!$B$31:$B$130&lt;=A1815)*(참고!$B$31:$B$130=_xludf.MAXIFS(참고!$B$31:$B$130,참고!$A$31:$A$130,C1815,참고!$B$31:$B$130,"&lt;="&amp;A1815))*참고!$D$31:$D$130)/100,0),0)</f>
        <v>0</v>
      </c>
      <c r="L1815" s="31" t="str">
        <f t="shared" si="86"/>
        <v/>
      </c>
      <c r="M1815" s="39"/>
    </row>
    <row r="1816" spans="1:13" ht="18" customHeight="1" x14ac:dyDescent="0.45">
      <c r="A1816" s="37"/>
      <c r="B1816" s="29"/>
      <c r="C1816" s="29"/>
      <c r="D1816" s="28"/>
      <c r="E1816" s="30" t="str">
        <f>IFERROR(VLOOKUP(D1816,KRX종목마스터!$A:$B,2,FALSE),"")</f>
        <v/>
      </c>
      <c r="F1816" s="42"/>
      <c r="G1816" s="42"/>
      <c r="H1816" s="31" t="str">
        <f t="shared" si="84"/>
        <v/>
      </c>
      <c r="I1816" s="43">
        <f ca="1">IFERROR(SUMPRODUCT((참고!$A$31:$A$130=C1816)*(참고!$B$31:$B$130&lt;=A1816)*(참고!$B$31:$B$130=_xludf.MAXIFS(참고!$B$31:$B$130,참고!$A$31:$A$130,C1816,참고!$B$31:$B$130,"&lt;="&amp;A1816))*참고!$C$31:$C$130)/100,0)</f>
        <v>0</v>
      </c>
      <c r="J1816" s="31" t="str">
        <f t="shared" si="85"/>
        <v/>
      </c>
      <c r="K1816" s="43">
        <f>IF(B1816="매도",IFERROR(SUMPRODUCT((참고!$A$31:$A$130=C1816)*(참고!$B$31:$B$130&lt;=A1816)*(참고!$B$31:$B$130=_xludf.MAXIFS(참고!$B$31:$B$130,참고!$A$31:$A$130,C1816,참고!$B$31:$B$130,"&lt;="&amp;A1816))*참고!$D$31:$D$130)/100,0),0)</f>
        <v>0</v>
      </c>
      <c r="L1816" s="31" t="str">
        <f t="shared" si="86"/>
        <v/>
      </c>
      <c r="M1816" s="39"/>
    </row>
    <row r="1817" spans="1:13" ht="18" customHeight="1" x14ac:dyDescent="0.45">
      <c r="A1817" s="37"/>
      <c r="B1817" s="29"/>
      <c r="C1817" s="29"/>
      <c r="D1817" s="28"/>
      <c r="E1817" s="30" t="str">
        <f>IFERROR(VLOOKUP(D1817,KRX종목마스터!$A:$B,2,FALSE),"")</f>
        <v/>
      </c>
      <c r="F1817" s="42"/>
      <c r="G1817" s="42"/>
      <c r="H1817" s="31" t="str">
        <f t="shared" si="84"/>
        <v/>
      </c>
      <c r="I1817" s="43">
        <f ca="1">IFERROR(SUMPRODUCT((참고!$A$31:$A$130=C1817)*(참고!$B$31:$B$130&lt;=A1817)*(참고!$B$31:$B$130=_xludf.MAXIFS(참고!$B$31:$B$130,참고!$A$31:$A$130,C1817,참고!$B$31:$B$130,"&lt;="&amp;A1817))*참고!$C$31:$C$130)/100,0)</f>
        <v>0</v>
      </c>
      <c r="J1817" s="31" t="str">
        <f t="shared" si="85"/>
        <v/>
      </c>
      <c r="K1817" s="43">
        <f>IF(B1817="매도",IFERROR(SUMPRODUCT((참고!$A$31:$A$130=C1817)*(참고!$B$31:$B$130&lt;=A1817)*(참고!$B$31:$B$130=_xludf.MAXIFS(참고!$B$31:$B$130,참고!$A$31:$A$130,C1817,참고!$B$31:$B$130,"&lt;="&amp;A1817))*참고!$D$31:$D$130)/100,0),0)</f>
        <v>0</v>
      </c>
      <c r="L1817" s="31" t="str">
        <f t="shared" si="86"/>
        <v/>
      </c>
      <c r="M1817" s="39"/>
    </row>
    <row r="1818" spans="1:13" ht="18" customHeight="1" x14ac:dyDescent="0.45">
      <c r="A1818" s="37"/>
      <c r="B1818" s="29"/>
      <c r="C1818" s="29"/>
      <c r="D1818" s="28"/>
      <c r="E1818" s="30" t="str">
        <f>IFERROR(VLOOKUP(D1818,KRX종목마스터!$A:$B,2,FALSE),"")</f>
        <v/>
      </c>
      <c r="F1818" s="42"/>
      <c r="G1818" s="42"/>
      <c r="H1818" s="31" t="str">
        <f t="shared" si="84"/>
        <v/>
      </c>
      <c r="I1818" s="43">
        <f ca="1">IFERROR(SUMPRODUCT((참고!$A$31:$A$130=C1818)*(참고!$B$31:$B$130&lt;=A1818)*(참고!$B$31:$B$130=_xludf.MAXIFS(참고!$B$31:$B$130,참고!$A$31:$A$130,C1818,참고!$B$31:$B$130,"&lt;="&amp;A1818))*참고!$C$31:$C$130)/100,0)</f>
        <v>0</v>
      </c>
      <c r="J1818" s="31" t="str">
        <f t="shared" si="85"/>
        <v/>
      </c>
      <c r="K1818" s="43">
        <f>IF(B1818="매도",IFERROR(SUMPRODUCT((참고!$A$31:$A$130=C1818)*(참고!$B$31:$B$130&lt;=A1818)*(참고!$B$31:$B$130=_xludf.MAXIFS(참고!$B$31:$B$130,참고!$A$31:$A$130,C1818,참고!$B$31:$B$130,"&lt;="&amp;A1818))*참고!$D$31:$D$130)/100,0),0)</f>
        <v>0</v>
      </c>
      <c r="L1818" s="31" t="str">
        <f t="shared" si="86"/>
        <v/>
      </c>
      <c r="M1818" s="39"/>
    </row>
    <row r="1819" spans="1:13" ht="18" customHeight="1" x14ac:dyDescent="0.45">
      <c r="A1819" s="37"/>
      <c r="B1819" s="29"/>
      <c r="C1819" s="29"/>
      <c r="D1819" s="28"/>
      <c r="E1819" s="30" t="str">
        <f>IFERROR(VLOOKUP(D1819,KRX종목마스터!$A:$B,2,FALSE),"")</f>
        <v/>
      </c>
      <c r="F1819" s="42"/>
      <c r="G1819" s="42"/>
      <c r="H1819" s="31" t="str">
        <f t="shared" si="84"/>
        <v/>
      </c>
      <c r="I1819" s="43">
        <f ca="1">IFERROR(SUMPRODUCT((참고!$A$31:$A$130=C1819)*(참고!$B$31:$B$130&lt;=A1819)*(참고!$B$31:$B$130=_xludf.MAXIFS(참고!$B$31:$B$130,참고!$A$31:$A$130,C1819,참고!$B$31:$B$130,"&lt;="&amp;A1819))*참고!$C$31:$C$130)/100,0)</f>
        <v>0</v>
      </c>
      <c r="J1819" s="31" t="str">
        <f t="shared" si="85"/>
        <v/>
      </c>
      <c r="K1819" s="43">
        <f>IF(B1819="매도",IFERROR(SUMPRODUCT((참고!$A$31:$A$130=C1819)*(참고!$B$31:$B$130&lt;=A1819)*(참고!$B$31:$B$130=_xludf.MAXIFS(참고!$B$31:$B$130,참고!$A$31:$A$130,C1819,참고!$B$31:$B$130,"&lt;="&amp;A1819))*참고!$D$31:$D$130)/100,0),0)</f>
        <v>0</v>
      </c>
      <c r="L1819" s="31" t="str">
        <f t="shared" si="86"/>
        <v/>
      </c>
      <c r="M1819" s="39"/>
    </row>
    <row r="1820" spans="1:13" ht="18" customHeight="1" x14ac:dyDescent="0.45">
      <c r="A1820" s="37"/>
      <c r="B1820" s="29"/>
      <c r="C1820" s="29"/>
      <c r="D1820" s="28"/>
      <c r="E1820" s="30" t="str">
        <f>IFERROR(VLOOKUP(D1820,KRX종목마스터!$A:$B,2,FALSE),"")</f>
        <v/>
      </c>
      <c r="F1820" s="42"/>
      <c r="G1820" s="42"/>
      <c r="H1820" s="31" t="str">
        <f t="shared" si="84"/>
        <v/>
      </c>
      <c r="I1820" s="43">
        <f ca="1">IFERROR(SUMPRODUCT((참고!$A$31:$A$130=C1820)*(참고!$B$31:$B$130&lt;=A1820)*(참고!$B$31:$B$130=_xludf.MAXIFS(참고!$B$31:$B$130,참고!$A$31:$A$130,C1820,참고!$B$31:$B$130,"&lt;="&amp;A1820))*참고!$C$31:$C$130)/100,0)</f>
        <v>0</v>
      </c>
      <c r="J1820" s="31" t="str">
        <f t="shared" si="85"/>
        <v/>
      </c>
      <c r="K1820" s="43">
        <f>IF(B1820="매도",IFERROR(SUMPRODUCT((참고!$A$31:$A$130=C1820)*(참고!$B$31:$B$130&lt;=A1820)*(참고!$B$31:$B$130=_xludf.MAXIFS(참고!$B$31:$B$130,참고!$A$31:$A$130,C1820,참고!$B$31:$B$130,"&lt;="&amp;A1820))*참고!$D$31:$D$130)/100,0),0)</f>
        <v>0</v>
      </c>
      <c r="L1820" s="31" t="str">
        <f t="shared" si="86"/>
        <v/>
      </c>
      <c r="M1820" s="39"/>
    </row>
    <row r="1821" spans="1:13" ht="18" customHeight="1" x14ac:dyDescent="0.45">
      <c r="A1821" s="37"/>
      <c r="B1821" s="29"/>
      <c r="C1821" s="29"/>
      <c r="D1821" s="28"/>
      <c r="E1821" s="30" t="str">
        <f>IFERROR(VLOOKUP(D1821,KRX종목마스터!$A:$B,2,FALSE),"")</f>
        <v/>
      </c>
      <c r="F1821" s="42"/>
      <c r="G1821" s="42"/>
      <c r="H1821" s="31" t="str">
        <f t="shared" si="84"/>
        <v/>
      </c>
      <c r="I1821" s="43">
        <f ca="1">IFERROR(SUMPRODUCT((참고!$A$31:$A$130=C1821)*(참고!$B$31:$B$130&lt;=A1821)*(참고!$B$31:$B$130=_xludf.MAXIFS(참고!$B$31:$B$130,참고!$A$31:$A$130,C1821,참고!$B$31:$B$130,"&lt;="&amp;A1821))*참고!$C$31:$C$130)/100,0)</f>
        <v>0</v>
      </c>
      <c r="J1821" s="31" t="str">
        <f t="shared" si="85"/>
        <v/>
      </c>
      <c r="K1821" s="43">
        <f>IF(B1821="매도",IFERROR(SUMPRODUCT((참고!$A$31:$A$130=C1821)*(참고!$B$31:$B$130&lt;=A1821)*(참고!$B$31:$B$130=_xludf.MAXIFS(참고!$B$31:$B$130,참고!$A$31:$A$130,C1821,참고!$B$31:$B$130,"&lt;="&amp;A1821))*참고!$D$31:$D$130)/100,0),0)</f>
        <v>0</v>
      </c>
      <c r="L1821" s="31" t="str">
        <f t="shared" si="86"/>
        <v/>
      </c>
      <c r="M1821" s="39"/>
    </row>
    <row r="1822" spans="1:13" ht="18" customHeight="1" x14ac:dyDescent="0.45">
      <c r="A1822" s="37"/>
      <c r="B1822" s="29"/>
      <c r="C1822" s="29"/>
      <c r="D1822" s="28"/>
      <c r="E1822" s="30" t="str">
        <f>IFERROR(VLOOKUP(D1822,KRX종목마스터!$A:$B,2,FALSE),"")</f>
        <v/>
      </c>
      <c r="F1822" s="42"/>
      <c r="G1822" s="42"/>
      <c r="H1822" s="31" t="str">
        <f t="shared" si="84"/>
        <v/>
      </c>
      <c r="I1822" s="43">
        <f ca="1">IFERROR(SUMPRODUCT((참고!$A$31:$A$130=C1822)*(참고!$B$31:$B$130&lt;=A1822)*(참고!$B$31:$B$130=_xludf.MAXIFS(참고!$B$31:$B$130,참고!$A$31:$A$130,C1822,참고!$B$31:$B$130,"&lt;="&amp;A1822))*참고!$C$31:$C$130)/100,0)</f>
        <v>0</v>
      </c>
      <c r="J1822" s="31" t="str">
        <f t="shared" si="85"/>
        <v/>
      </c>
      <c r="K1822" s="43">
        <f>IF(B1822="매도",IFERROR(SUMPRODUCT((참고!$A$31:$A$130=C1822)*(참고!$B$31:$B$130&lt;=A1822)*(참고!$B$31:$B$130=_xludf.MAXIFS(참고!$B$31:$B$130,참고!$A$31:$A$130,C1822,참고!$B$31:$B$130,"&lt;="&amp;A1822))*참고!$D$31:$D$130)/100,0),0)</f>
        <v>0</v>
      </c>
      <c r="L1822" s="31" t="str">
        <f t="shared" si="86"/>
        <v/>
      </c>
      <c r="M1822" s="39"/>
    </row>
    <row r="1823" spans="1:13" ht="18" customHeight="1" x14ac:dyDescent="0.45">
      <c r="A1823" s="37"/>
      <c r="B1823" s="29"/>
      <c r="C1823" s="29"/>
      <c r="D1823" s="28"/>
      <c r="E1823" s="30" t="str">
        <f>IFERROR(VLOOKUP(D1823,KRX종목마스터!$A:$B,2,FALSE),"")</f>
        <v/>
      </c>
      <c r="F1823" s="42"/>
      <c r="G1823" s="42"/>
      <c r="H1823" s="31" t="str">
        <f t="shared" si="84"/>
        <v/>
      </c>
      <c r="I1823" s="43">
        <f ca="1">IFERROR(SUMPRODUCT((참고!$A$31:$A$130=C1823)*(참고!$B$31:$B$130&lt;=A1823)*(참고!$B$31:$B$130=_xludf.MAXIFS(참고!$B$31:$B$130,참고!$A$31:$A$130,C1823,참고!$B$31:$B$130,"&lt;="&amp;A1823))*참고!$C$31:$C$130)/100,0)</f>
        <v>0</v>
      </c>
      <c r="J1823" s="31" t="str">
        <f t="shared" si="85"/>
        <v/>
      </c>
      <c r="K1823" s="43">
        <f>IF(B1823="매도",IFERROR(SUMPRODUCT((참고!$A$31:$A$130=C1823)*(참고!$B$31:$B$130&lt;=A1823)*(참고!$B$31:$B$130=_xludf.MAXIFS(참고!$B$31:$B$130,참고!$A$31:$A$130,C1823,참고!$B$31:$B$130,"&lt;="&amp;A1823))*참고!$D$31:$D$130)/100,0),0)</f>
        <v>0</v>
      </c>
      <c r="L1823" s="31" t="str">
        <f t="shared" si="86"/>
        <v/>
      </c>
      <c r="M1823" s="39"/>
    </row>
    <row r="1824" spans="1:13" ht="18" customHeight="1" x14ac:dyDescent="0.45">
      <c r="A1824" s="37"/>
      <c r="B1824" s="29"/>
      <c r="C1824" s="29"/>
      <c r="D1824" s="28"/>
      <c r="E1824" s="30" t="str">
        <f>IFERROR(VLOOKUP(D1824,KRX종목마스터!$A:$B,2,FALSE),"")</f>
        <v/>
      </c>
      <c r="F1824" s="42"/>
      <c r="G1824" s="42"/>
      <c r="H1824" s="31" t="str">
        <f t="shared" si="84"/>
        <v/>
      </c>
      <c r="I1824" s="43">
        <f ca="1">IFERROR(SUMPRODUCT((참고!$A$31:$A$130=C1824)*(참고!$B$31:$B$130&lt;=A1824)*(참고!$B$31:$B$130=_xludf.MAXIFS(참고!$B$31:$B$130,참고!$A$31:$A$130,C1824,참고!$B$31:$B$130,"&lt;="&amp;A1824))*참고!$C$31:$C$130)/100,0)</f>
        <v>0</v>
      </c>
      <c r="J1824" s="31" t="str">
        <f t="shared" si="85"/>
        <v/>
      </c>
      <c r="K1824" s="43">
        <f>IF(B1824="매도",IFERROR(SUMPRODUCT((참고!$A$31:$A$130=C1824)*(참고!$B$31:$B$130&lt;=A1824)*(참고!$B$31:$B$130=_xludf.MAXIFS(참고!$B$31:$B$130,참고!$A$31:$A$130,C1824,참고!$B$31:$B$130,"&lt;="&amp;A1824))*참고!$D$31:$D$130)/100,0),0)</f>
        <v>0</v>
      </c>
      <c r="L1824" s="31" t="str">
        <f t="shared" si="86"/>
        <v/>
      </c>
      <c r="M1824" s="39"/>
    </row>
    <row r="1825" spans="1:13" ht="18" customHeight="1" x14ac:dyDescent="0.45">
      <c r="A1825" s="37"/>
      <c r="B1825" s="29"/>
      <c r="C1825" s="29"/>
      <c r="D1825" s="28"/>
      <c r="E1825" s="30" t="str">
        <f>IFERROR(VLOOKUP(D1825,KRX종목마스터!$A:$B,2,FALSE),"")</f>
        <v/>
      </c>
      <c r="F1825" s="42"/>
      <c r="G1825" s="42"/>
      <c r="H1825" s="31" t="str">
        <f t="shared" si="84"/>
        <v/>
      </c>
      <c r="I1825" s="43">
        <f ca="1">IFERROR(SUMPRODUCT((참고!$A$31:$A$130=C1825)*(참고!$B$31:$B$130&lt;=A1825)*(참고!$B$31:$B$130=_xludf.MAXIFS(참고!$B$31:$B$130,참고!$A$31:$A$130,C1825,참고!$B$31:$B$130,"&lt;="&amp;A1825))*참고!$C$31:$C$130)/100,0)</f>
        <v>0</v>
      </c>
      <c r="J1825" s="31" t="str">
        <f t="shared" si="85"/>
        <v/>
      </c>
      <c r="K1825" s="43">
        <f>IF(B1825="매도",IFERROR(SUMPRODUCT((참고!$A$31:$A$130=C1825)*(참고!$B$31:$B$130&lt;=A1825)*(참고!$B$31:$B$130=_xludf.MAXIFS(참고!$B$31:$B$130,참고!$A$31:$A$130,C1825,참고!$B$31:$B$130,"&lt;="&amp;A1825))*참고!$D$31:$D$130)/100,0),0)</f>
        <v>0</v>
      </c>
      <c r="L1825" s="31" t="str">
        <f t="shared" si="86"/>
        <v/>
      </c>
      <c r="M1825" s="39"/>
    </row>
    <row r="1826" spans="1:13" ht="18" customHeight="1" x14ac:dyDescent="0.45">
      <c r="A1826" s="37"/>
      <c r="B1826" s="29"/>
      <c r="C1826" s="29"/>
      <c r="D1826" s="28"/>
      <c r="E1826" s="30" t="str">
        <f>IFERROR(VLOOKUP(D1826,KRX종목마스터!$A:$B,2,FALSE),"")</f>
        <v/>
      </c>
      <c r="F1826" s="42"/>
      <c r="G1826" s="42"/>
      <c r="H1826" s="31" t="str">
        <f t="shared" si="84"/>
        <v/>
      </c>
      <c r="I1826" s="43">
        <f ca="1">IFERROR(SUMPRODUCT((참고!$A$31:$A$130=C1826)*(참고!$B$31:$B$130&lt;=A1826)*(참고!$B$31:$B$130=_xludf.MAXIFS(참고!$B$31:$B$130,참고!$A$31:$A$130,C1826,참고!$B$31:$B$130,"&lt;="&amp;A1826))*참고!$C$31:$C$130)/100,0)</f>
        <v>0</v>
      </c>
      <c r="J1826" s="31" t="str">
        <f t="shared" si="85"/>
        <v/>
      </c>
      <c r="K1826" s="43">
        <f>IF(B1826="매도",IFERROR(SUMPRODUCT((참고!$A$31:$A$130=C1826)*(참고!$B$31:$B$130&lt;=A1826)*(참고!$B$31:$B$130=_xludf.MAXIFS(참고!$B$31:$B$130,참고!$A$31:$A$130,C1826,참고!$B$31:$B$130,"&lt;="&amp;A1826))*참고!$D$31:$D$130)/100,0),0)</f>
        <v>0</v>
      </c>
      <c r="L1826" s="31" t="str">
        <f t="shared" si="86"/>
        <v/>
      </c>
      <c r="M1826" s="39"/>
    </row>
    <row r="1827" spans="1:13" ht="18" customHeight="1" x14ac:dyDescent="0.45">
      <c r="A1827" s="37"/>
      <c r="B1827" s="29"/>
      <c r="C1827" s="29"/>
      <c r="D1827" s="28"/>
      <c r="E1827" s="30" t="str">
        <f>IFERROR(VLOOKUP(D1827,KRX종목마스터!$A:$B,2,FALSE),"")</f>
        <v/>
      </c>
      <c r="F1827" s="42"/>
      <c r="G1827" s="42"/>
      <c r="H1827" s="31" t="str">
        <f t="shared" si="84"/>
        <v/>
      </c>
      <c r="I1827" s="43">
        <f ca="1">IFERROR(SUMPRODUCT((참고!$A$31:$A$130=C1827)*(참고!$B$31:$B$130&lt;=A1827)*(참고!$B$31:$B$130=_xludf.MAXIFS(참고!$B$31:$B$130,참고!$A$31:$A$130,C1827,참고!$B$31:$B$130,"&lt;="&amp;A1827))*참고!$C$31:$C$130)/100,0)</f>
        <v>0</v>
      </c>
      <c r="J1827" s="31" t="str">
        <f t="shared" si="85"/>
        <v/>
      </c>
      <c r="K1827" s="43">
        <f>IF(B1827="매도",IFERROR(SUMPRODUCT((참고!$A$31:$A$130=C1827)*(참고!$B$31:$B$130&lt;=A1827)*(참고!$B$31:$B$130=_xludf.MAXIFS(참고!$B$31:$B$130,참고!$A$31:$A$130,C1827,참고!$B$31:$B$130,"&lt;="&amp;A1827))*참고!$D$31:$D$130)/100,0),0)</f>
        <v>0</v>
      </c>
      <c r="L1827" s="31" t="str">
        <f t="shared" si="86"/>
        <v/>
      </c>
      <c r="M1827" s="39"/>
    </row>
    <row r="1828" spans="1:13" ht="18" customHeight="1" x14ac:dyDescent="0.45">
      <c r="A1828" s="37"/>
      <c r="B1828" s="29"/>
      <c r="C1828" s="29"/>
      <c r="D1828" s="28"/>
      <c r="E1828" s="30" t="str">
        <f>IFERROR(VLOOKUP(D1828,KRX종목마스터!$A:$B,2,FALSE),"")</f>
        <v/>
      </c>
      <c r="F1828" s="42"/>
      <c r="G1828" s="42"/>
      <c r="H1828" s="31" t="str">
        <f t="shared" si="84"/>
        <v/>
      </c>
      <c r="I1828" s="43">
        <f ca="1">IFERROR(SUMPRODUCT((참고!$A$31:$A$130=C1828)*(참고!$B$31:$B$130&lt;=A1828)*(참고!$B$31:$B$130=_xludf.MAXIFS(참고!$B$31:$B$130,참고!$A$31:$A$130,C1828,참고!$B$31:$B$130,"&lt;="&amp;A1828))*참고!$C$31:$C$130)/100,0)</f>
        <v>0</v>
      </c>
      <c r="J1828" s="31" t="str">
        <f t="shared" si="85"/>
        <v/>
      </c>
      <c r="K1828" s="43">
        <f>IF(B1828="매도",IFERROR(SUMPRODUCT((참고!$A$31:$A$130=C1828)*(참고!$B$31:$B$130&lt;=A1828)*(참고!$B$31:$B$130=_xludf.MAXIFS(참고!$B$31:$B$130,참고!$A$31:$A$130,C1828,참고!$B$31:$B$130,"&lt;="&amp;A1828))*참고!$D$31:$D$130)/100,0),0)</f>
        <v>0</v>
      </c>
      <c r="L1828" s="31" t="str">
        <f t="shared" si="86"/>
        <v/>
      </c>
      <c r="M1828" s="39"/>
    </row>
    <row r="1829" spans="1:13" ht="18" customHeight="1" x14ac:dyDescent="0.45">
      <c r="A1829" s="37"/>
      <c r="B1829" s="29"/>
      <c r="C1829" s="29"/>
      <c r="D1829" s="28"/>
      <c r="E1829" s="30" t="str">
        <f>IFERROR(VLOOKUP(D1829,KRX종목마스터!$A:$B,2,FALSE),"")</f>
        <v/>
      </c>
      <c r="F1829" s="42"/>
      <c r="G1829" s="42"/>
      <c r="H1829" s="31" t="str">
        <f t="shared" si="84"/>
        <v/>
      </c>
      <c r="I1829" s="43">
        <f ca="1">IFERROR(SUMPRODUCT((참고!$A$31:$A$130=C1829)*(참고!$B$31:$B$130&lt;=A1829)*(참고!$B$31:$B$130=_xludf.MAXIFS(참고!$B$31:$B$130,참고!$A$31:$A$130,C1829,참고!$B$31:$B$130,"&lt;="&amp;A1829))*참고!$C$31:$C$130)/100,0)</f>
        <v>0</v>
      </c>
      <c r="J1829" s="31" t="str">
        <f t="shared" si="85"/>
        <v/>
      </c>
      <c r="K1829" s="43">
        <f>IF(B1829="매도",IFERROR(SUMPRODUCT((참고!$A$31:$A$130=C1829)*(참고!$B$31:$B$130&lt;=A1829)*(참고!$B$31:$B$130=_xludf.MAXIFS(참고!$B$31:$B$130,참고!$A$31:$A$130,C1829,참고!$B$31:$B$130,"&lt;="&amp;A1829))*참고!$D$31:$D$130)/100,0),0)</f>
        <v>0</v>
      </c>
      <c r="L1829" s="31" t="str">
        <f t="shared" si="86"/>
        <v/>
      </c>
      <c r="M1829" s="39"/>
    </row>
    <row r="1830" spans="1:13" ht="18" customHeight="1" x14ac:dyDescent="0.45">
      <c r="A1830" s="37"/>
      <c r="B1830" s="29"/>
      <c r="C1830" s="29"/>
      <c r="D1830" s="28"/>
      <c r="E1830" s="30" t="str">
        <f>IFERROR(VLOOKUP(D1830,KRX종목마스터!$A:$B,2,FALSE),"")</f>
        <v/>
      </c>
      <c r="F1830" s="42"/>
      <c r="G1830" s="42"/>
      <c r="H1830" s="31" t="str">
        <f t="shared" si="84"/>
        <v/>
      </c>
      <c r="I1830" s="43">
        <f ca="1">IFERROR(SUMPRODUCT((참고!$A$31:$A$130=C1830)*(참고!$B$31:$B$130&lt;=A1830)*(참고!$B$31:$B$130=_xludf.MAXIFS(참고!$B$31:$B$130,참고!$A$31:$A$130,C1830,참고!$B$31:$B$130,"&lt;="&amp;A1830))*참고!$C$31:$C$130)/100,0)</f>
        <v>0</v>
      </c>
      <c r="J1830" s="31" t="str">
        <f t="shared" si="85"/>
        <v/>
      </c>
      <c r="K1830" s="43">
        <f>IF(B1830="매도",IFERROR(SUMPRODUCT((참고!$A$31:$A$130=C1830)*(참고!$B$31:$B$130&lt;=A1830)*(참고!$B$31:$B$130=_xludf.MAXIFS(참고!$B$31:$B$130,참고!$A$31:$A$130,C1830,참고!$B$31:$B$130,"&lt;="&amp;A1830))*참고!$D$31:$D$130)/100,0),0)</f>
        <v>0</v>
      </c>
      <c r="L1830" s="31" t="str">
        <f t="shared" si="86"/>
        <v/>
      </c>
      <c r="M1830" s="39"/>
    </row>
    <row r="1831" spans="1:13" ht="18" customHeight="1" x14ac:dyDescent="0.45">
      <c r="A1831" s="37"/>
      <c r="B1831" s="29"/>
      <c r="C1831" s="29"/>
      <c r="D1831" s="28"/>
      <c r="E1831" s="30" t="str">
        <f>IFERROR(VLOOKUP(D1831,KRX종목마스터!$A:$B,2,FALSE),"")</f>
        <v/>
      </c>
      <c r="F1831" s="42"/>
      <c r="G1831" s="42"/>
      <c r="H1831" s="31" t="str">
        <f t="shared" si="84"/>
        <v/>
      </c>
      <c r="I1831" s="43">
        <f ca="1">IFERROR(SUMPRODUCT((참고!$A$31:$A$130=C1831)*(참고!$B$31:$B$130&lt;=A1831)*(참고!$B$31:$B$130=_xludf.MAXIFS(참고!$B$31:$B$130,참고!$A$31:$A$130,C1831,참고!$B$31:$B$130,"&lt;="&amp;A1831))*참고!$C$31:$C$130)/100,0)</f>
        <v>0</v>
      </c>
      <c r="J1831" s="31" t="str">
        <f t="shared" si="85"/>
        <v/>
      </c>
      <c r="K1831" s="43">
        <f>IF(B1831="매도",IFERROR(SUMPRODUCT((참고!$A$31:$A$130=C1831)*(참고!$B$31:$B$130&lt;=A1831)*(참고!$B$31:$B$130=_xludf.MAXIFS(참고!$B$31:$B$130,참고!$A$31:$A$130,C1831,참고!$B$31:$B$130,"&lt;="&amp;A1831))*참고!$D$31:$D$130)/100,0),0)</f>
        <v>0</v>
      </c>
      <c r="L1831" s="31" t="str">
        <f t="shared" si="86"/>
        <v/>
      </c>
      <c r="M1831" s="39"/>
    </row>
    <row r="1832" spans="1:13" ht="18" customHeight="1" x14ac:dyDescent="0.45">
      <c r="A1832" s="37"/>
      <c r="B1832" s="29"/>
      <c r="C1832" s="29"/>
      <c r="D1832" s="28"/>
      <c r="E1832" s="30" t="str">
        <f>IFERROR(VLOOKUP(D1832,KRX종목마스터!$A:$B,2,FALSE),"")</f>
        <v/>
      </c>
      <c r="F1832" s="42"/>
      <c r="G1832" s="42"/>
      <c r="H1832" s="31" t="str">
        <f t="shared" si="84"/>
        <v/>
      </c>
      <c r="I1832" s="43">
        <f ca="1">IFERROR(SUMPRODUCT((참고!$A$31:$A$130=C1832)*(참고!$B$31:$B$130&lt;=A1832)*(참고!$B$31:$B$130=_xludf.MAXIFS(참고!$B$31:$B$130,참고!$A$31:$A$130,C1832,참고!$B$31:$B$130,"&lt;="&amp;A1832))*참고!$C$31:$C$130)/100,0)</f>
        <v>0</v>
      </c>
      <c r="J1832" s="31" t="str">
        <f t="shared" si="85"/>
        <v/>
      </c>
      <c r="K1832" s="43">
        <f>IF(B1832="매도",IFERROR(SUMPRODUCT((참고!$A$31:$A$130=C1832)*(참고!$B$31:$B$130&lt;=A1832)*(참고!$B$31:$B$130=_xludf.MAXIFS(참고!$B$31:$B$130,참고!$A$31:$A$130,C1832,참고!$B$31:$B$130,"&lt;="&amp;A1832))*참고!$D$31:$D$130)/100,0),0)</f>
        <v>0</v>
      </c>
      <c r="L1832" s="31" t="str">
        <f t="shared" si="86"/>
        <v/>
      </c>
      <c r="M1832" s="39"/>
    </row>
    <row r="1833" spans="1:13" ht="18" customHeight="1" x14ac:dyDescent="0.45">
      <c r="A1833" s="37"/>
      <c r="B1833" s="29"/>
      <c r="C1833" s="29"/>
      <c r="D1833" s="28"/>
      <c r="E1833" s="30" t="str">
        <f>IFERROR(VLOOKUP(D1833,KRX종목마스터!$A:$B,2,FALSE),"")</f>
        <v/>
      </c>
      <c r="F1833" s="42"/>
      <c r="G1833" s="42"/>
      <c r="H1833" s="31" t="str">
        <f t="shared" si="84"/>
        <v/>
      </c>
      <c r="I1833" s="43">
        <f ca="1">IFERROR(SUMPRODUCT((참고!$A$31:$A$130=C1833)*(참고!$B$31:$B$130&lt;=A1833)*(참고!$B$31:$B$130=_xludf.MAXIFS(참고!$B$31:$B$130,참고!$A$31:$A$130,C1833,참고!$B$31:$B$130,"&lt;="&amp;A1833))*참고!$C$31:$C$130)/100,0)</f>
        <v>0</v>
      </c>
      <c r="J1833" s="31" t="str">
        <f t="shared" si="85"/>
        <v/>
      </c>
      <c r="K1833" s="43">
        <f>IF(B1833="매도",IFERROR(SUMPRODUCT((참고!$A$31:$A$130=C1833)*(참고!$B$31:$B$130&lt;=A1833)*(참고!$B$31:$B$130=_xludf.MAXIFS(참고!$B$31:$B$130,참고!$A$31:$A$130,C1833,참고!$B$31:$B$130,"&lt;="&amp;A1833))*참고!$D$31:$D$130)/100,0),0)</f>
        <v>0</v>
      </c>
      <c r="L1833" s="31" t="str">
        <f t="shared" si="86"/>
        <v/>
      </c>
      <c r="M1833" s="39"/>
    </row>
    <row r="1834" spans="1:13" ht="18" customHeight="1" x14ac:dyDescent="0.45">
      <c r="A1834" s="37"/>
      <c r="B1834" s="29"/>
      <c r="C1834" s="29"/>
      <c r="D1834" s="28"/>
      <c r="E1834" s="30" t="str">
        <f>IFERROR(VLOOKUP(D1834,KRX종목마스터!$A:$B,2,FALSE),"")</f>
        <v/>
      </c>
      <c r="F1834" s="42"/>
      <c r="G1834" s="42"/>
      <c r="H1834" s="31" t="str">
        <f t="shared" si="84"/>
        <v/>
      </c>
      <c r="I1834" s="43">
        <f ca="1">IFERROR(SUMPRODUCT((참고!$A$31:$A$130=C1834)*(참고!$B$31:$B$130&lt;=A1834)*(참고!$B$31:$B$130=_xludf.MAXIFS(참고!$B$31:$B$130,참고!$A$31:$A$130,C1834,참고!$B$31:$B$130,"&lt;="&amp;A1834))*참고!$C$31:$C$130)/100,0)</f>
        <v>0</v>
      </c>
      <c r="J1834" s="31" t="str">
        <f t="shared" si="85"/>
        <v/>
      </c>
      <c r="K1834" s="43">
        <f>IF(B1834="매도",IFERROR(SUMPRODUCT((참고!$A$31:$A$130=C1834)*(참고!$B$31:$B$130&lt;=A1834)*(참고!$B$31:$B$130=_xludf.MAXIFS(참고!$B$31:$B$130,참고!$A$31:$A$130,C1834,참고!$B$31:$B$130,"&lt;="&amp;A1834))*참고!$D$31:$D$130)/100,0),0)</f>
        <v>0</v>
      </c>
      <c r="L1834" s="31" t="str">
        <f t="shared" si="86"/>
        <v/>
      </c>
      <c r="M1834" s="39"/>
    </row>
    <row r="1835" spans="1:13" ht="18" customHeight="1" x14ac:dyDescent="0.45">
      <c r="A1835" s="37"/>
      <c r="B1835" s="29"/>
      <c r="C1835" s="29"/>
      <c r="D1835" s="28"/>
      <c r="E1835" s="30" t="str">
        <f>IFERROR(VLOOKUP(D1835,KRX종목마스터!$A:$B,2,FALSE),"")</f>
        <v/>
      </c>
      <c r="F1835" s="42"/>
      <c r="G1835" s="42"/>
      <c r="H1835" s="31" t="str">
        <f t="shared" si="84"/>
        <v/>
      </c>
      <c r="I1835" s="43">
        <f ca="1">IFERROR(SUMPRODUCT((참고!$A$31:$A$130=C1835)*(참고!$B$31:$B$130&lt;=A1835)*(참고!$B$31:$B$130=_xludf.MAXIFS(참고!$B$31:$B$130,참고!$A$31:$A$130,C1835,참고!$B$31:$B$130,"&lt;="&amp;A1835))*참고!$C$31:$C$130)/100,0)</f>
        <v>0</v>
      </c>
      <c r="J1835" s="31" t="str">
        <f t="shared" si="85"/>
        <v/>
      </c>
      <c r="K1835" s="43">
        <f>IF(B1835="매도",IFERROR(SUMPRODUCT((참고!$A$31:$A$130=C1835)*(참고!$B$31:$B$130&lt;=A1835)*(참고!$B$31:$B$130=_xludf.MAXIFS(참고!$B$31:$B$130,참고!$A$31:$A$130,C1835,참고!$B$31:$B$130,"&lt;="&amp;A1835))*참고!$D$31:$D$130)/100,0),0)</f>
        <v>0</v>
      </c>
      <c r="L1835" s="31" t="str">
        <f t="shared" si="86"/>
        <v/>
      </c>
      <c r="M1835" s="39"/>
    </row>
    <row r="1836" spans="1:13" ht="18" customHeight="1" x14ac:dyDescent="0.45">
      <c r="A1836" s="37"/>
      <c r="B1836" s="29"/>
      <c r="C1836" s="29"/>
      <c r="D1836" s="28"/>
      <c r="E1836" s="30" t="str">
        <f>IFERROR(VLOOKUP(D1836,KRX종목마스터!$A:$B,2,FALSE),"")</f>
        <v/>
      </c>
      <c r="F1836" s="42"/>
      <c r="G1836" s="42"/>
      <c r="H1836" s="31" t="str">
        <f t="shared" si="84"/>
        <v/>
      </c>
      <c r="I1836" s="43">
        <f ca="1">IFERROR(SUMPRODUCT((참고!$A$31:$A$130=C1836)*(참고!$B$31:$B$130&lt;=A1836)*(참고!$B$31:$B$130=_xludf.MAXIFS(참고!$B$31:$B$130,참고!$A$31:$A$130,C1836,참고!$B$31:$B$130,"&lt;="&amp;A1836))*참고!$C$31:$C$130)/100,0)</f>
        <v>0</v>
      </c>
      <c r="J1836" s="31" t="str">
        <f t="shared" si="85"/>
        <v/>
      </c>
      <c r="K1836" s="43">
        <f>IF(B1836="매도",IFERROR(SUMPRODUCT((참고!$A$31:$A$130=C1836)*(참고!$B$31:$B$130&lt;=A1836)*(참고!$B$31:$B$130=_xludf.MAXIFS(참고!$B$31:$B$130,참고!$A$31:$A$130,C1836,참고!$B$31:$B$130,"&lt;="&amp;A1836))*참고!$D$31:$D$130)/100,0),0)</f>
        <v>0</v>
      </c>
      <c r="L1836" s="31" t="str">
        <f t="shared" si="86"/>
        <v/>
      </c>
      <c r="M1836" s="39"/>
    </row>
    <row r="1837" spans="1:13" ht="18" customHeight="1" x14ac:dyDescent="0.45">
      <c r="A1837" s="37"/>
      <c r="B1837" s="29"/>
      <c r="C1837" s="29"/>
      <c r="D1837" s="28"/>
      <c r="E1837" s="30" t="str">
        <f>IFERROR(VLOOKUP(D1837,KRX종목마스터!$A:$B,2,FALSE),"")</f>
        <v/>
      </c>
      <c r="F1837" s="42"/>
      <c r="G1837" s="42"/>
      <c r="H1837" s="31" t="str">
        <f t="shared" si="84"/>
        <v/>
      </c>
      <c r="I1837" s="43">
        <f ca="1">IFERROR(SUMPRODUCT((참고!$A$31:$A$130=C1837)*(참고!$B$31:$B$130&lt;=A1837)*(참고!$B$31:$B$130=_xludf.MAXIFS(참고!$B$31:$B$130,참고!$A$31:$A$130,C1837,참고!$B$31:$B$130,"&lt;="&amp;A1837))*참고!$C$31:$C$130)/100,0)</f>
        <v>0</v>
      </c>
      <c r="J1837" s="31" t="str">
        <f t="shared" si="85"/>
        <v/>
      </c>
      <c r="K1837" s="43">
        <f>IF(B1837="매도",IFERROR(SUMPRODUCT((참고!$A$31:$A$130=C1837)*(참고!$B$31:$B$130&lt;=A1837)*(참고!$B$31:$B$130=_xludf.MAXIFS(참고!$B$31:$B$130,참고!$A$31:$A$130,C1837,참고!$B$31:$B$130,"&lt;="&amp;A1837))*참고!$D$31:$D$130)/100,0),0)</f>
        <v>0</v>
      </c>
      <c r="L1837" s="31" t="str">
        <f t="shared" si="86"/>
        <v/>
      </c>
      <c r="M1837" s="39"/>
    </row>
    <row r="1838" spans="1:13" ht="18" customHeight="1" x14ac:dyDescent="0.45">
      <c r="A1838" s="37"/>
      <c r="B1838" s="29"/>
      <c r="C1838" s="29"/>
      <c r="D1838" s="28"/>
      <c r="E1838" s="30" t="str">
        <f>IFERROR(VLOOKUP(D1838,KRX종목마스터!$A:$B,2,FALSE),"")</f>
        <v/>
      </c>
      <c r="F1838" s="42"/>
      <c r="G1838" s="42"/>
      <c r="H1838" s="31" t="str">
        <f t="shared" si="84"/>
        <v/>
      </c>
      <c r="I1838" s="43">
        <f ca="1">IFERROR(SUMPRODUCT((참고!$A$31:$A$130=C1838)*(참고!$B$31:$B$130&lt;=A1838)*(참고!$B$31:$B$130=_xludf.MAXIFS(참고!$B$31:$B$130,참고!$A$31:$A$130,C1838,참고!$B$31:$B$130,"&lt;="&amp;A1838))*참고!$C$31:$C$130)/100,0)</f>
        <v>0</v>
      </c>
      <c r="J1838" s="31" t="str">
        <f t="shared" si="85"/>
        <v/>
      </c>
      <c r="K1838" s="43">
        <f>IF(B1838="매도",IFERROR(SUMPRODUCT((참고!$A$31:$A$130=C1838)*(참고!$B$31:$B$130&lt;=A1838)*(참고!$B$31:$B$130=_xludf.MAXIFS(참고!$B$31:$B$130,참고!$A$31:$A$130,C1838,참고!$B$31:$B$130,"&lt;="&amp;A1838))*참고!$D$31:$D$130)/100,0),0)</f>
        <v>0</v>
      </c>
      <c r="L1838" s="31" t="str">
        <f t="shared" si="86"/>
        <v/>
      </c>
      <c r="M1838" s="39"/>
    </row>
    <row r="1839" spans="1:13" ht="18" customHeight="1" x14ac:dyDescent="0.45">
      <c r="A1839" s="37"/>
      <c r="B1839" s="29"/>
      <c r="C1839" s="29"/>
      <c r="D1839" s="28"/>
      <c r="E1839" s="30" t="str">
        <f>IFERROR(VLOOKUP(D1839,KRX종목마스터!$A:$B,2,FALSE),"")</f>
        <v/>
      </c>
      <c r="F1839" s="42"/>
      <c r="G1839" s="42"/>
      <c r="H1839" s="31" t="str">
        <f t="shared" si="84"/>
        <v/>
      </c>
      <c r="I1839" s="43">
        <f ca="1">IFERROR(SUMPRODUCT((참고!$A$31:$A$130=C1839)*(참고!$B$31:$B$130&lt;=A1839)*(참고!$B$31:$B$130=_xludf.MAXIFS(참고!$B$31:$B$130,참고!$A$31:$A$130,C1839,참고!$B$31:$B$130,"&lt;="&amp;A1839))*참고!$C$31:$C$130)/100,0)</f>
        <v>0</v>
      </c>
      <c r="J1839" s="31" t="str">
        <f t="shared" si="85"/>
        <v/>
      </c>
      <c r="K1839" s="43">
        <f>IF(B1839="매도",IFERROR(SUMPRODUCT((참고!$A$31:$A$130=C1839)*(참고!$B$31:$B$130&lt;=A1839)*(참고!$B$31:$B$130=_xludf.MAXIFS(참고!$B$31:$B$130,참고!$A$31:$A$130,C1839,참고!$B$31:$B$130,"&lt;="&amp;A1839))*참고!$D$31:$D$130)/100,0),0)</f>
        <v>0</v>
      </c>
      <c r="L1839" s="31" t="str">
        <f t="shared" si="86"/>
        <v/>
      </c>
      <c r="M1839" s="39"/>
    </row>
    <row r="1840" spans="1:13" ht="18" customHeight="1" x14ac:dyDescent="0.45">
      <c r="A1840" s="37"/>
      <c r="B1840" s="29"/>
      <c r="C1840" s="29"/>
      <c r="D1840" s="28"/>
      <c r="E1840" s="30" t="str">
        <f>IFERROR(VLOOKUP(D1840,KRX종목마스터!$A:$B,2,FALSE),"")</f>
        <v/>
      </c>
      <c r="F1840" s="42"/>
      <c r="G1840" s="42"/>
      <c r="H1840" s="31" t="str">
        <f t="shared" si="84"/>
        <v/>
      </c>
      <c r="I1840" s="43">
        <f ca="1">IFERROR(SUMPRODUCT((참고!$A$31:$A$130=C1840)*(참고!$B$31:$B$130&lt;=A1840)*(참고!$B$31:$B$130=_xludf.MAXIFS(참고!$B$31:$B$130,참고!$A$31:$A$130,C1840,참고!$B$31:$B$130,"&lt;="&amp;A1840))*참고!$C$31:$C$130)/100,0)</f>
        <v>0</v>
      </c>
      <c r="J1840" s="31" t="str">
        <f t="shared" si="85"/>
        <v/>
      </c>
      <c r="K1840" s="43">
        <f>IF(B1840="매도",IFERROR(SUMPRODUCT((참고!$A$31:$A$130=C1840)*(참고!$B$31:$B$130&lt;=A1840)*(참고!$B$31:$B$130=_xludf.MAXIFS(참고!$B$31:$B$130,참고!$A$31:$A$130,C1840,참고!$B$31:$B$130,"&lt;="&amp;A1840))*참고!$D$31:$D$130)/100,0),0)</f>
        <v>0</v>
      </c>
      <c r="L1840" s="31" t="str">
        <f t="shared" si="86"/>
        <v/>
      </c>
      <c r="M1840" s="39"/>
    </row>
    <row r="1841" spans="1:13" ht="18" customHeight="1" x14ac:dyDescent="0.45">
      <c r="A1841" s="37"/>
      <c r="B1841" s="29"/>
      <c r="C1841" s="29"/>
      <c r="D1841" s="28"/>
      <c r="E1841" s="30" t="str">
        <f>IFERROR(VLOOKUP(D1841,KRX종목마스터!$A:$B,2,FALSE),"")</f>
        <v/>
      </c>
      <c r="F1841" s="42"/>
      <c r="G1841" s="42"/>
      <c r="H1841" s="31" t="str">
        <f t="shared" si="84"/>
        <v/>
      </c>
      <c r="I1841" s="43">
        <f ca="1">IFERROR(SUMPRODUCT((참고!$A$31:$A$130=C1841)*(참고!$B$31:$B$130&lt;=A1841)*(참고!$B$31:$B$130=_xludf.MAXIFS(참고!$B$31:$B$130,참고!$A$31:$A$130,C1841,참고!$B$31:$B$130,"&lt;="&amp;A1841))*참고!$C$31:$C$130)/100,0)</f>
        <v>0</v>
      </c>
      <c r="J1841" s="31" t="str">
        <f t="shared" si="85"/>
        <v/>
      </c>
      <c r="K1841" s="43">
        <f>IF(B1841="매도",IFERROR(SUMPRODUCT((참고!$A$31:$A$130=C1841)*(참고!$B$31:$B$130&lt;=A1841)*(참고!$B$31:$B$130=_xludf.MAXIFS(참고!$B$31:$B$130,참고!$A$31:$A$130,C1841,참고!$B$31:$B$130,"&lt;="&amp;A1841))*참고!$D$31:$D$130)/100,0),0)</f>
        <v>0</v>
      </c>
      <c r="L1841" s="31" t="str">
        <f t="shared" si="86"/>
        <v/>
      </c>
      <c r="M1841" s="39"/>
    </row>
    <row r="1842" spans="1:13" ht="18" customHeight="1" x14ac:dyDescent="0.45">
      <c r="A1842" s="37"/>
      <c r="B1842" s="29"/>
      <c r="C1842" s="29"/>
      <c r="D1842" s="28"/>
      <c r="E1842" s="30" t="str">
        <f>IFERROR(VLOOKUP(D1842,KRX종목마스터!$A:$B,2,FALSE),"")</f>
        <v/>
      </c>
      <c r="F1842" s="42"/>
      <c r="G1842" s="42"/>
      <c r="H1842" s="31" t="str">
        <f t="shared" si="84"/>
        <v/>
      </c>
      <c r="I1842" s="43">
        <f ca="1">IFERROR(SUMPRODUCT((참고!$A$31:$A$130=C1842)*(참고!$B$31:$B$130&lt;=A1842)*(참고!$B$31:$B$130=_xludf.MAXIFS(참고!$B$31:$B$130,참고!$A$31:$A$130,C1842,참고!$B$31:$B$130,"&lt;="&amp;A1842))*참고!$C$31:$C$130)/100,0)</f>
        <v>0</v>
      </c>
      <c r="J1842" s="31" t="str">
        <f t="shared" si="85"/>
        <v/>
      </c>
      <c r="K1842" s="43">
        <f>IF(B1842="매도",IFERROR(SUMPRODUCT((참고!$A$31:$A$130=C1842)*(참고!$B$31:$B$130&lt;=A1842)*(참고!$B$31:$B$130=_xludf.MAXIFS(참고!$B$31:$B$130,참고!$A$31:$A$130,C1842,참고!$B$31:$B$130,"&lt;="&amp;A1842))*참고!$D$31:$D$130)/100,0),0)</f>
        <v>0</v>
      </c>
      <c r="L1842" s="31" t="str">
        <f t="shared" si="86"/>
        <v/>
      </c>
      <c r="M1842" s="39"/>
    </row>
    <row r="1843" spans="1:13" ht="18" customHeight="1" x14ac:dyDescent="0.45">
      <c r="A1843" s="37"/>
      <c r="B1843" s="29"/>
      <c r="C1843" s="29"/>
      <c r="D1843" s="28"/>
      <c r="E1843" s="30" t="str">
        <f>IFERROR(VLOOKUP(D1843,KRX종목마스터!$A:$B,2,FALSE),"")</f>
        <v/>
      </c>
      <c r="F1843" s="42"/>
      <c r="G1843" s="42"/>
      <c r="H1843" s="31" t="str">
        <f t="shared" si="84"/>
        <v/>
      </c>
      <c r="I1843" s="43">
        <f ca="1">IFERROR(SUMPRODUCT((참고!$A$31:$A$130=C1843)*(참고!$B$31:$B$130&lt;=A1843)*(참고!$B$31:$B$130=_xludf.MAXIFS(참고!$B$31:$B$130,참고!$A$31:$A$130,C1843,참고!$B$31:$B$130,"&lt;="&amp;A1843))*참고!$C$31:$C$130)/100,0)</f>
        <v>0</v>
      </c>
      <c r="J1843" s="31" t="str">
        <f t="shared" si="85"/>
        <v/>
      </c>
      <c r="K1843" s="43">
        <f>IF(B1843="매도",IFERROR(SUMPRODUCT((참고!$A$31:$A$130=C1843)*(참고!$B$31:$B$130&lt;=A1843)*(참고!$B$31:$B$130=_xludf.MAXIFS(참고!$B$31:$B$130,참고!$A$31:$A$130,C1843,참고!$B$31:$B$130,"&lt;="&amp;A1843))*참고!$D$31:$D$130)/100,0),0)</f>
        <v>0</v>
      </c>
      <c r="L1843" s="31" t="str">
        <f t="shared" si="86"/>
        <v/>
      </c>
      <c r="M1843" s="39"/>
    </row>
    <row r="1844" spans="1:13" ht="18" customHeight="1" x14ac:dyDescent="0.45">
      <c r="A1844" s="37"/>
      <c r="B1844" s="29"/>
      <c r="C1844" s="29"/>
      <c r="D1844" s="28"/>
      <c r="E1844" s="30" t="str">
        <f>IFERROR(VLOOKUP(D1844,KRX종목마스터!$A:$B,2,FALSE),"")</f>
        <v/>
      </c>
      <c r="F1844" s="42"/>
      <c r="G1844" s="42"/>
      <c r="H1844" s="31" t="str">
        <f t="shared" si="84"/>
        <v/>
      </c>
      <c r="I1844" s="43">
        <f ca="1">IFERROR(SUMPRODUCT((참고!$A$31:$A$130=C1844)*(참고!$B$31:$B$130&lt;=A1844)*(참고!$B$31:$B$130=_xludf.MAXIFS(참고!$B$31:$B$130,참고!$A$31:$A$130,C1844,참고!$B$31:$B$130,"&lt;="&amp;A1844))*참고!$C$31:$C$130)/100,0)</f>
        <v>0</v>
      </c>
      <c r="J1844" s="31" t="str">
        <f t="shared" si="85"/>
        <v/>
      </c>
      <c r="K1844" s="43">
        <f>IF(B1844="매도",IFERROR(SUMPRODUCT((참고!$A$31:$A$130=C1844)*(참고!$B$31:$B$130&lt;=A1844)*(참고!$B$31:$B$130=_xludf.MAXIFS(참고!$B$31:$B$130,참고!$A$31:$A$130,C1844,참고!$B$31:$B$130,"&lt;="&amp;A1844))*참고!$D$31:$D$130)/100,0),0)</f>
        <v>0</v>
      </c>
      <c r="L1844" s="31" t="str">
        <f t="shared" si="86"/>
        <v/>
      </c>
      <c r="M1844" s="39"/>
    </row>
    <row r="1845" spans="1:13" ht="18" customHeight="1" x14ac:dyDescent="0.45">
      <c r="A1845" s="37"/>
      <c r="B1845" s="29"/>
      <c r="C1845" s="29"/>
      <c r="D1845" s="28"/>
      <c r="E1845" s="30" t="str">
        <f>IFERROR(VLOOKUP(D1845,KRX종목마스터!$A:$B,2,FALSE),"")</f>
        <v/>
      </c>
      <c r="F1845" s="42"/>
      <c r="G1845" s="42"/>
      <c r="H1845" s="31" t="str">
        <f t="shared" si="84"/>
        <v/>
      </c>
      <c r="I1845" s="43">
        <f ca="1">IFERROR(SUMPRODUCT((참고!$A$31:$A$130=C1845)*(참고!$B$31:$B$130&lt;=A1845)*(참고!$B$31:$B$130=_xludf.MAXIFS(참고!$B$31:$B$130,참고!$A$31:$A$130,C1845,참고!$B$31:$B$130,"&lt;="&amp;A1845))*참고!$C$31:$C$130)/100,0)</f>
        <v>0</v>
      </c>
      <c r="J1845" s="31" t="str">
        <f t="shared" si="85"/>
        <v/>
      </c>
      <c r="K1845" s="43">
        <f>IF(B1845="매도",IFERROR(SUMPRODUCT((참고!$A$31:$A$130=C1845)*(참고!$B$31:$B$130&lt;=A1845)*(참고!$B$31:$B$130=_xludf.MAXIFS(참고!$B$31:$B$130,참고!$A$31:$A$130,C1845,참고!$B$31:$B$130,"&lt;="&amp;A1845))*참고!$D$31:$D$130)/100,0),0)</f>
        <v>0</v>
      </c>
      <c r="L1845" s="31" t="str">
        <f t="shared" si="86"/>
        <v/>
      </c>
      <c r="M1845" s="39"/>
    </row>
    <row r="1846" spans="1:13" ht="18" customHeight="1" x14ac:dyDescent="0.45">
      <c r="A1846" s="37"/>
      <c r="B1846" s="29"/>
      <c r="C1846" s="29"/>
      <c r="D1846" s="28"/>
      <c r="E1846" s="30" t="str">
        <f>IFERROR(VLOOKUP(D1846,KRX종목마스터!$A:$B,2,FALSE),"")</f>
        <v/>
      </c>
      <c r="F1846" s="42"/>
      <c r="G1846" s="42"/>
      <c r="H1846" s="31" t="str">
        <f t="shared" si="84"/>
        <v/>
      </c>
      <c r="I1846" s="43">
        <f ca="1">IFERROR(SUMPRODUCT((참고!$A$31:$A$130=C1846)*(참고!$B$31:$B$130&lt;=A1846)*(참고!$B$31:$B$130=_xludf.MAXIFS(참고!$B$31:$B$130,참고!$A$31:$A$130,C1846,참고!$B$31:$B$130,"&lt;="&amp;A1846))*참고!$C$31:$C$130)/100,0)</f>
        <v>0</v>
      </c>
      <c r="J1846" s="31" t="str">
        <f t="shared" si="85"/>
        <v/>
      </c>
      <c r="K1846" s="43">
        <f>IF(B1846="매도",IFERROR(SUMPRODUCT((참고!$A$31:$A$130=C1846)*(참고!$B$31:$B$130&lt;=A1846)*(참고!$B$31:$B$130=_xludf.MAXIFS(참고!$B$31:$B$130,참고!$A$31:$A$130,C1846,참고!$B$31:$B$130,"&lt;="&amp;A1846))*참고!$D$31:$D$130)/100,0),0)</f>
        <v>0</v>
      </c>
      <c r="L1846" s="31" t="str">
        <f t="shared" si="86"/>
        <v/>
      </c>
      <c r="M1846" s="39"/>
    </row>
    <row r="1847" spans="1:13" ht="18" customHeight="1" x14ac:dyDescent="0.45">
      <c r="A1847" s="37"/>
      <c r="B1847" s="29"/>
      <c r="C1847" s="29"/>
      <c r="D1847" s="28"/>
      <c r="E1847" s="30" t="str">
        <f>IFERROR(VLOOKUP(D1847,KRX종목마스터!$A:$B,2,FALSE),"")</f>
        <v/>
      </c>
      <c r="F1847" s="42"/>
      <c r="G1847" s="42"/>
      <c r="H1847" s="31" t="str">
        <f t="shared" si="84"/>
        <v/>
      </c>
      <c r="I1847" s="43">
        <f ca="1">IFERROR(SUMPRODUCT((참고!$A$31:$A$130=C1847)*(참고!$B$31:$B$130&lt;=A1847)*(참고!$B$31:$B$130=_xludf.MAXIFS(참고!$B$31:$B$130,참고!$A$31:$A$130,C1847,참고!$B$31:$B$130,"&lt;="&amp;A1847))*참고!$C$31:$C$130)/100,0)</f>
        <v>0</v>
      </c>
      <c r="J1847" s="31" t="str">
        <f t="shared" si="85"/>
        <v/>
      </c>
      <c r="K1847" s="43">
        <f>IF(B1847="매도",IFERROR(SUMPRODUCT((참고!$A$31:$A$130=C1847)*(참고!$B$31:$B$130&lt;=A1847)*(참고!$B$31:$B$130=_xludf.MAXIFS(참고!$B$31:$B$130,참고!$A$31:$A$130,C1847,참고!$B$31:$B$130,"&lt;="&amp;A1847))*참고!$D$31:$D$130)/100,0),0)</f>
        <v>0</v>
      </c>
      <c r="L1847" s="31" t="str">
        <f t="shared" si="86"/>
        <v/>
      </c>
      <c r="M1847" s="39"/>
    </row>
    <row r="1848" spans="1:13" ht="18" customHeight="1" x14ac:dyDescent="0.45">
      <c r="A1848" s="37"/>
      <c r="B1848" s="29"/>
      <c r="C1848" s="29"/>
      <c r="D1848" s="28"/>
      <c r="E1848" s="30" t="str">
        <f>IFERROR(VLOOKUP(D1848,KRX종목마스터!$A:$B,2,FALSE),"")</f>
        <v/>
      </c>
      <c r="F1848" s="42"/>
      <c r="G1848" s="42"/>
      <c r="H1848" s="31" t="str">
        <f t="shared" si="84"/>
        <v/>
      </c>
      <c r="I1848" s="43">
        <f ca="1">IFERROR(SUMPRODUCT((참고!$A$31:$A$130=C1848)*(참고!$B$31:$B$130&lt;=A1848)*(참고!$B$31:$B$130=_xludf.MAXIFS(참고!$B$31:$B$130,참고!$A$31:$A$130,C1848,참고!$B$31:$B$130,"&lt;="&amp;A1848))*참고!$C$31:$C$130)/100,0)</f>
        <v>0</v>
      </c>
      <c r="J1848" s="31" t="str">
        <f t="shared" si="85"/>
        <v/>
      </c>
      <c r="K1848" s="43">
        <f>IF(B1848="매도",IFERROR(SUMPRODUCT((참고!$A$31:$A$130=C1848)*(참고!$B$31:$B$130&lt;=A1848)*(참고!$B$31:$B$130=_xludf.MAXIFS(참고!$B$31:$B$130,참고!$A$31:$A$130,C1848,참고!$B$31:$B$130,"&lt;="&amp;A1848))*참고!$D$31:$D$130)/100,0),0)</f>
        <v>0</v>
      </c>
      <c r="L1848" s="31" t="str">
        <f t="shared" si="86"/>
        <v/>
      </c>
      <c r="M1848" s="39"/>
    </row>
    <row r="1849" spans="1:13" ht="18" customHeight="1" x14ac:dyDescent="0.45">
      <c r="A1849" s="37"/>
      <c r="B1849" s="29"/>
      <c r="C1849" s="29"/>
      <c r="D1849" s="28"/>
      <c r="E1849" s="30" t="str">
        <f>IFERROR(VLOOKUP(D1849,KRX종목마스터!$A:$B,2,FALSE),"")</f>
        <v/>
      </c>
      <c r="F1849" s="42"/>
      <c r="G1849" s="42"/>
      <c r="H1849" s="31" t="str">
        <f t="shared" si="84"/>
        <v/>
      </c>
      <c r="I1849" s="43">
        <f ca="1">IFERROR(SUMPRODUCT((참고!$A$31:$A$130=C1849)*(참고!$B$31:$B$130&lt;=A1849)*(참고!$B$31:$B$130=_xludf.MAXIFS(참고!$B$31:$B$130,참고!$A$31:$A$130,C1849,참고!$B$31:$B$130,"&lt;="&amp;A1849))*참고!$C$31:$C$130)/100,0)</f>
        <v>0</v>
      </c>
      <c r="J1849" s="31" t="str">
        <f t="shared" si="85"/>
        <v/>
      </c>
      <c r="K1849" s="43">
        <f>IF(B1849="매도",IFERROR(SUMPRODUCT((참고!$A$31:$A$130=C1849)*(참고!$B$31:$B$130&lt;=A1849)*(참고!$B$31:$B$130=_xludf.MAXIFS(참고!$B$31:$B$130,참고!$A$31:$A$130,C1849,참고!$B$31:$B$130,"&lt;="&amp;A1849))*참고!$D$31:$D$130)/100,0),0)</f>
        <v>0</v>
      </c>
      <c r="L1849" s="31" t="str">
        <f t="shared" si="86"/>
        <v/>
      </c>
      <c r="M1849" s="39"/>
    </row>
    <row r="1850" spans="1:13" ht="18" customHeight="1" x14ac:dyDescent="0.45">
      <c r="A1850" s="37"/>
      <c r="B1850" s="29"/>
      <c r="C1850" s="29"/>
      <c r="D1850" s="28"/>
      <c r="E1850" s="30" t="str">
        <f>IFERROR(VLOOKUP(D1850,KRX종목마스터!$A:$B,2,FALSE),"")</f>
        <v/>
      </c>
      <c r="F1850" s="42"/>
      <c r="G1850" s="42"/>
      <c r="H1850" s="31" t="str">
        <f t="shared" si="84"/>
        <v/>
      </c>
      <c r="I1850" s="43">
        <f ca="1">IFERROR(SUMPRODUCT((참고!$A$31:$A$130=C1850)*(참고!$B$31:$B$130&lt;=A1850)*(참고!$B$31:$B$130=_xludf.MAXIFS(참고!$B$31:$B$130,참고!$A$31:$A$130,C1850,참고!$B$31:$B$130,"&lt;="&amp;A1850))*참고!$C$31:$C$130)/100,0)</f>
        <v>0</v>
      </c>
      <c r="J1850" s="31" t="str">
        <f t="shared" si="85"/>
        <v/>
      </c>
      <c r="K1850" s="43">
        <f>IF(B1850="매도",IFERROR(SUMPRODUCT((참고!$A$31:$A$130=C1850)*(참고!$B$31:$B$130&lt;=A1850)*(참고!$B$31:$B$130=_xludf.MAXIFS(참고!$B$31:$B$130,참고!$A$31:$A$130,C1850,참고!$B$31:$B$130,"&lt;="&amp;A1850))*참고!$D$31:$D$130)/100,0),0)</f>
        <v>0</v>
      </c>
      <c r="L1850" s="31" t="str">
        <f t="shared" si="86"/>
        <v/>
      </c>
      <c r="M1850" s="39"/>
    </row>
    <row r="1851" spans="1:13" ht="18" customHeight="1" x14ac:dyDescent="0.45">
      <c r="A1851" s="37"/>
      <c r="B1851" s="29"/>
      <c r="C1851" s="29"/>
      <c r="D1851" s="28"/>
      <c r="E1851" s="30" t="str">
        <f>IFERROR(VLOOKUP(D1851,KRX종목마스터!$A:$B,2,FALSE),"")</f>
        <v/>
      </c>
      <c r="F1851" s="42"/>
      <c r="G1851" s="42"/>
      <c r="H1851" s="31" t="str">
        <f t="shared" si="84"/>
        <v/>
      </c>
      <c r="I1851" s="43">
        <f ca="1">IFERROR(SUMPRODUCT((참고!$A$31:$A$130=C1851)*(참고!$B$31:$B$130&lt;=A1851)*(참고!$B$31:$B$130=_xludf.MAXIFS(참고!$B$31:$B$130,참고!$A$31:$A$130,C1851,참고!$B$31:$B$130,"&lt;="&amp;A1851))*참고!$C$31:$C$130)/100,0)</f>
        <v>0</v>
      </c>
      <c r="J1851" s="31" t="str">
        <f t="shared" si="85"/>
        <v/>
      </c>
      <c r="K1851" s="43">
        <f>IF(B1851="매도",IFERROR(SUMPRODUCT((참고!$A$31:$A$130=C1851)*(참고!$B$31:$B$130&lt;=A1851)*(참고!$B$31:$B$130=_xludf.MAXIFS(참고!$B$31:$B$130,참고!$A$31:$A$130,C1851,참고!$B$31:$B$130,"&lt;="&amp;A1851))*참고!$D$31:$D$130)/100,0),0)</f>
        <v>0</v>
      </c>
      <c r="L1851" s="31" t="str">
        <f t="shared" si="86"/>
        <v/>
      </c>
      <c r="M1851" s="39"/>
    </row>
    <row r="1852" spans="1:13" ht="18" customHeight="1" x14ac:dyDescent="0.45">
      <c r="A1852" s="37"/>
      <c r="B1852" s="29"/>
      <c r="C1852" s="29"/>
      <c r="D1852" s="28"/>
      <c r="E1852" s="30" t="str">
        <f>IFERROR(VLOOKUP(D1852,KRX종목마스터!$A:$B,2,FALSE),"")</f>
        <v/>
      </c>
      <c r="F1852" s="42"/>
      <c r="G1852" s="42"/>
      <c r="H1852" s="31" t="str">
        <f t="shared" si="84"/>
        <v/>
      </c>
      <c r="I1852" s="43">
        <f ca="1">IFERROR(SUMPRODUCT((참고!$A$31:$A$130=C1852)*(참고!$B$31:$B$130&lt;=A1852)*(참고!$B$31:$B$130=_xludf.MAXIFS(참고!$B$31:$B$130,참고!$A$31:$A$130,C1852,참고!$B$31:$B$130,"&lt;="&amp;A1852))*참고!$C$31:$C$130)/100,0)</f>
        <v>0</v>
      </c>
      <c r="J1852" s="31" t="str">
        <f t="shared" si="85"/>
        <v/>
      </c>
      <c r="K1852" s="43">
        <f>IF(B1852="매도",IFERROR(SUMPRODUCT((참고!$A$31:$A$130=C1852)*(참고!$B$31:$B$130&lt;=A1852)*(참고!$B$31:$B$130=_xludf.MAXIFS(참고!$B$31:$B$130,참고!$A$31:$A$130,C1852,참고!$B$31:$B$130,"&lt;="&amp;A1852))*참고!$D$31:$D$130)/100,0),0)</f>
        <v>0</v>
      </c>
      <c r="L1852" s="31" t="str">
        <f t="shared" si="86"/>
        <v/>
      </c>
      <c r="M1852" s="39"/>
    </row>
    <row r="1853" spans="1:13" ht="18" customHeight="1" x14ac:dyDescent="0.45">
      <c r="A1853" s="37"/>
      <c r="B1853" s="29"/>
      <c r="C1853" s="29"/>
      <c r="D1853" s="28"/>
      <c r="E1853" s="30" t="str">
        <f>IFERROR(VLOOKUP(D1853,KRX종목마스터!$A:$B,2,FALSE),"")</f>
        <v/>
      </c>
      <c r="F1853" s="42"/>
      <c r="G1853" s="42"/>
      <c r="H1853" s="31" t="str">
        <f t="shared" si="84"/>
        <v/>
      </c>
      <c r="I1853" s="43">
        <f ca="1">IFERROR(SUMPRODUCT((참고!$A$31:$A$130=C1853)*(참고!$B$31:$B$130&lt;=A1853)*(참고!$B$31:$B$130=_xludf.MAXIFS(참고!$B$31:$B$130,참고!$A$31:$A$130,C1853,참고!$B$31:$B$130,"&lt;="&amp;A1853))*참고!$C$31:$C$130)/100,0)</f>
        <v>0</v>
      </c>
      <c r="J1853" s="31" t="str">
        <f t="shared" si="85"/>
        <v/>
      </c>
      <c r="K1853" s="43">
        <f>IF(B1853="매도",IFERROR(SUMPRODUCT((참고!$A$31:$A$130=C1853)*(참고!$B$31:$B$130&lt;=A1853)*(참고!$B$31:$B$130=_xludf.MAXIFS(참고!$B$31:$B$130,참고!$A$31:$A$130,C1853,참고!$B$31:$B$130,"&lt;="&amp;A1853))*참고!$D$31:$D$130)/100,0),0)</f>
        <v>0</v>
      </c>
      <c r="L1853" s="31" t="str">
        <f t="shared" si="86"/>
        <v/>
      </c>
      <c r="M1853" s="39"/>
    </row>
    <row r="1854" spans="1:13" ht="18" customHeight="1" x14ac:dyDescent="0.45">
      <c r="A1854" s="37"/>
      <c r="B1854" s="29"/>
      <c r="C1854" s="29"/>
      <c r="D1854" s="28"/>
      <c r="E1854" s="30" t="str">
        <f>IFERROR(VLOOKUP(D1854,KRX종목마스터!$A:$B,2,FALSE),"")</f>
        <v/>
      </c>
      <c r="F1854" s="42"/>
      <c r="G1854" s="42"/>
      <c r="H1854" s="31" t="str">
        <f t="shared" si="84"/>
        <v/>
      </c>
      <c r="I1854" s="43">
        <f ca="1">IFERROR(SUMPRODUCT((참고!$A$31:$A$130=C1854)*(참고!$B$31:$B$130&lt;=A1854)*(참고!$B$31:$B$130=_xludf.MAXIFS(참고!$B$31:$B$130,참고!$A$31:$A$130,C1854,참고!$B$31:$B$130,"&lt;="&amp;A1854))*참고!$C$31:$C$130)/100,0)</f>
        <v>0</v>
      </c>
      <c r="J1854" s="31" t="str">
        <f t="shared" si="85"/>
        <v/>
      </c>
      <c r="K1854" s="43">
        <f>IF(B1854="매도",IFERROR(SUMPRODUCT((참고!$A$31:$A$130=C1854)*(참고!$B$31:$B$130&lt;=A1854)*(참고!$B$31:$B$130=_xludf.MAXIFS(참고!$B$31:$B$130,참고!$A$31:$A$130,C1854,참고!$B$31:$B$130,"&lt;="&amp;A1854))*참고!$D$31:$D$130)/100,0),0)</f>
        <v>0</v>
      </c>
      <c r="L1854" s="31" t="str">
        <f t="shared" si="86"/>
        <v/>
      </c>
      <c r="M1854" s="39"/>
    </row>
    <row r="1855" spans="1:13" ht="18" customHeight="1" x14ac:dyDescent="0.45">
      <c r="A1855" s="37"/>
      <c r="B1855" s="29"/>
      <c r="C1855" s="29"/>
      <c r="D1855" s="28"/>
      <c r="E1855" s="30" t="str">
        <f>IFERROR(VLOOKUP(D1855,KRX종목마스터!$A:$B,2,FALSE),"")</f>
        <v/>
      </c>
      <c r="F1855" s="42"/>
      <c r="G1855" s="42"/>
      <c r="H1855" s="31" t="str">
        <f t="shared" si="84"/>
        <v/>
      </c>
      <c r="I1855" s="43">
        <f ca="1">IFERROR(SUMPRODUCT((참고!$A$31:$A$130=C1855)*(참고!$B$31:$B$130&lt;=A1855)*(참고!$B$31:$B$130=_xludf.MAXIFS(참고!$B$31:$B$130,참고!$A$31:$A$130,C1855,참고!$B$31:$B$130,"&lt;="&amp;A1855))*참고!$C$31:$C$130)/100,0)</f>
        <v>0</v>
      </c>
      <c r="J1855" s="31" t="str">
        <f t="shared" si="85"/>
        <v/>
      </c>
      <c r="K1855" s="43">
        <f>IF(B1855="매도",IFERROR(SUMPRODUCT((참고!$A$31:$A$130=C1855)*(참고!$B$31:$B$130&lt;=A1855)*(참고!$B$31:$B$130=_xludf.MAXIFS(참고!$B$31:$B$130,참고!$A$31:$A$130,C1855,참고!$B$31:$B$130,"&lt;="&amp;A1855))*참고!$D$31:$D$130)/100,0),0)</f>
        <v>0</v>
      </c>
      <c r="L1855" s="31" t="str">
        <f t="shared" si="86"/>
        <v/>
      </c>
      <c r="M1855" s="39"/>
    </row>
    <row r="1856" spans="1:13" ht="18" customHeight="1" x14ac:dyDescent="0.45">
      <c r="A1856" s="37"/>
      <c r="B1856" s="29"/>
      <c r="C1856" s="29"/>
      <c r="D1856" s="28"/>
      <c r="E1856" s="30" t="str">
        <f>IFERROR(VLOOKUP(D1856,KRX종목마스터!$A:$B,2,FALSE),"")</f>
        <v/>
      </c>
      <c r="F1856" s="42"/>
      <c r="G1856" s="42"/>
      <c r="H1856" s="31" t="str">
        <f t="shared" si="84"/>
        <v/>
      </c>
      <c r="I1856" s="43">
        <f ca="1">IFERROR(SUMPRODUCT((참고!$A$31:$A$130=C1856)*(참고!$B$31:$B$130&lt;=A1856)*(참고!$B$31:$B$130=_xludf.MAXIFS(참고!$B$31:$B$130,참고!$A$31:$A$130,C1856,참고!$B$31:$B$130,"&lt;="&amp;A1856))*참고!$C$31:$C$130)/100,0)</f>
        <v>0</v>
      </c>
      <c r="J1856" s="31" t="str">
        <f t="shared" si="85"/>
        <v/>
      </c>
      <c r="K1856" s="43">
        <f>IF(B1856="매도",IFERROR(SUMPRODUCT((참고!$A$31:$A$130=C1856)*(참고!$B$31:$B$130&lt;=A1856)*(참고!$B$31:$B$130=_xludf.MAXIFS(참고!$B$31:$B$130,참고!$A$31:$A$130,C1856,참고!$B$31:$B$130,"&lt;="&amp;A1856))*참고!$D$31:$D$130)/100,0),0)</f>
        <v>0</v>
      </c>
      <c r="L1856" s="31" t="str">
        <f t="shared" si="86"/>
        <v/>
      </c>
      <c r="M1856" s="39"/>
    </row>
    <row r="1857" spans="1:13" ht="18" customHeight="1" x14ac:dyDescent="0.45">
      <c r="A1857" s="37"/>
      <c r="B1857" s="29"/>
      <c r="C1857" s="29"/>
      <c r="D1857" s="28"/>
      <c r="E1857" s="30" t="str">
        <f>IFERROR(VLOOKUP(D1857,KRX종목마스터!$A:$B,2,FALSE),"")</f>
        <v/>
      </c>
      <c r="F1857" s="42"/>
      <c r="G1857" s="42"/>
      <c r="H1857" s="31" t="str">
        <f t="shared" si="84"/>
        <v/>
      </c>
      <c r="I1857" s="43">
        <f ca="1">IFERROR(SUMPRODUCT((참고!$A$31:$A$130=C1857)*(참고!$B$31:$B$130&lt;=A1857)*(참고!$B$31:$B$130=_xludf.MAXIFS(참고!$B$31:$B$130,참고!$A$31:$A$130,C1857,참고!$B$31:$B$130,"&lt;="&amp;A1857))*참고!$C$31:$C$130)/100,0)</f>
        <v>0</v>
      </c>
      <c r="J1857" s="31" t="str">
        <f t="shared" si="85"/>
        <v/>
      </c>
      <c r="K1857" s="43">
        <f>IF(B1857="매도",IFERROR(SUMPRODUCT((참고!$A$31:$A$130=C1857)*(참고!$B$31:$B$130&lt;=A1857)*(참고!$B$31:$B$130=_xludf.MAXIFS(참고!$B$31:$B$130,참고!$A$31:$A$130,C1857,참고!$B$31:$B$130,"&lt;="&amp;A1857))*참고!$D$31:$D$130)/100,0),0)</f>
        <v>0</v>
      </c>
      <c r="L1857" s="31" t="str">
        <f t="shared" si="86"/>
        <v/>
      </c>
      <c r="M1857" s="39"/>
    </row>
    <row r="1858" spans="1:13" ht="18" customHeight="1" x14ac:dyDescent="0.45">
      <c r="A1858" s="37"/>
      <c r="B1858" s="29"/>
      <c r="C1858" s="29"/>
      <c r="D1858" s="28"/>
      <c r="E1858" s="30" t="str">
        <f>IFERROR(VLOOKUP(D1858,KRX종목마스터!$A:$B,2,FALSE),"")</f>
        <v/>
      </c>
      <c r="F1858" s="42"/>
      <c r="G1858" s="42"/>
      <c r="H1858" s="31" t="str">
        <f t="shared" si="84"/>
        <v/>
      </c>
      <c r="I1858" s="43">
        <f ca="1">IFERROR(SUMPRODUCT((참고!$A$31:$A$130=C1858)*(참고!$B$31:$B$130&lt;=A1858)*(참고!$B$31:$B$130=_xludf.MAXIFS(참고!$B$31:$B$130,참고!$A$31:$A$130,C1858,참고!$B$31:$B$130,"&lt;="&amp;A1858))*참고!$C$31:$C$130)/100,0)</f>
        <v>0</v>
      </c>
      <c r="J1858" s="31" t="str">
        <f t="shared" si="85"/>
        <v/>
      </c>
      <c r="K1858" s="43">
        <f>IF(B1858="매도",IFERROR(SUMPRODUCT((참고!$A$31:$A$130=C1858)*(참고!$B$31:$B$130&lt;=A1858)*(참고!$B$31:$B$130=_xludf.MAXIFS(참고!$B$31:$B$130,참고!$A$31:$A$130,C1858,참고!$B$31:$B$130,"&lt;="&amp;A1858))*참고!$D$31:$D$130)/100,0),0)</f>
        <v>0</v>
      </c>
      <c r="L1858" s="31" t="str">
        <f t="shared" si="86"/>
        <v/>
      </c>
      <c r="M1858" s="39"/>
    </row>
    <row r="1859" spans="1:13" ht="18" customHeight="1" x14ac:dyDescent="0.45">
      <c r="A1859" s="37"/>
      <c r="B1859" s="29"/>
      <c r="C1859" s="29"/>
      <c r="D1859" s="28"/>
      <c r="E1859" s="30" t="str">
        <f>IFERROR(VLOOKUP(D1859,KRX종목마스터!$A:$B,2,FALSE),"")</f>
        <v/>
      </c>
      <c r="F1859" s="42"/>
      <c r="G1859" s="42"/>
      <c r="H1859" s="31" t="str">
        <f t="shared" si="84"/>
        <v/>
      </c>
      <c r="I1859" s="43">
        <f ca="1">IFERROR(SUMPRODUCT((참고!$A$31:$A$130=C1859)*(참고!$B$31:$B$130&lt;=A1859)*(참고!$B$31:$B$130=_xludf.MAXIFS(참고!$B$31:$B$130,참고!$A$31:$A$130,C1859,참고!$B$31:$B$130,"&lt;="&amp;A1859))*참고!$C$31:$C$130)/100,0)</f>
        <v>0</v>
      </c>
      <c r="J1859" s="31" t="str">
        <f t="shared" si="85"/>
        <v/>
      </c>
      <c r="K1859" s="43">
        <f>IF(B1859="매도",IFERROR(SUMPRODUCT((참고!$A$31:$A$130=C1859)*(참고!$B$31:$B$130&lt;=A1859)*(참고!$B$31:$B$130=_xludf.MAXIFS(참고!$B$31:$B$130,참고!$A$31:$A$130,C1859,참고!$B$31:$B$130,"&lt;="&amp;A1859))*참고!$D$31:$D$130)/100,0),0)</f>
        <v>0</v>
      </c>
      <c r="L1859" s="31" t="str">
        <f t="shared" si="86"/>
        <v/>
      </c>
      <c r="M1859" s="39"/>
    </row>
    <row r="1860" spans="1:13" ht="18" customHeight="1" x14ac:dyDescent="0.45">
      <c r="A1860" s="37"/>
      <c r="B1860" s="29"/>
      <c r="C1860" s="29"/>
      <c r="D1860" s="28"/>
      <c r="E1860" s="30" t="str">
        <f>IFERROR(VLOOKUP(D1860,KRX종목마스터!$A:$B,2,FALSE),"")</f>
        <v/>
      </c>
      <c r="F1860" s="42"/>
      <c r="G1860" s="42"/>
      <c r="H1860" s="31" t="str">
        <f t="shared" si="84"/>
        <v/>
      </c>
      <c r="I1860" s="43">
        <f ca="1">IFERROR(SUMPRODUCT((참고!$A$31:$A$130=C1860)*(참고!$B$31:$B$130&lt;=A1860)*(참고!$B$31:$B$130=_xludf.MAXIFS(참고!$B$31:$B$130,참고!$A$31:$A$130,C1860,참고!$B$31:$B$130,"&lt;="&amp;A1860))*참고!$C$31:$C$130)/100,0)</f>
        <v>0</v>
      </c>
      <c r="J1860" s="31" t="str">
        <f t="shared" si="85"/>
        <v/>
      </c>
      <c r="K1860" s="43">
        <f>IF(B1860="매도",IFERROR(SUMPRODUCT((참고!$A$31:$A$130=C1860)*(참고!$B$31:$B$130&lt;=A1860)*(참고!$B$31:$B$130=_xludf.MAXIFS(참고!$B$31:$B$130,참고!$A$31:$A$130,C1860,참고!$B$31:$B$130,"&lt;="&amp;A1860))*참고!$D$31:$D$130)/100,0),0)</f>
        <v>0</v>
      </c>
      <c r="L1860" s="31" t="str">
        <f t="shared" si="86"/>
        <v/>
      </c>
      <c r="M1860" s="39"/>
    </row>
    <row r="1861" spans="1:13" ht="18" customHeight="1" x14ac:dyDescent="0.45">
      <c r="A1861" s="37"/>
      <c r="B1861" s="29"/>
      <c r="C1861" s="29"/>
      <c r="D1861" s="28"/>
      <c r="E1861" s="30" t="str">
        <f>IFERROR(VLOOKUP(D1861,KRX종목마스터!$A:$B,2,FALSE),"")</f>
        <v/>
      </c>
      <c r="F1861" s="42"/>
      <c r="G1861" s="42"/>
      <c r="H1861" s="31" t="str">
        <f t="shared" ref="H1861:H1924" si="87">IF(AND(F1861&lt;&gt;"",G1861&lt;&gt;""),F1861*G1861,"")</f>
        <v/>
      </c>
      <c r="I1861" s="43">
        <f ca="1">IFERROR(SUMPRODUCT((참고!$A$31:$A$130=C1861)*(참고!$B$31:$B$130&lt;=A1861)*(참고!$B$31:$B$130=_xludf.MAXIFS(참고!$B$31:$B$130,참고!$A$31:$A$130,C1861,참고!$B$31:$B$130,"&lt;="&amp;A1861))*참고!$C$31:$C$130)/100,0)</f>
        <v>0</v>
      </c>
      <c r="J1861" s="31" t="str">
        <f t="shared" ref="J1861:J1924" si="88">IF(H1861="","",ROUND(H1861*I1861,0))</f>
        <v/>
      </c>
      <c r="K1861" s="43">
        <f>IF(B1861="매도",IFERROR(SUMPRODUCT((참고!$A$31:$A$130=C1861)*(참고!$B$31:$B$130&lt;=A1861)*(참고!$B$31:$B$130=_xludf.MAXIFS(참고!$B$31:$B$130,참고!$A$31:$A$130,C1861,참고!$B$31:$B$130,"&lt;="&amp;A1861))*참고!$D$31:$D$130)/100,0),0)</f>
        <v>0</v>
      </c>
      <c r="L1861" s="31" t="str">
        <f t="shared" ref="L1861:L1924" si="89">IF(H1861="","",ROUND(H1861*K1861,0))</f>
        <v/>
      </c>
      <c r="M1861" s="39"/>
    </row>
    <row r="1862" spans="1:13" ht="18" customHeight="1" x14ac:dyDescent="0.45">
      <c r="A1862" s="37"/>
      <c r="B1862" s="29"/>
      <c r="C1862" s="29"/>
      <c r="D1862" s="28"/>
      <c r="E1862" s="30" t="str">
        <f>IFERROR(VLOOKUP(D1862,KRX종목마스터!$A:$B,2,FALSE),"")</f>
        <v/>
      </c>
      <c r="F1862" s="42"/>
      <c r="G1862" s="42"/>
      <c r="H1862" s="31" t="str">
        <f t="shared" si="87"/>
        <v/>
      </c>
      <c r="I1862" s="43">
        <f ca="1">IFERROR(SUMPRODUCT((참고!$A$31:$A$130=C1862)*(참고!$B$31:$B$130&lt;=A1862)*(참고!$B$31:$B$130=_xludf.MAXIFS(참고!$B$31:$B$130,참고!$A$31:$A$130,C1862,참고!$B$31:$B$130,"&lt;="&amp;A1862))*참고!$C$31:$C$130)/100,0)</f>
        <v>0</v>
      </c>
      <c r="J1862" s="31" t="str">
        <f t="shared" si="88"/>
        <v/>
      </c>
      <c r="K1862" s="43">
        <f>IF(B1862="매도",IFERROR(SUMPRODUCT((참고!$A$31:$A$130=C1862)*(참고!$B$31:$B$130&lt;=A1862)*(참고!$B$31:$B$130=_xludf.MAXIFS(참고!$B$31:$B$130,참고!$A$31:$A$130,C1862,참고!$B$31:$B$130,"&lt;="&amp;A1862))*참고!$D$31:$D$130)/100,0),0)</f>
        <v>0</v>
      </c>
      <c r="L1862" s="31" t="str">
        <f t="shared" si="89"/>
        <v/>
      </c>
      <c r="M1862" s="39"/>
    </row>
    <row r="1863" spans="1:13" ht="18" customHeight="1" x14ac:dyDescent="0.45">
      <c r="A1863" s="37"/>
      <c r="B1863" s="29"/>
      <c r="C1863" s="29"/>
      <c r="D1863" s="28"/>
      <c r="E1863" s="30" t="str">
        <f>IFERROR(VLOOKUP(D1863,KRX종목마스터!$A:$B,2,FALSE),"")</f>
        <v/>
      </c>
      <c r="F1863" s="42"/>
      <c r="G1863" s="42"/>
      <c r="H1863" s="31" t="str">
        <f t="shared" si="87"/>
        <v/>
      </c>
      <c r="I1863" s="43">
        <f ca="1">IFERROR(SUMPRODUCT((참고!$A$31:$A$130=C1863)*(참고!$B$31:$B$130&lt;=A1863)*(참고!$B$31:$B$130=_xludf.MAXIFS(참고!$B$31:$B$130,참고!$A$31:$A$130,C1863,참고!$B$31:$B$130,"&lt;="&amp;A1863))*참고!$C$31:$C$130)/100,0)</f>
        <v>0</v>
      </c>
      <c r="J1863" s="31" t="str">
        <f t="shared" si="88"/>
        <v/>
      </c>
      <c r="K1863" s="43">
        <f>IF(B1863="매도",IFERROR(SUMPRODUCT((참고!$A$31:$A$130=C1863)*(참고!$B$31:$B$130&lt;=A1863)*(참고!$B$31:$B$130=_xludf.MAXIFS(참고!$B$31:$B$130,참고!$A$31:$A$130,C1863,참고!$B$31:$B$130,"&lt;="&amp;A1863))*참고!$D$31:$D$130)/100,0),0)</f>
        <v>0</v>
      </c>
      <c r="L1863" s="31" t="str">
        <f t="shared" si="89"/>
        <v/>
      </c>
      <c r="M1863" s="39"/>
    </row>
    <row r="1864" spans="1:13" ht="18" customHeight="1" x14ac:dyDescent="0.45">
      <c r="A1864" s="37"/>
      <c r="B1864" s="29"/>
      <c r="C1864" s="29"/>
      <c r="D1864" s="28"/>
      <c r="E1864" s="30" t="str">
        <f>IFERROR(VLOOKUP(D1864,KRX종목마스터!$A:$B,2,FALSE),"")</f>
        <v/>
      </c>
      <c r="F1864" s="42"/>
      <c r="G1864" s="42"/>
      <c r="H1864" s="31" t="str">
        <f t="shared" si="87"/>
        <v/>
      </c>
      <c r="I1864" s="43">
        <f ca="1">IFERROR(SUMPRODUCT((참고!$A$31:$A$130=C1864)*(참고!$B$31:$B$130&lt;=A1864)*(참고!$B$31:$B$130=_xludf.MAXIFS(참고!$B$31:$B$130,참고!$A$31:$A$130,C1864,참고!$B$31:$B$130,"&lt;="&amp;A1864))*참고!$C$31:$C$130)/100,0)</f>
        <v>0</v>
      </c>
      <c r="J1864" s="31" t="str">
        <f t="shared" si="88"/>
        <v/>
      </c>
      <c r="K1864" s="43">
        <f>IF(B1864="매도",IFERROR(SUMPRODUCT((참고!$A$31:$A$130=C1864)*(참고!$B$31:$B$130&lt;=A1864)*(참고!$B$31:$B$130=_xludf.MAXIFS(참고!$B$31:$B$130,참고!$A$31:$A$130,C1864,참고!$B$31:$B$130,"&lt;="&amp;A1864))*참고!$D$31:$D$130)/100,0),0)</f>
        <v>0</v>
      </c>
      <c r="L1864" s="31" t="str">
        <f t="shared" si="89"/>
        <v/>
      </c>
      <c r="M1864" s="39"/>
    </row>
    <row r="1865" spans="1:13" ht="18" customHeight="1" x14ac:dyDescent="0.45">
      <c r="A1865" s="37"/>
      <c r="B1865" s="29"/>
      <c r="C1865" s="29"/>
      <c r="D1865" s="28"/>
      <c r="E1865" s="30" t="str">
        <f>IFERROR(VLOOKUP(D1865,KRX종목마스터!$A:$B,2,FALSE),"")</f>
        <v/>
      </c>
      <c r="F1865" s="42"/>
      <c r="G1865" s="42"/>
      <c r="H1865" s="31" t="str">
        <f t="shared" si="87"/>
        <v/>
      </c>
      <c r="I1865" s="43">
        <f ca="1">IFERROR(SUMPRODUCT((참고!$A$31:$A$130=C1865)*(참고!$B$31:$B$130&lt;=A1865)*(참고!$B$31:$B$130=_xludf.MAXIFS(참고!$B$31:$B$130,참고!$A$31:$A$130,C1865,참고!$B$31:$B$130,"&lt;="&amp;A1865))*참고!$C$31:$C$130)/100,0)</f>
        <v>0</v>
      </c>
      <c r="J1865" s="31" t="str">
        <f t="shared" si="88"/>
        <v/>
      </c>
      <c r="K1865" s="43">
        <f>IF(B1865="매도",IFERROR(SUMPRODUCT((참고!$A$31:$A$130=C1865)*(참고!$B$31:$B$130&lt;=A1865)*(참고!$B$31:$B$130=_xludf.MAXIFS(참고!$B$31:$B$130,참고!$A$31:$A$130,C1865,참고!$B$31:$B$130,"&lt;="&amp;A1865))*참고!$D$31:$D$130)/100,0),0)</f>
        <v>0</v>
      </c>
      <c r="L1865" s="31" t="str">
        <f t="shared" si="89"/>
        <v/>
      </c>
      <c r="M1865" s="39"/>
    </row>
    <row r="1866" spans="1:13" ht="18" customHeight="1" x14ac:dyDescent="0.45">
      <c r="A1866" s="37"/>
      <c r="B1866" s="29"/>
      <c r="C1866" s="29"/>
      <c r="D1866" s="28"/>
      <c r="E1866" s="30" t="str">
        <f>IFERROR(VLOOKUP(D1866,KRX종목마스터!$A:$B,2,FALSE),"")</f>
        <v/>
      </c>
      <c r="F1866" s="42"/>
      <c r="G1866" s="42"/>
      <c r="H1866" s="31" t="str">
        <f t="shared" si="87"/>
        <v/>
      </c>
      <c r="I1866" s="43">
        <f ca="1">IFERROR(SUMPRODUCT((참고!$A$31:$A$130=C1866)*(참고!$B$31:$B$130&lt;=A1866)*(참고!$B$31:$B$130=_xludf.MAXIFS(참고!$B$31:$B$130,참고!$A$31:$A$130,C1866,참고!$B$31:$B$130,"&lt;="&amp;A1866))*참고!$C$31:$C$130)/100,0)</f>
        <v>0</v>
      </c>
      <c r="J1866" s="31" t="str">
        <f t="shared" si="88"/>
        <v/>
      </c>
      <c r="K1866" s="43">
        <f>IF(B1866="매도",IFERROR(SUMPRODUCT((참고!$A$31:$A$130=C1866)*(참고!$B$31:$B$130&lt;=A1866)*(참고!$B$31:$B$130=_xludf.MAXIFS(참고!$B$31:$B$130,참고!$A$31:$A$130,C1866,참고!$B$31:$B$130,"&lt;="&amp;A1866))*참고!$D$31:$D$130)/100,0),0)</f>
        <v>0</v>
      </c>
      <c r="L1866" s="31" t="str">
        <f t="shared" si="89"/>
        <v/>
      </c>
      <c r="M1866" s="39"/>
    </row>
    <row r="1867" spans="1:13" ht="18" customHeight="1" x14ac:dyDescent="0.45">
      <c r="A1867" s="37"/>
      <c r="B1867" s="29"/>
      <c r="C1867" s="29"/>
      <c r="D1867" s="28"/>
      <c r="E1867" s="30" t="str">
        <f>IFERROR(VLOOKUP(D1867,KRX종목마스터!$A:$B,2,FALSE),"")</f>
        <v/>
      </c>
      <c r="F1867" s="42"/>
      <c r="G1867" s="42"/>
      <c r="H1867" s="31" t="str">
        <f t="shared" si="87"/>
        <v/>
      </c>
      <c r="I1867" s="43">
        <f ca="1">IFERROR(SUMPRODUCT((참고!$A$31:$A$130=C1867)*(참고!$B$31:$B$130&lt;=A1867)*(참고!$B$31:$B$130=_xludf.MAXIFS(참고!$B$31:$B$130,참고!$A$31:$A$130,C1867,참고!$B$31:$B$130,"&lt;="&amp;A1867))*참고!$C$31:$C$130)/100,0)</f>
        <v>0</v>
      </c>
      <c r="J1867" s="31" t="str">
        <f t="shared" si="88"/>
        <v/>
      </c>
      <c r="K1867" s="43">
        <f>IF(B1867="매도",IFERROR(SUMPRODUCT((참고!$A$31:$A$130=C1867)*(참고!$B$31:$B$130&lt;=A1867)*(참고!$B$31:$B$130=_xludf.MAXIFS(참고!$B$31:$B$130,참고!$A$31:$A$130,C1867,참고!$B$31:$B$130,"&lt;="&amp;A1867))*참고!$D$31:$D$130)/100,0),0)</f>
        <v>0</v>
      </c>
      <c r="L1867" s="31" t="str">
        <f t="shared" si="89"/>
        <v/>
      </c>
      <c r="M1867" s="39"/>
    </row>
    <row r="1868" spans="1:13" ht="18" customHeight="1" x14ac:dyDescent="0.45">
      <c r="A1868" s="37"/>
      <c r="B1868" s="29"/>
      <c r="C1868" s="29"/>
      <c r="D1868" s="28"/>
      <c r="E1868" s="30" t="str">
        <f>IFERROR(VLOOKUP(D1868,KRX종목마스터!$A:$B,2,FALSE),"")</f>
        <v/>
      </c>
      <c r="F1868" s="42"/>
      <c r="G1868" s="42"/>
      <c r="H1868" s="31" t="str">
        <f t="shared" si="87"/>
        <v/>
      </c>
      <c r="I1868" s="43">
        <f ca="1">IFERROR(SUMPRODUCT((참고!$A$31:$A$130=C1868)*(참고!$B$31:$B$130&lt;=A1868)*(참고!$B$31:$B$130=_xludf.MAXIFS(참고!$B$31:$B$130,참고!$A$31:$A$130,C1868,참고!$B$31:$B$130,"&lt;="&amp;A1868))*참고!$C$31:$C$130)/100,0)</f>
        <v>0</v>
      </c>
      <c r="J1868" s="31" t="str">
        <f t="shared" si="88"/>
        <v/>
      </c>
      <c r="K1868" s="43">
        <f>IF(B1868="매도",IFERROR(SUMPRODUCT((참고!$A$31:$A$130=C1868)*(참고!$B$31:$B$130&lt;=A1868)*(참고!$B$31:$B$130=_xludf.MAXIFS(참고!$B$31:$B$130,참고!$A$31:$A$130,C1868,참고!$B$31:$B$130,"&lt;="&amp;A1868))*참고!$D$31:$D$130)/100,0),0)</f>
        <v>0</v>
      </c>
      <c r="L1868" s="31" t="str">
        <f t="shared" si="89"/>
        <v/>
      </c>
      <c r="M1868" s="39"/>
    </row>
    <row r="1869" spans="1:13" ht="18" customHeight="1" x14ac:dyDescent="0.45">
      <c r="A1869" s="37"/>
      <c r="B1869" s="29"/>
      <c r="C1869" s="29"/>
      <c r="D1869" s="28"/>
      <c r="E1869" s="30" t="str">
        <f>IFERROR(VLOOKUP(D1869,KRX종목마스터!$A:$B,2,FALSE),"")</f>
        <v/>
      </c>
      <c r="F1869" s="42"/>
      <c r="G1869" s="42"/>
      <c r="H1869" s="31" t="str">
        <f t="shared" si="87"/>
        <v/>
      </c>
      <c r="I1869" s="43">
        <f ca="1">IFERROR(SUMPRODUCT((참고!$A$31:$A$130=C1869)*(참고!$B$31:$B$130&lt;=A1869)*(참고!$B$31:$B$130=_xludf.MAXIFS(참고!$B$31:$B$130,참고!$A$31:$A$130,C1869,참고!$B$31:$B$130,"&lt;="&amp;A1869))*참고!$C$31:$C$130)/100,0)</f>
        <v>0</v>
      </c>
      <c r="J1869" s="31" t="str">
        <f t="shared" si="88"/>
        <v/>
      </c>
      <c r="K1869" s="43">
        <f>IF(B1869="매도",IFERROR(SUMPRODUCT((참고!$A$31:$A$130=C1869)*(참고!$B$31:$B$130&lt;=A1869)*(참고!$B$31:$B$130=_xludf.MAXIFS(참고!$B$31:$B$130,참고!$A$31:$A$130,C1869,참고!$B$31:$B$130,"&lt;="&amp;A1869))*참고!$D$31:$D$130)/100,0),0)</f>
        <v>0</v>
      </c>
      <c r="L1869" s="31" t="str">
        <f t="shared" si="89"/>
        <v/>
      </c>
      <c r="M1869" s="39"/>
    </row>
    <row r="1870" spans="1:13" ht="18" customHeight="1" x14ac:dyDescent="0.45">
      <c r="A1870" s="37"/>
      <c r="B1870" s="29"/>
      <c r="C1870" s="29"/>
      <c r="D1870" s="28"/>
      <c r="E1870" s="30" t="str">
        <f>IFERROR(VLOOKUP(D1870,KRX종목마스터!$A:$B,2,FALSE),"")</f>
        <v/>
      </c>
      <c r="F1870" s="42"/>
      <c r="G1870" s="42"/>
      <c r="H1870" s="31" t="str">
        <f t="shared" si="87"/>
        <v/>
      </c>
      <c r="I1870" s="43">
        <f ca="1">IFERROR(SUMPRODUCT((참고!$A$31:$A$130=C1870)*(참고!$B$31:$B$130&lt;=A1870)*(참고!$B$31:$B$130=_xludf.MAXIFS(참고!$B$31:$B$130,참고!$A$31:$A$130,C1870,참고!$B$31:$B$130,"&lt;="&amp;A1870))*참고!$C$31:$C$130)/100,0)</f>
        <v>0</v>
      </c>
      <c r="J1870" s="31" t="str">
        <f t="shared" si="88"/>
        <v/>
      </c>
      <c r="K1870" s="43">
        <f>IF(B1870="매도",IFERROR(SUMPRODUCT((참고!$A$31:$A$130=C1870)*(참고!$B$31:$B$130&lt;=A1870)*(참고!$B$31:$B$130=_xludf.MAXIFS(참고!$B$31:$B$130,참고!$A$31:$A$130,C1870,참고!$B$31:$B$130,"&lt;="&amp;A1870))*참고!$D$31:$D$130)/100,0),0)</f>
        <v>0</v>
      </c>
      <c r="L1870" s="31" t="str">
        <f t="shared" si="89"/>
        <v/>
      </c>
      <c r="M1870" s="39"/>
    </row>
    <row r="1871" spans="1:13" ht="18" customHeight="1" x14ac:dyDescent="0.45">
      <c r="A1871" s="37"/>
      <c r="B1871" s="29"/>
      <c r="C1871" s="29"/>
      <c r="D1871" s="28"/>
      <c r="E1871" s="30" t="str">
        <f>IFERROR(VLOOKUP(D1871,KRX종목마스터!$A:$B,2,FALSE),"")</f>
        <v/>
      </c>
      <c r="F1871" s="42"/>
      <c r="G1871" s="42"/>
      <c r="H1871" s="31" t="str">
        <f t="shared" si="87"/>
        <v/>
      </c>
      <c r="I1871" s="43">
        <f ca="1">IFERROR(SUMPRODUCT((참고!$A$31:$A$130=C1871)*(참고!$B$31:$B$130&lt;=A1871)*(참고!$B$31:$B$130=_xludf.MAXIFS(참고!$B$31:$B$130,참고!$A$31:$A$130,C1871,참고!$B$31:$B$130,"&lt;="&amp;A1871))*참고!$C$31:$C$130)/100,0)</f>
        <v>0</v>
      </c>
      <c r="J1871" s="31" t="str">
        <f t="shared" si="88"/>
        <v/>
      </c>
      <c r="K1871" s="43">
        <f>IF(B1871="매도",IFERROR(SUMPRODUCT((참고!$A$31:$A$130=C1871)*(참고!$B$31:$B$130&lt;=A1871)*(참고!$B$31:$B$130=_xludf.MAXIFS(참고!$B$31:$B$130,참고!$A$31:$A$130,C1871,참고!$B$31:$B$130,"&lt;="&amp;A1871))*참고!$D$31:$D$130)/100,0),0)</f>
        <v>0</v>
      </c>
      <c r="L1871" s="31" t="str">
        <f t="shared" si="89"/>
        <v/>
      </c>
      <c r="M1871" s="39"/>
    </row>
    <row r="1872" spans="1:13" ht="18" customHeight="1" x14ac:dyDescent="0.45">
      <c r="A1872" s="37"/>
      <c r="B1872" s="29"/>
      <c r="C1872" s="29"/>
      <c r="D1872" s="28"/>
      <c r="E1872" s="30" t="str">
        <f>IFERROR(VLOOKUP(D1872,KRX종목마스터!$A:$B,2,FALSE),"")</f>
        <v/>
      </c>
      <c r="F1872" s="42"/>
      <c r="G1872" s="42"/>
      <c r="H1872" s="31" t="str">
        <f t="shared" si="87"/>
        <v/>
      </c>
      <c r="I1872" s="43">
        <f ca="1">IFERROR(SUMPRODUCT((참고!$A$31:$A$130=C1872)*(참고!$B$31:$B$130&lt;=A1872)*(참고!$B$31:$B$130=_xludf.MAXIFS(참고!$B$31:$B$130,참고!$A$31:$A$130,C1872,참고!$B$31:$B$130,"&lt;="&amp;A1872))*참고!$C$31:$C$130)/100,0)</f>
        <v>0</v>
      </c>
      <c r="J1872" s="31" t="str">
        <f t="shared" si="88"/>
        <v/>
      </c>
      <c r="K1872" s="43">
        <f>IF(B1872="매도",IFERROR(SUMPRODUCT((참고!$A$31:$A$130=C1872)*(참고!$B$31:$B$130&lt;=A1872)*(참고!$B$31:$B$130=_xludf.MAXIFS(참고!$B$31:$B$130,참고!$A$31:$A$130,C1872,참고!$B$31:$B$130,"&lt;="&amp;A1872))*참고!$D$31:$D$130)/100,0),0)</f>
        <v>0</v>
      </c>
      <c r="L1872" s="31" t="str">
        <f t="shared" si="89"/>
        <v/>
      </c>
      <c r="M1872" s="39"/>
    </row>
    <row r="1873" spans="1:13" ht="18" customHeight="1" x14ac:dyDescent="0.45">
      <c r="A1873" s="37"/>
      <c r="B1873" s="29"/>
      <c r="C1873" s="29"/>
      <c r="D1873" s="28"/>
      <c r="E1873" s="30" t="str">
        <f>IFERROR(VLOOKUP(D1873,KRX종목마스터!$A:$B,2,FALSE),"")</f>
        <v/>
      </c>
      <c r="F1873" s="42"/>
      <c r="G1873" s="42"/>
      <c r="H1873" s="31" t="str">
        <f t="shared" si="87"/>
        <v/>
      </c>
      <c r="I1873" s="43">
        <f ca="1">IFERROR(SUMPRODUCT((참고!$A$31:$A$130=C1873)*(참고!$B$31:$B$130&lt;=A1873)*(참고!$B$31:$B$130=_xludf.MAXIFS(참고!$B$31:$B$130,참고!$A$31:$A$130,C1873,참고!$B$31:$B$130,"&lt;="&amp;A1873))*참고!$C$31:$C$130)/100,0)</f>
        <v>0</v>
      </c>
      <c r="J1873" s="31" t="str">
        <f t="shared" si="88"/>
        <v/>
      </c>
      <c r="K1873" s="43">
        <f>IF(B1873="매도",IFERROR(SUMPRODUCT((참고!$A$31:$A$130=C1873)*(참고!$B$31:$B$130&lt;=A1873)*(참고!$B$31:$B$130=_xludf.MAXIFS(참고!$B$31:$B$130,참고!$A$31:$A$130,C1873,참고!$B$31:$B$130,"&lt;="&amp;A1873))*참고!$D$31:$D$130)/100,0),0)</f>
        <v>0</v>
      </c>
      <c r="L1873" s="31" t="str">
        <f t="shared" si="89"/>
        <v/>
      </c>
      <c r="M1873" s="39"/>
    </row>
    <row r="1874" spans="1:13" ht="18" customHeight="1" x14ac:dyDescent="0.45">
      <c r="A1874" s="37"/>
      <c r="B1874" s="29"/>
      <c r="C1874" s="29"/>
      <c r="D1874" s="28"/>
      <c r="E1874" s="30" t="str">
        <f>IFERROR(VLOOKUP(D1874,KRX종목마스터!$A:$B,2,FALSE),"")</f>
        <v/>
      </c>
      <c r="F1874" s="42"/>
      <c r="G1874" s="42"/>
      <c r="H1874" s="31" t="str">
        <f t="shared" si="87"/>
        <v/>
      </c>
      <c r="I1874" s="43">
        <f ca="1">IFERROR(SUMPRODUCT((참고!$A$31:$A$130=C1874)*(참고!$B$31:$B$130&lt;=A1874)*(참고!$B$31:$B$130=_xludf.MAXIFS(참고!$B$31:$B$130,참고!$A$31:$A$130,C1874,참고!$B$31:$B$130,"&lt;="&amp;A1874))*참고!$C$31:$C$130)/100,0)</f>
        <v>0</v>
      </c>
      <c r="J1874" s="31" t="str">
        <f t="shared" si="88"/>
        <v/>
      </c>
      <c r="K1874" s="43">
        <f>IF(B1874="매도",IFERROR(SUMPRODUCT((참고!$A$31:$A$130=C1874)*(참고!$B$31:$B$130&lt;=A1874)*(참고!$B$31:$B$130=_xludf.MAXIFS(참고!$B$31:$B$130,참고!$A$31:$A$130,C1874,참고!$B$31:$B$130,"&lt;="&amp;A1874))*참고!$D$31:$D$130)/100,0),0)</f>
        <v>0</v>
      </c>
      <c r="L1874" s="31" t="str">
        <f t="shared" si="89"/>
        <v/>
      </c>
      <c r="M1874" s="39"/>
    </row>
    <row r="1875" spans="1:13" ht="18" customHeight="1" x14ac:dyDescent="0.45">
      <c r="A1875" s="37"/>
      <c r="B1875" s="29"/>
      <c r="C1875" s="29"/>
      <c r="D1875" s="28"/>
      <c r="E1875" s="30" t="str">
        <f>IFERROR(VLOOKUP(D1875,KRX종목마스터!$A:$B,2,FALSE),"")</f>
        <v/>
      </c>
      <c r="F1875" s="42"/>
      <c r="G1875" s="42"/>
      <c r="H1875" s="31" t="str">
        <f t="shared" si="87"/>
        <v/>
      </c>
      <c r="I1875" s="43">
        <f ca="1">IFERROR(SUMPRODUCT((참고!$A$31:$A$130=C1875)*(참고!$B$31:$B$130&lt;=A1875)*(참고!$B$31:$B$130=_xludf.MAXIFS(참고!$B$31:$B$130,참고!$A$31:$A$130,C1875,참고!$B$31:$B$130,"&lt;="&amp;A1875))*참고!$C$31:$C$130)/100,0)</f>
        <v>0</v>
      </c>
      <c r="J1875" s="31" t="str">
        <f t="shared" si="88"/>
        <v/>
      </c>
      <c r="K1875" s="43">
        <f>IF(B1875="매도",IFERROR(SUMPRODUCT((참고!$A$31:$A$130=C1875)*(참고!$B$31:$B$130&lt;=A1875)*(참고!$B$31:$B$130=_xludf.MAXIFS(참고!$B$31:$B$130,참고!$A$31:$A$130,C1875,참고!$B$31:$B$130,"&lt;="&amp;A1875))*참고!$D$31:$D$130)/100,0),0)</f>
        <v>0</v>
      </c>
      <c r="L1875" s="31" t="str">
        <f t="shared" si="89"/>
        <v/>
      </c>
      <c r="M1875" s="39"/>
    </row>
    <row r="1876" spans="1:13" ht="18" customHeight="1" x14ac:dyDescent="0.45">
      <c r="A1876" s="37"/>
      <c r="B1876" s="29"/>
      <c r="C1876" s="29"/>
      <c r="D1876" s="28"/>
      <c r="E1876" s="30" t="str">
        <f>IFERROR(VLOOKUP(D1876,KRX종목마스터!$A:$B,2,FALSE),"")</f>
        <v/>
      </c>
      <c r="F1876" s="42"/>
      <c r="G1876" s="42"/>
      <c r="H1876" s="31" t="str">
        <f t="shared" si="87"/>
        <v/>
      </c>
      <c r="I1876" s="43">
        <f ca="1">IFERROR(SUMPRODUCT((참고!$A$31:$A$130=C1876)*(참고!$B$31:$B$130&lt;=A1876)*(참고!$B$31:$B$130=_xludf.MAXIFS(참고!$B$31:$B$130,참고!$A$31:$A$130,C1876,참고!$B$31:$B$130,"&lt;="&amp;A1876))*참고!$C$31:$C$130)/100,0)</f>
        <v>0</v>
      </c>
      <c r="J1876" s="31" t="str">
        <f t="shared" si="88"/>
        <v/>
      </c>
      <c r="K1876" s="43">
        <f>IF(B1876="매도",IFERROR(SUMPRODUCT((참고!$A$31:$A$130=C1876)*(참고!$B$31:$B$130&lt;=A1876)*(참고!$B$31:$B$130=_xludf.MAXIFS(참고!$B$31:$B$130,참고!$A$31:$A$130,C1876,참고!$B$31:$B$130,"&lt;="&amp;A1876))*참고!$D$31:$D$130)/100,0),0)</f>
        <v>0</v>
      </c>
      <c r="L1876" s="31" t="str">
        <f t="shared" si="89"/>
        <v/>
      </c>
      <c r="M1876" s="39"/>
    </row>
    <row r="1877" spans="1:13" ht="18" customHeight="1" x14ac:dyDescent="0.45">
      <c r="A1877" s="37"/>
      <c r="B1877" s="29"/>
      <c r="C1877" s="29"/>
      <c r="D1877" s="28"/>
      <c r="E1877" s="30" t="str">
        <f>IFERROR(VLOOKUP(D1877,KRX종목마스터!$A:$B,2,FALSE),"")</f>
        <v/>
      </c>
      <c r="F1877" s="42"/>
      <c r="G1877" s="42"/>
      <c r="H1877" s="31" t="str">
        <f t="shared" si="87"/>
        <v/>
      </c>
      <c r="I1877" s="43">
        <f ca="1">IFERROR(SUMPRODUCT((참고!$A$31:$A$130=C1877)*(참고!$B$31:$B$130&lt;=A1877)*(참고!$B$31:$B$130=_xludf.MAXIFS(참고!$B$31:$B$130,참고!$A$31:$A$130,C1877,참고!$B$31:$B$130,"&lt;="&amp;A1877))*참고!$C$31:$C$130)/100,0)</f>
        <v>0</v>
      </c>
      <c r="J1877" s="31" t="str">
        <f t="shared" si="88"/>
        <v/>
      </c>
      <c r="K1877" s="43">
        <f>IF(B1877="매도",IFERROR(SUMPRODUCT((참고!$A$31:$A$130=C1877)*(참고!$B$31:$B$130&lt;=A1877)*(참고!$B$31:$B$130=_xludf.MAXIFS(참고!$B$31:$B$130,참고!$A$31:$A$130,C1877,참고!$B$31:$B$130,"&lt;="&amp;A1877))*참고!$D$31:$D$130)/100,0),0)</f>
        <v>0</v>
      </c>
      <c r="L1877" s="31" t="str">
        <f t="shared" si="89"/>
        <v/>
      </c>
      <c r="M1877" s="39"/>
    </row>
    <row r="1878" spans="1:13" ht="18" customHeight="1" x14ac:dyDescent="0.45">
      <c r="A1878" s="37"/>
      <c r="B1878" s="29"/>
      <c r="C1878" s="29"/>
      <c r="D1878" s="28"/>
      <c r="E1878" s="30" t="str">
        <f>IFERROR(VLOOKUP(D1878,KRX종목마스터!$A:$B,2,FALSE),"")</f>
        <v/>
      </c>
      <c r="F1878" s="42"/>
      <c r="G1878" s="42"/>
      <c r="H1878" s="31" t="str">
        <f t="shared" si="87"/>
        <v/>
      </c>
      <c r="I1878" s="43">
        <f ca="1">IFERROR(SUMPRODUCT((참고!$A$31:$A$130=C1878)*(참고!$B$31:$B$130&lt;=A1878)*(참고!$B$31:$B$130=_xludf.MAXIFS(참고!$B$31:$B$130,참고!$A$31:$A$130,C1878,참고!$B$31:$B$130,"&lt;="&amp;A1878))*참고!$C$31:$C$130)/100,0)</f>
        <v>0</v>
      </c>
      <c r="J1878" s="31" t="str">
        <f t="shared" si="88"/>
        <v/>
      </c>
      <c r="K1878" s="43">
        <f>IF(B1878="매도",IFERROR(SUMPRODUCT((참고!$A$31:$A$130=C1878)*(참고!$B$31:$B$130&lt;=A1878)*(참고!$B$31:$B$130=_xludf.MAXIFS(참고!$B$31:$B$130,참고!$A$31:$A$130,C1878,참고!$B$31:$B$130,"&lt;="&amp;A1878))*참고!$D$31:$D$130)/100,0),0)</f>
        <v>0</v>
      </c>
      <c r="L1878" s="31" t="str">
        <f t="shared" si="89"/>
        <v/>
      </c>
      <c r="M1878" s="39"/>
    </row>
    <row r="1879" spans="1:13" ht="18" customHeight="1" x14ac:dyDescent="0.45">
      <c r="A1879" s="37"/>
      <c r="B1879" s="29"/>
      <c r="C1879" s="29"/>
      <c r="D1879" s="28"/>
      <c r="E1879" s="30" t="str">
        <f>IFERROR(VLOOKUP(D1879,KRX종목마스터!$A:$B,2,FALSE),"")</f>
        <v/>
      </c>
      <c r="F1879" s="42"/>
      <c r="G1879" s="42"/>
      <c r="H1879" s="31" t="str">
        <f t="shared" si="87"/>
        <v/>
      </c>
      <c r="I1879" s="43">
        <f ca="1">IFERROR(SUMPRODUCT((참고!$A$31:$A$130=C1879)*(참고!$B$31:$B$130&lt;=A1879)*(참고!$B$31:$B$130=_xludf.MAXIFS(참고!$B$31:$B$130,참고!$A$31:$A$130,C1879,참고!$B$31:$B$130,"&lt;="&amp;A1879))*참고!$C$31:$C$130)/100,0)</f>
        <v>0</v>
      </c>
      <c r="J1879" s="31" t="str">
        <f t="shared" si="88"/>
        <v/>
      </c>
      <c r="K1879" s="43">
        <f>IF(B1879="매도",IFERROR(SUMPRODUCT((참고!$A$31:$A$130=C1879)*(참고!$B$31:$B$130&lt;=A1879)*(참고!$B$31:$B$130=_xludf.MAXIFS(참고!$B$31:$B$130,참고!$A$31:$A$130,C1879,참고!$B$31:$B$130,"&lt;="&amp;A1879))*참고!$D$31:$D$130)/100,0),0)</f>
        <v>0</v>
      </c>
      <c r="L1879" s="31" t="str">
        <f t="shared" si="89"/>
        <v/>
      </c>
      <c r="M1879" s="39"/>
    </row>
    <row r="1880" spans="1:13" ht="18" customHeight="1" x14ac:dyDescent="0.45">
      <c r="A1880" s="37"/>
      <c r="B1880" s="29"/>
      <c r="C1880" s="29"/>
      <c r="D1880" s="28"/>
      <c r="E1880" s="30" t="str">
        <f>IFERROR(VLOOKUP(D1880,KRX종목마스터!$A:$B,2,FALSE),"")</f>
        <v/>
      </c>
      <c r="F1880" s="42"/>
      <c r="G1880" s="42"/>
      <c r="H1880" s="31" t="str">
        <f t="shared" si="87"/>
        <v/>
      </c>
      <c r="I1880" s="43">
        <f ca="1">IFERROR(SUMPRODUCT((참고!$A$31:$A$130=C1880)*(참고!$B$31:$B$130&lt;=A1880)*(참고!$B$31:$B$130=_xludf.MAXIFS(참고!$B$31:$B$130,참고!$A$31:$A$130,C1880,참고!$B$31:$B$130,"&lt;="&amp;A1880))*참고!$C$31:$C$130)/100,0)</f>
        <v>0</v>
      </c>
      <c r="J1880" s="31" t="str">
        <f t="shared" si="88"/>
        <v/>
      </c>
      <c r="K1880" s="43">
        <f>IF(B1880="매도",IFERROR(SUMPRODUCT((참고!$A$31:$A$130=C1880)*(참고!$B$31:$B$130&lt;=A1880)*(참고!$B$31:$B$130=_xludf.MAXIFS(참고!$B$31:$B$130,참고!$A$31:$A$130,C1880,참고!$B$31:$B$130,"&lt;="&amp;A1880))*참고!$D$31:$D$130)/100,0),0)</f>
        <v>0</v>
      </c>
      <c r="L1880" s="31" t="str">
        <f t="shared" si="89"/>
        <v/>
      </c>
      <c r="M1880" s="39"/>
    </row>
    <row r="1881" spans="1:13" ht="18" customHeight="1" x14ac:dyDescent="0.45">
      <c r="A1881" s="37"/>
      <c r="B1881" s="29"/>
      <c r="C1881" s="29"/>
      <c r="D1881" s="28"/>
      <c r="E1881" s="30" t="str">
        <f>IFERROR(VLOOKUP(D1881,KRX종목마스터!$A:$B,2,FALSE),"")</f>
        <v/>
      </c>
      <c r="F1881" s="42"/>
      <c r="G1881" s="42"/>
      <c r="H1881" s="31" t="str">
        <f t="shared" si="87"/>
        <v/>
      </c>
      <c r="I1881" s="43">
        <f ca="1">IFERROR(SUMPRODUCT((참고!$A$31:$A$130=C1881)*(참고!$B$31:$B$130&lt;=A1881)*(참고!$B$31:$B$130=_xludf.MAXIFS(참고!$B$31:$B$130,참고!$A$31:$A$130,C1881,참고!$B$31:$B$130,"&lt;="&amp;A1881))*참고!$C$31:$C$130)/100,0)</f>
        <v>0</v>
      </c>
      <c r="J1881" s="31" t="str">
        <f t="shared" si="88"/>
        <v/>
      </c>
      <c r="K1881" s="43">
        <f>IF(B1881="매도",IFERROR(SUMPRODUCT((참고!$A$31:$A$130=C1881)*(참고!$B$31:$B$130&lt;=A1881)*(참고!$B$31:$B$130=_xludf.MAXIFS(참고!$B$31:$B$130,참고!$A$31:$A$130,C1881,참고!$B$31:$B$130,"&lt;="&amp;A1881))*참고!$D$31:$D$130)/100,0),0)</f>
        <v>0</v>
      </c>
      <c r="L1881" s="31" t="str">
        <f t="shared" si="89"/>
        <v/>
      </c>
      <c r="M1881" s="39"/>
    </row>
    <row r="1882" spans="1:13" ht="18" customHeight="1" x14ac:dyDescent="0.45">
      <c r="A1882" s="37"/>
      <c r="B1882" s="29"/>
      <c r="C1882" s="29"/>
      <c r="D1882" s="28"/>
      <c r="E1882" s="30" t="str">
        <f>IFERROR(VLOOKUP(D1882,KRX종목마스터!$A:$B,2,FALSE),"")</f>
        <v/>
      </c>
      <c r="F1882" s="42"/>
      <c r="G1882" s="42"/>
      <c r="H1882" s="31" t="str">
        <f t="shared" si="87"/>
        <v/>
      </c>
      <c r="I1882" s="43">
        <f ca="1">IFERROR(SUMPRODUCT((참고!$A$31:$A$130=C1882)*(참고!$B$31:$B$130&lt;=A1882)*(참고!$B$31:$B$130=_xludf.MAXIFS(참고!$B$31:$B$130,참고!$A$31:$A$130,C1882,참고!$B$31:$B$130,"&lt;="&amp;A1882))*참고!$C$31:$C$130)/100,0)</f>
        <v>0</v>
      </c>
      <c r="J1882" s="31" t="str">
        <f t="shared" si="88"/>
        <v/>
      </c>
      <c r="K1882" s="43">
        <f>IF(B1882="매도",IFERROR(SUMPRODUCT((참고!$A$31:$A$130=C1882)*(참고!$B$31:$B$130&lt;=A1882)*(참고!$B$31:$B$130=_xludf.MAXIFS(참고!$B$31:$B$130,참고!$A$31:$A$130,C1882,참고!$B$31:$B$130,"&lt;="&amp;A1882))*참고!$D$31:$D$130)/100,0),0)</f>
        <v>0</v>
      </c>
      <c r="L1882" s="31" t="str">
        <f t="shared" si="89"/>
        <v/>
      </c>
      <c r="M1882" s="39"/>
    </row>
    <row r="1883" spans="1:13" ht="18" customHeight="1" x14ac:dyDescent="0.45">
      <c r="A1883" s="37"/>
      <c r="B1883" s="29"/>
      <c r="C1883" s="29"/>
      <c r="D1883" s="28"/>
      <c r="E1883" s="30" t="str">
        <f>IFERROR(VLOOKUP(D1883,KRX종목마스터!$A:$B,2,FALSE),"")</f>
        <v/>
      </c>
      <c r="F1883" s="42"/>
      <c r="G1883" s="42"/>
      <c r="H1883" s="31" t="str">
        <f t="shared" si="87"/>
        <v/>
      </c>
      <c r="I1883" s="43">
        <f ca="1">IFERROR(SUMPRODUCT((참고!$A$31:$A$130=C1883)*(참고!$B$31:$B$130&lt;=A1883)*(참고!$B$31:$B$130=_xludf.MAXIFS(참고!$B$31:$B$130,참고!$A$31:$A$130,C1883,참고!$B$31:$B$130,"&lt;="&amp;A1883))*참고!$C$31:$C$130)/100,0)</f>
        <v>0</v>
      </c>
      <c r="J1883" s="31" t="str">
        <f t="shared" si="88"/>
        <v/>
      </c>
      <c r="K1883" s="43">
        <f>IF(B1883="매도",IFERROR(SUMPRODUCT((참고!$A$31:$A$130=C1883)*(참고!$B$31:$B$130&lt;=A1883)*(참고!$B$31:$B$130=_xludf.MAXIFS(참고!$B$31:$B$130,참고!$A$31:$A$130,C1883,참고!$B$31:$B$130,"&lt;="&amp;A1883))*참고!$D$31:$D$130)/100,0),0)</f>
        <v>0</v>
      </c>
      <c r="L1883" s="31" t="str">
        <f t="shared" si="89"/>
        <v/>
      </c>
      <c r="M1883" s="39"/>
    </row>
    <row r="1884" spans="1:13" ht="18" customHeight="1" x14ac:dyDescent="0.45">
      <c r="A1884" s="37"/>
      <c r="B1884" s="29"/>
      <c r="C1884" s="29"/>
      <c r="D1884" s="28"/>
      <c r="E1884" s="30" t="str">
        <f>IFERROR(VLOOKUP(D1884,KRX종목마스터!$A:$B,2,FALSE),"")</f>
        <v/>
      </c>
      <c r="F1884" s="42"/>
      <c r="G1884" s="42"/>
      <c r="H1884" s="31" t="str">
        <f t="shared" si="87"/>
        <v/>
      </c>
      <c r="I1884" s="43">
        <f ca="1">IFERROR(SUMPRODUCT((참고!$A$31:$A$130=C1884)*(참고!$B$31:$B$130&lt;=A1884)*(참고!$B$31:$B$130=_xludf.MAXIFS(참고!$B$31:$B$130,참고!$A$31:$A$130,C1884,참고!$B$31:$B$130,"&lt;="&amp;A1884))*참고!$C$31:$C$130)/100,0)</f>
        <v>0</v>
      </c>
      <c r="J1884" s="31" t="str">
        <f t="shared" si="88"/>
        <v/>
      </c>
      <c r="K1884" s="43">
        <f>IF(B1884="매도",IFERROR(SUMPRODUCT((참고!$A$31:$A$130=C1884)*(참고!$B$31:$B$130&lt;=A1884)*(참고!$B$31:$B$130=_xludf.MAXIFS(참고!$B$31:$B$130,참고!$A$31:$A$130,C1884,참고!$B$31:$B$130,"&lt;="&amp;A1884))*참고!$D$31:$D$130)/100,0),0)</f>
        <v>0</v>
      </c>
      <c r="L1884" s="31" t="str">
        <f t="shared" si="89"/>
        <v/>
      </c>
      <c r="M1884" s="39"/>
    </row>
    <row r="1885" spans="1:13" ht="18" customHeight="1" x14ac:dyDescent="0.45">
      <c r="A1885" s="37"/>
      <c r="B1885" s="29"/>
      <c r="C1885" s="29"/>
      <c r="D1885" s="28"/>
      <c r="E1885" s="30" t="str">
        <f>IFERROR(VLOOKUP(D1885,KRX종목마스터!$A:$B,2,FALSE),"")</f>
        <v/>
      </c>
      <c r="F1885" s="42"/>
      <c r="G1885" s="42"/>
      <c r="H1885" s="31" t="str">
        <f t="shared" si="87"/>
        <v/>
      </c>
      <c r="I1885" s="43">
        <f ca="1">IFERROR(SUMPRODUCT((참고!$A$31:$A$130=C1885)*(참고!$B$31:$B$130&lt;=A1885)*(참고!$B$31:$B$130=_xludf.MAXIFS(참고!$B$31:$B$130,참고!$A$31:$A$130,C1885,참고!$B$31:$B$130,"&lt;="&amp;A1885))*참고!$C$31:$C$130)/100,0)</f>
        <v>0</v>
      </c>
      <c r="J1885" s="31" t="str">
        <f t="shared" si="88"/>
        <v/>
      </c>
      <c r="K1885" s="43">
        <f>IF(B1885="매도",IFERROR(SUMPRODUCT((참고!$A$31:$A$130=C1885)*(참고!$B$31:$B$130&lt;=A1885)*(참고!$B$31:$B$130=_xludf.MAXIFS(참고!$B$31:$B$130,참고!$A$31:$A$130,C1885,참고!$B$31:$B$130,"&lt;="&amp;A1885))*참고!$D$31:$D$130)/100,0),0)</f>
        <v>0</v>
      </c>
      <c r="L1885" s="31" t="str">
        <f t="shared" si="89"/>
        <v/>
      </c>
      <c r="M1885" s="39"/>
    </row>
    <row r="1886" spans="1:13" ht="18" customHeight="1" x14ac:dyDescent="0.45">
      <c r="A1886" s="37"/>
      <c r="B1886" s="29"/>
      <c r="C1886" s="29"/>
      <c r="D1886" s="28"/>
      <c r="E1886" s="30" t="str">
        <f>IFERROR(VLOOKUP(D1886,KRX종목마스터!$A:$B,2,FALSE),"")</f>
        <v/>
      </c>
      <c r="F1886" s="42"/>
      <c r="G1886" s="42"/>
      <c r="H1886" s="31" t="str">
        <f t="shared" si="87"/>
        <v/>
      </c>
      <c r="I1886" s="43">
        <f ca="1">IFERROR(SUMPRODUCT((참고!$A$31:$A$130=C1886)*(참고!$B$31:$B$130&lt;=A1886)*(참고!$B$31:$B$130=_xludf.MAXIFS(참고!$B$31:$B$130,참고!$A$31:$A$130,C1886,참고!$B$31:$B$130,"&lt;="&amp;A1886))*참고!$C$31:$C$130)/100,0)</f>
        <v>0</v>
      </c>
      <c r="J1886" s="31" t="str">
        <f t="shared" si="88"/>
        <v/>
      </c>
      <c r="K1886" s="43">
        <f>IF(B1886="매도",IFERROR(SUMPRODUCT((참고!$A$31:$A$130=C1886)*(참고!$B$31:$B$130&lt;=A1886)*(참고!$B$31:$B$130=_xludf.MAXIFS(참고!$B$31:$B$130,참고!$A$31:$A$130,C1886,참고!$B$31:$B$130,"&lt;="&amp;A1886))*참고!$D$31:$D$130)/100,0),0)</f>
        <v>0</v>
      </c>
      <c r="L1886" s="31" t="str">
        <f t="shared" si="89"/>
        <v/>
      </c>
      <c r="M1886" s="39"/>
    </row>
    <row r="1887" spans="1:13" ht="18" customHeight="1" x14ac:dyDescent="0.45">
      <c r="A1887" s="37"/>
      <c r="B1887" s="29"/>
      <c r="C1887" s="29"/>
      <c r="D1887" s="28"/>
      <c r="E1887" s="30" t="str">
        <f>IFERROR(VLOOKUP(D1887,KRX종목마스터!$A:$B,2,FALSE),"")</f>
        <v/>
      </c>
      <c r="F1887" s="42"/>
      <c r="G1887" s="42"/>
      <c r="H1887" s="31" t="str">
        <f t="shared" si="87"/>
        <v/>
      </c>
      <c r="I1887" s="43">
        <f ca="1">IFERROR(SUMPRODUCT((참고!$A$31:$A$130=C1887)*(참고!$B$31:$B$130&lt;=A1887)*(참고!$B$31:$B$130=_xludf.MAXIFS(참고!$B$31:$B$130,참고!$A$31:$A$130,C1887,참고!$B$31:$B$130,"&lt;="&amp;A1887))*참고!$C$31:$C$130)/100,0)</f>
        <v>0</v>
      </c>
      <c r="J1887" s="31" t="str">
        <f t="shared" si="88"/>
        <v/>
      </c>
      <c r="K1887" s="43">
        <f>IF(B1887="매도",IFERROR(SUMPRODUCT((참고!$A$31:$A$130=C1887)*(참고!$B$31:$B$130&lt;=A1887)*(참고!$B$31:$B$130=_xludf.MAXIFS(참고!$B$31:$B$130,참고!$A$31:$A$130,C1887,참고!$B$31:$B$130,"&lt;="&amp;A1887))*참고!$D$31:$D$130)/100,0),0)</f>
        <v>0</v>
      </c>
      <c r="L1887" s="31" t="str">
        <f t="shared" si="89"/>
        <v/>
      </c>
      <c r="M1887" s="39"/>
    </row>
    <row r="1888" spans="1:13" ht="18" customHeight="1" x14ac:dyDescent="0.45">
      <c r="A1888" s="37"/>
      <c r="B1888" s="29"/>
      <c r="C1888" s="29"/>
      <c r="D1888" s="28"/>
      <c r="E1888" s="30" t="str">
        <f>IFERROR(VLOOKUP(D1888,KRX종목마스터!$A:$B,2,FALSE),"")</f>
        <v/>
      </c>
      <c r="F1888" s="42"/>
      <c r="G1888" s="42"/>
      <c r="H1888" s="31" t="str">
        <f t="shared" si="87"/>
        <v/>
      </c>
      <c r="I1888" s="43">
        <f ca="1">IFERROR(SUMPRODUCT((참고!$A$31:$A$130=C1888)*(참고!$B$31:$B$130&lt;=A1888)*(참고!$B$31:$B$130=_xludf.MAXIFS(참고!$B$31:$B$130,참고!$A$31:$A$130,C1888,참고!$B$31:$B$130,"&lt;="&amp;A1888))*참고!$C$31:$C$130)/100,0)</f>
        <v>0</v>
      </c>
      <c r="J1888" s="31" t="str">
        <f t="shared" si="88"/>
        <v/>
      </c>
      <c r="K1888" s="43">
        <f>IF(B1888="매도",IFERROR(SUMPRODUCT((참고!$A$31:$A$130=C1888)*(참고!$B$31:$B$130&lt;=A1888)*(참고!$B$31:$B$130=_xludf.MAXIFS(참고!$B$31:$B$130,참고!$A$31:$A$130,C1888,참고!$B$31:$B$130,"&lt;="&amp;A1888))*참고!$D$31:$D$130)/100,0),0)</f>
        <v>0</v>
      </c>
      <c r="L1888" s="31" t="str">
        <f t="shared" si="89"/>
        <v/>
      </c>
      <c r="M1888" s="39"/>
    </row>
    <row r="1889" spans="1:13" ht="18" customHeight="1" x14ac:dyDescent="0.45">
      <c r="A1889" s="37"/>
      <c r="B1889" s="29"/>
      <c r="C1889" s="29"/>
      <c r="D1889" s="28"/>
      <c r="E1889" s="30" t="str">
        <f>IFERROR(VLOOKUP(D1889,KRX종목마스터!$A:$B,2,FALSE),"")</f>
        <v/>
      </c>
      <c r="F1889" s="42"/>
      <c r="G1889" s="42"/>
      <c r="H1889" s="31" t="str">
        <f t="shared" si="87"/>
        <v/>
      </c>
      <c r="I1889" s="43">
        <f ca="1">IFERROR(SUMPRODUCT((참고!$A$31:$A$130=C1889)*(참고!$B$31:$B$130&lt;=A1889)*(참고!$B$31:$B$130=_xludf.MAXIFS(참고!$B$31:$B$130,참고!$A$31:$A$130,C1889,참고!$B$31:$B$130,"&lt;="&amp;A1889))*참고!$C$31:$C$130)/100,0)</f>
        <v>0</v>
      </c>
      <c r="J1889" s="31" t="str">
        <f t="shared" si="88"/>
        <v/>
      </c>
      <c r="K1889" s="43">
        <f>IF(B1889="매도",IFERROR(SUMPRODUCT((참고!$A$31:$A$130=C1889)*(참고!$B$31:$B$130&lt;=A1889)*(참고!$B$31:$B$130=_xludf.MAXIFS(참고!$B$31:$B$130,참고!$A$31:$A$130,C1889,참고!$B$31:$B$130,"&lt;="&amp;A1889))*참고!$D$31:$D$130)/100,0),0)</f>
        <v>0</v>
      </c>
      <c r="L1889" s="31" t="str">
        <f t="shared" si="89"/>
        <v/>
      </c>
      <c r="M1889" s="39"/>
    </row>
    <row r="1890" spans="1:13" ht="18" customHeight="1" x14ac:dyDescent="0.45">
      <c r="A1890" s="37"/>
      <c r="B1890" s="29"/>
      <c r="C1890" s="29"/>
      <c r="D1890" s="28"/>
      <c r="E1890" s="30" t="str">
        <f>IFERROR(VLOOKUP(D1890,KRX종목마스터!$A:$B,2,FALSE),"")</f>
        <v/>
      </c>
      <c r="F1890" s="42"/>
      <c r="G1890" s="42"/>
      <c r="H1890" s="31" t="str">
        <f t="shared" si="87"/>
        <v/>
      </c>
      <c r="I1890" s="43">
        <f ca="1">IFERROR(SUMPRODUCT((참고!$A$31:$A$130=C1890)*(참고!$B$31:$B$130&lt;=A1890)*(참고!$B$31:$B$130=_xludf.MAXIFS(참고!$B$31:$B$130,참고!$A$31:$A$130,C1890,참고!$B$31:$B$130,"&lt;="&amp;A1890))*참고!$C$31:$C$130)/100,0)</f>
        <v>0</v>
      </c>
      <c r="J1890" s="31" t="str">
        <f t="shared" si="88"/>
        <v/>
      </c>
      <c r="K1890" s="43">
        <f>IF(B1890="매도",IFERROR(SUMPRODUCT((참고!$A$31:$A$130=C1890)*(참고!$B$31:$B$130&lt;=A1890)*(참고!$B$31:$B$130=_xludf.MAXIFS(참고!$B$31:$B$130,참고!$A$31:$A$130,C1890,참고!$B$31:$B$130,"&lt;="&amp;A1890))*참고!$D$31:$D$130)/100,0),0)</f>
        <v>0</v>
      </c>
      <c r="L1890" s="31" t="str">
        <f t="shared" si="89"/>
        <v/>
      </c>
      <c r="M1890" s="39"/>
    </row>
    <row r="1891" spans="1:13" ht="18" customHeight="1" x14ac:dyDescent="0.45">
      <c r="A1891" s="37"/>
      <c r="B1891" s="29"/>
      <c r="C1891" s="29"/>
      <c r="D1891" s="28"/>
      <c r="E1891" s="30" t="str">
        <f>IFERROR(VLOOKUP(D1891,KRX종목마스터!$A:$B,2,FALSE),"")</f>
        <v/>
      </c>
      <c r="F1891" s="42"/>
      <c r="G1891" s="42"/>
      <c r="H1891" s="31" t="str">
        <f t="shared" si="87"/>
        <v/>
      </c>
      <c r="I1891" s="43">
        <f ca="1">IFERROR(SUMPRODUCT((참고!$A$31:$A$130=C1891)*(참고!$B$31:$B$130&lt;=A1891)*(참고!$B$31:$B$130=_xludf.MAXIFS(참고!$B$31:$B$130,참고!$A$31:$A$130,C1891,참고!$B$31:$B$130,"&lt;="&amp;A1891))*참고!$C$31:$C$130)/100,0)</f>
        <v>0</v>
      </c>
      <c r="J1891" s="31" t="str">
        <f t="shared" si="88"/>
        <v/>
      </c>
      <c r="K1891" s="43">
        <f>IF(B1891="매도",IFERROR(SUMPRODUCT((참고!$A$31:$A$130=C1891)*(참고!$B$31:$B$130&lt;=A1891)*(참고!$B$31:$B$130=_xludf.MAXIFS(참고!$B$31:$B$130,참고!$A$31:$A$130,C1891,참고!$B$31:$B$130,"&lt;="&amp;A1891))*참고!$D$31:$D$130)/100,0),0)</f>
        <v>0</v>
      </c>
      <c r="L1891" s="31" t="str">
        <f t="shared" si="89"/>
        <v/>
      </c>
      <c r="M1891" s="39"/>
    </row>
    <row r="1892" spans="1:13" ht="18" customHeight="1" x14ac:dyDescent="0.45">
      <c r="A1892" s="37"/>
      <c r="B1892" s="29"/>
      <c r="C1892" s="29"/>
      <c r="D1892" s="28"/>
      <c r="E1892" s="30" t="str">
        <f>IFERROR(VLOOKUP(D1892,KRX종목마스터!$A:$B,2,FALSE),"")</f>
        <v/>
      </c>
      <c r="F1892" s="42"/>
      <c r="G1892" s="42"/>
      <c r="H1892" s="31" t="str">
        <f t="shared" si="87"/>
        <v/>
      </c>
      <c r="I1892" s="43">
        <f ca="1">IFERROR(SUMPRODUCT((참고!$A$31:$A$130=C1892)*(참고!$B$31:$B$130&lt;=A1892)*(참고!$B$31:$B$130=_xludf.MAXIFS(참고!$B$31:$B$130,참고!$A$31:$A$130,C1892,참고!$B$31:$B$130,"&lt;="&amp;A1892))*참고!$C$31:$C$130)/100,0)</f>
        <v>0</v>
      </c>
      <c r="J1892" s="31" t="str">
        <f t="shared" si="88"/>
        <v/>
      </c>
      <c r="K1892" s="43">
        <f>IF(B1892="매도",IFERROR(SUMPRODUCT((참고!$A$31:$A$130=C1892)*(참고!$B$31:$B$130&lt;=A1892)*(참고!$B$31:$B$130=_xludf.MAXIFS(참고!$B$31:$B$130,참고!$A$31:$A$130,C1892,참고!$B$31:$B$130,"&lt;="&amp;A1892))*참고!$D$31:$D$130)/100,0),0)</f>
        <v>0</v>
      </c>
      <c r="L1892" s="31" t="str">
        <f t="shared" si="89"/>
        <v/>
      </c>
      <c r="M1892" s="39"/>
    </row>
    <row r="1893" spans="1:13" ht="18" customHeight="1" x14ac:dyDescent="0.45">
      <c r="A1893" s="37"/>
      <c r="B1893" s="29"/>
      <c r="C1893" s="29"/>
      <c r="D1893" s="28"/>
      <c r="E1893" s="30" t="str">
        <f>IFERROR(VLOOKUP(D1893,KRX종목마스터!$A:$B,2,FALSE),"")</f>
        <v/>
      </c>
      <c r="F1893" s="42"/>
      <c r="G1893" s="42"/>
      <c r="H1893" s="31" t="str">
        <f t="shared" si="87"/>
        <v/>
      </c>
      <c r="I1893" s="43">
        <f ca="1">IFERROR(SUMPRODUCT((참고!$A$31:$A$130=C1893)*(참고!$B$31:$B$130&lt;=A1893)*(참고!$B$31:$B$130=_xludf.MAXIFS(참고!$B$31:$B$130,참고!$A$31:$A$130,C1893,참고!$B$31:$B$130,"&lt;="&amp;A1893))*참고!$C$31:$C$130)/100,0)</f>
        <v>0</v>
      </c>
      <c r="J1893" s="31" t="str">
        <f t="shared" si="88"/>
        <v/>
      </c>
      <c r="K1893" s="43">
        <f>IF(B1893="매도",IFERROR(SUMPRODUCT((참고!$A$31:$A$130=C1893)*(참고!$B$31:$B$130&lt;=A1893)*(참고!$B$31:$B$130=_xludf.MAXIFS(참고!$B$31:$B$130,참고!$A$31:$A$130,C1893,참고!$B$31:$B$130,"&lt;="&amp;A1893))*참고!$D$31:$D$130)/100,0),0)</f>
        <v>0</v>
      </c>
      <c r="L1893" s="31" t="str">
        <f t="shared" si="89"/>
        <v/>
      </c>
      <c r="M1893" s="39"/>
    </row>
    <row r="1894" spans="1:13" ht="18" customHeight="1" x14ac:dyDescent="0.45">
      <c r="A1894" s="37"/>
      <c r="B1894" s="29"/>
      <c r="C1894" s="29"/>
      <c r="D1894" s="28"/>
      <c r="E1894" s="30" t="str">
        <f>IFERROR(VLOOKUP(D1894,KRX종목마스터!$A:$B,2,FALSE),"")</f>
        <v/>
      </c>
      <c r="F1894" s="42"/>
      <c r="G1894" s="42"/>
      <c r="H1894" s="31" t="str">
        <f t="shared" si="87"/>
        <v/>
      </c>
      <c r="I1894" s="43">
        <f ca="1">IFERROR(SUMPRODUCT((참고!$A$31:$A$130=C1894)*(참고!$B$31:$B$130&lt;=A1894)*(참고!$B$31:$B$130=_xludf.MAXIFS(참고!$B$31:$B$130,참고!$A$31:$A$130,C1894,참고!$B$31:$B$130,"&lt;="&amp;A1894))*참고!$C$31:$C$130)/100,0)</f>
        <v>0</v>
      </c>
      <c r="J1894" s="31" t="str">
        <f t="shared" si="88"/>
        <v/>
      </c>
      <c r="K1894" s="43">
        <f>IF(B1894="매도",IFERROR(SUMPRODUCT((참고!$A$31:$A$130=C1894)*(참고!$B$31:$B$130&lt;=A1894)*(참고!$B$31:$B$130=_xludf.MAXIFS(참고!$B$31:$B$130,참고!$A$31:$A$130,C1894,참고!$B$31:$B$130,"&lt;="&amp;A1894))*참고!$D$31:$D$130)/100,0),0)</f>
        <v>0</v>
      </c>
      <c r="L1894" s="31" t="str">
        <f t="shared" si="89"/>
        <v/>
      </c>
      <c r="M1894" s="39"/>
    </row>
    <row r="1895" spans="1:13" ht="18" customHeight="1" x14ac:dyDescent="0.45">
      <c r="A1895" s="37"/>
      <c r="B1895" s="29"/>
      <c r="C1895" s="29"/>
      <c r="D1895" s="28"/>
      <c r="E1895" s="30" t="str">
        <f>IFERROR(VLOOKUP(D1895,KRX종목마스터!$A:$B,2,FALSE),"")</f>
        <v/>
      </c>
      <c r="F1895" s="42"/>
      <c r="G1895" s="42"/>
      <c r="H1895" s="31" t="str">
        <f t="shared" si="87"/>
        <v/>
      </c>
      <c r="I1895" s="43">
        <f ca="1">IFERROR(SUMPRODUCT((참고!$A$31:$A$130=C1895)*(참고!$B$31:$B$130&lt;=A1895)*(참고!$B$31:$B$130=_xludf.MAXIFS(참고!$B$31:$B$130,참고!$A$31:$A$130,C1895,참고!$B$31:$B$130,"&lt;="&amp;A1895))*참고!$C$31:$C$130)/100,0)</f>
        <v>0</v>
      </c>
      <c r="J1895" s="31" t="str">
        <f t="shared" si="88"/>
        <v/>
      </c>
      <c r="K1895" s="43">
        <f>IF(B1895="매도",IFERROR(SUMPRODUCT((참고!$A$31:$A$130=C1895)*(참고!$B$31:$B$130&lt;=A1895)*(참고!$B$31:$B$130=_xludf.MAXIFS(참고!$B$31:$B$130,참고!$A$31:$A$130,C1895,참고!$B$31:$B$130,"&lt;="&amp;A1895))*참고!$D$31:$D$130)/100,0),0)</f>
        <v>0</v>
      </c>
      <c r="L1895" s="31" t="str">
        <f t="shared" si="89"/>
        <v/>
      </c>
      <c r="M1895" s="39"/>
    </row>
    <row r="1896" spans="1:13" ht="18" customHeight="1" x14ac:dyDescent="0.45">
      <c r="A1896" s="37"/>
      <c r="B1896" s="29"/>
      <c r="C1896" s="29"/>
      <c r="D1896" s="28"/>
      <c r="E1896" s="30" t="str">
        <f>IFERROR(VLOOKUP(D1896,KRX종목마스터!$A:$B,2,FALSE),"")</f>
        <v/>
      </c>
      <c r="F1896" s="42"/>
      <c r="G1896" s="42"/>
      <c r="H1896" s="31" t="str">
        <f t="shared" si="87"/>
        <v/>
      </c>
      <c r="I1896" s="43">
        <f ca="1">IFERROR(SUMPRODUCT((참고!$A$31:$A$130=C1896)*(참고!$B$31:$B$130&lt;=A1896)*(참고!$B$31:$B$130=_xludf.MAXIFS(참고!$B$31:$B$130,참고!$A$31:$A$130,C1896,참고!$B$31:$B$130,"&lt;="&amp;A1896))*참고!$C$31:$C$130)/100,0)</f>
        <v>0</v>
      </c>
      <c r="J1896" s="31" t="str">
        <f t="shared" si="88"/>
        <v/>
      </c>
      <c r="K1896" s="43">
        <f>IF(B1896="매도",IFERROR(SUMPRODUCT((참고!$A$31:$A$130=C1896)*(참고!$B$31:$B$130&lt;=A1896)*(참고!$B$31:$B$130=_xludf.MAXIFS(참고!$B$31:$B$130,참고!$A$31:$A$130,C1896,참고!$B$31:$B$130,"&lt;="&amp;A1896))*참고!$D$31:$D$130)/100,0),0)</f>
        <v>0</v>
      </c>
      <c r="L1896" s="31" t="str">
        <f t="shared" si="89"/>
        <v/>
      </c>
      <c r="M1896" s="39"/>
    </row>
    <row r="1897" spans="1:13" ht="18" customHeight="1" x14ac:dyDescent="0.45">
      <c r="A1897" s="37"/>
      <c r="B1897" s="29"/>
      <c r="C1897" s="29"/>
      <c r="D1897" s="28"/>
      <c r="E1897" s="30" t="str">
        <f>IFERROR(VLOOKUP(D1897,KRX종목마스터!$A:$B,2,FALSE),"")</f>
        <v/>
      </c>
      <c r="F1897" s="42"/>
      <c r="G1897" s="42"/>
      <c r="H1897" s="31" t="str">
        <f t="shared" si="87"/>
        <v/>
      </c>
      <c r="I1897" s="43">
        <f ca="1">IFERROR(SUMPRODUCT((참고!$A$31:$A$130=C1897)*(참고!$B$31:$B$130&lt;=A1897)*(참고!$B$31:$B$130=_xludf.MAXIFS(참고!$B$31:$B$130,참고!$A$31:$A$130,C1897,참고!$B$31:$B$130,"&lt;="&amp;A1897))*참고!$C$31:$C$130)/100,0)</f>
        <v>0</v>
      </c>
      <c r="J1897" s="31" t="str">
        <f t="shared" si="88"/>
        <v/>
      </c>
      <c r="K1897" s="43">
        <f>IF(B1897="매도",IFERROR(SUMPRODUCT((참고!$A$31:$A$130=C1897)*(참고!$B$31:$B$130&lt;=A1897)*(참고!$B$31:$B$130=_xludf.MAXIFS(참고!$B$31:$B$130,참고!$A$31:$A$130,C1897,참고!$B$31:$B$130,"&lt;="&amp;A1897))*참고!$D$31:$D$130)/100,0),0)</f>
        <v>0</v>
      </c>
      <c r="L1897" s="31" t="str">
        <f t="shared" si="89"/>
        <v/>
      </c>
      <c r="M1897" s="39"/>
    </row>
    <row r="1898" spans="1:13" ht="18" customHeight="1" x14ac:dyDescent="0.45">
      <c r="A1898" s="37"/>
      <c r="B1898" s="29"/>
      <c r="C1898" s="29"/>
      <c r="D1898" s="28"/>
      <c r="E1898" s="30" t="str">
        <f>IFERROR(VLOOKUP(D1898,KRX종목마스터!$A:$B,2,FALSE),"")</f>
        <v/>
      </c>
      <c r="F1898" s="42"/>
      <c r="G1898" s="42"/>
      <c r="H1898" s="31" t="str">
        <f t="shared" si="87"/>
        <v/>
      </c>
      <c r="I1898" s="43">
        <f ca="1">IFERROR(SUMPRODUCT((참고!$A$31:$A$130=C1898)*(참고!$B$31:$B$130&lt;=A1898)*(참고!$B$31:$B$130=_xludf.MAXIFS(참고!$B$31:$B$130,참고!$A$31:$A$130,C1898,참고!$B$31:$B$130,"&lt;="&amp;A1898))*참고!$C$31:$C$130)/100,0)</f>
        <v>0</v>
      </c>
      <c r="J1898" s="31" t="str">
        <f t="shared" si="88"/>
        <v/>
      </c>
      <c r="K1898" s="43">
        <f>IF(B1898="매도",IFERROR(SUMPRODUCT((참고!$A$31:$A$130=C1898)*(참고!$B$31:$B$130&lt;=A1898)*(참고!$B$31:$B$130=_xludf.MAXIFS(참고!$B$31:$B$130,참고!$A$31:$A$130,C1898,참고!$B$31:$B$130,"&lt;="&amp;A1898))*참고!$D$31:$D$130)/100,0),0)</f>
        <v>0</v>
      </c>
      <c r="L1898" s="31" t="str">
        <f t="shared" si="89"/>
        <v/>
      </c>
      <c r="M1898" s="39"/>
    </row>
    <row r="1899" spans="1:13" ht="18" customHeight="1" x14ac:dyDescent="0.45">
      <c r="A1899" s="37"/>
      <c r="B1899" s="29"/>
      <c r="C1899" s="29"/>
      <c r="D1899" s="28"/>
      <c r="E1899" s="30" t="str">
        <f>IFERROR(VLOOKUP(D1899,KRX종목마스터!$A:$B,2,FALSE),"")</f>
        <v/>
      </c>
      <c r="F1899" s="42"/>
      <c r="G1899" s="42"/>
      <c r="H1899" s="31" t="str">
        <f t="shared" si="87"/>
        <v/>
      </c>
      <c r="I1899" s="43">
        <f ca="1">IFERROR(SUMPRODUCT((참고!$A$31:$A$130=C1899)*(참고!$B$31:$B$130&lt;=A1899)*(참고!$B$31:$B$130=_xludf.MAXIFS(참고!$B$31:$B$130,참고!$A$31:$A$130,C1899,참고!$B$31:$B$130,"&lt;="&amp;A1899))*참고!$C$31:$C$130)/100,0)</f>
        <v>0</v>
      </c>
      <c r="J1899" s="31" t="str">
        <f t="shared" si="88"/>
        <v/>
      </c>
      <c r="K1899" s="43">
        <f>IF(B1899="매도",IFERROR(SUMPRODUCT((참고!$A$31:$A$130=C1899)*(참고!$B$31:$B$130&lt;=A1899)*(참고!$B$31:$B$130=_xludf.MAXIFS(참고!$B$31:$B$130,참고!$A$31:$A$130,C1899,참고!$B$31:$B$130,"&lt;="&amp;A1899))*참고!$D$31:$D$130)/100,0),0)</f>
        <v>0</v>
      </c>
      <c r="L1899" s="31" t="str">
        <f t="shared" si="89"/>
        <v/>
      </c>
      <c r="M1899" s="39"/>
    </row>
    <row r="1900" spans="1:13" ht="18" customHeight="1" x14ac:dyDescent="0.45">
      <c r="A1900" s="37"/>
      <c r="B1900" s="29"/>
      <c r="C1900" s="29"/>
      <c r="D1900" s="28"/>
      <c r="E1900" s="30" t="str">
        <f>IFERROR(VLOOKUP(D1900,KRX종목마스터!$A:$B,2,FALSE),"")</f>
        <v/>
      </c>
      <c r="F1900" s="42"/>
      <c r="G1900" s="42"/>
      <c r="H1900" s="31" t="str">
        <f t="shared" si="87"/>
        <v/>
      </c>
      <c r="I1900" s="43">
        <f ca="1">IFERROR(SUMPRODUCT((참고!$A$31:$A$130=C1900)*(참고!$B$31:$B$130&lt;=A1900)*(참고!$B$31:$B$130=_xludf.MAXIFS(참고!$B$31:$B$130,참고!$A$31:$A$130,C1900,참고!$B$31:$B$130,"&lt;="&amp;A1900))*참고!$C$31:$C$130)/100,0)</f>
        <v>0</v>
      </c>
      <c r="J1900" s="31" t="str">
        <f t="shared" si="88"/>
        <v/>
      </c>
      <c r="K1900" s="43">
        <f>IF(B1900="매도",IFERROR(SUMPRODUCT((참고!$A$31:$A$130=C1900)*(참고!$B$31:$B$130&lt;=A1900)*(참고!$B$31:$B$130=_xludf.MAXIFS(참고!$B$31:$B$130,참고!$A$31:$A$130,C1900,참고!$B$31:$B$130,"&lt;="&amp;A1900))*참고!$D$31:$D$130)/100,0),0)</f>
        <v>0</v>
      </c>
      <c r="L1900" s="31" t="str">
        <f t="shared" si="89"/>
        <v/>
      </c>
      <c r="M1900" s="39"/>
    </row>
    <row r="1901" spans="1:13" ht="18" customHeight="1" x14ac:dyDescent="0.45">
      <c r="A1901" s="37"/>
      <c r="B1901" s="29"/>
      <c r="C1901" s="29"/>
      <c r="D1901" s="28"/>
      <c r="E1901" s="30" t="str">
        <f>IFERROR(VLOOKUP(D1901,KRX종목마스터!$A:$B,2,FALSE),"")</f>
        <v/>
      </c>
      <c r="F1901" s="42"/>
      <c r="G1901" s="42"/>
      <c r="H1901" s="31" t="str">
        <f t="shared" si="87"/>
        <v/>
      </c>
      <c r="I1901" s="43">
        <f ca="1">IFERROR(SUMPRODUCT((참고!$A$31:$A$130=C1901)*(참고!$B$31:$B$130&lt;=A1901)*(참고!$B$31:$B$130=_xludf.MAXIFS(참고!$B$31:$B$130,참고!$A$31:$A$130,C1901,참고!$B$31:$B$130,"&lt;="&amp;A1901))*참고!$C$31:$C$130)/100,0)</f>
        <v>0</v>
      </c>
      <c r="J1901" s="31" t="str">
        <f t="shared" si="88"/>
        <v/>
      </c>
      <c r="K1901" s="43">
        <f>IF(B1901="매도",IFERROR(SUMPRODUCT((참고!$A$31:$A$130=C1901)*(참고!$B$31:$B$130&lt;=A1901)*(참고!$B$31:$B$130=_xludf.MAXIFS(참고!$B$31:$B$130,참고!$A$31:$A$130,C1901,참고!$B$31:$B$130,"&lt;="&amp;A1901))*참고!$D$31:$D$130)/100,0),0)</f>
        <v>0</v>
      </c>
      <c r="L1901" s="31" t="str">
        <f t="shared" si="89"/>
        <v/>
      </c>
      <c r="M1901" s="39"/>
    </row>
    <row r="1902" spans="1:13" ht="18" customHeight="1" x14ac:dyDescent="0.45">
      <c r="A1902" s="37"/>
      <c r="B1902" s="29"/>
      <c r="C1902" s="29"/>
      <c r="D1902" s="28"/>
      <c r="E1902" s="30" t="str">
        <f>IFERROR(VLOOKUP(D1902,KRX종목마스터!$A:$B,2,FALSE),"")</f>
        <v/>
      </c>
      <c r="F1902" s="42"/>
      <c r="G1902" s="42"/>
      <c r="H1902" s="31" t="str">
        <f t="shared" si="87"/>
        <v/>
      </c>
      <c r="I1902" s="43">
        <f ca="1">IFERROR(SUMPRODUCT((참고!$A$31:$A$130=C1902)*(참고!$B$31:$B$130&lt;=A1902)*(참고!$B$31:$B$130=_xludf.MAXIFS(참고!$B$31:$B$130,참고!$A$31:$A$130,C1902,참고!$B$31:$B$130,"&lt;="&amp;A1902))*참고!$C$31:$C$130)/100,0)</f>
        <v>0</v>
      </c>
      <c r="J1902" s="31" t="str">
        <f t="shared" si="88"/>
        <v/>
      </c>
      <c r="K1902" s="43">
        <f>IF(B1902="매도",IFERROR(SUMPRODUCT((참고!$A$31:$A$130=C1902)*(참고!$B$31:$B$130&lt;=A1902)*(참고!$B$31:$B$130=_xludf.MAXIFS(참고!$B$31:$B$130,참고!$A$31:$A$130,C1902,참고!$B$31:$B$130,"&lt;="&amp;A1902))*참고!$D$31:$D$130)/100,0),0)</f>
        <v>0</v>
      </c>
      <c r="L1902" s="31" t="str">
        <f t="shared" si="89"/>
        <v/>
      </c>
      <c r="M1902" s="39"/>
    </row>
    <row r="1903" spans="1:13" ht="18" customHeight="1" x14ac:dyDescent="0.45">
      <c r="A1903" s="37"/>
      <c r="B1903" s="29"/>
      <c r="C1903" s="29"/>
      <c r="D1903" s="28"/>
      <c r="E1903" s="30" t="str">
        <f>IFERROR(VLOOKUP(D1903,KRX종목마스터!$A:$B,2,FALSE),"")</f>
        <v/>
      </c>
      <c r="F1903" s="42"/>
      <c r="G1903" s="42"/>
      <c r="H1903" s="31" t="str">
        <f t="shared" si="87"/>
        <v/>
      </c>
      <c r="I1903" s="43">
        <f ca="1">IFERROR(SUMPRODUCT((참고!$A$31:$A$130=C1903)*(참고!$B$31:$B$130&lt;=A1903)*(참고!$B$31:$B$130=_xludf.MAXIFS(참고!$B$31:$B$130,참고!$A$31:$A$130,C1903,참고!$B$31:$B$130,"&lt;="&amp;A1903))*참고!$C$31:$C$130)/100,0)</f>
        <v>0</v>
      </c>
      <c r="J1903" s="31" t="str">
        <f t="shared" si="88"/>
        <v/>
      </c>
      <c r="K1903" s="43">
        <f>IF(B1903="매도",IFERROR(SUMPRODUCT((참고!$A$31:$A$130=C1903)*(참고!$B$31:$B$130&lt;=A1903)*(참고!$B$31:$B$130=_xludf.MAXIFS(참고!$B$31:$B$130,참고!$A$31:$A$130,C1903,참고!$B$31:$B$130,"&lt;="&amp;A1903))*참고!$D$31:$D$130)/100,0),0)</f>
        <v>0</v>
      </c>
      <c r="L1903" s="31" t="str">
        <f t="shared" si="89"/>
        <v/>
      </c>
      <c r="M1903" s="39"/>
    </row>
    <row r="1904" spans="1:13" ht="18" customHeight="1" x14ac:dyDescent="0.45">
      <c r="A1904" s="37"/>
      <c r="B1904" s="29"/>
      <c r="C1904" s="29"/>
      <c r="D1904" s="28"/>
      <c r="E1904" s="30" t="str">
        <f>IFERROR(VLOOKUP(D1904,KRX종목마스터!$A:$B,2,FALSE),"")</f>
        <v/>
      </c>
      <c r="F1904" s="42"/>
      <c r="G1904" s="42"/>
      <c r="H1904" s="31" t="str">
        <f t="shared" si="87"/>
        <v/>
      </c>
      <c r="I1904" s="43">
        <f ca="1">IFERROR(SUMPRODUCT((참고!$A$31:$A$130=C1904)*(참고!$B$31:$B$130&lt;=A1904)*(참고!$B$31:$B$130=_xludf.MAXIFS(참고!$B$31:$B$130,참고!$A$31:$A$130,C1904,참고!$B$31:$B$130,"&lt;="&amp;A1904))*참고!$C$31:$C$130)/100,0)</f>
        <v>0</v>
      </c>
      <c r="J1904" s="31" t="str">
        <f t="shared" si="88"/>
        <v/>
      </c>
      <c r="K1904" s="43">
        <f>IF(B1904="매도",IFERROR(SUMPRODUCT((참고!$A$31:$A$130=C1904)*(참고!$B$31:$B$130&lt;=A1904)*(참고!$B$31:$B$130=_xludf.MAXIFS(참고!$B$31:$B$130,참고!$A$31:$A$130,C1904,참고!$B$31:$B$130,"&lt;="&amp;A1904))*참고!$D$31:$D$130)/100,0),0)</f>
        <v>0</v>
      </c>
      <c r="L1904" s="31" t="str">
        <f t="shared" si="89"/>
        <v/>
      </c>
      <c r="M1904" s="39"/>
    </row>
    <row r="1905" spans="1:13" ht="18" customHeight="1" x14ac:dyDescent="0.45">
      <c r="A1905" s="37"/>
      <c r="B1905" s="29"/>
      <c r="C1905" s="29"/>
      <c r="D1905" s="28"/>
      <c r="E1905" s="30" t="str">
        <f>IFERROR(VLOOKUP(D1905,KRX종목마스터!$A:$B,2,FALSE),"")</f>
        <v/>
      </c>
      <c r="F1905" s="42"/>
      <c r="G1905" s="42"/>
      <c r="H1905" s="31" t="str">
        <f t="shared" si="87"/>
        <v/>
      </c>
      <c r="I1905" s="43">
        <f ca="1">IFERROR(SUMPRODUCT((참고!$A$31:$A$130=C1905)*(참고!$B$31:$B$130&lt;=A1905)*(참고!$B$31:$B$130=_xludf.MAXIFS(참고!$B$31:$B$130,참고!$A$31:$A$130,C1905,참고!$B$31:$B$130,"&lt;="&amp;A1905))*참고!$C$31:$C$130)/100,0)</f>
        <v>0</v>
      </c>
      <c r="J1905" s="31" t="str">
        <f t="shared" si="88"/>
        <v/>
      </c>
      <c r="K1905" s="43">
        <f>IF(B1905="매도",IFERROR(SUMPRODUCT((참고!$A$31:$A$130=C1905)*(참고!$B$31:$B$130&lt;=A1905)*(참고!$B$31:$B$130=_xludf.MAXIFS(참고!$B$31:$B$130,참고!$A$31:$A$130,C1905,참고!$B$31:$B$130,"&lt;="&amp;A1905))*참고!$D$31:$D$130)/100,0),0)</f>
        <v>0</v>
      </c>
      <c r="L1905" s="31" t="str">
        <f t="shared" si="89"/>
        <v/>
      </c>
      <c r="M1905" s="39"/>
    </row>
    <row r="1906" spans="1:13" ht="18" customHeight="1" x14ac:dyDescent="0.45">
      <c r="A1906" s="37"/>
      <c r="B1906" s="29"/>
      <c r="C1906" s="29"/>
      <c r="D1906" s="28"/>
      <c r="E1906" s="30" t="str">
        <f>IFERROR(VLOOKUP(D1906,KRX종목마스터!$A:$B,2,FALSE),"")</f>
        <v/>
      </c>
      <c r="F1906" s="42"/>
      <c r="G1906" s="42"/>
      <c r="H1906" s="31" t="str">
        <f t="shared" si="87"/>
        <v/>
      </c>
      <c r="I1906" s="43">
        <f ca="1">IFERROR(SUMPRODUCT((참고!$A$31:$A$130=C1906)*(참고!$B$31:$B$130&lt;=A1906)*(참고!$B$31:$B$130=_xludf.MAXIFS(참고!$B$31:$B$130,참고!$A$31:$A$130,C1906,참고!$B$31:$B$130,"&lt;="&amp;A1906))*참고!$C$31:$C$130)/100,0)</f>
        <v>0</v>
      </c>
      <c r="J1906" s="31" t="str">
        <f t="shared" si="88"/>
        <v/>
      </c>
      <c r="K1906" s="43">
        <f>IF(B1906="매도",IFERROR(SUMPRODUCT((참고!$A$31:$A$130=C1906)*(참고!$B$31:$B$130&lt;=A1906)*(참고!$B$31:$B$130=_xludf.MAXIFS(참고!$B$31:$B$130,참고!$A$31:$A$130,C1906,참고!$B$31:$B$130,"&lt;="&amp;A1906))*참고!$D$31:$D$130)/100,0),0)</f>
        <v>0</v>
      </c>
      <c r="L1906" s="31" t="str">
        <f t="shared" si="89"/>
        <v/>
      </c>
      <c r="M1906" s="39"/>
    </row>
    <row r="1907" spans="1:13" ht="18" customHeight="1" x14ac:dyDescent="0.45">
      <c r="A1907" s="37"/>
      <c r="B1907" s="29"/>
      <c r="C1907" s="29"/>
      <c r="D1907" s="28"/>
      <c r="E1907" s="30" t="str">
        <f>IFERROR(VLOOKUP(D1907,KRX종목마스터!$A:$B,2,FALSE),"")</f>
        <v/>
      </c>
      <c r="F1907" s="42"/>
      <c r="G1907" s="42"/>
      <c r="H1907" s="31" t="str">
        <f t="shared" si="87"/>
        <v/>
      </c>
      <c r="I1907" s="43">
        <f ca="1">IFERROR(SUMPRODUCT((참고!$A$31:$A$130=C1907)*(참고!$B$31:$B$130&lt;=A1907)*(참고!$B$31:$B$130=_xludf.MAXIFS(참고!$B$31:$B$130,참고!$A$31:$A$130,C1907,참고!$B$31:$B$130,"&lt;="&amp;A1907))*참고!$C$31:$C$130)/100,0)</f>
        <v>0</v>
      </c>
      <c r="J1907" s="31" t="str">
        <f t="shared" si="88"/>
        <v/>
      </c>
      <c r="K1907" s="43">
        <f>IF(B1907="매도",IFERROR(SUMPRODUCT((참고!$A$31:$A$130=C1907)*(참고!$B$31:$B$130&lt;=A1907)*(참고!$B$31:$B$130=_xludf.MAXIFS(참고!$B$31:$B$130,참고!$A$31:$A$130,C1907,참고!$B$31:$B$130,"&lt;="&amp;A1907))*참고!$D$31:$D$130)/100,0),0)</f>
        <v>0</v>
      </c>
      <c r="L1907" s="31" t="str">
        <f t="shared" si="89"/>
        <v/>
      </c>
      <c r="M1907" s="39"/>
    </row>
    <row r="1908" spans="1:13" ht="18" customHeight="1" x14ac:dyDescent="0.45">
      <c r="A1908" s="37"/>
      <c r="B1908" s="29"/>
      <c r="C1908" s="29"/>
      <c r="D1908" s="28"/>
      <c r="E1908" s="30" t="str">
        <f>IFERROR(VLOOKUP(D1908,KRX종목마스터!$A:$B,2,FALSE),"")</f>
        <v/>
      </c>
      <c r="F1908" s="42"/>
      <c r="G1908" s="42"/>
      <c r="H1908" s="31" t="str">
        <f t="shared" si="87"/>
        <v/>
      </c>
      <c r="I1908" s="43">
        <f ca="1">IFERROR(SUMPRODUCT((참고!$A$31:$A$130=C1908)*(참고!$B$31:$B$130&lt;=A1908)*(참고!$B$31:$B$130=_xludf.MAXIFS(참고!$B$31:$B$130,참고!$A$31:$A$130,C1908,참고!$B$31:$B$130,"&lt;="&amp;A1908))*참고!$C$31:$C$130)/100,0)</f>
        <v>0</v>
      </c>
      <c r="J1908" s="31" t="str">
        <f t="shared" si="88"/>
        <v/>
      </c>
      <c r="K1908" s="43">
        <f>IF(B1908="매도",IFERROR(SUMPRODUCT((참고!$A$31:$A$130=C1908)*(참고!$B$31:$B$130&lt;=A1908)*(참고!$B$31:$B$130=_xludf.MAXIFS(참고!$B$31:$B$130,참고!$A$31:$A$130,C1908,참고!$B$31:$B$130,"&lt;="&amp;A1908))*참고!$D$31:$D$130)/100,0),0)</f>
        <v>0</v>
      </c>
      <c r="L1908" s="31" t="str">
        <f t="shared" si="89"/>
        <v/>
      </c>
      <c r="M1908" s="39"/>
    </row>
    <row r="1909" spans="1:13" ht="18" customHeight="1" x14ac:dyDescent="0.45">
      <c r="A1909" s="37"/>
      <c r="B1909" s="29"/>
      <c r="C1909" s="29"/>
      <c r="D1909" s="28"/>
      <c r="E1909" s="30" t="str">
        <f>IFERROR(VLOOKUP(D1909,KRX종목마스터!$A:$B,2,FALSE),"")</f>
        <v/>
      </c>
      <c r="F1909" s="42"/>
      <c r="G1909" s="42"/>
      <c r="H1909" s="31" t="str">
        <f t="shared" si="87"/>
        <v/>
      </c>
      <c r="I1909" s="43">
        <f ca="1">IFERROR(SUMPRODUCT((참고!$A$31:$A$130=C1909)*(참고!$B$31:$B$130&lt;=A1909)*(참고!$B$31:$B$130=_xludf.MAXIFS(참고!$B$31:$B$130,참고!$A$31:$A$130,C1909,참고!$B$31:$B$130,"&lt;="&amp;A1909))*참고!$C$31:$C$130)/100,0)</f>
        <v>0</v>
      </c>
      <c r="J1909" s="31" t="str">
        <f t="shared" si="88"/>
        <v/>
      </c>
      <c r="K1909" s="43">
        <f>IF(B1909="매도",IFERROR(SUMPRODUCT((참고!$A$31:$A$130=C1909)*(참고!$B$31:$B$130&lt;=A1909)*(참고!$B$31:$B$130=_xludf.MAXIFS(참고!$B$31:$B$130,참고!$A$31:$A$130,C1909,참고!$B$31:$B$130,"&lt;="&amp;A1909))*참고!$D$31:$D$130)/100,0),0)</f>
        <v>0</v>
      </c>
      <c r="L1909" s="31" t="str">
        <f t="shared" si="89"/>
        <v/>
      </c>
      <c r="M1909" s="39"/>
    </row>
    <row r="1910" spans="1:13" ht="18" customHeight="1" x14ac:dyDescent="0.45">
      <c r="A1910" s="37"/>
      <c r="B1910" s="29"/>
      <c r="C1910" s="29"/>
      <c r="D1910" s="28"/>
      <c r="E1910" s="30" t="str">
        <f>IFERROR(VLOOKUP(D1910,KRX종목마스터!$A:$B,2,FALSE),"")</f>
        <v/>
      </c>
      <c r="F1910" s="42"/>
      <c r="G1910" s="42"/>
      <c r="H1910" s="31" t="str">
        <f t="shared" si="87"/>
        <v/>
      </c>
      <c r="I1910" s="43">
        <f ca="1">IFERROR(SUMPRODUCT((참고!$A$31:$A$130=C1910)*(참고!$B$31:$B$130&lt;=A1910)*(참고!$B$31:$B$130=_xludf.MAXIFS(참고!$B$31:$B$130,참고!$A$31:$A$130,C1910,참고!$B$31:$B$130,"&lt;="&amp;A1910))*참고!$C$31:$C$130)/100,0)</f>
        <v>0</v>
      </c>
      <c r="J1910" s="31" t="str">
        <f t="shared" si="88"/>
        <v/>
      </c>
      <c r="K1910" s="43">
        <f>IF(B1910="매도",IFERROR(SUMPRODUCT((참고!$A$31:$A$130=C1910)*(참고!$B$31:$B$130&lt;=A1910)*(참고!$B$31:$B$130=_xludf.MAXIFS(참고!$B$31:$B$130,참고!$A$31:$A$130,C1910,참고!$B$31:$B$130,"&lt;="&amp;A1910))*참고!$D$31:$D$130)/100,0),0)</f>
        <v>0</v>
      </c>
      <c r="L1910" s="31" t="str">
        <f t="shared" si="89"/>
        <v/>
      </c>
      <c r="M1910" s="39"/>
    </row>
    <row r="1911" spans="1:13" ht="18" customHeight="1" x14ac:dyDescent="0.45">
      <c r="A1911" s="37"/>
      <c r="B1911" s="29"/>
      <c r="C1911" s="29"/>
      <c r="D1911" s="28"/>
      <c r="E1911" s="30" t="str">
        <f>IFERROR(VLOOKUP(D1911,KRX종목마스터!$A:$B,2,FALSE),"")</f>
        <v/>
      </c>
      <c r="F1911" s="42"/>
      <c r="G1911" s="42"/>
      <c r="H1911" s="31" t="str">
        <f t="shared" si="87"/>
        <v/>
      </c>
      <c r="I1911" s="43">
        <f ca="1">IFERROR(SUMPRODUCT((참고!$A$31:$A$130=C1911)*(참고!$B$31:$B$130&lt;=A1911)*(참고!$B$31:$B$130=_xludf.MAXIFS(참고!$B$31:$B$130,참고!$A$31:$A$130,C1911,참고!$B$31:$B$130,"&lt;="&amp;A1911))*참고!$C$31:$C$130)/100,0)</f>
        <v>0</v>
      </c>
      <c r="J1911" s="31" t="str">
        <f t="shared" si="88"/>
        <v/>
      </c>
      <c r="K1911" s="43">
        <f>IF(B1911="매도",IFERROR(SUMPRODUCT((참고!$A$31:$A$130=C1911)*(참고!$B$31:$B$130&lt;=A1911)*(참고!$B$31:$B$130=_xludf.MAXIFS(참고!$B$31:$B$130,참고!$A$31:$A$130,C1911,참고!$B$31:$B$130,"&lt;="&amp;A1911))*참고!$D$31:$D$130)/100,0),0)</f>
        <v>0</v>
      </c>
      <c r="L1911" s="31" t="str">
        <f t="shared" si="89"/>
        <v/>
      </c>
      <c r="M1911" s="39"/>
    </row>
    <row r="1912" spans="1:13" ht="18" customHeight="1" x14ac:dyDescent="0.45">
      <c r="A1912" s="37"/>
      <c r="B1912" s="29"/>
      <c r="C1912" s="29"/>
      <c r="D1912" s="28"/>
      <c r="E1912" s="30" t="str">
        <f>IFERROR(VLOOKUP(D1912,KRX종목마스터!$A:$B,2,FALSE),"")</f>
        <v/>
      </c>
      <c r="F1912" s="42"/>
      <c r="G1912" s="42"/>
      <c r="H1912" s="31" t="str">
        <f t="shared" si="87"/>
        <v/>
      </c>
      <c r="I1912" s="43">
        <f ca="1">IFERROR(SUMPRODUCT((참고!$A$31:$A$130=C1912)*(참고!$B$31:$B$130&lt;=A1912)*(참고!$B$31:$B$130=_xludf.MAXIFS(참고!$B$31:$B$130,참고!$A$31:$A$130,C1912,참고!$B$31:$B$130,"&lt;="&amp;A1912))*참고!$C$31:$C$130)/100,0)</f>
        <v>0</v>
      </c>
      <c r="J1912" s="31" t="str">
        <f t="shared" si="88"/>
        <v/>
      </c>
      <c r="K1912" s="43">
        <f>IF(B1912="매도",IFERROR(SUMPRODUCT((참고!$A$31:$A$130=C1912)*(참고!$B$31:$B$130&lt;=A1912)*(참고!$B$31:$B$130=_xludf.MAXIFS(참고!$B$31:$B$130,참고!$A$31:$A$130,C1912,참고!$B$31:$B$130,"&lt;="&amp;A1912))*참고!$D$31:$D$130)/100,0),0)</f>
        <v>0</v>
      </c>
      <c r="L1912" s="31" t="str">
        <f t="shared" si="89"/>
        <v/>
      </c>
      <c r="M1912" s="39"/>
    </row>
    <row r="1913" spans="1:13" ht="18" customHeight="1" x14ac:dyDescent="0.45">
      <c r="A1913" s="37"/>
      <c r="B1913" s="29"/>
      <c r="C1913" s="29"/>
      <c r="D1913" s="28"/>
      <c r="E1913" s="30" t="str">
        <f>IFERROR(VLOOKUP(D1913,KRX종목마스터!$A:$B,2,FALSE),"")</f>
        <v/>
      </c>
      <c r="F1913" s="42"/>
      <c r="G1913" s="42"/>
      <c r="H1913" s="31" t="str">
        <f t="shared" si="87"/>
        <v/>
      </c>
      <c r="I1913" s="43">
        <f ca="1">IFERROR(SUMPRODUCT((참고!$A$31:$A$130=C1913)*(참고!$B$31:$B$130&lt;=A1913)*(참고!$B$31:$B$130=_xludf.MAXIFS(참고!$B$31:$B$130,참고!$A$31:$A$130,C1913,참고!$B$31:$B$130,"&lt;="&amp;A1913))*참고!$C$31:$C$130)/100,0)</f>
        <v>0</v>
      </c>
      <c r="J1913" s="31" t="str">
        <f t="shared" si="88"/>
        <v/>
      </c>
      <c r="K1913" s="43">
        <f>IF(B1913="매도",IFERROR(SUMPRODUCT((참고!$A$31:$A$130=C1913)*(참고!$B$31:$B$130&lt;=A1913)*(참고!$B$31:$B$130=_xludf.MAXIFS(참고!$B$31:$B$130,참고!$A$31:$A$130,C1913,참고!$B$31:$B$130,"&lt;="&amp;A1913))*참고!$D$31:$D$130)/100,0),0)</f>
        <v>0</v>
      </c>
      <c r="L1913" s="31" t="str">
        <f t="shared" si="89"/>
        <v/>
      </c>
      <c r="M1913" s="39"/>
    </row>
    <row r="1914" spans="1:13" ht="18" customHeight="1" x14ac:dyDescent="0.45">
      <c r="A1914" s="37"/>
      <c r="B1914" s="29"/>
      <c r="C1914" s="29"/>
      <c r="D1914" s="28"/>
      <c r="E1914" s="30" t="str">
        <f>IFERROR(VLOOKUP(D1914,KRX종목마스터!$A:$B,2,FALSE),"")</f>
        <v/>
      </c>
      <c r="F1914" s="42"/>
      <c r="G1914" s="42"/>
      <c r="H1914" s="31" t="str">
        <f t="shared" si="87"/>
        <v/>
      </c>
      <c r="I1914" s="43">
        <f ca="1">IFERROR(SUMPRODUCT((참고!$A$31:$A$130=C1914)*(참고!$B$31:$B$130&lt;=A1914)*(참고!$B$31:$B$130=_xludf.MAXIFS(참고!$B$31:$B$130,참고!$A$31:$A$130,C1914,참고!$B$31:$B$130,"&lt;="&amp;A1914))*참고!$C$31:$C$130)/100,0)</f>
        <v>0</v>
      </c>
      <c r="J1914" s="31" t="str">
        <f t="shared" si="88"/>
        <v/>
      </c>
      <c r="K1914" s="43">
        <f>IF(B1914="매도",IFERROR(SUMPRODUCT((참고!$A$31:$A$130=C1914)*(참고!$B$31:$B$130&lt;=A1914)*(참고!$B$31:$B$130=_xludf.MAXIFS(참고!$B$31:$B$130,참고!$A$31:$A$130,C1914,참고!$B$31:$B$130,"&lt;="&amp;A1914))*참고!$D$31:$D$130)/100,0),0)</f>
        <v>0</v>
      </c>
      <c r="L1914" s="31" t="str">
        <f t="shared" si="89"/>
        <v/>
      </c>
      <c r="M1914" s="39"/>
    </row>
    <row r="1915" spans="1:13" ht="18" customHeight="1" x14ac:dyDescent="0.45">
      <c r="A1915" s="37"/>
      <c r="B1915" s="29"/>
      <c r="C1915" s="29"/>
      <c r="D1915" s="28"/>
      <c r="E1915" s="30" t="str">
        <f>IFERROR(VLOOKUP(D1915,KRX종목마스터!$A:$B,2,FALSE),"")</f>
        <v/>
      </c>
      <c r="F1915" s="42"/>
      <c r="G1915" s="42"/>
      <c r="H1915" s="31" t="str">
        <f t="shared" si="87"/>
        <v/>
      </c>
      <c r="I1915" s="43">
        <f ca="1">IFERROR(SUMPRODUCT((참고!$A$31:$A$130=C1915)*(참고!$B$31:$B$130&lt;=A1915)*(참고!$B$31:$B$130=_xludf.MAXIFS(참고!$B$31:$B$130,참고!$A$31:$A$130,C1915,참고!$B$31:$B$130,"&lt;="&amp;A1915))*참고!$C$31:$C$130)/100,0)</f>
        <v>0</v>
      </c>
      <c r="J1915" s="31" t="str">
        <f t="shared" si="88"/>
        <v/>
      </c>
      <c r="K1915" s="43">
        <f>IF(B1915="매도",IFERROR(SUMPRODUCT((참고!$A$31:$A$130=C1915)*(참고!$B$31:$B$130&lt;=A1915)*(참고!$B$31:$B$130=_xludf.MAXIFS(참고!$B$31:$B$130,참고!$A$31:$A$130,C1915,참고!$B$31:$B$130,"&lt;="&amp;A1915))*참고!$D$31:$D$130)/100,0),0)</f>
        <v>0</v>
      </c>
      <c r="L1915" s="31" t="str">
        <f t="shared" si="89"/>
        <v/>
      </c>
      <c r="M1915" s="39"/>
    </row>
    <row r="1916" spans="1:13" ht="18" customHeight="1" x14ac:dyDescent="0.45">
      <c r="A1916" s="37"/>
      <c r="B1916" s="29"/>
      <c r="C1916" s="29"/>
      <c r="D1916" s="28"/>
      <c r="E1916" s="30" t="str">
        <f>IFERROR(VLOOKUP(D1916,KRX종목마스터!$A:$B,2,FALSE),"")</f>
        <v/>
      </c>
      <c r="F1916" s="42"/>
      <c r="G1916" s="42"/>
      <c r="H1916" s="31" t="str">
        <f t="shared" si="87"/>
        <v/>
      </c>
      <c r="I1916" s="43">
        <f ca="1">IFERROR(SUMPRODUCT((참고!$A$31:$A$130=C1916)*(참고!$B$31:$B$130&lt;=A1916)*(참고!$B$31:$B$130=_xludf.MAXIFS(참고!$B$31:$B$130,참고!$A$31:$A$130,C1916,참고!$B$31:$B$130,"&lt;="&amp;A1916))*참고!$C$31:$C$130)/100,0)</f>
        <v>0</v>
      </c>
      <c r="J1916" s="31" t="str">
        <f t="shared" si="88"/>
        <v/>
      </c>
      <c r="K1916" s="43">
        <f>IF(B1916="매도",IFERROR(SUMPRODUCT((참고!$A$31:$A$130=C1916)*(참고!$B$31:$B$130&lt;=A1916)*(참고!$B$31:$B$130=_xludf.MAXIFS(참고!$B$31:$B$130,참고!$A$31:$A$130,C1916,참고!$B$31:$B$130,"&lt;="&amp;A1916))*참고!$D$31:$D$130)/100,0),0)</f>
        <v>0</v>
      </c>
      <c r="L1916" s="31" t="str">
        <f t="shared" si="89"/>
        <v/>
      </c>
      <c r="M1916" s="39"/>
    </row>
    <row r="1917" spans="1:13" ht="18" customHeight="1" x14ac:dyDescent="0.45">
      <c r="A1917" s="37"/>
      <c r="B1917" s="29"/>
      <c r="C1917" s="29"/>
      <c r="D1917" s="28"/>
      <c r="E1917" s="30" t="str">
        <f>IFERROR(VLOOKUP(D1917,KRX종목마스터!$A:$B,2,FALSE),"")</f>
        <v/>
      </c>
      <c r="F1917" s="42"/>
      <c r="G1917" s="42"/>
      <c r="H1917" s="31" t="str">
        <f t="shared" si="87"/>
        <v/>
      </c>
      <c r="I1917" s="43">
        <f ca="1">IFERROR(SUMPRODUCT((참고!$A$31:$A$130=C1917)*(참고!$B$31:$B$130&lt;=A1917)*(참고!$B$31:$B$130=_xludf.MAXIFS(참고!$B$31:$B$130,참고!$A$31:$A$130,C1917,참고!$B$31:$B$130,"&lt;="&amp;A1917))*참고!$C$31:$C$130)/100,0)</f>
        <v>0</v>
      </c>
      <c r="J1917" s="31" t="str">
        <f t="shared" si="88"/>
        <v/>
      </c>
      <c r="K1917" s="43">
        <f>IF(B1917="매도",IFERROR(SUMPRODUCT((참고!$A$31:$A$130=C1917)*(참고!$B$31:$B$130&lt;=A1917)*(참고!$B$31:$B$130=_xludf.MAXIFS(참고!$B$31:$B$130,참고!$A$31:$A$130,C1917,참고!$B$31:$B$130,"&lt;="&amp;A1917))*참고!$D$31:$D$130)/100,0),0)</f>
        <v>0</v>
      </c>
      <c r="L1917" s="31" t="str">
        <f t="shared" si="89"/>
        <v/>
      </c>
      <c r="M1917" s="39"/>
    </row>
    <row r="1918" spans="1:13" ht="18" customHeight="1" x14ac:dyDescent="0.45">
      <c r="A1918" s="37"/>
      <c r="B1918" s="29"/>
      <c r="C1918" s="29"/>
      <c r="D1918" s="28"/>
      <c r="E1918" s="30" t="str">
        <f>IFERROR(VLOOKUP(D1918,KRX종목마스터!$A:$B,2,FALSE),"")</f>
        <v/>
      </c>
      <c r="F1918" s="42"/>
      <c r="G1918" s="42"/>
      <c r="H1918" s="31" t="str">
        <f t="shared" si="87"/>
        <v/>
      </c>
      <c r="I1918" s="43">
        <f ca="1">IFERROR(SUMPRODUCT((참고!$A$31:$A$130=C1918)*(참고!$B$31:$B$130&lt;=A1918)*(참고!$B$31:$B$130=_xludf.MAXIFS(참고!$B$31:$B$130,참고!$A$31:$A$130,C1918,참고!$B$31:$B$130,"&lt;="&amp;A1918))*참고!$C$31:$C$130)/100,0)</f>
        <v>0</v>
      </c>
      <c r="J1918" s="31" t="str">
        <f t="shared" si="88"/>
        <v/>
      </c>
      <c r="K1918" s="43">
        <f>IF(B1918="매도",IFERROR(SUMPRODUCT((참고!$A$31:$A$130=C1918)*(참고!$B$31:$B$130&lt;=A1918)*(참고!$B$31:$B$130=_xludf.MAXIFS(참고!$B$31:$B$130,참고!$A$31:$A$130,C1918,참고!$B$31:$B$130,"&lt;="&amp;A1918))*참고!$D$31:$D$130)/100,0),0)</f>
        <v>0</v>
      </c>
      <c r="L1918" s="31" t="str">
        <f t="shared" si="89"/>
        <v/>
      </c>
      <c r="M1918" s="39"/>
    </row>
    <row r="1919" spans="1:13" ht="18" customHeight="1" x14ac:dyDescent="0.45">
      <c r="A1919" s="37"/>
      <c r="B1919" s="29"/>
      <c r="C1919" s="29"/>
      <c r="D1919" s="28"/>
      <c r="E1919" s="30" t="str">
        <f>IFERROR(VLOOKUP(D1919,KRX종목마스터!$A:$B,2,FALSE),"")</f>
        <v/>
      </c>
      <c r="F1919" s="42"/>
      <c r="G1919" s="42"/>
      <c r="H1919" s="31" t="str">
        <f t="shared" si="87"/>
        <v/>
      </c>
      <c r="I1919" s="43">
        <f ca="1">IFERROR(SUMPRODUCT((참고!$A$31:$A$130=C1919)*(참고!$B$31:$B$130&lt;=A1919)*(참고!$B$31:$B$130=_xludf.MAXIFS(참고!$B$31:$B$130,참고!$A$31:$A$130,C1919,참고!$B$31:$B$130,"&lt;="&amp;A1919))*참고!$C$31:$C$130)/100,0)</f>
        <v>0</v>
      </c>
      <c r="J1919" s="31" t="str">
        <f t="shared" si="88"/>
        <v/>
      </c>
      <c r="K1919" s="43">
        <f>IF(B1919="매도",IFERROR(SUMPRODUCT((참고!$A$31:$A$130=C1919)*(참고!$B$31:$B$130&lt;=A1919)*(참고!$B$31:$B$130=_xludf.MAXIFS(참고!$B$31:$B$130,참고!$A$31:$A$130,C1919,참고!$B$31:$B$130,"&lt;="&amp;A1919))*참고!$D$31:$D$130)/100,0),0)</f>
        <v>0</v>
      </c>
      <c r="L1919" s="31" t="str">
        <f t="shared" si="89"/>
        <v/>
      </c>
      <c r="M1919" s="39"/>
    </row>
    <row r="1920" spans="1:13" ht="18" customHeight="1" x14ac:dyDescent="0.45">
      <c r="A1920" s="37"/>
      <c r="B1920" s="29"/>
      <c r="C1920" s="29"/>
      <c r="D1920" s="28"/>
      <c r="E1920" s="30" t="str">
        <f>IFERROR(VLOOKUP(D1920,KRX종목마스터!$A:$B,2,FALSE),"")</f>
        <v/>
      </c>
      <c r="F1920" s="42"/>
      <c r="G1920" s="42"/>
      <c r="H1920" s="31" t="str">
        <f t="shared" si="87"/>
        <v/>
      </c>
      <c r="I1920" s="43">
        <f ca="1">IFERROR(SUMPRODUCT((참고!$A$31:$A$130=C1920)*(참고!$B$31:$B$130&lt;=A1920)*(참고!$B$31:$B$130=_xludf.MAXIFS(참고!$B$31:$B$130,참고!$A$31:$A$130,C1920,참고!$B$31:$B$130,"&lt;="&amp;A1920))*참고!$C$31:$C$130)/100,0)</f>
        <v>0</v>
      </c>
      <c r="J1920" s="31" t="str">
        <f t="shared" si="88"/>
        <v/>
      </c>
      <c r="K1920" s="43">
        <f>IF(B1920="매도",IFERROR(SUMPRODUCT((참고!$A$31:$A$130=C1920)*(참고!$B$31:$B$130&lt;=A1920)*(참고!$B$31:$B$130=_xludf.MAXIFS(참고!$B$31:$B$130,참고!$A$31:$A$130,C1920,참고!$B$31:$B$130,"&lt;="&amp;A1920))*참고!$D$31:$D$130)/100,0),0)</f>
        <v>0</v>
      </c>
      <c r="L1920" s="31" t="str">
        <f t="shared" si="89"/>
        <v/>
      </c>
      <c r="M1920" s="39"/>
    </row>
    <row r="1921" spans="1:13" ht="18" customHeight="1" x14ac:dyDescent="0.45">
      <c r="A1921" s="37"/>
      <c r="B1921" s="29"/>
      <c r="C1921" s="29"/>
      <c r="D1921" s="28"/>
      <c r="E1921" s="30" t="str">
        <f>IFERROR(VLOOKUP(D1921,KRX종목마스터!$A:$B,2,FALSE),"")</f>
        <v/>
      </c>
      <c r="F1921" s="42"/>
      <c r="G1921" s="42"/>
      <c r="H1921" s="31" t="str">
        <f t="shared" si="87"/>
        <v/>
      </c>
      <c r="I1921" s="43">
        <f ca="1">IFERROR(SUMPRODUCT((참고!$A$31:$A$130=C1921)*(참고!$B$31:$B$130&lt;=A1921)*(참고!$B$31:$B$130=_xludf.MAXIFS(참고!$B$31:$B$130,참고!$A$31:$A$130,C1921,참고!$B$31:$B$130,"&lt;="&amp;A1921))*참고!$C$31:$C$130)/100,0)</f>
        <v>0</v>
      </c>
      <c r="J1921" s="31" t="str">
        <f t="shared" si="88"/>
        <v/>
      </c>
      <c r="K1921" s="43">
        <f>IF(B1921="매도",IFERROR(SUMPRODUCT((참고!$A$31:$A$130=C1921)*(참고!$B$31:$B$130&lt;=A1921)*(참고!$B$31:$B$130=_xludf.MAXIFS(참고!$B$31:$B$130,참고!$A$31:$A$130,C1921,참고!$B$31:$B$130,"&lt;="&amp;A1921))*참고!$D$31:$D$130)/100,0),0)</f>
        <v>0</v>
      </c>
      <c r="L1921" s="31" t="str">
        <f t="shared" si="89"/>
        <v/>
      </c>
      <c r="M1921" s="39"/>
    </row>
    <row r="1922" spans="1:13" ht="18" customHeight="1" x14ac:dyDescent="0.45">
      <c r="A1922" s="37"/>
      <c r="B1922" s="29"/>
      <c r="C1922" s="29"/>
      <c r="D1922" s="28"/>
      <c r="E1922" s="30" t="str">
        <f>IFERROR(VLOOKUP(D1922,KRX종목마스터!$A:$B,2,FALSE),"")</f>
        <v/>
      </c>
      <c r="F1922" s="42"/>
      <c r="G1922" s="42"/>
      <c r="H1922" s="31" t="str">
        <f t="shared" si="87"/>
        <v/>
      </c>
      <c r="I1922" s="43">
        <f ca="1">IFERROR(SUMPRODUCT((참고!$A$31:$A$130=C1922)*(참고!$B$31:$B$130&lt;=A1922)*(참고!$B$31:$B$130=_xludf.MAXIFS(참고!$B$31:$B$130,참고!$A$31:$A$130,C1922,참고!$B$31:$B$130,"&lt;="&amp;A1922))*참고!$C$31:$C$130)/100,0)</f>
        <v>0</v>
      </c>
      <c r="J1922" s="31" t="str">
        <f t="shared" si="88"/>
        <v/>
      </c>
      <c r="K1922" s="43">
        <f>IF(B1922="매도",IFERROR(SUMPRODUCT((참고!$A$31:$A$130=C1922)*(참고!$B$31:$B$130&lt;=A1922)*(참고!$B$31:$B$130=_xludf.MAXIFS(참고!$B$31:$B$130,참고!$A$31:$A$130,C1922,참고!$B$31:$B$130,"&lt;="&amp;A1922))*참고!$D$31:$D$130)/100,0),0)</f>
        <v>0</v>
      </c>
      <c r="L1922" s="31" t="str">
        <f t="shared" si="89"/>
        <v/>
      </c>
      <c r="M1922" s="39"/>
    </row>
    <row r="1923" spans="1:13" ht="18" customHeight="1" x14ac:dyDescent="0.45">
      <c r="A1923" s="37"/>
      <c r="B1923" s="29"/>
      <c r="C1923" s="29"/>
      <c r="D1923" s="28"/>
      <c r="E1923" s="30" t="str">
        <f>IFERROR(VLOOKUP(D1923,KRX종목마스터!$A:$B,2,FALSE),"")</f>
        <v/>
      </c>
      <c r="F1923" s="42"/>
      <c r="G1923" s="42"/>
      <c r="H1923" s="31" t="str">
        <f t="shared" si="87"/>
        <v/>
      </c>
      <c r="I1923" s="43">
        <f ca="1">IFERROR(SUMPRODUCT((참고!$A$31:$A$130=C1923)*(참고!$B$31:$B$130&lt;=A1923)*(참고!$B$31:$B$130=_xludf.MAXIFS(참고!$B$31:$B$130,참고!$A$31:$A$130,C1923,참고!$B$31:$B$130,"&lt;="&amp;A1923))*참고!$C$31:$C$130)/100,0)</f>
        <v>0</v>
      </c>
      <c r="J1923" s="31" t="str">
        <f t="shared" si="88"/>
        <v/>
      </c>
      <c r="K1923" s="43">
        <f>IF(B1923="매도",IFERROR(SUMPRODUCT((참고!$A$31:$A$130=C1923)*(참고!$B$31:$B$130&lt;=A1923)*(참고!$B$31:$B$130=_xludf.MAXIFS(참고!$B$31:$B$130,참고!$A$31:$A$130,C1923,참고!$B$31:$B$130,"&lt;="&amp;A1923))*참고!$D$31:$D$130)/100,0),0)</f>
        <v>0</v>
      </c>
      <c r="L1923" s="31" t="str">
        <f t="shared" si="89"/>
        <v/>
      </c>
      <c r="M1923" s="39"/>
    </row>
    <row r="1924" spans="1:13" ht="18" customHeight="1" x14ac:dyDescent="0.45">
      <c r="A1924" s="37"/>
      <c r="B1924" s="29"/>
      <c r="C1924" s="29"/>
      <c r="D1924" s="28"/>
      <c r="E1924" s="30" t="str">
        <f>IFERROR(VLOOKUP(D1924,KRX종목마스터!$A:$B,2,FALSE),"")</f>
        <v/>
      </c>
      <c r="F1924" s="42"/>
      <c r="G1924" s="42"/>
      <c r="H1924" s="31" t="str">
        <f t="shared" si="87"/>
        <v/>
      </c>
      <c r="I1924" s="43">
        <f ca="1">IFERROR(SUMPRODUCT((참고!$A$31:$A$130=C1924)*(참고!$B$31:$B$130&lt;=A1924)*(참고!$B$31:$B$130=_xludf.MAXIFS(참고!$B$31:$B$130,참고!$A$31:$A$130,C1924,참고!$B$31:$B$130,"&lt;="&amp;A1924))*참고!$C$31:$C$130)/100,0)</f>
        <v>0</v>
      </c>
      <c r="J1924" s="31" t="str">
        <f t="shared" si="88"/>
        <v/>
      </c>
      <c r="K1924" s="43">
        <f>IF(B1924="매도",IFERROR(SUMPRODUCT((참고!$A$31:$A$130=C1924)*(참고!$B$31:$B$130&lt;=A1924)*(참고!$B$31:$B$130=_xludf.MAXIFS(참고!$B$31:$B$130,참고!$A$31:$A$130,C1924,참고!$B$31:$B$130,"&lt;="&amp;A1924))*참고!$D$31:$D$130)/100,0),0)</f>
        <v>0</v>
      </c>
      <c r="L1924" s="31" t="str">
        <f t="shared" si="89"/>
        <v/>
      </c>
      <c r="M1924" s="39"/>
    </row>
    <row r="1925" spans="1:13" ht="18" customHeight="1" x14ac:dyDescent="0.45">
      <c r="A1925" s="37"/>
      <c r="B1925" s="29"/>
      <c r="C1925" s="29"/>
      <c r="D1925" s="28"/>
      <c r="E1925" s="30" t="str">
        <f>IFERROR(VLOOKUP(D1925,KRX종목마스터!$A:$B,2,FALSE),"")</f>
        <v/>
      </c>
      <c r="F1925" s="42"/>
      <c r="G1925" s="42"/>
      <c r="H1925" s="31" t="str">
        <f t="shared" ref="H1925:H1988" si="90">IF(AND(F1925&lt;&gt;"",G1925&lt;&gt;""),F1925*G1925,"")</f>
        <v/>
      </c>
      <c r="I1925" s="43">
        <f ca="1">IFERROR(SUMPRODUCT((참고!$A$31:$A$130=C1925)*(참고!$B$31:$B$130&lt;=A1925)*(참고!$B$31:$B$130=_xludf.MAXIFS(참고!$B$31:$B$130,참고!$A$31:$A$130,C1925,참고!$B$31:$B$130,"&lt;="&amp;A1925))*참고!$C$31:$C$130)/100,0)</f>
        <v>0</v>
      </c>
      <c r="J1925" s="31" t="str">
        <f t="shared" ref="J1925:J1988" si="91">IF(H1925="","",ROUND(H1925*I1925,0))</f>
        <v/>
      </c>
      <c r="K1925" s="43">
        <f>IF(B1925="매도",IFERROR(SUMPRODUCT((참고!$A$31:$A$130=C1925)*(참고!$B$31:$B$130&lt;=A1925)*(참고!$B$31:$B$130=_xludf.MAXIFS(참고!$B$31:$B$130,참고!$A$31:$A$130,C1925,참고!$B$31:$B$130,"&lt;="&amp;A1925))*참고!$D$31:$D$130)/100,0),0)</f>
        <v>0</v>
      </c>
      <c r="L1925" s="31" t="str">
        <f t="shared" ref="L1925:L1988" si="92">IF(H1925="","",ROUND(H1925*K1925,0))</f>
        <v/>
      </c>
      <c r="M1925" s="39"/>
    </row>
    <row r="1926" spans="1:13" ht="18" customHeight="1" x14ac:dyDescent="0.45">
      <c r="A1926" s="37"/>
      <c r="B1926" s="29"/>
      <c r="C1926" s="29"/>
      <c r="D1926" s="28"/>
      <c r="E1926" s="30" t="str">
        <f>IFERROR(VLOOKUP(D1926,KRX종목마스터!$A:$B,2,FALSE),"")</f>
        <v/>
      </c>
      <c r="F1926" s="42"/>
      <c r="G1926" s="42"/>
      <c r="H1926" s="31" t="str">
        <f t="shared" si="90"/>
        <v/>
      </c>
      <c r="I1926" s="43">
        <f ca="1">IFERROR(SUMPRODUCT((참고!$A$31:$A$130=C1926)*(참고!$B$31:$B$130&lt;=A1926)*(참고!$B$31:$B$130=_xludf.MAXIFS(참고!$B$31:$B$130,참고!$A$31:$A$130,C1926,참고!$B$31:$B$130,"&lt;="&amp;A1926))*참고!$C$31:$C$130)/100,0)</f>
        <v>0</v>
      </c>
      <c r="J1926" s="31" t="str">
        <f t="shared" si="91"/>
        <v/>
      </c>
      <c r="K1926" s="43">
        <f>IF(B1926="매도",IFERROR(SUMPRODUCT((참고!$A$31:$A$130=C1926)*(참고!$B$31:$B$130&lt;=A1926)*(참고!$B$31:$B$130=_xludf.MAXIFS(참고!$B$31:$B$130,참고!$A$31:$A$130,C1926,참고!$B$31:$B$130,"&lt;="&amp;A1926))*참고!$D$31:$D$130)/100,0),0)</f>
        <v>0</v>
      </c>
      <c r="L1926" s="31" t="str">
        <f t="shared" si="92"/>
        <v/>
      </c>
      <c r="M1926" s="39"/>
    </row>
    <row r="1927" spans="1:13" ht="18" customHeight="1" x14ac:dyDescent="0.45">
      <c r="A1927" s="37"/>
      <c r="B1927" s="29"/>
      <c r="C1927" s="29"/>
      <c r="D1927" s="28"/>
      <c r="E1927" s="30" t="str">
        <f>IFERROR(VLOOKUP(D1927,KRX종목마스터!$A:$B,2,FALSE),"")</f>
        <v/>
      </c>
      <c r="F1927" s="42"/>
      <c r="G1927" s="42"/>
      <c r="H1927" s="31" t="str">
        <f t="shared" si="90"/>
        <v/>
      </c>
      <c r="I1927" s="43">
        <f ca="1">IFERROR(SUMPRODUCT((참고!$A$31:$A$130=C1927)*(참고!$B$31:$B$130&lt;=A1927)*(참고!$B$31:$B$130=_xludf.MAXIFS(참고!$B$31:$B$130,참고!$A$31:$A$130,C1927,참고!$B$31:$B$130,"&lt;="&amp;A1927))*참고!$C$31:$C$130)/100,0)</f>
        <v>0</v>
      </c>
      <c r="J1927" s="31" t="str">
        <f t="shared" si="91"/>
        <v/>
      </c>
      <c r="K1927" s="43">
        <f>IF(B1927="매도",IFERROR(SUMPRODUCT((참고!$A$31:$A$130=C1927)*(참고!$B$31:$B$130&lt;=A1927)*(참고!$B$31:$B$130=_xludf.MAXIFS(참고!$B$31:$B$130,참고!$A$31:$A$130,C1927,참고!$B$31:$B$130,"&lt;="&amp;A1927))*참고!$D$31:$D$130)/100,0),0)</f>
        <v>0</v>
      </c>
      <c r="L1927" s="31" t="str">
        <f t="shared" si="92"/>
        <v/>
      </c>
      <c r="M1927" s="39"/>
    </row>
    <row r="1928" spans="1:13" ht="18" customHeight="1" x14ac:dyDescent="0.45">
      <c r="A1928" s="37"/>
      <c r="B1928" s="29"/>
      <c r="C1928" s="29"/>
      <c r="D1928" s="28"/>
      <c r="E1928" s="30" t="str">
        <f>IFERROR(VLOOKUP(D1928,KRX종목마스터!$A:$B,2,FALSE),"")</f>
        <v/>
      </c>
      <c r="F1928" s="42"/>
      <c r="G1928" s="42"/>
      <c r="H1928" s="31" t="str">
        <f t="shared" si="90"/>
        <v/>
      </c>
      <c r="I1928" s="43">
        <f ca="1">IFERROR(SUMPRODUCT((참고!$A$31:$A$130=C1928)*(참고!$B$31:$B$130&lt;=A1928)*(참고!$B$31:$B$130=_xludf.MAXIFS(참고!$B$31:$B$130,참고!$A$31:$A$130,C1928,참고!$B$31:$B$130,"&lt;="&amp;A1928))*참고!$C$31:$C$130)/100,0)</f>
        <v>0</v>
      </c>
      <c r="J1928" s="31" t="str">
        <f t="shared" si="91"/>
        <v/>
      </c>
      <c r="K1928" s="43">
        <f>IF(B1928="매도",IFERROR(SUMPRODUCT((참고!$A$31:$A$130=C1928)*(참고!$B$31:$B$130&lt;=A1928)*(참고!$B$31:$B$130=_xludf.MAXIFS(참고!$B$31:$B$130,참고!$A$31:$A$130,C1928,참고!$B$31:$B$130,"&lt;="&amp;A1928))*참고!$D$31:$D$130)/100,0),0)</f>
        <v>0</v>
      </c>
      <c r="L1928" s="31" t="str">
        <f t="shared" si="92"/>
        <v/>
      </c>
      <c r="M1928" s="39"/>
    </row>
    <row r="1929" spans="1:13" ht="18" customHeight="1" x14ac:dyDescent="0.45">
      <c r="A1929" s="37"/>
      <c r="B1929" s="29"/>
      <c r="C1929" s="29"/>
      <c r="D1929" s="28"/>
      <c r="E1929" s="30" t="str">
        <f>IFERROR(VLOOKUP(D1929,KRX종목마스터!$A:$B,2,FALSE),"")</f>
        <v/>
      </c>
      <c r="F1929" s="42"/>
      <c r="G1929" s="42"/>
      <c r="H1929" s="31" t="str">
        <f t="shared" si="90"/>
        <v/>
      </c>
      <c r="I1929" s="43">
        <f ca="1">IFERROR(SUMPRODUCT((참고!$A$31:$A$130=C1929)*(참고!$B$31:$B$130&lt;=A1929)*(참고!$B$31:$B$130=_xludf.MAXIFS(참고!$B$31:$B$130,참고!$A$31:$A$130,C1929,참고!$B$31:$B$130,"&lt;="&amp;A1929))*참고!$C$31:$C$130)/100,0)</f>
        <v>0</v>
      </c>
      <c r="J1929" s="31" t="str">
        <f t="shared" si="91"/>
        <v/>
      </c>
      <c r="K1929" s="43">
        <f>IF(B1929="매도",IFERROR(SUMPRODUCT((참고!$A$31:$A$130=C1929)*(참고!$B$31:$B$130&lt;=A1929)*(참고!$B$31:$B$130=_xludf.MAXIFS(참고!$B$31:$B$130,참고!$A$31:$A$130,C1929,참고!$B$31:$B$130,"&lt;="&amp;A1929))*참고!$D$31:$D$130)/100,0),0)</f>
        <v>0</v>
      </c>
      <c r="L1929" s="31" t="str">
        <f t="shared" si="92"/>
        <v/>
      </c>
      <c r="M1929" s="39"/>
    </row>
    <row r="1930" spans="1:13" ht="18" customHeight="1" x14ac:dyDescent="0.45">
      <c r="A1930" s="37"/>
      <c r="B1930" s="29"/>
      <c r="C1930" s="29"/>
      <c r="D1930" s="28"/>
      <c r="E1930" s="30" t="str">
        <f>IFERROR(VLOOKUP(D1930,KRX종목마스터!$A:$B,2,FALSE),"")</f>
        <v/>
      </c>
      <c r="F1930" s="42"/>
      <c r="G1930" s="42"/>
      <c r="H1930" s="31" t="str">
        <f t="shared" si="90"/>
        <v/>
      </c>
      <c r="I1930" s="43">
        <f ca="1">IFERROR(SUMPRODUCT((참고!$A$31:$A$130=C1930)*(참고!$B$31:$B$130&lt;=A1930)*(참고!$B$31:$B$130=_xludf.MAXIFS(참고!$B$31:$B$130,참고!$A$31:$A$130,C1930,참고!$B$31:$B$130,"&lt;="&amp;A1930))*참고!$C$31:$C$130)/100,0)</f>
        <v>0</v>
      </c>
      <c r="J1930" s="31" t="str">
        <f t="shared" si="91"/>
        <v/>
      </c>
      <c r="K1930" s="43">
        <f>IF(B1930="매도",IFERROR(SUMPRODUCT((참고!$A$31:$A$130=C1930)*(참고!$B$31:$B$130&lt;=A1930)*(참고!$B$31:$B$130=_xludf.MAXIFS(참고!$B$31:$B$130,참고!$A$31:$A$130,C1930,참고!$B$31:$B$130,"&lt;="&amp;A1930))*참고!$D$31:$D$130)/100,0),0)</f>
        <v>0</v>
      </c>
      <c r="L1930" s="31" t="str">
        <f t="shared" si="92"/>
        <v/>
      </c>
      <c r="M1930" s="39"/>
    </row>
    <row r="1931" spans="1:13" ht="18" customHeight="1" x14ac:dyDescent="0.45">
      <c r="A1931" s="37"/>
      <c r="B1931" s="29"/>
      <c r="C1931" s="29"/>
      <c r="D1931" s="28"/>
      <c r="E1931" s="30" t="str">
        <f>IFERROR(VLOOKUP(D1931,KRX종목마스터!$A:$B,2,FALSE),"")</f>
        <v/>
      </c>
      <c r="F1931" s="42"/>
      <c r="G1931" s="42"/>
      <c r="H1931" s="31" t="str">
        <f t="shared" si="90"/>
        <v/>
      </c>
      <c r="I1931" s="43">
        <f ca="1">IFERROR(SUMPRODUCT((참고!$A$31:$A$130=C1931)*(참고!$B$31:$B$130&lt;=A1931)*(참고!$B$31:$B$130=_xludf.MAXIFS(참고!$B$31:$B$130,참고!$A$31:$A$130,C1931,참고!$B$31:$B$130,"&lt;="&amp;A1931))*참고!$C$31:$C$130)/100,0)</f>
        <v>0</v>
      </c>
      <c r="J1931" s="31" t="str">
        <f t="shared" si="91"/>
        <v/>
      </c>
      <c r="K1931" s="43">
        <f>IF(B1931="매도",IFERROR(SUMPRODUCT((참고!$A$31:$A$130=C1931)*(참고!$B$31:$B$130&lt;=A1931)*(참고!$B$31:$B$130=_xludf.MAXIFS(참고!$B$31:$B$130,참고!$A$31:$A$130,C1931,참고!$B$31:$B$130,"&lt;="&amp;A1931))*참고!$D$31:$D$130)/100,0),0)</f>
        <v>0</v>
      </c>
      <c r="L1931" s="31" t="str">
        <f t="shared" si="92"/>
        <v/>
      </c>
      <c r="M1931" s="39"/>
    </row>
    <row r="1932" spans="1:13" ht="18" customHeight="1" x14ac:dyDescent="0.45">
      <c r="A1932" s="37"/>
      <c r="B1932" s="29"/>
      <c r="C1932" s="29"/>
      <c r="D1932" s="28"/>
      <c r="E1932" s="30" t="str">
        <f>IFERROR(VLOOKUP(D1932,KRX종목마스터!$A:$B,2,FALSE),"")</f>
        <v/>
      </c>
      <c r="F1932" s="42"/>
      <c r="G1932" s="42"/>
      <c r="H1932" s="31" t="str">
        <f t="shared" si="90"/>
        <v/>
      </c>
      <c r="I1932" s="43">
        <f ca="1">IFERROR(SUMPRODUCT((참고!$A$31:$A$130=C1932)*(참고!$B$31:$B$130&lt;=A1932)*(참고!$B$31:$B$130=_xludf.MAXIFS(참고!$B$31:$B$130,참고!$A$31:$A$130,C1932,참고!$B$31:$B$130,"&lt;="&amp;A1932))*참고!$C$31:$C$130)/100,0)</f>
        <v>0</v>
      </c>
      <c r="J1932" s="31" t="str">
        <f t="shared" si="91"/>
        <v/>
      </c>
      <c r="K1932" s="43">
        <f>IF(B1932="매도",IFERROR(SUMPRODUCT((참고!$A$31:$A$130=C1932)*(참고!$B$31:$B$130&lt;=A1932)*(참고!$B$31:$B$130=_xludf.MAXIFS(참고!$B$31:$B$130,참고!$A$31:$A$130,C1932,참고!$B$31:$B$130,"&lt;="&amp;A1932))*참고!$D$31:$D$130)/100,0),0)</f>
        <v>0</v>
      </c>
      <c r="L1932" s="31" t="str">
        <f t="shared" si="92"/>
        <v/>
      </c>
      <c r="M1932" s="39"/>
    </row>
    <row r="1933" spans="1:13" ht="18" customHeight="1" x14ac:dyDescent="0.45">
      <c r="A1933" s="37"/>
      <c r="B1933" s="29"/>
      <c r="C1933" s="29"/>
      <c r="D1933" s="28"/>
      <c r="E1933" s="30" t="str">
        <f>IFERROR(VLOOKUP(D1933,KRX종목마스터!$A:$B,2,FALSE),"")</f>
        <v/>
      </c>
      <c r="F1933" s="42"/>
      <c r="G1933" s="42"/>
      <c r="H1933" s="31" t="str">
        <f t="shared" si="90"/>
        <v/>
      </c>
      <c r="I1933" s="43">
        <f ca="1">IFERROR(SUMPRODUCT((참고!$A$31:$A$130=C1933)*(참고!$B$31:$B$130&lt;=A1933)*(참고!$B$31:$B$130=_xludf.MAXIFS(참고!$B$31:$B$130,참고!$A$31:$A$130,C1933,참고!$B$31:$B$130,"&lt;="&amp;A1933))*참고!$C$31:$C$130)/100,0)</f>
        <v>0</v>
      </c>
      <c r="J1933" s="31" t="str">
        <f t="shared" si="91"/>
        <v/>
      </c>
      <c r="K1933" s="43">
        <f>IF(B1933="매도",IFERROR(SUMPRODUCT((참고!$A$31:$A$130=C1933)*(참고!$B$31:$B$130&lt;=A1933)*(참고!$B$31:$B$130=_xludf.MAXIFS(참고!$B$31:$B$130,참고!$A$31:$A$130,C1933,참고!$B$31:$B$130,"&lt;="&amp;A1933))*참고!$D$31:$D$130)/100,0),0)</f>
        <v>0</v>
      </c>
      <c r="L1933" s="31" t="str">
        <f t="shared" si="92"/>
        <v/>
      </c>
      <c r="M1933" s="39"/>
    </row>
    <row r="1934" spans="1:13" ht="18" customHeight="1" x14ac:dyDescent="0.45">
      <c r="A1934" s="37"/>
      <c r="B1934" s="29"/>
      <c r="C1934" s="29"/>
      <c r="D1934" s="28"/>
      <c r="E1934" s="30" t="str">
        <f>IFERROR(VLOOKUP(D1934,KRX종목마스터!$A:$B,2,FALSE),"")</f>
        <v/>
      </c>
      <c r="F1934" s="42"/>
      <c r="G1934" s="42"/>
      <c r="H1934" s="31" t="str">
        <f t="shared" si="90"/>
        <v/>
      </c>
      <c r="I1934" s="43">
        <f ca="1">IFERROR(SUMPRODUCT((참고!$A$31:$A$130=C1934)*(참고!$B$31:$B$130&lt;=A1934)*(참고!$B$31:$B$130=_xludf.MAXIFS(참고!$B$31:$B$130,참고!$A$31:$A$130,C1934,참고!$B$31:$B$130,"&lt;="&amp;A1934))*참고!$C$31:$C$130)/100,0)</f>
        <v>0</v>
      </c>
      <c r="J1934" s="31" t="str">
        <f t="shared" si="91"/>
        <v/>
      </c>
      <c r="K1934" s="43">
        <f>IF(B1934="매도",IFERROR(SUMPRODUCT((참고!$A$31:$A$130=C1934)*(참고!$B$31:$B$130&lt;=A1934)*(참고!$B$31:$B$130=_xludf.MAXIFS(참고!$B$31:$B$130,참고!$A$31:$A$130,C1934,참고!$B$31:$B$130,"&lt;="&amp;A1934))*참고!$D$31:$D$130)/100,0),0)</f>
        <v>0</v>
      </c>
      <c r="L1934" s="31" t="str">
        <f t="shared" si="92"/>
        <v/>
      </c>
      <c r="M1934" s="39"/>
    </row>
    <row r="1935" spans="1:13" ht="18" customHeight="1" x14ac:dyDescent="0.45">
      <c r="A1935" s="37"/>
      <c r="B1935" s="29"/>
      <c r="C1935" s="29"/>
      <c r="D1935" s="28"/>
      <c r="E1935" s="30" t="str">
        <f>IFERROR(VLOOKUP(D1935,KRX종목마스터!$A:$B,2,FALSE),"")</f>
        <v/>
      </c>
      <c r="F1935" s="42"/>
      <c r="G1935" s="42"/>
      <c r="H1935" s="31" t="str">
        <f t="shared" si="90"/>
        <v/>
      </c>
      <c r="I1935" s="43">
        <f ca="1">IFERROR(SUMPRODUCT((참고!$A$31:$A$130=C1935)*(참고!$B$31:$B$130&lt;=A1935)*(참고!$B$31:$B$130=_xludf.MAXIFS(참고!$B$31:$B$130,참고!$A$31:$A$130,C1935,참고!$B$31:$B$130,"&lt;="&amp;A1935))*참고!$C$31:$C$130)/100,0)</f>
        <v>0</v>
      </c>
      <c r="J1935" s="31" t="str">
        <f t="shared" si="91"/>
        <v/>
      </c>
      <c r="K1935" s="43">
        <f>IF(B1935="매도",IFERROR(SUMPRODUCT((참고!$A$31:$A$130=C1935)*(참고!$B$31:$B$130&lt;=A1935)*(참고!$B$31:$B$130=_xludf.MAXIFS(참고!$B$31:$B$130,참고!$A$31:$A$130,C1935,참고!$B$31:$B$130,"&lt;="&amp;A1935))*참고!$D$31:$D$130)/100,0),0)</f>
        <v>0</v>
      </c>
      <c r="L1935" s="31" t="str">
        <f t="shared" si="92"/>
        <v/>
      </c>
      <c r="M1935" s="39"/>
    </row>
    <row r="1936" spans="1:13" ht="18" customHeight="1" x14ac:dyDescent="0.45">
      <c r="A1936" s="37"/>
      <c r="B1936" s="29"/>
      <c r="C1936" s="29"/>
      <c r="D1936" s="28"/>
      <c r="E1936" s="30" t="str">
        <f>IFERROR(VLOOKUP(D1936,KRX종목마스터!$A:$B,2,FALSE),"")</f>
        <v/>
      </c>
      <c r="F1936" s="42"/>
      <c r="G1936" s="42"/>
      <c r="H1936" s="31" t="str">
        <f t="shared" si="90"/>
        <v/>
      </c>
      <c r="I1936" s="43">
        <f ca="1">IFERROR(SUMPRODUCT((참고!$A$31:$A$130=C1936)*(참고!$B$31:$B$130&lt;=A1936)*(참고!$B$31:$B$130=_xludf.MAXIFS(참고!$B$31:$B$130,참고!$A$31:$A$130,C1936,참고!$B$31:$B$130,"&lt;="&amp;A1936))*참고!$C$31:$C$130)/100,0)</f>
        <v>0</v>
      </c>
      <c r="J1936" s="31" t="str">
        <f t="shared" si="91"/>
        <v/>
      </c>
      <c r="K1936" s="43">
        <f>IF(B1936="매도",IFERROR(SUMPRODUCT((참고!$A$31:$A$130=C1936)*(참고!$B$31:$B$130&lt;=A1936)*(참고!$B$31:$B$130=_xludf.MAXIFS(참고!$B$31:$B$130,참고!$A$31:$A$130,C1936,참고!$B$31:$B$130,"&lt;="&amp;A1936))*참고!$D$31:$D$130)/100,0),0)</f>
        <v>0</v>
      </c>
      <c r="L1936" s="31" t="str">
        <f t="shared" si="92"/>
        <v/>
      </c>
      <c r="M1936" s="39"/>
    </row>
    <row r="1937" spans="1:13" ht="18" customHeight="1" x14ac:dyDescent="0.45">
      <c r="A1937" s="37"/>
      <c r="B1937" s="29"/>
      <c r="C1937" s="29"/>
      <c r="D1937" s="28"/>
      <c r="E1937" s="30" t="str">
        <f>IFERROR(VLOOKUP(D1937,KRX종목마스터!$A:$B,2,FALSE),"")</f>
        <v/>
      </c>
      <c r="F1937" s="42"/>
      <c r="G1937" s="42"/>
      <c r="H1937" s="31" t="str">
        <f t="shared" si="90"/>
        <v/>
      </c>
      <c r="I1937" s="43">
        <f ca="1">IFERROR(SUMPRODUCT((참고!$A$31:$A$130=C1937)*(참고!$B$31:$B$130&lt;=A1937)*(참고!$B$31:$B$130=_xludf.MAXIFS(참고!$B$31:$B$130,참고!$A$31:$A$130,C1937,참고!$B$31:$B$130,"&lt;="&amp;A1937))*참고!$C$31:$C$130)/100,0)</f>
        <v>0</v>
      </c>
      <c r="J1937" s="31" t="str">
        <f t="shared" si="91"/>
        <v/>
      </c>
      <c r="K1937" s="43">
        <f>IF(B1937="매도",IFERROR(SUMPRODUCT((참고!$A$31:$A$130=C1937)*(참고!$B$31:$B$130&lt;=A1937)*(참고!$B$31:$B$130=_xludf.MAXIFS(참고!$B$31:$B$130,참고!$A$31:$A$130,C1937,참고!$B$31:$B$130,"&lt;="&amp;A1937))*참고!$D$31:$D$130)/100,0),0)</f>
        <v>0</v>
      </c>
      <c r="L1937" s="31" t="str">
        <f t="shared" si="92"/>
        <v/>
      </c>
      <c r="M1937" s="39"/>
    </row>
    <row r="1938" spans="1:13" ht="18" customHeight="1" x14ac:dyDescent="0.45">
      <c r="A1938" s="37"/>
      <c r="B1938" s="29"/>
      <c r="C1938" s="29"/>
      <c r="D1938" s="28"/>
      <c r="E1938" s="30" t="str">
        <f>IFERROR(VLOOKUP(D1938,KRX종목마스터!$A:$B,2,FALSE),"")</f>
        <v/>
      </c>
      <c r="F1938" s="42"/>
      <c r="G1938" s="42"/>
      <c r="H1938" s="31" t="str">
        <f t="shared" si="90"/>
        <v/>
      </c>
      <c r="I1938" s="43">
        <f ca="1">IFERROR(SUMPRODUCT((참고!$A$31:$A$130=C1938)*(참고!$B$31:$B$130&lt;=A1938)*(참고!$B$31:$B$130=_xludf.MAXIFS(참고!$B$31:$B$130,참고!$A$31:$A$130,C1938,참고!$B$31:$B$130,"&lt;="&amp;A1938))*참고!$C$31:$C$130)/100,0)</f>
        <v>0</v>
      </c>
      <c r="J1938" s="31" t="str">
        <f t="shared" si="91"/>
        <v/>
      </c>
      <c r="K1938" s="43">
        <f>IF(B1938="매도",IFERROR(SUMPRODUCT((참고!$A$31:$A$130=C1938)*(참고!$B$31:$B$130&lt;=A1938)*(참고!$B$31:$B$130=_xludf.MAXIFS(참고!$B$31:$B$130,참고!$A$31:$A$130,C1938,참고!$B$31:$B$130,"&lt;="&amp;A1938))*참고!$D$31:$D$130)/100,0),0)</f>
        <v>0</v>
      </c>
      <c r="L1938" s="31" t="str">
        <f t="shared" si="92"/>
        <v/>
      </c>
      <c r="M1938" s="39"/>
    </row>
    <row r="1939" spans="1:13" ht="18" customHeight="1" x14ac:dyDescent="0.45">
      <c r="A1939" s="37"/>
      <c r="B1939" s="29"/>
      <c r="C1939" s="29"/>
      <c r="D1939" s="28"/>
      <c r="E1939" s="30" t="str">
        <f>IFERROR(VLOOKUP(D1939,KRX종목마스터!$A:$B,2,FALSE),"")</f>
        <v/>
      </c>
      <c r="F1939" s="42"/>
      <c r="G1939" s="42"/>
      <c r="H1939" s="31" t="str">
        <f t="shared" si="90"/>
        <v/>
      </c>
      <c r="I1939" s="43">
        <f ca="1">IFERROR(SUMPRODUCT((참고!$A$31:$A$130=C1939)*(참고!$B$31:$B$130&lt;=A1939)*(참고!$B$31:$B$130=_xludf.MAXIFS(참고!$B$31:$B$130,참고!$A$31:$A$130,C1939,참고!$B$31:$B$130,"&lt;="&amp;A1939))*참고!$C$31:$C$130)/100,0)</f>
        <v>0</v>
      </c>
      <c r="J1939" s="31" t="str">
        <f t="shared" si="91"/>
        <v/>
      </c>
      <c r="K1939" s="43">
        <f>IF(B1939="매도",IFERROR(SUMPRODUCT((참고!$A$31:$A$130=C1939)*(참고!$B$31:$B$130&lt;=A1939)*(참고!$B$31:$B$130=_xludf.MAXIFS(참고!$B$31:$B$130,참고!$A$31:$A$130,C1939,참고!$B$31:$B$130,"&lt;="&amp;A1939))*참고!$D$31:$D$130)/100,0),0)</f>
        <v>0</v>
      </c>
      <c r="L1939" s="31" t="str">
        <f t="shared" si="92"/>
        <v/>
      </c>
      <c r="M1939" s="39"/>
    </row>
    <row r="1940" spans="1:13" ht="18" customHeight="1" x14ac:dyDescent="0.45">
      <c r="A1940" s="37"/>
      <c r="B1940" s="29"/>
      <c r="C1940" s="29"/>
      <c r="D1940" s="28"/>
      <c r="E1940" s="30" t="str">
        <f>IFERROR(VLOOKUP(D1940,KRX종목마스터!$A:$B,2,FALSE),"")</f>
        <v/>
      </c>
      <c r="F1940" s="42"/>
      <c r="G1940" s="42"/>
      <c r="H1940" s="31" t="str">
        <f t="shared" si="90"/>
        <v/>
      </c>
      <c r="I1940" s="43">
        <f ca="1">IFERROR(SUMPRODUCT((참고!$A$31:$A$130=C1940)*(참고!$B$31:$B$130&lt;=A1940)*(참고!$B$31:$B$130=_xludf.MAXIFS(참고!$B$31:$B$130,참고!$A$31:$A$130,C1940,참고!$B$31:$B$130,"&lt;="&amp;A1940))*참고!$C$31:$C$130)/100,0)</f>
        <v>0</v>
      </c>
      <c r="J1940" s="31" t="str">
        <f t="shared" si="91"/>
        <v/>
      </c>
      <c r="K1940" s="43">
        <f>IF(B1940="매도",IFERROR(SUMPRODUCT((참고!$A$31:$A$130=C1940)*(참고!$B$31:$B$130&lt;=A1940)*(참고!$B$31:$B$130=_xludf.MAXIFS(참고!$B$31:$B$130,참고!$A$31:$A$130,C1940,참고!$B$31:$B$130,"&lt;="&amp;A1940))*참고!$D$31:$D$130)/100,0),0)</f>
        <v>0</v>
      </c>
      <c r="L1940" s="31" t="str">
        <f t="shared" si="92"/>
        <v/>
      </c>
      <c r="M1940" s="39"/>
    </row>
    <row r="1941" spans="1:13" ht="18" customHeight="1" x14ac:dyDescent="0.45">
      <c r="A1941" s="37"/>
      <c r="B1941" s="29"/>
      <c r="C1941" s="29"/>
      <c r="D1941" s="28"/>
      <c r="E1941" s="30" t="str">
        <f>IFERROR(VLOOKUP(D1941,KRX종목마스터!$A:$B,2,FALSE),"")</f>
        <v/>
      </c>
      <c r="F1941" s="42"/>
      <c r="G1941" s="42"/>
      <c r="H1941" s="31" t="str">
        <f t="shared" si="90"/>
        <v/>
      </c>
      <c r="I1941" s="43">
        <f ca="1">IFERROR(SUMPRODUCT((참고!$A$31:$A$130=C1941)*(참고!$B$31:$B$130&lt;=A1941)*(참고!$B$31:$B$130=_xludf.MAXIFS(참고!$B$31:$B$130,참고!$A$31:$A$130,C1941,참고!$B$31:$B$130,"&lt;="&amp;A1941))*참고!$C$31:$C$130)/100,0)</f>
        <v>0</v>
      </c>
      <c r="J1941" s="31" t="str">
        <f t="shared" si="91"/>
        <v/>
      </c>
      <c r="K1941" s="43">
        <f>IF(B1941="매도",IFERROR(SUMPRODUCT((참고!$A$31:$A$130=C1941)*(참고!$B$31:$B$130&lt;=A1941)*(참고!$B$31:$B$130=_xludf.MAXIFS(참고!$B$31:$B$130,참고!$A$31:$A$130,C1941,참고!$B$31:$B$130,"&lt;="&amp;A1941))*참고!$D$31:$D$130)/100,0),0)</f>
        <v>0</v>
      </c>
      <c r="L1941" s="31" t="str">
        <f t="shared" si="92"/>
        <v/>
      </c>
      <c r="M1941" s="39"/>
    </row>
    <row r="1942" spans="1:13" ht="18" customHeight="1" x14ac:dyDescent="0.45">
      <c r="A1942" s="37"/>
      <c r="B1942" s="29"/>
      <c r="C1942" s="29"/>
      <c r="D1942" s="28"/>
      <c r="E1942" s="30" t="str">
        <f>IFERROR(VLOOKUP(D1942,KRX종목마스터!$A:$B,2,FALSE),"")</f>
        <v/>
      </c>
      <c r="F1942" s="42"/>
      <c r="G1942" s="42"/>
      <c r="H1942" s="31" t="str">
        <f t="shared" si="90"/>
        <v/>
      </c>
      <c r="I1942" s="43">
        <f ca="1">IFERROR(SUMPRODUCT((참고!$A$31:$A$130=C1942)*(참고!$B$31:$B$130&lt;=A1942)*(참고!$B$31:$B$130=_xludf.MAXIFS(참고!$B$31:$B$130,참고!$A$31:$A$130,C1942,참고!$B$31:$B$130,"&lt;="&amp;A1942))*참고!$C$31:$C$130)/100,0)</f>
        <v>0</v>
      </c>
      <c r="J1942" s="31" t="str">
        <f t="shared" si="91"/>
        <v/>
      </c>
      <c r="K1942" s="43">
        <f>IF(B1942="매도",IFERROR(SUMPRODUCT((참고!$A$31:$A$130=C1942)*(참고!$B$31:$B$130&lt;=A1942)*(참고!$B$31:$B$130=_xludf.MAXIFS(참고!$B$31:$B$130,참고!$A$31:$A$130,C1942,참고!$B$31:$B$130,"&lt;="&amp;A1942))*참고!$D$31:$D$130)/100,0),0)</f>
        <v>0</v>
      </c>
      <c r="L1942" s="31" t="str">
        <f t="shared" si="92"/>
        <v/>
      </c>
      <c r="M1942" s="39"/>
    </row>
    <row r="1943" spans="1:13" ht="18" customHeight="1" x14ac:dyDescent="0.45">
      <c r="A1943" s="37"/>
      <c r="B1943" s="29"/>
      <c r="C1943" s="29"/>
      <c r="D1943" s="28"/>
      <c r="E1943" s="30" t="str">
        <f>IFERROR(VLOOKUP(D1943,KRX종목마스터!$A:$B,2,FALSE),"")</f>
        <v/>
      </c>
      <c r="F1943" s="42"/>
      <c r="G1943" s="42"/>
      <c r="H1943" s="31" t="str">
        <f t="shared" si="90"/>
        <v/>
      </c>
      <c r="I1943" s="43">
        <f ca="1">IFERROR(SUMPRODUCT((참고!$A$31:$A$130=C1943)*(참고!$B$31:$B$130&lt;=A1943)*(참고!$B$31:$B$130=_xludf.MAXIFS(참고!$B$31:$B$130,참고!$A$31:$A$130,C1943,참고!$B$31:$B$130,"&lt;="&amp;A1943))*참고!$C$31:$C$130)/100,0)</f>
        <v>0</v>
      </c>
      <c r="J1943" s="31" t="str">
        <f t="shared" si="91"/>
        <v/>
      </c>
      <c r="K1943" s="43">
        <f>IF(B1943="매도",IFERROR(SUMPRODUCT((참고!$A$31:$A$130=C1943)*(참고!$B$31:$B$130&lt;=A1943)*(참고!$B$31:$B$130=_xludf.MAXIFS(참고!$B$31:$B$130,참고!$A$31:$A$130,C1943,참고!$B$31:$B$130,"&lt;="&amp;A1943))*참고!$D$31:$D$130)/100,0),0)</f>
        <v>0</v>
      </c>
      <c r="L1943" s="31" t="str">
        <f t="shared" si="92"/>
        <v/>
      </c>
      <c r="M1943" s="39"/>
    </row>
    <row r="1944" spans="1:13" ht="18" customHeight="1" x14ac:dyDescent="0.45">
      <c r="A1944" s="37"/>
      <c r="B1944" s="29"/>
      <c r="C1944" s="29"/>
      <c r="D1944" s="28"/>
      <c r="E1944" s="30" t="str">
        <f>IFERROR(VLOOKUP(D1944,KRX종목마스터!$A:$B,2,FALSE),"")</f>
        <v/>
      </c>
      <c r="F1944" s="42"/>
      <c r="G1944" s="42"/>
      <c r="H1944" s="31" t="str">
        <f t="shared" si="90"/>
        <v/>
      </c>
      <c r="I1944" s="43">
        <f ca="1">IFERROR(SUMPRODUCT((참고!$A$31:$A$130=C1944)*(참고!$B$31:$B$130&lt;=A1944)*(참고!$B$31:$B$130=_xludf.MAXIFS(참고!$B$31:$B$130,참고!$A$31:$A$130,C1944,참고!$B$31:$B$130,"&lt;="&amp;A1944))*참고!$C$31:$C$130)/100,0)</f>
        <v>0</v>
      </c>
      <c r="J1944" s="31" t="str">
        <f t="shared" si="91"/>
        <v/>
      </c>
      <c r="K1944" s="43">
        <f>IF(B1944="매도",IFERROR(SUMPRODUCT((참고!$A$31:$A$130=C1944)*(참고!$B$31:$B$130&lt;=A1944)*(참고!$B$31:$B$130=_xludf.MAXIFS(참고!$B$31:$B$130,참고!$A$31:$A$130,C1944,참고!$B$31:$B$130,"&lt;="&amp;A1944))*참고!$D$31:$D$130)/100,0),0)</f>
        <v>0</v>
      </c>
      <c r="L1944" s="31" t="str">
        <f t="shared" si="92"/>
        <v/>
      </c>
      <c r="M1944" s="39"/>
    </row>
    <row r="1945" spans="1:13" ht="18" customHeight="1" x14ac:dyDescent="0.45">
      <c r="A1945" s="37"/>
      <c r="B1945" s="29"/>
      <c r="C1945" s="29"/>
      <c r="D1945" s="28"/>
      <c r="E1945" s="30" t="str">
        <f>IFERROR(VLOOKUP(D1945,KRX종목마스터!$A:$B,2,FALSE),"")</f>
        <v/>
      </c>
      <c r="F1945" s="42"/>
      <c r="G1945" s="42"/>
      <c r="H1945" s="31" t="str">
        <f t="shared" si="90"/>
        <v/>
      </c>
      <c r="I1945" s="43">
        <f ca="1">IFERROR(SUMPRODUCT((참고!$A$31:$A$130=C1945)*(참고!$B$31:$B$130&lt;=A1945)*(참고!$B$31:$B$130=_xludf.MAXIFS(참고!$B$31:$B$130,참고!$A$31:$A$130,C1945,참고!$B$31:$B$130,"&lt;="&amp;A1945))*참고!$C$31:$C$130)/100,0)</f>
        <v>0</v>
      </c>
      <c r="J1945" s="31" t="str">
        <f t="shared" si="91"/>
        <v/>
      </c>
      <c r="K1945" s="43">
        <f>IF(B1945="매도",IFERROR(SUMPRODUCT((참고!$A$31:$A$130=C1945)*(참고!$B$31:$B$130&lt;=A1945)*(참고!$B$31:$B$130=_xludf.MAXIFS(참고!$B$31:$B$130,참고!$A$31:$A$130,C1945,참고!$B$31:$B$130,"&lt;="&amp;A1945))*참고!$D$31:$D$130)/100,0),0)</f>
        <v>0</v>
      </c>
      <c r="L1945" s="31" t="str">
        <f t="shared" si="92"/>
        <v/>
      </c>
      <c r="M1945" s="39"/>
    </row>
    <row r="1946" spans="1:13" ht="18" customHeight="1" x14ac:dyDescent="0.45">
      <c r="A1946" s="37"/>
      <c r="B1946" s="29"/>
      <c r="C1946" s="29"/>
      <c r="D1946" s="28"/>
      <c r="E1946" s="30" t="str">
        <f>IFERROR(VLOOKUP(D1946,KRX종목마스터!$A:$B,2,FALSE),"")</f>
        <v/>
      </c>
      <c r="F1946" s="42"/>
      <c r="G1946" s="42"/>
      <c r="H1946" s="31" t="str">
        <f t="shared" si="90"/>
        <v/>
      </c>
      <c r="I1946" s="43">
        <f ca="1">IFERROR(SUMPRODUCT((참고!$A$31:$A$130=C1946)*(참고!$B$31:$B$130&lt;=A1946)*(참고!$B$31:$B$130=_xludf.MAXIFS(참고!$B$31:$B$130,참고!$A$31:$A$130,C1946,참고!$B$31:$B$130,"&lt;="&amp;A1946))*참고!$C$31:$C$130)/100,0)</f>
        <v>0</v>
      </c>
      <c r="J1946" s="31" t="str">
        <f t="shared" si="91"/>
        <v/>
      </c>
      <c r="K1946" s="43">
        <f>IF(B1946="매도",IFERROR(SUMPRODUCT((참고!$A$31:$A$130=C1946)*(참고!$B$31:$B$130&lt;=A1946)*(참고!$B$31:$B$130=_xludf.MAXIFS(참고!$B$31:$B$130,참고!$A$31:$A$130,C1946,참고!$B$31:$B$130,"&lt;="&amp;A1946))*참고!$D$31:$D$130)/100,0),0)</f>
        <v>0</v>
      </c>
      <c r="L1946" s="31" t="str">
        <f t="shared" si="92"/>
        <v/>
      </c>
      <c r="M1946" s="39"/>
    </row>
    <row r="1947" spans="1:13" ht="18" customHeight="1" x14ac:dyDescent="0.45">
      <c r="A1947" s="37"/>
      <c r="B1947" s="29"/>
      <c r="C1947" s="29"/>
      <c r="D1947" s="28"/>
      <c r="E1947" s="30" t="str">
        <f>IFERROR(VLOOKUP(D1947,KRX종목마스터!$A:$B,2,FALSE),"")</f>
        <v/>
      </c>
      <c r="F1947" s="42"/>
      <c r="G1947" s="42"/>
      <c r="H1947" s="31" t="str">
        <f t="shared" si="90"/>
        <v/>
      </c>
      <c r="I1947" s="43">
        <f ca="1">IFERROR(SUMPRODUCT((참고!$A$31:$A$130=C1947)*(참고!$B$31:$B$130&lt;=A1947)*(참고!$B$31:$B$130=_xludf.MAXIFS(참고!$B$31:$B$130,참고!$A$31:$A$130,C1947,참고!$B$31:$B$130,"&lt;="&amp;A1947))*참고!$C$31:$C$130)/100,0)</f>
        <v>0</v>
      </c>
      <c r="J1947" s="31" t="str">
        <f t="shared" si="91"/>
        <v/>
      </c>
      <c r="K1947" s="43">
        <f>IF(B1947="매도",IFERROR(SUMPRODUCT((참고!$A$31:$A$130=C1947)*(참고!$B$31:$B$130&lt;=A1947)*(참고!$B$31:$B$130=_xludf.MAXIFS(참고!$B$31:$B$130,참고!$A$31:$A$130,C1947,참고!$B$31:$B$130,"&lt;="&amp;A1947))*참고!$D$31:$D$130)/100,0),0)</f>
        <v>0</v>
      </c>
      <c r="L1947" s="31" t="str">
        <f t="shared" si="92"/>
        <v/>
      </c>
      <c r="M1947" s="39"/>
    </row>
    <row r="1948" spans="1:13" ht="18" customHeight="1" x14ac:dyDescent="0.45">
      <c r="A1948" s="37"/>
      <c r="B1948" s="29"/>
      <c r="C1948" s="29"/>
      <c r="D1948" s="28"/>
      <c r="E1948" s="30" t="str">
        <f>IFERROR(VLOOKUP(D1948,KRX종목마스터!$A:$B,2,FALSE),"")</f>
        <v/>
      </c>
      <c r="F1948" s="42"/>
      <c r="G1948" s="42"/>
      <c r="H1948" s="31" t="str">
        <f t="shared" si="90"/>
        <v/>
      </c>
      <c r="I1948" s="43">
        <f ca="1">IFERROR(SUMPRODUCT((참고!$A$31:$A$130=C1948)*(참고!$B$31:$B$130&lt;=A1948)*(참고!$B$31:$B$130=_xludf.MAXIFS(참고!$B$31:$B$130,참고!$A$31:$A$130,C1948,참고!$B$31:$B$130,"&lt;="&amp;A1948))*참고!$C$31:$C$130)/100,0)</f>
        <v>0</v>
      </c>
      <c r="J1948" s="31" t="str">
        <f t="shared" si="91"/>
        <v/>
      </c>
      <c r="K1948" s="43">
        <f>IF(B1948="매도",IFERROR(SUMPRODUCT((참고!$A$31:$A$130=C1948)*(참고!$B$31:$B$130&lt;=A1948)*(참고!$B$31:$B$130=_xludf.MAXIFS(참고!$B$31:$B$130,참고!$A$31:$A$130,C1948,참고!$B$31:$B$130,"&lt;="&amp;A1948))*참고!$D$31:$D$130)/100,0),0)</f>
        <v>0</v>
      </c>
      <c r="L1948" s="31" t="str">
        <f t="shared" si="92"/>
        <v/>
      </c>
      <c r="M1948" s="39"/>
    </row>
    <row r="1949" spans="1:13" ht="18" customHeight="1" x14ac:dyDescent="0.45">
      <c r="A1949" s="37"/>
      <c r="B1949" s="29"/>
      <c r="C1949" s="29"/>
      <c r="D1949" s="28"/>
      <c r="E1949" s="30" t="str">
        <f>IFERROR(VLOOKUP(D1949,KRX종목마스터!$A:$B,2,FALSE),"")</f>
        <v/>
      </c>
      <c r="F1949" s="42"/>
      <c r="G1949" s="42"/>
      <c r="H1949" s="31" t="str">
        <f t="shared" si="90"/>
        <v/>
      </c>
      <c r="I1949" s="43">
        <f ca="1">IFERROR(SUMPRODUCT((참고!$A$31:$A$130=C1949)*(참고!$B$31:$B$130&lt;=A1949)*(참고!$B$31:$B$130=_xludf.MAXIFS(참고!$B$31:$B$130,참고!$A$31:$A$130,C1949,참고!$B$31:$B$130,"&lt;="&amp;A1949))*참고!$C$31:$C$130)/100,0)</f>
        <v>0</v>
      </c>
      <c r="J1949" s="31" t="str">
        <f t="shared" si="91"/>
        <v/>
      </c>
      <c r="K1949" s="43">
        <f>IF(B1949="매도",IFERROR(SUMPRODUCT((참고!$A$31:$A$130=C1949)*(참고!$B$31:$B$130&lt;=A1949)*(참고!$B$31:$B$130=_xludf.MAXIFS(참고!$B$31:$B$130,참고!$A$31:$A$130,C1949,참고!$B$31:$B$130,"&lt;="&amp;A1949))*참고!$D$31:$D$130)/100,0),0)</f>
        <v>0</v>
      </c>
      <c r="L1949" s="31" t="str">
        <f t="shared" si="92"/>
        <v/>
      </c>
      <c r="M1949" s="39"/>
    </row>
    <row r="1950" spans="1:13" ht="18" customHeight="1" x14ac:dyDescent="0.45">
      <c r="A1950" s="37"/>
      <c r="B1950" s="29"/>
      <c r="C1950" s="29"/>
      <c r="D1950" s="28"/>
      <c r="E1950" s="30" t="str">
        <f>IFERROR(VLOOKUP(D1950,KRX종목마스터!$A:$B,2,FALSE),"")</f>
        <v/>
      </c>
      <c r="F1950" s="42"/>
      <c r="G1950" s="42"/>
      <c r="H1950" s="31" t="str">
        <f t="shared" si="90"/>
        <v/>
      </c>
      <c r="I1950" s="43">
        <f ca="1">IFERROR(SUMPRODUCT((참고!$A$31:$A$130=C1950)*(참고!$B$31:$B$130&lt;=A1950)*(참고!$B$31:$B$130=_xludf.MAXIFS(참고!$B$31:$B$130,참고!$A$31:$A$130,C1950,참고!$B$31:$B$130,"&lt;="&amp;A1950))*참고!$C$31:$C$130)/100,0)</f>
        <v>0</v>
      </c>
      <c r="J1950" s="31" t="str">
        <f t="shared" si="91"/>
        <v/>
      </c>
      <c r="K1950" s="43">
        <f>IF(B1950="매도",IFERROR(SUMPRODUCT((참고!$A$31:$A$130=C1950)*(참고!$B$31:$B$130&lt;=A1950)*(참고!$B$31:$B$130=_xludf.MAXIFS(참고!$B$31:$B$130,참고!$A$31:$A$130,C1950,참고!$B$31:$B$130,"&lt;="&amp;A1950))*참고!$D$31:$D$130)/100,0),0)</f>
        <v>0</v>
      </c>
      <c r="L1950" s="31" t="str">
        <f t="shared" si="92"/>
        <v/>
      </c>
      <c r="M1950" s="39"/>
    </row>
    <row r="1951" spans="1:13" ht="18" customHeight="1" x14ac:dyDescent="0.45">
      <c r="A1951" s="37"/>
      <c r="B1951" s="29"/>
      <c r="C1951" s="29"/>
      <c r="D1951" s="28"/>
      <c r="E1951" s="30" t="str">
        <f>IFERROR(VLOOKUP(D1951,KRX종목마스터!$A:$B,2,FALSE),"")</f>
        <v/>
      </c>
      <c r="F1951" s="42"/>
      <c r="G1951" s="42"/>
      <c r="H1951" s="31" t="str">
        <f t="shared" si="90"/>
        <v/>
      </c>
      <c r="I1951" s="43">
        <f ca="1">IFERROR(SUMPRODUCT((참고!$A$31:$A$130=C1951)*(참고!$B$31:$B$130&lt;=A1951)*(참고!$B$31:$B$130=_xludf.MAXIFS(참고!$B$31:$B$130,참고!$A$31:$A$130,C1951,참고!$B$31:$B$130,"&lt;="&amp;A1951))*참고!$C$31:$C$130)/100,0)</f>
        <v>0</v>
      </c>
      <c r="J1951" s="31" t="str">
        <f t="shared" si="91"/>
        <v/>
      </c>
      <c r="K1951" s="43">
        <f>IF(B1951="매도",IFERROR(SUMPRODUCT((참고!$A$31:$A$130=C1951)*(참고!$B$31:$B$130&lt;=A1951)*(참고!$B$31:$B$130=_xludf.MAXIFS(참고!$B$31:$B$130,참고!$A$31:$A$130,C1951,참고!$B$31:$B$130,"&lt;="&amp;A1951))*참고!$D$31:$D$130)/100,0),0)</f>
        <v>0</v>
      </c>
      <c r="L1951" s="31" t="str">
        <f t="shared" si="92"/>
        <v/>
      </c>
      <c r="M1951" s="39"/>
    </row>
    <row r="1952" spans="1:13" ht="18" customHeight="1" x14ac:dyDescent="0.45">
      <c r="A1952" s="37"/>
      <c r="B1952" s="29"/>
      <c r="C1952" s="29"/>
      <c r="D1952" s="28"/>
      <c r="E1952" s="30" t="str">
        <f>IFERROR(VLOOKUP(D1952,KRX종목마스터!$A:$B,2,FALSE),"")</f>
        <v/>
      </c>
      <c r="F1952" s="42"/>
      <c r="G1952" s="42"/>
      <c r="H1952" s="31" t="str">
        <f t="shared" si="90"/>
        <v/>
      </c>
      <c r="I1952" s="43">
        <f ca="1">IFERROR(SUMPRODUCT((참고!$A$31:$A$130=C1952)*(참고!$B$31:$B$130&lt;=A1952)*(참고!$B$31:$B$130=_xludf.MAXIFS(참고!$B$31:$B$130,참고!$A$31:$A$130,C1952,참고!$B$31:$B$130,"&lt;="&amp;A1952))*참고!$C$31:$C$130)/100,0)</f>
        <v>0</v>
      </c>
      <c r="J1952" s="31" t="str">
        <f t="shared" si="91"/>
        <v/>
      </c>
      <c r="K1952" s="43">
        <f>IF(B1952="매도",IFERROR(SUMPRODUCT((참고!$A$31:$A$130=C1952)*(참고!$B$31:$B$130&lt;=A1952)*(참고!$B$31:$B$130=_xludf.MAXIFS(참고!$B$31:$B$130,참고!$A$31:$A$130,C1952,참고!$B$31:$B$130,"&lt;="&amp;A1952))*참고!$D$31:$D$130)/100,0),0)</f>
        <v>0</v>
      </c>
      <c r="L1952" s="31" t="str">
        <f t="shared" si="92"/>
        <v/>
      </c>
      <c r="M1952" s="39"/>
    </row>
    <row r="1953" spans="1:13" ht="18" customHeight="1" x14ac:dyDescent="0.45">
      <c r="A1953" s="37"/>
      <c r="B1953" s="29"/>
      <c r="C1953" s="29"/>
      <c r="D1953" s="28"/>
      <c r="E1953" s="30" t="str">
        <f>IFERROR(VLOOKUP(D1953,KRX종목마스터!$A:$B,2,FALSE),"")</f>
        <v/>
      </c>
      <c r="F1953" s="42"/>
      <c r="G1953" s="42"/>
      <c r="H1953" s="31" t="str">
        <f t="shared" si="90"/>
        <v/>
      </c>
      <c r="I1953" s="43">
        <f ca="1">IFERROR(SUMPRODUCT((참고!$A$31:$A$130=C1953)*(참고!$B$31:$B$130&lt;=A1953)*(참고!$B$31:$B$130=_xludf.MAXIFS(참고!$B$31:$B$130,참고!$A$31:$A$130,C1953,참고!$B$31:$B$130,"&lt;="&amp;A1953))*참고!$C$31:$C$130)/100,0)</f>
        <v>0</v>
      </c>
      <c r="J1953" s="31" t="str">
        <f t="shared" si="91"/>
        <v/>
      </c>
      <c r="K1953" s="43">
        <f>IF(B1953="매도",IFERROR(SUMPRODUCT((참고!$A$31:$A$130=C1953)*(참고!$B$31:$B$130&lt;=A1953)*(참고!$B$31:$B$130=_xludf.MAXIFS(참고!$B$31:$B$130,참고!$A$31:$A$130,C1953,참고!$B$31:$B$130,"&lt;="&amp;A1953))*참고!$D$31:$D$130)/100,0),0)</f>
        <v>0</v>
      </c>
      <c r="L1953" s="31" t="str">
        <f t="shared" si="92"/>
        <v/>
      </c>
      <c r="M1953" s="39"/>
    </row>
    <row r="1954" spans="1:13" ht="18" customHeight="1" x14ac:dyDescent="0.45">
      <c r="A1954" s="37"/>
      <c r="B1954" s="29"/>
      <c r="C1954" s="29"/>
      <c r="D1954" s="28"/>
      <c r="E1954" s="30" t="str">
        <f>IFERROR(VLOOKUP(D1954,KRX종목마스터!$A:$B,2,FALSE),"")</f>
        <v/>
      </c>
      <c r="F1954" s="42"/>
      <c r="G1954" s="42"/>
      <c r="H1954" s="31" t="str">
        <f t="shared" si="90"/>
        <v/>
      </c>
      <c r="I1954" s="43">
        <f ca="1">IFERROR(SUMPRODUCT((참고!$A$31:$A$130=C1954)*(참고!$B$31:$B$130&lt;=A1954)*(참고!$B$31:$B$130=_xludf.MAXIFS(참고!$B$31:$B$130,참고!$A$31:$A$130,C1954,참고!$B$31:$B$130,"&lt;="&amp;A1954))*참고!$C$31:$C$130)/100,0)</f>
        <v>0</v>
      </c>
      <c r="J1954" s="31" t="str">
        <f t="shared" si="91"/>
        <v/>
      </c>
      <c r="K1954" s="43">
        <f>IF(B1954="매도",IFERROR(SUMPRODUCT((참고!$A$31:$A$130=C1954)*(참고!$B$31:$B$130&lt;=A1954)*(참고!$B$31:$B$130=_xludf.MAXIFS(참고!$B$31:$B$130,참고!$A$31:$A$130,C1954,참고!$B$31:$B$130,"&lt;="&amp;A1954))*참고!$D$31:$D$130)/100,0),0)</f>
        <v>0</v>
      </c>
      <c r="L1954" s="31" t="str">
        <f t="shared" si="92"/>
        <v/>
      </c>
      <c r="M1954" s="39"/>
    </row>
    <row r="1955" spans="1:13" ht="18" customHeight="1" x14ac:dyDescent="0.45">
      <c r="A1955" s="37"/>
      <c r="B1955" s="29"/>
      <c r="C1955" s="29"/>
      <c r="D1955" s="28"/>
      <c r="E1955" s="30" t="str">
        <f>IFERROR(VLOOKUP(D1955,KRX종목마스터!$A:$B,2,FALSE),"")</f>
        <v/>
      </c>
      <c r="F1955" s="42"/>
      <c r="G1955" s="42"/>
      <c r="H1955" s="31" t="str">
        <f t="shared" si="90"/>
        <v/>
      </c>
      <c r="I1955" s="43">
        <f ca="1">IFERROR(SUMPRODUCT((참고!$A$31:$A$130=C1955)*(참고!$B$31:$B$130&lt;=A1955)*(참고!$B$31:$B$130=_xludf.MAXIFS(참고!$B$31:$B$130,참고!$A$31:$A$130,C1955,참고!$B$31:$B$130,"&lt;="&amp;A1955))*참고!$C$31:$C$130)/100,0)</f>
        <v>0</v>
      </c>
      <c r="J1955" s="31" t="str">
        <f t="shared" si="91"/>
        <v/>
      </c>
      <c r="K1955" s="43">
        <f>IF(B1955="매도",IFERROR(SUMPRODUCT((참고!$A$31:$A$130=C1955)*(참고!$B$31:$B$130&lt;=A1955)*(참고!$B$31:$B$130=_xludf.MAXIFS(참고!$B$31:$B$130,참고!$A$31:$A$130,C1955,참고!$B$31:$B$130,"&lt;="&amp;A1955))*참고!$D$31:$D$130)/100,0),0)</f>
        <v>0</v>
      </c>
      <c r="L1955" s="31" t="str">
        <f t="shared" si="92"/>
        <v/>
      </c>
      <c r="M1955" s="39"/>
    </row>
    <row r="1956" spans="1:13" ht="18" customHeight="1" x14ac:dyDescent="0.45">
      <c r="A1956" s="37"/>
      <c r="B1956" s="29"/>
      <c r="C1956" s="29"/>
      <c r="D1956" s="28"/>
      <c r="E1956" s="30" t="str">
        <f>IFERROR(VLOOKUP(D1956,KRX종목마스터!$A:$B,2,FALSE),"")</f>
        <v/>
      </c>
      <c r="F1956" s="42"/>
      <c r="G1956" s="42"/>
      <c r="H1956" s="31" t="str">
        <f t="shared" si="90"/>
        <v/>
      </c>
      <c r="I1956" s="43">
        <f ca="1">IFERROR(SUMPRODUCT((참고!$A$31:$A$130=C1956)*(참고!$B$31:$B$130&lt;=A1956)*(참고!$B$31:$B$130=_xludf.MAXIFS(참고!$B$31:$B$130,참고!$A$31:$A$130,C1956,참고!$B$31:$B$130,"&lt;="&amp;A1956))*참고!$C$31:$C$130)/100,0)</f>
        <v>0</v>
      </c>
      <c r="J1956" s="31" t="str">
        <f t="shared" si="91"/>
        <v/>
      </c>
      <c r="K1956" s="43">
        <f>IF(B1956="매도",IFERROR(SUMPRODUCT((참고!$A$31:$A$130=C1956)*(참고!$B$31:$B$130&lt;=A1956)*(참고!$B$31:$B$130=_xludf.MAXIFS(참고!$B$31:$B$130,참고!$A$31:$A$130,C1956,참고!$B$31:$B$130,"&lt;="&amp;A1956))*참고!$D$31:$D$130)/100,0),0)</f>
        <v>0</v>
      </c>
      <c r="L1956" s="31" t="str">
        <f t="shared" si="92"/>
        <v/>
      </c>
      <c r="M1956" s="39"/>
    </row>
    <row r="1957" spans="1:13" ht="18" customHeight="1" x14ac:dyDescent="0.45">
      <c r="A1957" s="37"/>
      <c r="B1957" s="29"/>
      <c r="C1957" s="29"/>
      <c r="D1957" s="28"/>
      <c r="E1957" s="30" t="str">
        <f>IFERROR(VLOOKUP(D1957,KRX종목마스터!$A:$B,2,FALSE),"")</f>
        <v/>
      </c>
      <c r="F1957" s="42"/>
      <c r="G1957" s="42"/>
      <c r="H1957" s="31" t="str">
        <f t="shared" si="90"/>
        <v/>
      </c>
      <c r="I1957" s="43">
        <f ca="1">IFERROR(SUMPRODUCT((참고!$A$31:$A$130=C1957)*(참고!$B$31:$B$130&lt;=A1957)*(참고!$B$31:$B$130=_xludf.MAXIFS(참고!$B$31:$B$130,참고!$A$31:$A$130,C1957,참고!$B$31:$B$130,"&lt;="&amp;A1957))*참고!$C$31:$C$130)/100,0)</f>
        <v>0</v>
      </c>
      <c r="J1957" s="31" t="str">
        <f t="shared" si="91"/>
        <v/>
      </c>
      <c r="K1957" s="43">
        <f>IF(B1957="매도",IFERROR(SUMPRODUCT((참고!$A$31:$A$130=C1957)*(참고!$B$31:$B$130&lt;=A1957)*(참고!$B$31:$B$130=_xludf.MAXIFS(참고!$B$31:$B$130,참고!$A$31:$A$130,C1957,참고!$B$31:$B$130,"&lt;="&amp;A1957))*참고!$D$31:$D$130)/100,0),0)</f>
        <v>0</v>
      </c>
      <c r="L1957" s="31" t="str">
        <f t="shared" si="92"/>
        <v/>
      </c>
      <c r="M1957" s="39"/>
    </row>
    <row r="1958" spans="1:13" ht="18" customHeight="1" x14ac:dyDescent="0.45">
      <c r="A1958" s="37"/>
      <c r="B1958" s="29"/>
      <c r="C1958" s="29"/>
      <c r="D1958" s="28"/>
      <c r="E1958" s="30" t="str">
        <f>IFERROR(VLOOKUP(D1958,KRX종목마스터!$A:$B,2,FALSE),"")</f>
        <v/>
      </c>
      <c r="F1958" s="42"/>
      <c r="G1958" s="42"/>
      <c r="H1958" s="31" t="str">
        <f t="shared" si="90"/>
        <v/>
      </c>
      <c r="I1958" s="43">
        <f ca="1">IFERROR(SUMPRODUCT((참고!$A$31:$A$130=C1958)*(참고!$B$31:$B$130&lt;=A1958)*(참고!$B$31:$B$130=_xludf.MAXIFS(참고!$B$31:$B$130,참고!$A$31:$A$130,C1958,참고!$B$31:$B$130,"&lt;="&amp;A1958))*참고!$C$31:$C$130)/100,0)</f>
        <v>0</v>
      </c>
      <c r="J1958" s="31" t="str">
        <f t="shared" si="91"/>
        <v/>
      </c>
      <c r="K1958" s="43">
        <f>IF(B1958="매도",IFERROR(SUMPRODUCT((참고!$A$31:$A$130=C1958)*(참고!$B$31:$B$130&lt;=A1958)*(참고!$B$31:$B$130=_xludf.MAXIFS(참고!$B$31:$B$130,참고!$A$31:$A$130,C1958,참고!$B$31:$B$130,"&lt;="&amp;A1958))*참고!$D$31:$D$130)/100,0),0)</f>
        <v>0</v>
      </c>
      <c r="L1958" s="31" t="str">
        <f t="shared" si="92"/>
        <v/>
      </c>
      <c r="M1958" s="39"/>
    </row>
    <row r="1959" spans="1:13" ht="18" customHeight="1" x14ac:dyDescent="0.45">
      <c r="A1959" s="37"/>
      <c r="B1959" s="29"/>
      <c r="C1959" s="29"/>
      <c r="D1959" s="28"/>
      <c r="E1959" s="30" t="str">
        <f>IFERROR(VLOOKUP(D1959,KRX종목마스터!$A:$B,2,FALSE),"")</f>
        <v/>
      </c>
      <c r="F1959" s="42"/>
      <c r="G1959" s="42"/>
      <c r="H1959" s="31" t="str">
        <f t="shared" si="90"/>
        <v/>
      </c>
      <c r="I1959" s="43">
        <f ca="1">IFERROR(SUMPRODUCT((참고!$A$31:$A$130=C1959)*(참고!$B$31:$B$130&lt;=A1959)*(참고!$B$31:$B$130=_xludf.MAXIFS(참고!$B$31:$B$130,참고!$A$31:$A$130,C1959,참고!$B$31:$B$130,"&lt;="&amp;A1959))*참고!$C$31:$C$130)/100,0)</f>
        <v>0</v>
      </c>
      <c r="J1959" s="31" t="str">
        <f t="shared" si="91"/>
        <v/>
      </c>
      <c r="K1959" s="43">
        <f>IF(B1959="매도",IFERROR(SUMPRODUCT((참고!$A$31:$A$130=C1959)*(참고!$B$31:$B$130&lt;=A1959)*(참고!$B$31:$B$130=_xludf.MAXIFS(참고!$B$31:$B$130,참고!$A$31:$A$130,C1959,참고!$B$31:$B$130,"&lt;="&amp;A1959))*참고!$D$31:$D$130)/100,0),0)</f>
        <v>0</v>
      </c>
      <c r="L1959" s="31" t="str">
        <f t="shared" si="92"/>
        <v/>
      </c>
      <c r="M1959" s="39"/>
    </row>
    <row r="1960" spans="1:13" ht="18" customHeight="1" x14ac:dyDescent="0.45">
      <c r="A1960" s="37"/>
      <c r="B1960" s="29"/>
      <c r="C1960" s="29"/>
      <c r="D1960" s="28"/>
      <c r="E1960" s="30" t="str">
        <f>IFERROR(VLOOKUP(D1960,KRX종목마스터!$A:$B,2,FALSE),"")</f>
        <v/>
      </c>
      <c r="F1960" s="42"/>
      <c r="G1960" s="42"/>
      <c r="H1960" s="31" t="str">
        <f t="shared" si="90"/>
        <v/>
      </c>
      <c r="I1960" s="43">
        <f ca="1">IFERROR(SUMPRODUCT((참고!$A$31:$A$130=C1960)*(참고!$B$31:$B$130&lt;=A1960)*(참고!$B$31:$B$130=_xludf.MAXIFS(참고!$B$31:$B$130,참고!$A$31:$A$130,C1960,참고!$B$31:$B$130,"&lt;="&amp;A1960))*참고!$C$31:$C$130)/100,0)</f>
        <v>0</v>
      </c>
      <c r="J1960" s="31" t="str">
        <f t="shared" si="91"/>
        <v/>
      </c>
      <c r="K1960" s="43">
        <f>IF(B1960="매도",IFERROR(SUMPRODUCT((참고!$A$31:$A$130=C1960)*(참고!$B$31:$B$130&lt;=A1960)*(참고!$B$31:$B$130=_xludf.MAXIFS(참고!$B$31:$B$130,참고!$A$31:$A$130,C1960,참고!$B$31:$B$130,"&lt;="&amp;A1960))*참고!$D$31:$D$130)/100,0),0)</f>
        <v>0</v>
      </c>
      <c r="L1960" s="31" t="str">
        <f t="shared" si="92"/>
        <v/>
      </c>
      <c r="M1960" s="39"/>
    </row>
    <row r="1961" spans="1:13" ht="18" customHeight="1" x14ac:dyDescent="0.45">
      <c r="A1961" s="37"/>
      <c r="B1961" s="29"/>
      <c r="C1961" s="29"/>
      <c r="D1961" s="28"/>
      <c r="E1961" s="30" t="str">
        <f>IFERROR(VLOOKUP(D1961,KRX종목마스터!$A:$B,2,FALSE),"")</f>
        <v/>
      </c>
      <c r="F1961" s="42"/>
      <c r="G1961" s="42"/>
      <c r="H1961" s="31" t="str">
        <f t="shared" si="90"/>
        <v/>
      </c>
      <c r="I1961" s="43">
        <f ca="1">IFERROR(SUMPRODUCT((참고!$A$31:$A$130=C1961)*(참고!$B$31:$B$130&lt;=A1961)*(참고!$B$31:$B$130=_xludf.MAXIFS(참고!$B$31:$B$130,참고!$A$31:$A$130,C1961,참고!$B$31:$B$130,"&lt;="&amp;A1961))*참고!$C$31:$C$130)/100,0)</f>
        <v>0</v>
      </c>
      <c r="J1961" s="31" t="str">
        <f t="shared" si="91"/>
        <v/>
      </c>
      <c r="K1961" s="43">
        <f>IF(B1961="매도",IFERROR(SUMPRODUCT((참고!$A$31:$A$130=C1961)*(참고!$B$31:$B$130&lt;=A1961)*(참고!$B$31:$B$130=_xludf.MAXIFS(참고!$B$31:$B$130,참고!$A$31:$A$130,C1961,참고!$B$31:$B$130,"&lt;="&amp;A1961))*참고!$D$31:$D$130)/100,0),0)</f>
        <v>0</v>
      </c>
      <c r="L1961" s="31" t="str">
        <f t="shared" si="92"/>
        <v/>
      </c>
      <c r="M1961" s="39"/>
    </row>
    <row r="1962" spans="1:13" ht="18" customHeight="1" x14ac:dyDescent="0.45">
      <c r="A1962" s="37"/>
      <c r="B1962" s="29"/>
      <c r="C1962" s="29"/>
      <c r="D1962" s="28"/>
      <c r="E1962" s="30" t="str">
        <f>IFERROR(VLOOKUP(D1962,KRX종목마스터!$A:$B,2,FALSE),"")</f>
        <v/>
      </c>
      <c r="F1962" s="42"/>
      <c r="G1962" s="42"/>
      <c r="H1962" s="31" t="str">
        <f t="shared" si="90"/>
        <v/>
      </c>
      <c r="I1962" s="43">
        <f ca="1">IFERROR(SUMPRODUCT((참고!$A$31:$A$130=C1962)*(참고!$B$31:$B$130&lt;=A1962)*(참고!$B$31:$B$130=_xludf.MAXIFS(참고!$B$31:$B$130,참고!$A$31:$A$130,C1962,참고!$B$31:$B$130,"&lt;="&amp;A1962))*참고!$C$31:$C$130)/100,0)</f>
        <v>0</v>
      </c>
      <c r="J1962" s="31" t="str">
        <f t="shared" si="91"/>
        <v/>
      </c>
      <c r="K1962" s="43">
        <f>IF(B1962="매도",IFERROR(SUMPRODUCT((참고!$A$31:$A$130=C1962)*(참고!$B$31:$B$130&lt;=A1962)*(참고!$B$31:$B$130=_xludf.MAXIFS(참고!$B$31:$B$130,참고!$A$31:$A$130,C1962,참고!$B$31:$B$130,"&lt;="&amp;A1962))*참고!$D$31:$D$130)/100,0),0)</f>
        <v>0</v>
      </c>
      <c r="L1962" s="31" t="str">
        <f t="shared" si="92"/>
        <v/>
      </c>
      <c r="M1962" s="39"/>
    </row>
    <row r="1963" spans="1:13" ht="18" customHeight="1" x14ac:dyDescent="0.45">
      <c r="A1963" s="37"/>
      <c r="B1963" s="29"/>
      <c r="C1963" s="29"/>
      <c r="D1963" s="28"/>
      <c r="E1963" s="30" t="str">
        <f>IFERROR(VLOOKUP(D1963,KRX종목마스터!$A:$B,2,FALSE),"")</f>
        <v/>
      </c>
      <c r="F1963" s="42"/>
      <c r="G1963" s="42"/>
      <c r="H1963" s="31" t="str">
        <f t="shared" si="90"/>
        <v/>
      </c>
      <c r="I1963" s="43">
        <f ca="1">IFERROR(SUMPRODUCT((참고!$A$31:$A$130=C1963)*(참고!$B$31:$B$130&lt;=A1963)*(참고!$B$31:$B$130=_xludf.MAXIFS(참고!$B$31:$B$130,참고!$A$31:$A$130,C1963,참고!$B$31:$B$130,"&lt;="&amp;A1963))*참고!$C$31:$C$130)/100,0)</f>
        <v>0</v>
      </c>
      <c r="J1963" s="31" t="str">
        <f t="shared" si="91"/>
        <v/>
      </c>
      <c r="K1963" s="43">
        <f>IF(B1963="매도",IFERROR(SUMPRODUCT((참고!$A$31:$A$130=C1963)*(참고!$B$31:$B$130&lt;=A1963)*(참고!$B$31:$B$130=_xludf.MAXIFS(참고!$B$31:$B$130,참고!$A$31:$A$130,C1963,참고!$B$31:$B$130,"&lt;="&amp;A1963))*참고!$D$31:$D$130)/100,0),0)</f>
        <v>0</v>
      </c>
      <c r="L1963" s="31" t="str">
        <f t="shared" si="92"/>
        <v/>
      </c>
      <c r="M1963" s="39"/>
    </row>
    <row r="1964" spans="1:13" ht="18" customHeight="1" x14ac:dyDescent="0.45">
      <c r="A1964" s="37"/>
      <c r="B1964" s="29"/>
      <c r="C1964" s="29"/>
      <c r="D1964" s="28"/>
      <c r="E1964" s="30" t="str">
        <f>IFERROR(VLOOKUP(D1964,KRX종목마스터!$A:$B,2,FALSE),"")</f>
        <v/>
      </c>
      <c r="F1964" s="42"/>
      <c r="G1964" s="42"/>
      <c r="H1964" s="31" t="str">
        <f t="shared" si="90"/>
        <v/>
      </c>
      <c r="I1964" s="43">
        <f ca="1">IFERROR(SUMPRODUCT((참고!$A$31:$A$130=C1964)*(참고!$B$31:$B$130&lt;=A1964)*(참고!$B$31:$B$130=_xludf.MAXIFS(참고!$B$31:$B$130,참고!$A$31:$A$130,C1964,참고!$B$31:$B$130,"&lt;="&amp;A1964))*참고!$C$31:$C$130)/100,0)</f>
        <v>0</v>
      </c>
      <c r="J1964" s="31" t="str">
        <f t="shared" si="91"/>
        <v/>
      </c>
      <c r="K1964" s="43">
        <f>IF(B1964="매도",IFERROR(SUMPRODUCT((참고!$A$31:$A$130=C1964)*(참고!$B$31:$B$130&lt;=A1964)*(참고!$B$31:$B$130=_xludf.MAXIFS(참고!$B$31:$B$130,참고!$A$31:$A$130,C1964,참고!$B$31:$B$130,"&lt;="&amp;A1964))*참고!$D$31:$D$130)/100,0),0)</f>
        <v>0</v>
      </c>
      <c r="L1964" s="31" t="str">
        <f t="shared" si="92"/>
        <v/>
      </c>
      <c r="M1964" s="39"/>
    </row>
    <row r="1965" spans="1:13" ht="18" customHeight="1" x14ac:dyDescent="0.45">
      <c r="A1965" s="37"/>
      <c r="B1965" s="29"/>
      <c r="C1965" s="29"/>
      <c r="D1965" s="28"/>
      <c r="E1965" s="30" t="str">
        <f>IFERROR(VLOOKUP(D1965,KRX종목마스터!$A:$B,2,FALSE),"")</f>
        <v/>
      </c>
      <c r="F1965" s="42"/>
      <c r="G1965" s="42"/>
      <c r="H1965" s="31" t="str">
        <f t="shared" si="90"/>
        <v/>
      </c>
      <c r="I1965" s="43">
        <f ca="1">IFERROR(SUMPRODUCT((참고!$A$31:$A$130=C1965)*(참고!$B$31:$B$130&lt;=A1965)*(참고!$B$31:$B$130=_xludf.MAXIFS(참고!$B$31:$B$130,참고!$A$31:$A$130,C1965,참고!$B$31:$B$130,"&lt;="&amp;A1965))*참고!$C$31:$C$130)/100,0)</f>
        <v>0</v>
      </c>
      <c r="J1965" s="31" t="str">
        <f t="shared" si="91"/>
        <v/>
      </c>
      <c r="K1965" s="43">
        <f>IF(B1965="매도",IFERROR(SUMPRODUCT((참고!$A$31:$A$130=C1965)*(참고!$B$31:$B$130&lt;=A1965)*(참고!$B$31:$B$130=_xludf.MAXIFS(참고!$B$31:$B$130,참고!$A$31:$A$130,C1965,참고!$B$31:$B$130,"&lt;="&amp;A1965))*참고!$D$31:$D$130)/100,0),0)</f>
        <v>0</v>
      </c>
      <c r="L1965" s="31" t="str">
        <f t="shared" si="92"/>
        <v/>
      </c>
      <c r="M1965" s="39"/>
    </row>
    <row r="1966" spans="1:13" ht="18" customHeight="1" x14ac:dyDescent="0.45">
      <c r="A1966" s="37"/>
      <c r="B1966" s="29"/>
      <c r="C1966" s="29"/>
      <c r="D1966" s="28"/>
      <c r="E1966" s="30" t="str">
        <f>IFERROR(VLOOKUP(D1966,KRX종목마스터!$A:$B,2,FALSE),"")</f>
        <v/>
      </c>
      <c r="F1966" s="42"/>
      <c r="G1966" s="42"/>
      <c r="H1966" s="31" t="str">
        <f t="shared" si="90"/>
        <v/>
      </c>
      <c r="I1966" s="43">
        <f ca="1">IFERROR(SUMPRODUCT((참고!$A$31:$A$130=C1966)*(참고!$B$31:$B$130&lt;=A1966)*(참고!$B$31:$B$130=_xludf.MAXIFS(참고!$B$31:$B$130,참고!$A$31:$A$130,C1966,참고!$B$31:$B$130,"&lt;="&amp;A1966))*참고!$C$31:$C$130)/100,0)</f>
        <v>0</v>
      </c>
      <c r="J1966" s="31" t="str">
        <f t="shared" si="91"/>
        <v/>
      </c>
      <c r="K1966" s="43">
        <f>IF(B1966="매도",IFERROR(SUMPRODUCT((참고!$A$31:$A$130=C1966)*(참고!$B$31:$B$130&lt;=A1966)*(참고!$B$31:$B$130=_xludf.MAXIFS(참고!$B$31:$B$130,참고!$A$31:$A$130,C1966,참고!$B$31:$B$130,"&lt;="&amp;A1966))*참고!$D$31:$D$130)/100,0),0)</f>
        <v>0</v>
      </c>
      <c r="L1966" s="31" t="str">
        <f t="shared" si="92"/>
        <v/>
      </c>
      <c r="M1966" s="39"/>
    </row>
    <row r="1967" spans="1:13" ht="18" customHeight="1" x14ac:dyDescent="0.45">
      <c r="A1967" s="37"/>
      <c r="B1967" s="29"/>
      <c r="C1967" s="29"/>
      <c r="D1967" s="28"/>
      <c r="E1967" s="30" t="str">
        <f>IFERROR(VLOOKUP(D1967,KRX종목마스터!$A:$B,2,FALSE),"")</f>
        <v/>
      </c>
      <c r="F1967" s="42"/>
      <c r="G1967" s="42"/>
      <c r="H1967" s="31" t="str">
        <f t="shared" si="90"/>
        <v/>
      </c>
      <c r="I1967" s="43">
        <f ca="1">IFERROR(SUMPRODUCT((참고!$A$31:$A$130=C1967)*(참고!$B$31:$B$130&lt;=A1967)*(참고!$B$31:$B$130=_xludf.MAXIFS(참고!$B$31:$B$130,참고!$A$31:$A$130,C1967,참고!$B$31:$B$130,"&lt;="&amp;A1967))*참고!$C$31:$C$130)/100,0)</f>
        <v>0</v>
      </c>
      <c r="J1967" s="31" t="str">
        <f t="shared" si="91"/>
        <v/>
      </c>
      <c r="K1967" s="43">
        <f>IF(B1967="매도",IFERROR(SUMPRODUCT((참고!$A$31:$A$130=C1967)*(참고!$B$31:$B$130&lt;=A1967)*(참고!$B$31:$B$130=_xludf.MAXIFS(참고!$B$31:$B$130,참고!$A$31:$A$130,C1967,참고!$B$31:$B$130,"&lt;="&amp;A1967))*참고!$D$31:$D$130)/100,0),0)</f>
        <v>0</v>
      </c>
      <c r="L1967" s="31" t="str">
        <f t="shared" si="92"/>
        <v/>
      </c>
      <c r="M1967" s="39"/>
    </row>
    <row r="1968" spans="1:13" ht="18" customHeight="1" x14ac:dyDescent="0.45">
      <c r="A1968" s="37"/>
      <c r="B1968" s="29"/>
      <c r="C1968" s="29"/>
      <c r="D1968" s="28"/>
      <c r="E1968" s="30" t="str">
        <f>IFERROR(VLOOKUP(D1968,KRX종목마스터!$A:$B,2,FALSE),"")</f>
        <v/>
      </c>
      <c r="F1968" s="42"/>
      <c r="G1968" s="42"/>
      <c r="H1968" s="31" t="str">
        <f t="shared" si="90"/>
        <v/>
      </c>
      <c r="I1968" s="43">
        <f ca="1">IFERROR(SUMPRODUCT((참고!$A$31:$A$130=C1968)*(참고!$B$31:$B$130&lt;=A1968)*(참고!$B$31:$B$130=_xludf.MAXIFS(참고!$B$31:$B$130,참고!$A$31:$A$130,C1968,참고!$B$31:$B$130,"&lt;="&amp;A1968))*참고!$C$31:$C$130)/100,0)</f>
        <v>0</v>
      </c>
      <c r="J1968" s="31" t="str">
        <f t="shared" si="91"/>
        <v/>
      </c>
      <c r="K1968" s="43">
        <f>IF(B1968="매도",IFERROR(SUMPRODUCT((참고!$A$31:$A$130=C1968)*(참고!$B$31:$B$130&lt;=A1968)*(참고!$B$31:$B$130=_xludf.MAXIFS(참고!$B$31:$B$130,참고!$A$31:$A$130,C1968,참고!$B$31:$B$130,"&lt;="&amp;A1968))*참고!$D$31:$D$130)/100,0),0)</f>
        <v>0</v>
      </c>
      <c r="L1968" s="31" t="str">
        <f t="shared" si="92"/>
        <v/>
      </c>
      <c r="M1968" s="39"/>
    </row>
    <row r="1969" spans="1:13" ht="18" customHeight="1" x14ac:dyDescent="0.45">
      <c r="A1969" s="37"/>
      <c r="B1969" s="29"/>
      <c r="C1969" s="29"/>
      <c r="D1969" s="28"/>
      <c r="E1969" s="30" t="str">
        <f>IFERROR(VLOOKUP(D1969,KRX종목마스터!$A:$B,2,FALSE),"")</f>
        <v/>
      </c>
      <c r="F1969" s="42"/>
      <c r="G1969" s="42"/>
      <c r="H1969" s="31" t="str">
        <f t="shared" si="90"/>
        <v/>
      </c>
      <c r="I1969" s="43">
        <f ca="1">IFERROR(SUMPRODUCT((참고!$A$31:$A$130=C1969)*(참고!$B$31:$B$130&lt;=A1969)*(참고!$B$31:$B$130=_xludf.MAXIFS(참고!$B$31:$B$130,참고!$A$31:$A$130,C1969,참고!$B$31:$B$130,"&lt;="&amp;A1969))*참고!$C$31:$C$130)/100,0)</f>
        <v>0</v>
      </c>
      <c r="J1969" s="31" t="str">
        <f t="shared" si="91"/>
        <v/>
      </c>
      <c r="K1969" s="43">
        <f>IF(B1969="매도",IFERROR(SUMPRODUCT((참고!$A$31:$A$130=C1969)*(참고!$B$31:$B$130&lt;=A1969)*(참고!$B$31:$B$130=_xludf.MAXIFS(참고!$B$31:$B$130,참고!$A$31:$A$130,C1969,참고!$B$31:$B$130,"&lt;="&amp;A1969))*참고!$D$31:$D$130)/100,0),0)</f>
        <v>0</v>
      </c>
      <c r="L1969" s="31" t="str">
        <f t="shared" si="92"/>
        <v/>
      </c>
      <c r="M1969" s="39"/>
    </row>
    <row r="1970" spans="1:13" ht="18" customHeight="1" x14ac:dyDescent="0.45">
      <c r="A1970" s="37"/>
      <c r="B1970" s="29"/>
      <c r="C1970" s="29"/>
      <c r="D1970" s="28"/>
      <c r="E1970" s="30" t="str">
        <f>IFERROR(VLOOKUP(D1970,KRX종목마스터!$A:$B,2,FALSE),"")</f>
        <v/>
      </c>
      <c r="F1970" s="42"/>
      <c r="G1970" s="42"/>
      <c r="H1970" s="31" t="str">
        <f t="shared" si="90"/>
        <v/>
      </c>
      <c r="I1970" s="43">
        <f ca="1">IFERROR(SUMPRODUCT((참고!$A$31:$A$130=C1970)*(참고!$B$31:$B$130&lt;=A1970)*(참고!$B$31:$B$130=_xludf.MAXIFS(참고!$B$31:$B$130,참고!$A$31:$A$130,C1970,참고!$B$31:$B$130,"&lt;="&amp;A1970))*참고!$C$31:$C$130)/100,0)</f>
        <v>0</v>
      </c>
      <c r="J1970" s="31" t="str">
        <f t="shared" si="91"/>
        <v/>
      </c>
      <c r="K1970" s="43">
        <f>IF(B1970="매도",IFERROR(SUMPRODUCT((참고!$A$31:$A$130=C1970)*(참고!$B$31:$B$130&lt;=A1970)*(참고!$B$31:$B$130=_xludf.MAXIFS(참고!$B$31:$B$130,참고!$A$31:$A$130,C1970,참고!$B$31:$B$130,"&lt;="&amp;A1970))*참고!$D$31:$D$130)/100,0),0)</f>
        <v>0</v>
      </c>
      <c r="L1970" s="31" t="str">
        <f t="shared" si="92"/>
        <v/>
      </c>
      <c r="M1970" s="39"/>
    </row>
    <row r="1971" spans="1:13" ht="18" customHeight="1" x14ac:dyDescent="0.45">
      <c r="A1971" s="37"/>
      <c r="B1971" s="29"/>
      <c r="C1971" s="29"/>
      <c r="D1971" s="28"/>
      <c r="E1971" s="30" t="str">
        <f>IFERROR(VLOOKUP(D1971,KRX종목마스터!$A:$B,2,FALSE),"")</f>
        <v/>
      </c>
      <c r="F1971" s="42"/>
      <c r="G1971" s="42"/>
      <c r="H1971" s="31" t="str">
        <f t="shared" si="90"/>
        <v/>
      </c>
      <c r="I1971" s="43">
        <f ca="1">IFERROR(SUMPRODUCT((참고!$A$31:$A$130=C1971)*(참고!$B$31:$B$130&lt;=A1971)*(참고!$B$31:$B$130=_xludf.MAXIFS(참고!$B$31:$B$130,참고!$A$31:$A$130,C1971,참고!$B$31:$B$130,"&lt;="&amp;A1971))*참고!$C$31:$C$130)/100,0)</f>
        <v>0</v>
      </c>
      <c r="J1971" s="31" t="str">
        <f t="shared" si="91"/>
        <v/>
      </c>
      <c r="K1971" s="43">
        <f>IF(B1971="매도",IFERROR(SUMPRODUCT((참고!$A$31:$A$130=C1971)*(참고!$B$31:$B$130&lt;=A1971)*(참고!$B$31:$B$130=_xludf.MAXIFS(참고!$B$31:$B$130,참고!$A$31:$A$130,C1971,참고!$B$31:$B$130,"&lt;="&amp;A1971))*참고!$D$31:$D$130)/100,0),0)</f>
        <v>0</v>
      </c>
      <c r="L1971" s="31" t="str">
        <f t="shared" si="92"/>
        <v/>
      </c>
      <c r="M1971" s="39"/>
    </row>
    <row r="1972" spans="1:13" ht="18" customHeight="1" x14ac:dyDescent="0.45">
      <c r="A1972" s="37"/>
      <c r="B1972" s="29"/>
      <c r="C1972" s="29"/>
      <c r="D1972" s="28"/>
      <c r="E1972" s="30" t="str">
        <f>IFERROR(VLOOKUP(D1972,KRX종목마스터!$A:$B,2,FALSE),"")</f>
        <v/>
      </c>
      <c r="F1972" s="42"/>
      <c r="G1972" s="42"/>
      <c r="H1972" s="31" t="str">
        <f t="shared" si="90"/>
        <v/>
      </c>
      <c r="I1972" s="43">
        <f ca="1">IFERROR(SUMPRODUCT((참고!$A$31:$A$130=C1972)*(참고!$B$31:$B$130&lt;=A1972)*(참고!$B$31:$B$130=_xludf.MAXIFS(참고!$B$31:$B$130,참고!$A$31:$A$130,C1972,참고!$B$31:$B$130,"&lt;="&amp;A1972))*참고!$C$31:$C$130)/100,0)</f>
        <v>0</v>
      </c>
      <c r="J1972" s="31" t="str">
        <f t="shared" si="91"/>
        <v/>
      </c>
      <c r="K1972" s="43">
        <f>IF(B1972="매도",IFERROR(SUMPRODUCT((참고!$A$31:$A$130=C1972)*(참고!$B$31:$B$130&lt;=A1972)*(참고!$B$31:$B$130=_xludf.MAXIFS(참고!$B$31:$B$130,참고!$A$31:$A$130,C1972,참고!$B$31:$B$130,"&lt;="&amp;A1972))*참고!$D$31:$D$130)/100,0),0)</f>
        <v>0</v>
      </c>
      <c r="L1972" s="31" t="str">
        <f t="shared" si="92"/>
        <v/>
      </c>
      <c r="M1972" s="39"/>
    </row>
    <row r="1973" spans="1:13" ht="18" customHeight="1" x14ac:dyDescent="0.45">
      <c r="A1973" s="37"/>
      <c r="B1973" s="29"/>
      <c r="C1973" s="29"/>
      <c r="D1973" s="28"/>
      <c r="E1973" s="30" t="str">
        <f>IFERROR(VLOOKUP(D1973,KRX종목마스터!$A:$B,2,FALSE),"")</f>
        <v/>
      </c>
      <c r="F1973" s="42"/>
      <c r="G1973" s="42"/>
      <c r="H1973" s="31" t="str">
        <f t="shared" si="90"/>
        <v/>
      </c>
      <c r="I1973" s="43">
        <f ca="1">IFERROR(SUMPRODUCT((참고!$A$31:$A$130=C1973)*(참고!$B$31:$B$130&lt;=A1973)*(참고!$B$31:$B$130=_xludf.MAXIFS(참고!$B$31:$B$130,참고!$A$31:$A$130,C1973,참고!$B$31:$B$130,"&lt;="&amp;A1973))*참고!$C$31:$C$130)/100,0)</f>
        <v>0</v>
      </c>
      <c r="J1973" s="31" t="str">
        <f t="shared" si="91"/>
        <v/>
      </c>
      <c r="K1973" s="43">
        <f>IF(B1973="매도",IFERROR(SUMPRODUCT((참고!$A$31:$A$130=C1973)*(참고!$B$31:$B$130&lt;=A1973)*(참고!$B$31:$B$130=_xludf.MAXIFS(참고!$B$31:$B$130,참고!$A$31:$A$130,C1973,참고!$B$31:$B$130,"&lt;="&amp;A1973))*참고!$D$31:$D$130)/100,0),0)</f>
        <v>0</v>
      </c>
      <c r="L1973" s="31" t="str">
        <f t="shared" si="92"/>
        <v/>
      </c>
      <c r="M1973" s="39"/>
    </row>
    <row r="1974" spans="1:13" ht="18" customHeight="1" x14ac:dyDescent="0.45">
      <c r="A1974" s="37"/>
      <c r="B1974" s="29"/>
      <c r="C1974" s="29"/>
      <c r="D1974" s="28"/>
      <c r="E1974" s="30" t="str">
        <f>IFERROR(VLOOKUP(D1974,KRX종목마스터!$A:$B,2,FALSE),"")</f>
        <v/>
      </c>
      <c r="F1974" s="42"/>
      <c r="G1974" s="42"/>
      <c r="H1974" s="31" t="str">
        <f t="shared" si="90"/>
        <v/>
      </c>
      <c r="I1974" s="43">
        <f ca="1">IFERROR(SUMPRODUCT((참고!$A$31:$A$130=C1974)*(참고!$B$31:$B$130&lt;=A1974)*(참고!$B$31:$B$130=_xludf.MAXIFS(참고!$B$31:$B$130,참고!$A$31:$A$130,C1974,참고!$B$31:$B$130,"&lt;="&amp;A1974))*참고!$C$31:$C$130)/100,0)</f>
        <v>0</v>
      </c>
      <c r="J1974" s="31" t="str">
        <f t="shared" si="91"/>
        <v/>
      </c>
      <c r="K1974" s="43">
        <f>IF(B1974="매도",IFERROR(SUMPRODUCT((참고!$A$31:$A$130=C1974)*(참고!$B$31:$B$130&lt;=A1974)*(참고!$B$31:$B$130=_xludf.MAXIFS(참고!$B$31:$B$130,참고!$A$31:$A$130,C1974,참고!$B$31:$B$130,"&lt;="&amp;A1974))*참고!$D$31:$D$130)/100,0),0)</f>
        <v>0</v>
      </c>
      <c r="L1974" s="31" t="str">
        <f t="shared" si="92"/>
        <v/>
      </c>
      <c r="M1974" s="39"/>
    </row>
    <row r="1975" spans="1:13" ht="18" customHeight="1" x14ac:dyDescent="0.45">
      <c r="A1975" s="37"/>
      <c r="B1975" s="29"/>
      <c r="C1975" s="29"/>
      <c r="D1975" s="28"/>
      <c r="E1975" s="30" t="str">
        <f>IFERROR(VLOOKUP(D1975,KRX종목마스터!$A:$B,2,FALSE),"")</f>
        <v/>
      </c>
      <c r="F1975" s="42"/>
      <c r="G1975" s="42"/>
      <c r="H1975" s="31" t="str">
        <f t="shared" si="90"/>
        <v/>
      </c>
      <c r="I1975" s="43">
        <f ca="1">IFERROR(SUMPRODUCT((참고!$A$31:$A$130=C1975)*(참고!$B$31:$B$130&lt;=A1975)*(참고!$B$31:$B$130=_xludf.MAXIFS(참고!$B$31:$B$130,참고!$A$31:$A$130,C1975,참고!$B$31:$B$130,"&lt;="&amp;A1975))*참고!$C$31:$C$130)/100,0)</f>
        <v>0</v>
      </c>
      <c r="J1975" s="31" t="str">
        <f t="shared" si="91"/>
        <v/>
      </c>
      <c r="K1975" s="43">
        <f>IF(B1975="매도",IFERROR(SUMPRODUCT((참고!$A$31:$A$130=C1975)*(참고!$B$31:$B$130&lt;=A1975)*(참고!$B$31:$B$130=_xludf.MAXIFS(참고!$B$31:$B$130,참고!$A$31:$A$130,C1975,참고!$B$31:$B$130,"&lt;="&amp;A1975))*참고!$D$31:$D$130)/100,0),0)</f>
        <v>0</v>
      </c>
      <c r="L1975" s="31" t="str">
        <f t="shared" si="92"/>
        <v/>
      </c>
      <c r="M1975" s="39"/>
    </row>
    <row r="1976" spans="1:13" ht="18" customHeight="1" x14ac:dyDescent="0.45">
      <c r="A1976" s="37"/>
      <c r="B1976" s="29"/>
      <c r="C1976" s="29"/>
      <c r="D1976" s="28"/>
      <c r="E1976" s="30" t="str">
        <f>IFERROR(VLOOKUP(D1976,KRX종목마스터!$A:$B,2,FALSE),"")</f>
        <v/>
      </c>
      <c r="F1976" s="42"/>
      <c r="G1976" s="42"/>
      <c r="H1976" s="31" t="str">
        <f t="shared" si="90"/>
        <v/>
      </c>
      <c r="I1976" s="43">
        <f ca="1">IFERROR(SUMPRODUCT((참고!$A$31:$A$130=C1976)*(참고!$B$31:$B$130&lt;=A1976)*(참고!$B$31:$B$130=_xludf.MAXIFS(참고!$B$31:$B$130,참고!$A$31:$A$130,C1976,참고!$B$31:$B$130,"&lt;="&amp;A1976))*참고!$C$31:$C$130)/100,0)</f>
        <v>0</v>
      </c>
      <c r="J1976" s="31" t="str">
        <f t="shared" si="91"/>
        <v/>
      </c>
      <c r="K1976" s="43">
        <f>IF(B1976="매도",IFERROR(SUMPRODUCT((참고!$A$31:$A$130=C1976)*(참고!$B$31:$B$130&lt;=A1976)*(참고!$B$31:$B$130=_xludf.MAXIFS(참고!$B$31:$B$130,참고!$A$31:$A$130,C1976,참고!$B$31:$B$130,"&lt;="&amp;A1976))*참고!$D$31:$D$130)/100,0),0)</f>
        <v>0</v>
      </c>
      <c r="L1976" s="31" t="str">
        <f t="shared" si="92"/>
        <v/>
      </c>
      <c r="M1976" s="39"/>
    </row>
    <row r="1977" spans="1:13" ht="18" customHeight="1" x14ac:dyDescent="0.45">
      <c r="A1977" s="37"/>
      <c r="B1977" s="29"/>
      <c r="C1977" s="29"/>
      <c r="D1977" s="28"/>
      <c r="E1977" s="30" t="str">
        <f>IFERROR(VLOOKUP(D1977,KRX종목마스터!$A:$B,2,FALSE),"")</f>
        <v/>
      </c>
      <c r="F1977" s="42"/>
      <c r="G1977" s="42"/>
      <c r="H1977" s="31" t="str">
        <f t="shared" si="90"/>
        <v/>
      </c>
      <c r="I1977" s="43">
        <f ca="1">IFERROR(SUMPRODUCT((참고!$A$31:$A$130=C1977)*(참고!$B$31:$B$130&lt;=A1977)*(참고!$B$31:$B$130=_xludf.MAXIFS(참고!$B$31:$B$130,참고!$A$31:$A$130,C1977,참고!$B$31:$B$130,"&lt;="&amp;A1977))*참고!$C$31:$C$130)/100,0)</f>
        <v>0</v>
      </c>
      <c r="J1977" s="31" t="str">
        <f t="shared" si="91"/>
        <v/>
      </c>
      <c r="K1977" s="43">
        <f>IF(B1977="매도",IFERROR(SUMPRODUCT((참고!$A$31:$A$130=C1977)*(참고!$B$31:$B$130&lt;=A1977)*(참고!$B$31:$B$130=_xludf.MAXIFS(참고!$B$31:$B$130,참고!$A$31:$A$130,C1977,참고!$B$31:$B$130,"&lt;="&amp;A1977))*참고!$D$31:$D$130)/100,0),0)</f>
        <v>0</v>
      </c>
      <c r="L1977" s="31" t="str">
        <f t="shared" si="92"/>
        <v/>
      </c>
      <c r="M1977" s="39"/>
    </row>
    <row r="1978" spans="1:13" ht="18" customHeight="1" x14ac:dyDescent="0.45">
      <c r="A1978" s="37"/>
      <c r="B1978" s="29"/>
      <c r="C1978" s="29"/>
      <c r="D1978" s="28"/>
      <c r="E1978" s="30" t="str">
        <f>IFERROR(VLOOKUP(D1978,KRX종목마스터!$A:$B,2,FALSE),"")</f>
        <v/>
      </c>
      <c r="F1978" s="42"/>
      <c r="G1978" s="42"/>
      <c r="H1978" s="31" t="str">
        <f t="shared" si="90"/>
        <v/>
      </c>
      <c r="I1978" s="43">
        <f ca="1">IFERROR(SUMPRODUCT((참고!$A$31:$A$130=C1978)*(참고!$B$31:$B$130&lt;=A1978)*(참고!$B$31:$B$130=_xludf.MAXIFS(참고!$B$31:$B$130,참고!$A$31:$A$130,C1978,참고!$B$31:$B$130,"&lt;="&amp;A1978))*참고!$C$31:$C$130)/100,0)</f>
        <v>0</v>
      </c>
      <c r="J1978" s="31" t="str">
        <f t="shared" si="91"/>
        <v/>
      </c>
      <c r="K1978" s="43">
        <f>IF(B1978="매도",IFERROR(SUMPRODUCT((참고!$A$31:$A$130=C1978)*(참고!$B$31:$B$130&lt;=A1978)*(참고!$B$31:$B$130=_xludf.MAXIFS(참고!$B$31:$B$130,참고!$A$31:$A$130,C1978,참고!$B$31:$B$130,"&lt;="&amp;A1978))*참고!$D$31:$D$130)/100,0),0)</f>
        <v>0</v>
      </c>
      <c r="L1978" s="31" t="str">
        <f t="shared" si="92"/>
        <v/>
      </c>
      <c r="M1978" s="39"/>
    </row>
    <row r="1979" spans="1:13" ht="18" customHeight="1" x14ac:dyDescent="0.45">
      <c r="A1979" s="37"/>
      <c r="B1979" s="29"/>
      <c r="C1979" s="29"/>
      <c r="D1979" s="28"/>
      <c r="E1979" s="30" t="str">
        <f>IFERROR(VLOOKUP(D1979,KRX종목마스터!$A:$B,2,FALSE),"")</f>
        <v/>
      </c>
      <c r="F1979" s="42"/>
      <c r="G1979" s="42"/>
      <c r="H1979" s="31" t="str">
        <f t="shared" si="90"/>
        <v/>
      </c>
      <c r="I1979" s="43">
        <f ca="1">IFERROR(SUMPRODUCT((참고!$A$31:$A$130=C1979)*(참고!$B$31:$B$130&lt;=A1979)*(참고!$B$31:$B$130=_xludf.MAXIFS(참고!$B$31:$B$130,참고!$A$31:$A$130,C1979,참고!$B$31:$B$130,"&lt;="&amp;A1979))*참고!$C$31:$C$130)/100,0)</f>
        <v>0</v>
      </c>
      <c r="J1979" s="31" t="str">
        <f t="shared" si="91"/>
        <v/>
      </c>
      <c r="K1979" s="43">
        <f>IF(B1979="매도",IFERROR(SUMPRODUCT((참고!$A$31:$A$130=C1979)*(참고!$B$31:$B$130&lt;=A1979)*(참고!$B$31:$B$130=_xludf.MAXIFS(참고!$B$31:$B$130,참고!$A$31:$A$130,C1979,참고!$B$31:$B$130,"&lt;="&amp;A1979))*참고!$D$31:$D$130)/100,0),0)</f>
        <v>0</v>
      </c>
      <c r="L1979" s="31" t="str">
        <f t="shared" si="92"/>
        <v/>
      </c>
      <c r="M1979" s="39"/>
    </row>
    <row r="1980" spans="1:13" ht="18" customHeight="1" x14ac:dyDescent="0.45">
      <c r="A1980" s="37"/>
      <c r="B1980" s="29"/>
      <c r="C1980" s="29"/>
      <c r="D1980" s="28"/>
      <c r="E1980" s="30" t="str">
        <f>IFERROR(VLOOKUP(D1980,KRX종목마스터!$A:$B,2,FALSE),"")</f>
        <v/>
      </c>
      <c r="F1980" s="42"/>
      <c r="G1980" s="42"/>
      <c r="H1980" s="31" t="str">
        <f t="shared" si="90"/>
        <v/>
      </c>
      <c r="I1980" s="43">
        <f ca="1">IFERROR(SUMPRODUCT((참고!$A$31:$A$130=C1980)*(참고!$B$31:$B$130&lt;=A1980)*(참고!$B$31:$B$130=_xludf.MAXIFS(참고!$B$31:$B$130,참고!$A$31:$A$130,C1980,참고!$B$31:$B$130,"&lt;="&amp;A1980))*참고!$C$31:$C$130)/100,0)</f>
        <v>0</v>
      </c>
      <c r="J1980" s="31" t="str">
        <f t="shared" si="91"/>
        <v/>
      </c>
      <c r="K1980" s="43">
        <f>IF(B1980="매도",IFERROR(SUMPRODUCT((참고!$A$31:$A$130=C1980)*(참고!$B$31:$B$130&lt;=A1980)*(참고!$B$31:$B$130=_xludf.MAXIFS(참고!$B$31:$B$130,참고!$A$31:$A$130,C1980,참고!$B$31:$B$130,"&lt;="&amp;A1980))*참고!$D$31:$D$130)/100,0),0)</f>
        <v>0</v>
      </c>
      <c r="L1980" s="31" t="str">
        <f t="shared" si="92"/>
        <v/>
      </c>
      <c r="M1980" s="39"/>
    </row>
    <row r="1981" spans="1:13" ht="18" customHeight="1" x14ac:dyDescent="0.45">
      <c r="A1981" s="37"/>
      <c r="B1981" s="29"/>
      <c r="C1981" s="29"/>
      <c r="D1981" s="28"/>
      <c r="E1981" s="30" t="str">
        <f>IFERROR(VLOOKUP(D1981,KRX종목마스터!$A:$B,2,FALSE),"")</f>
        <v/>
      </c>
      <c r="F1981" s="42"/>
      <c r="G1981" s="42"/>
      <c r="H1981" s="31" t="str">
        <f t="shared" si="90"/>
        <v/>
      </c>
      <c r="I1981" s="43">
        <f ca="1">IFERROR(SUMPRODUCT((참고!$A$31:$A$130=C1981)*(참고!$B$31:$B$130&lt;=A1981)*(참고!$B$31:$B$130=_xludf.MAXIFS(참고!$B$31:$B$130,참고!$A$31:$A$130,C1981,참고!$B$31:$B$130,"&lt;="&amp;A1981))*참고!$C$31:$C$130)/100,0)</f>
        <v>0</v>
      </c>
      <c r="J1981" s="31" t="str">
        <f t="shared" si="91"/>
        <v/>
      </c>
      <c r="K1981" s="43">
        <f>IF(B1981="매도",IFERROR(SUMPRODUCT((참고!$A$31:$A$130=C1981)*(참고!$B$31:$B$130&lt;=A1981)*(참고!$B$31:$B$130=_xludf.MAXIFS(참고!$B$31:$B$130,참고!$A$31:$A$130,C1981,참고!$B$31:$B$130,"&lt;="&amp;A1981))*참고!$D$31:$D$130)/100,0),0)</f>
        <v>0</v>
      </c>
      <c r="L1981" s="31" t="str">
        <f t="shared" si="92"/>
        <v/>
      </c>
      <c r="M1981" s="39"/>
    </row>
    <row r="1982" spans="1:13" ht="18" customHeight="1" x14ac:dyDescent="0.45">
      <c r="A1982" s="37"/>
      <c r="B1982" s="29"/>
      <c r="C1982" s="29"/>
      <c r="D1982" s="28"/>
      <c r="E1982" s="30" t="str">
        <f>IFERROR(VLOOKUP(D1982,KRX종목마스터!$A:$B,2,FALSE),"")</f>
        <v/>
      </c>
      <c r="F1982" s="42"/>
      <c r="G1982" s="42"/>
      <c r="H1982" s="31" t="str">
        <f t="shared" si="90"/>
        <v/>
      </c>
      <c r="I1982" s="43">
        <f ca="1">IFERROR(SUMPRODUCT((참고!$A$31:$A$130=C1982)*(참고!$B$31:$B$130&lt;=A1982)*(참고!$B$31:$B$130=_xludf.MAXIFS(참고!$B$31:$B$130,참고!$A$31:$A$130,C1982,참고!$B$31:$B$130,"&lt;="&amp;A1982))*참고!$C$31:$C$130)/100,0)</f>
        <v>0</v>
      </c>
      <c r="J1982" s="31" t="str">
        <f t="shared" si="91"/>
        <v/>
      </c>
      <c r="K1982" s="43">
        <f>IF(B1982="매도",IFERROR(SUMPRODUCT((참고!$A$31:$A$130=C1982)*(참고!$B$31:$B$130&lt;=A1982)*(참고!$B$31:$B$130=_xludf.MAXIFS(참고!$B$31:$B$130,참고!$A$31:$A$130,C1982,참고!$B$31:$B$130,"&lt;="&amp;A1982))*참고!$D$31:$D$130)/100,0),0)</f>
        <v>0</v>
      </c>
      <c r="L1982" s="31" t="str">
        <f t="shared" si="92"/>
        <v/>
      </c>
      <c r="M1982" s="39"/>
    </row>
    <row r="1983" spans="1:13" ht="18" customHeight="1" x14ac:dyDescent="0.45">
      <c r="A1983" s="37"/>
      <c r="B1983" s="29"/>
      <c r="C1983" s="29"/>
      <c r="D1983" s="28"/>
      <c r="E1983" s="30" t="str">
        <f>IFERROR(VLOOKUP(D1983,KRX종목마스터!$A:$B,2,FALSE),"")</f>
        <v/>
      </c>
      <c r="F1983" s="42"/>
      <c r="G1983" s="42"/>
      <c r="H1983" s="31" t="str">
        <f t="shared" si="90"/>
        <v/>
      </c>
      <c r="I1983" s="43">
        <f ca="1">IFERROR(SUMPRODUCT((참고!$A$31:$A$130=C1983)*(참고!$B$31:$B$130&lt;=A1983)*(참고!$B$31:$B$130=_xludf.MAXIFS(참고!$B$31:$B$130,참고!$A$31:$A$130,C1983,참고!$B$31:$B$130,"&lt;="&amp;A1983))*참고!$C$31:$C$130)/100,0)</f>
        <v>0</v>
      </c>
      <c r="J1983" s="31" t="str">
        <f t="shared" si="91"/>
        <v/>
      </c>
      <c r="K1983" s="43">
        <f>IF(B1983="매도",IFERROR(SUMPRODUCT((참고!$A$31:$A$130=C1983)*(참고!$B$31:$B$130&lt;=A1983)*(참고!$B$31:$B$130=_xludf.MAXIFS(참고!$B$31:$B$130,참고!$A$31:$A$130,C1983,참고!$B$31:$B$130,"&lt;="&amp;A1983))*참고!$D$31:$D$130)/100,0),0)</f>
        <v>0</v>
      </c>
      <c r="L1983" s="31" t="str">
        <f t="shared" si="92"/>
        <v/>
      </c>
      <c r="M1983" s="39"/>
    </row>
    <row r="1984" spans="1:13" ht="18" customHeight="1" x14ac:dyDescent="0.45">
      <c r="A1984" s="37"/>
      <c r="B1984" s="29"/>
      <c r="C1984" s="29"/>
      <c r="D1984" s="28"/>
      <c r="E1984" s="30" t="str">
        <f>IFERROR(VLOOKUP(D1984,KRX종목마스터!$A:$B,2,FALSE),"")</f>
        <v/>
      </c>
      <c r="F1984" s="42"/>
      <c r="G1984" s="42"/>
      <c r="H1984" s="31" t="str">
        <f t="shared" si="90"/>
        <v/>
      </c>
      <c r="I1984" s="43">
        <f ca="1">IFERROR(SUMPRODUCT((참고!$A$31:$A$130=C1984)*(참고!$B$31:$B$130&lt;=A1984)*(참고!$B$31:$B$130=_xludf.MAXIFS(참고!$B$31:$B$130,참고!$A$31:$A$130,C1984,참고!$B$31:$B$130,"&lt;="&amp;A1984))*참고!$C$31:$C$130)/100,0)</f>
        <v>0</v>
      </c>
      <c r="J1984" s="31" t="str">
        <f t="shared" si="91"/>
        <v/>
      </c>
      <c r="K1984" s="43">
        <f>IF(B1984="매도",IFERROR(SUMPRODUCT((참고!$A$31:$A$130=C1984)*(참고!$B$31:$B$130&lt;=A1984)*(참고!$B$31:$B$130=_xludf.MAXIFS(참고!$B$31:$B$130,참고!$A$31:$A$130,C1984,참고!$B$31:$B$130,"&lt;="&amp;A1984))*참고!$D$31:$D$130)/100,0),0)</f>
        <v>0</v>
      </c>
      <c r="L1984" s="31" t="str">
        <f t="shared" si="92"/>
        <v/>
      </c>
      <c r="M1984" s="39"/>
    </row>
    <row r="1985" spans="1:13" ht="18" customHeight="1" x14ac:dyDescent="0.45">
      <c r="A1985" s="37"/>
      <c r="B1985" s="29"/>
      <c r="C1985" s="29"/>
      <c r="D1985" s="28"/>
      <c r="E1985" s="30" t="str">
        <f>IFERROR(VLOOKUP(D1985,KRX종목마스터!$A:$B,2,FALSE),"")</f>
        <v/>
      </c>
      <c r="F1985" s="42"/>
      <c r="G1985" s="42"/>
      <c r="H1985" s="31" t="str">
        <f t="shared" si="90"/>
        <v/>
      </c>
      <c r="I1985" s="43">
        <f ca="1">IFERROR(SUMPRODUCT((참고!$A$31:$A$130=C1985)*(참고!$B$31:$B$130&lt;=A1985)*(참고!$B$31:$B$130=_xludf.MAXIFS(참고!$B$31:$B$130,참고!$A$31:$A$130,C1985,참고!$B$31:$B$130,"&lt;="&amp;A1985))*참고!$C$31:$C$130)/100,0)</f>
        <v>0</v>
      </c>
      <c r="J1985" s="31" t="str">
        <f t="shared" si="91"/>
        <v/>
      </c>
      <c r="K1985" s="43">
        <f>IF(B1985="매도",IFERROR(SUMPRODUCT((참고!$A$31:$A$130=C1985)*(참고!$B$31:$B$130&lt;=A1985)*(참고!$B$31:$B$130=_xludf.MAXIFS(참고!$B$31:$B$130,참고!$A$31:$A$130,C1985,참고!$B$31:$B$130,"&lt;="&amp;A1985))*참고!$D$31:$D$130)/100,0),0)</f>
        <v>0</v>
      </c>
      <c r="L1985" s="31" t="str">
        <f t="shared" si="92"/>
        <v/>
      </c>
      <c r="M1985" s="39"/>
    </row>
    <row r="1986" spans="1:13" ht="18" customHeight="1" x14ac:dyDescent="0.45">
      <c r="A1986" s="37"/>
      <c r="B1986" s="29"/>
      <c r="C1986" s="29"/>
      <c r="D1986" s="28"/>
      <c r="E1986" s="30" t="str">
        <f>IFERROR(VLOOKUP(D1986,KRX종목마스터!$A:$B,2,FALSE),"")</f>
        <v/>
      </c>
      <c r="F1986" s="42"/>
      <c r="G1986" s="42"/>
      <c r="H1986" s="31" t="str">
        <f t="shared" si="90"/>
        <v/>
      </c>
      <c r="I1986" s="43">
        <f ca="1">IFERROR(SUMPRODUCT((참고!$A$31:$A$130=C1986)*(참고!$B$31:$B$130&lt;=A1986)*(참고!$B$31:$B$130=_xludf.MAXIFS(참고!$B$31:$B$130,참고!$A$31:$A$130,C1986,참고!$B$31:$B$130,"&lt;="&amp;A1986))*참고!$C$31:$C$130)/100,0)</f>
        <v>0</v>
      </c>
      <c r="J1986" s="31" t="str">
        <f t="shared" si="91"/>
        <v/>
      </c>
      <c r="K1986" s="43">
        <f>IF(B1986="매도",IFERROR(SUMPRODUCT((참고!$A$31:$A$130=C1986)*(참고!$B$31:$B$130&lt;=A1986)*(참고!$B$31:$B$130=_xludf.MAXIFS(참고!$B$31:$B$130,참고!$A$31:$A$130,C1986,참고!$B$31:$B$130,"&lt;="&amp;A1986))*참고!$D$31:$D$130)/100,0),0)</f>
        <v>0</v>
      </c>
      <c r="L1986" s="31" t="str">
        <f t="shared" si="92"/>
        <v/>
      </c>
      <c r="M1986" s="39"/>
    </row>
    <row r="1987" spans="1:13" ht="18" customHeight="1" x14ac:dyDescent="0.45">
      <c r="A1987" s="37"/>
      <c r="B1987" s="29"/>
      <c r="C1987" s="29"/>
      <c r="D1987" s="28"/>
      <c r="E1987" s="30" t="str">
        <f>IFERROR(VLOOKUP(D1987,KRX종목마스터!$A:$B,2,FALSE),"")</f>
        <v/>
      </c>
      <c r="F1987" s="42"/>
      <c r="G1987" s="42"/>
      <c r="H1987" s="31" t="str">
        <f t="shared" si="90"/>
        <v/>
      </c>
      <c r="I1987" s="43">
        <f ca="1">IFERROR(SUMPRODUCT((참고!$A$31:$A$130=C1987)*(참고!$B$31:$B$130&lt;=A1987)*(참고!$B$31:$B$130=_xludf.MAXIFS(참고!$B$31:$B$130,참고!$A$31:$A$130,C1987,참고!$B$31:$B$130,"&lt;="&amp;A1987))*참고!$C$31:$C$130)/100,0)</f>
        <v>0</v>
      </c>
      <c r="J1987" s="31" t="str">
        <f t="shared" si="91"/>
        <v/>
      </c>
      <c r="K1987" s="43">
        <f>IF(B1987="매도",IFERROR(SUMPRODUCT((참고!$A$31:$A$130=C1987)*(참고!$B$31:$B$130&lt;=A1987)*(참고!$B$31:$B$130=_xludf.MAXIFS(참고!$B$31:$B$130,참고!$A$31:$A$130,C1987,참고!$B$31:$B$130,"&lt;="&amp;A1987))*참고!$D$31:$D$130)/100,0),0)</f>
        <v>0</v>
      </c>
      <c r="L1987" s="31" t="str">
        <f t="shared" si="92"/>
        <v/>
      </c>
      <c r="M1987" s="39"/>
    </row>
    <row r="1988" spans="1:13" ht="18" customHeight="1" x14ac:dyDescent="0.45">
      <c r="A1988" s="37"/>
      <c r="B1988" s="29"/>
      <c r="C1988" s="29"/>
      <c r="D1988" s="28"/>
      <c r="E1988" s="30" t="str">
        <f>IFERROR(VLOOKUP(D1988,KRX종목마스터!$A:$B,2,FALSE),"")</f>
        <v/>
      </c>
      <c r="F1988" s="42"/>
      <c r="G1988" s="42"/>
      <c r="H1988" s="31" t="str">
        <f t="shared" si="90"/>
        <v/>
      </c>
      <c r="I1988" s="43">
        <f ca="1">IFERROR(SUMPRODUCT((참고!$A$31:$A$130=C1988)*(참고!$B$31:$B$130&lt;=A1988)*(참고!$B$31:$B$130=_xludf.MAXIFS(참고!$B$31:$B$130,참고!$A$31:$A$130,C1988,참고!$B$31:$B$130,"&lt;="&amp;A1988))*참고!$C$31:$C$130)/100,0)</f>
        <v>0</v>
      </c>
      <c r="J1988" s="31" t="str">
        <f t="shared" si="91"/>
        <v/>
      </c>
      <c r="K1988" s="43">
        <f>IF(B1988="매도",IFERROR(SUMPRODUCT((참고!$A$31:$A$130=C1988)*(참고!$B$31:$B$130&lt;=A1988)*(참고!$B$31:$B$130=_xludf.MAXIFS(참고!$B$31:$B$130,참고!$A$31:$A$130,C1988,참고!$B$31:$B$130,"&lt;="&amp;A1988))*참고!$D$31:$D$130)/100,0),0)</f>
        <v>0</v>
      </c>
      <c r="L1988" s="31" t="str">
        <f t="shared" si="92"/>
        <v/>
      </c>
      <c r="M1988" s="39"/>
    </row>
    <row r="1989" spans="1:13" ht="18" customHeight="1" x14ac:dyDescent="0.45">
      <c r="A1989" s="37"/>
      <c r="B1989" s="29"/>
      <c r="C1989" s="29"/>
      <c r="D1989" s="28"/>
      <c r="E1989" s="30" t="str">
        <f>IFERROR(VLOOKUP(D1989,KRX종목마스터!$A:$B,2,FALSE),"")</f>
        <v/>
      </c>
      <c r="F1989" s="42"/>
      <c r="G1989" s="42"/>
      <c r="H1989" s="31" t="str">
        <f t="shared" ref="H1989:H2052" si="93">IF(AND(F1989&lt;&gt;"",G1989&lt;&gt;""),F1989*G1989,"")</f>
        <v/>
      </c>
      <c r="I1989" s="43">
        <f ca="1">IFERROR(SUMPRODUCT((참고!$A$31:$A$130=C1989)*(참고!$B$31:$B$130&lt;=A1989)*(참고!$B$31:$B$130=_xludf.MAXIFS(참고!$B$31:$B$130,참고!$A$31:$A$130,C1989,참고!$B$31:$B$130,"&lt;="&amp;A1989))*참고!$C$31:$C$130)/100,0)</f>
        <v>0</v>
      </c>
      <c r="J1989" s="31" t="str">
        <f t="shared" ref="J1989:J2052" si="94">IF(H1989="","",ROUND(H1989*I1989,0))</f>
        <v/>
      </c>
      <c r="K1989" s="43">
        <f>IF(B1989="매도",IFERROR(SUMPRODUCT((참고!$A$31:$A$130=C1989)*(참고!$B$31:$B$130&lt;=A1989)*(참고!$B$31:$B$130=_xludf.MAXIFS(참고!$B$31:$B$130,참고!$A$31:$A$130,C1989,참고!$B$31:$B$130,"&lt;="&amp;A1989))*참고!$D$31:$D$130)/100,0),0)</f>
        <v>0</v>
      </c>
      <c r="L1989" s="31" t="str">
        <f t="shared" ref="L1989:L2052" si="95">IF(H1989="","",ROUND(H1989*K1989,0))</f>
        <v/>
      </c>
      <c r="M1989" s="39"/>
    </row>
    <row r="1990" spans="1:13" ht="18" customHeight="1" x14ac:dyDescent="0.45">
      <c r="A1990" s="37"/>
      <c r="B1990" s="29"/>
      <c r="C1990" s="29"/>
      <c r="D1990" s="28"/>
      <c r="E1990" s="30" t="str">
        <f>IFERROR(VLOOKUP(D1990,KRX종목마스터!$A:$B,2,FALSE),"")</f>
        <v/>
      </c>
      <c r="F1990" s="42"/>
      <c r="G1990" s="42"/>
      <c r="H1990" s="31" t="str">
        <f t="shared" si="93"/>
        <v/>
      </c>
      <c r="I1990" s="43">
        <f ca="1">IFERROR(SUMPRODUCT((참고!$A$31:$A$130=C1990)*(참고!$B$31:$B$130&lt;=A1990)*(참고!$B$31:$B$130=_xludf.MAXIFS(참고!$B$31:$B$130,참고!$A$31:$A$130,C1990,참고!$B$31:$B$130,"&lt;="&amp;A1990))*참고!$C$31:$C$130)/100,0)</f>
        <v>0</v>
      </c>
      <c r="J1990" s="31" t="str">
        <f t="shared" si="94"/>
        <v/>
      </c>
      <c r="K1990" s="43">
        <f>IF(B1990="매도",IFERROR(SUMPRODUCT((참고!$A$31:$A$130=C1990)*(참고!$B$31:$B$130&lt;=A1990)*(참고!$B$31:$B$130=_xludf.MAXIFS(참고!$B$31:$B$130,참고!$A$31:$A$130,C1990,참고!$B$31:$B$130,"&lt;="&amp;A1990))*참고!$D$31:$D$130)/100,0),0)</f>
        <v>0</v>
      </c>
      <c r="L1990" s="31" t="str">
        <f t="shared" si="95"/>
        <v/>
      </c>
      <c r="M1990" s="39"/>
    </row>
    <row r="1991" spans="1:13" ht="18" customHeight="1" x14ac:dyDescent="0.45">
      <c r="A1991" s="37"/>
      <c r="B1991" s="29"/>
      <c r="C1991" s="29"/>
      <c r="D1991" s="28"/>
      <c r="E1991" s="30" t="str">
        <f>IFERROR(VLOOKUP(D1991,KRX종목마스터!$A:$B,2,FALSE),"")</f>
        <v/>
      </c>
      <c r="F1991" s="42"/>
      <c r="G1991" s="42"/>
      <c r="H1991" s="31" t="str">
        <f t="shared" si="93"/>
        <v/>
      </c>
      <c r="I1991" s="43">
        <f ca="1">IFERROR(SUMPRODUCT((참고!$A$31:$A$130=C1991)*(참고!$B$31:$B$130&lt;=A1991)*(참고!$B$31:$B$130=_xludf.MAXIFS(참고!$B$31:$B$130,참고!$A$31:$A$130,C1991,참고!$B$31:$B$130,"&lt;="&amp;A1991))*참고!$C$31:$C$130)/100,0)</f>
        <v>0</v>
      </c>
      <c r="J1991" s="31" t="str">
        <f t="shared" si="94"/>
        <v/>
      </c>
      <c r="K1991" s="43">
        <f>IF(B1991="매도",IFERROR(SUMPRODUCT((참고!$A$31:$A$130=C1991)*(참고!$B$31:$B$130&lt;=A1991)*(참고!$B$31:$B$130=_xludf.MAXIFS(참고!$B$31:$B$130,참고!$A$31:$A$130,C1991,참고!$B$31:$B$130,"&lt;="&amp;A1991))*참고!$D$31:$D$130)/100,0),0)</f>
        <v>0</v>
      </c>
      <c r="L1991" s="31" t="str">
        <f t="shared" si="95"/>
        <v/>
      </c>
      <c r="M1991" s="39"/>
    </row>
    <row r="1992" spans="1:13" ht="18" customHeight="1" x14ac:dyDescent="0.45">
      <c r="A1992" s="37"/>
      <c r="B1992" s="29"/>
      <c r="C1992" s="29"/>
      <c r="D1992" s="28"/>
      <c r="E1992" s="30" t="str">
        <f>IFERROR(VLOOKUP(D1992,KRX종목마스터!$A:$B,2,FALSE),"")</f>
        <v/>
      </c>
      <c r="F1992" s="42"/>
      <c r="G1992" s="42"/>
      <c r="H1992" s="31" t="str">
        <f t="shared" si="93"/>
        <v/>
      </c>
      <c r="I1992" s="43">
        <f ca="1">IFERROR(SUMPRODUCT((참고!$A$31:$A$130=C1992)*(참고!$B$31:$B$130&lt;=A1992)*(참고!$B$31:$B$130=_xludf.MAXIFS(참고!$B$31:$B$130,참고!$A$31:$A$130,C1992,참고!$B$31:$B$130,"&lt;="&amp;A1992))*참고!$C$31:$C$130)/100,0)</f>
        <v>0</v>
      </c>
      <c r="J1992" s="31" t="str">
        <f t="shared" si="94"/>
        <v/>
      </c>
      <c r="K1992" s="43">
        <f>IF(B1992="매도",IFERROR(SUMPRODUCT((참고!$A$31:$A$130=C1992)*(참고!$B$31:$B$130&lt;=A1992)*(참고!$B$31:$B$130=_xludf.MAXIFS(참고!$B$31:$B$130,참고!$A$31:$A$130,C1992,참고!$B$31:$B$130,"&lt;="&amp;A1992))*참고!$D$31:$D$130)/100,0),0)</f>
        <v>0</v>
      </c>
      <c r="L1992" s="31" t="str">
        <f t="shared" si="95"/>
        <v/>
      </c>
      <c r="M1992" s="39"/>
    </row>
    <row r="1993" spans="1:13" ht="18" customHeight="1" x14ac:dyDescent="0.45">
      <c r="A1993" s="37"/>
      <c r="B1993" s="29"/>
      <c r="C1993" s="29"/>
      <c r="D1993" s="28"/>
      <c r="E1993" s="30" t="str">
        <f>IFERROR(VLOOKUP(D1993,KRX종목마스터!$A:$B,2,FALSE),"")</f>
        <v/>
      </c>
      <c r="F1993" s="42"/>
      <c r="G1993" s="42"/>
      <c r="H1993" s="31" t="str">
        <f t="shared" si="93"/>
        <v/>
      </c>
      <c r="I1993" s="43">
        <f ca="1">IFERROR(SUMPRODUCT((참고!$A$31:$A$130=C1993)*(참고!$B$31:$B$130&lt;=A1993)*(참고!$B$31:$B$130=_xludf.MAXIFS(참고!$B$31:$B$130,참고!$A$31:$A$130,C1993,참고!$B$31:$B$130,"&lt;="&amp;A1993))*참고!$C$31:$C$130)/100,0)</f>
        <v>0</v>
      </c>
      <c r="J1993" s="31" t="str">
        <f t="shared" si="94"/>
        <v/>
      </c>
      <c r="K1993" s="43">
        <f>IF(B1993="매도",IFERROR(SUMPRODUCT((참고!$A$31:$A$130=C1993)*(참고!$B$31:$B$130&lt;=A1993)*(참고!$B$31:$B$130=_xludf.MAXIFS(참고!$B$31:$B$130,참고!$A$31:$A$130,C1993,참고!$B$31:$B$130,"&lt;="&amp;A1993))*참고!$D$31:$D$130)/100,0),0)</f>
        <v>0</v>
      </c>
      <c r="L1993" s="31" t="str">
        <f t="shared" si="95"/>
        <v/>
      </c>
      <c r="M1993" s="39"/>
    </row>
    <row r="1994" spans="1:13" ht="18" customHeight="1" x14ac:dyDescent="0.45">
      <c r="A1994" s="37"/>
      <c r="B1994" s="29"/>
      <c r="C1994" s="29"/>
      <c r="D1994" s="28"/>
      <c r="E1994" s="30" t="str">
        <f>IFERROR(VLOOKUP(D1994,KRX종목마스터!$A:$B,2,FALSE),"")</f>
        <v/>
      </c>
      <c r="F1994" s="42"/>
      <c r="G1994" s="42"/>
      <c r="H1994" s="31" t="str">
        <f t="shared" si="93"/>
        <v/>
      </c>
      <c r="I1994" s="43">
        <f ca="1">IFERROR(SUMPRODUCT((참고!$A$31:$A$130=C1994)*(참고!$B$31:$B$130&lt;=A1994)*(참고!$B$31:$B$130=_xludf.MAXIFS(참고!$B$31:$B$130,참고!$A$31:$A$130,C1994,참고!$B$31:$B$130,"&lt;="&amp;A1994))*참고!$C$31:$C$130)/100,0)</f>
        <v>0</v>
      </c>
      <c r="J1994" s="31" t="str">
        <f t="shared" si="94"/>
        <v/>
      </c>
      <c r="K1994" s="43">
        <f>IF(B1994="매도",IFERROR(SUMPRODUCT((참고!$A$31:$A$130=C1994)*(참고!$B$31:$B$130&lt;=A1994)*(참고!$B$31:$B$130=_xludf.MAXIFS(참고!$B$31:$B$130,참고!$A$31:$A$130,C1994,참고!$B$31:$B$130,"&lt;="&amp;A1994))*참고!$D$31:$D$130)/100,0),0)</f>
        <v>0</v>
      </c>
      <c r="L1994" s="31" t="str">
        <f t="shared" si="95"/>
        <v/>
      </c>
      <c r="M1994" s="39"/>
    </row>
    <row r="1995" spans="1:13" ht="18" customHeight="1" x14ac:dyDescent="0.45">
      <c r="A1995" s="37"/>
      <c r="B1995" s="29"/>
      <c r="C1995" s="29"/>
      <c r="D1995" s="28"/>
      <c r="E1995" s="30" t="str">
        <f>IFERROR(VLOOKUP(D1995,KRX종목마스터!$A:$B,2,FALSE),"")</f>
        <v/>
      </c>
      <c r="F1995" s="42"/>
      <c r="G1995" s="42"/>
      <c r="H1995" s="31" t="str">
        <f t="shared" si="93"/>
        <v/>
      </c>
      <c r="I1995" s="43">
        <f ca="1">IFERROR(SUMPRODUCT((참고!$A$31:$A$130=C1995)*(참고!$B$31:$B$130&lt;=A1995)*(참고!$B$31:$B$130=_xludf.MAXIFS(참고!$B$31:$B$130,참고!$A$31:$A$130,C1995,참고!$B$31:$B$130,"&lt;="&amp;A1995))*참고!$C$31:$C$130)/100,0)</f>
        <v>0</v>
      </c>
      <c r="J1995" s="31" t="str">
        <f t="shared" si="94"/>
        <v/>
      </c>
      <c r="K1995" s="43">
        <f>IF(B1995="매도",IFERROR(SUMPRODUCT((참고!$A$31:$A$130=C1995)*(참고!$B$31:$B$130&lt;=A1995)*(참고!$B$31:$B$130=_xludf.MAXIFS(참고!$B$31:$B$130,참고!$A$31:$A$130,C1995,참고!$B$31:$B$130,"&lt;="&amp;A1995))*참고!$D$31:$D$130)/100,0),0)</f>
        <v>0</v>
      </c>
      <c r="L1995" s="31" t="str">
        <f t="shared" si="95"/>
        <v/>
      </c>
      <c r="M1995" s="39"/>
    </row>
    <row r="1996" spans="1:13" ht="18" customHeight="1" x14ac:dyDescent="0.45">
      <c r="A1996" s="37"/>
      <c r="B1996" s="29"/>
      <c r="C1996" s="29"/>
      <c r="D1996" s="28"/>
      <c r="E1996" s="30" t="str">
        <f>IFERROR(VLOOKUP(D1996,KRX종목마스터!$A:$B,2,FALSE),"")</f>
        <v/>
      </c>
      <c r="F1996" s="42"/>
      <c r="G1996" s="42"/>
      <c r="H1996" s="31" t="str">
        <f t="shared" si="93"/>
        <v/>
      </c>
      <c r="I1996" s="43">
        <f ca="1">IFERROR(SUMPRODUCT((참고!$A$31:$A$130=C1996)*(참고!$B$31:$B$130&lt;=A1996)*(참고!$B$31:$B$130=_xludf.MAXIFS(참고!$B$31:$B$130,참고!$A$31:$A$130,C1996,참고!$B$31:$B$130,"&lt;="&amp;A1996))*참고!$C$31:$C$130)/100,0)</f>
        <v>0</v>
      </c>
      <c r="J1996" s="31" t="str">
        <f t="shared" si="94"/>
        <v/>
      </c>
      <c r="K1996" s="43">
        <f>IF(B1996="매도",IFERROR(SUMPRODUCT((참고!$A$31:$A$130=C1996)*(참고!$B$31:$B$130&lt;=A1996)*(참고!$B$31:$B$130=_xludf.MAXIFS(참고!$B$31:$B$130,참고!$A$31:$A$130,C1996,참고!$B$31:$B$130,"&lt;="&amp;A1996))*참고!$D$31:$D$130)/100,0),0)</f>
        <v>0</v>
      </c>
      <c r="L1996" s="31" t="str">
        <f t="shared" si="95"/>
        <v/>
      </c>
      <c r="M1996" s="39"/>
    </row>
    <row r="1997" spans="1:13" ht="18" customHeight="1" x14ac:dyDescent="0.45">
      <c r="A1997" s="37"/>
      <c r="B1997" s="29"/>
      <c r="C1997" s="29"/>
      <c r="D1997" s="28"/>
      <c r="E1997" s="30" t="str">
        <f>IFERROR(VLOOKUP(D1997,KRX종목마스터!$A:$B,2,FALSE),"")</f>
        <v/>
      </c>
      <c r="F1997" s="42"/>
      <c r="G1997" s="42"/>
      <c r="H1997" s="31" t="str">
        <f t="shared" si="93"/>
        <v/>
      </c>
      <c r="I1997" s="43">
        <f ca="1">IFERROR(SUMPRODUCT((참고!$A$31:$A$130=C1997)*(참고!$B$31:$B$130&lt;=A1997)*(참고!$B$31:$B$130=_xludf.MAXIFS(참고!$B$31:$B$130,참고!$A$31:$A$130,C1997,참고!$B$31:$B$130,"&lt;="&amp;A1997))*참고!$C$31:$C$130)/100,0)</f>
        <v>0</v>
      </c>
      <c r="J1997" s="31" t="str">
        <f t="shared" si="94"/>
        <v/>
      </c>
      <c r="K1997" s="43">
        <f>IF(B1997="매도",IFERROR(SUMPRODUCT((참고!$A$31:$A$130=C1997)*(참고!$B$31:$B$130&lt;=A1997)*(참고!$B$31:$B$130=_xludf.MAXIFS(참고!$B$31:$B$130,참고!$A$31:$A$130,C1997,참고!$B$31:$B$130,"&lt;="&amp;A1997))*참고!$D$31:$D$130)/100,0),0)</f>
        <v>0</v>
      </c>
      <c r="L1997" s="31" t="str">
        <f t="shared" si="95"/>
        <v/>
      </c>
      <c r="M1997" s="39"/>
    </row>
    <row r="1998" spans="1:13" ht="18" customHeight="1" x14ac:dyDescent="0.45">
      <c r="A1998" s="37"/>
      <c r="B1998" s="29"/>
      <c r="C1998" s="29"/>
      <c r="D1998" s="28"/>
      <c r="E1998" s="30" t="str">
        <f>IFERROR(VLOOKUP(D1998,KRX종목마스터!$A:$B,2,FALSE),"")</f>
        <v/>
      </c>
      <c r="F1998" s="42"/>
      <c r="G1998" s="42"/>
      <c r="H1998" s="31" t="str">
        <f t="shared" si="93"/>
        <v/>
      </c>
      <c r="I1998" s="43">
        <f ca="1">IFERROR(SUMPRODUCT((참고!$A$31:$A$130=C1998)*(참고!$B$31:$B$130&lt;=A1998)*(참고!$B$31:$B$130=_xludf.MAXIFS(참고!$B$31:$B$130,참고!$A$31:$A$130,C1998,참고!$B$31:$B$130,"&lt;="&amp;A1998))*참고!$C$31:$C$130)/100,0)</f>
        <v>0</v>
      </c>
      <c r="J1998" s="31" t="str">
        <f t="shared" si="94"/>
        <v/>
      </c>
      <c r="K1998" s="43">
        <f>IF(B1998="매도",IFERROR(SUMPRODUCT((참고!$A$31:$A$130=C1998)*(참고!$B$31:$B$130&lt;=A1998)*(참고!$B$31:$B$130=_xludf.MAXIFS(참고!$B$31:$B$130,참고!$A$31:$A$130,C1998,참고!$B$31:$B$130,"&lt;="&amp;A1998))*참고!$D$31:$D$130)/100,0),0)</f>
        <v>0</v>
      </c>
      <c r="L1998" s="31" t="str">
        <f t="shared" si="95"/>
        <v/>
      </c>
      <c r="M1998" s="39"/>
    </row>
    <row r="1999" spans="1:13" ht="18" customHeight="1" x14ac:dyDescent="0.45">
      <c r="A1999" s="37"/>
      <c r="B1999" s="29"/>
      <c r="C1999" s="29"/>
      <c r="D1999" s="28"/>
      <c r="E1999" s="30" t="str">
        <f>IFERROR(VLOOKUP(D1999,KRX종목마스터!$A:$B,2,FALSE),"")</f>
        <v/>
      </c>
      <c r="F1999" s="42"/>
      <c r="G1999" s="42"/>
      <c r="H1999" s="31" t="str">
        <f t="shared" si="93"/>
        <v/>
      </c>
      <c r="I1999" s="43">
        <f ca="1">IFERROR(SUMPRODUCT((참고!$A$31:$A$130=C1999)*(참고!$B$31:$B$130&lt;=A1999)*(참고!$B$31:$B$130=_xludf.MAXIFS(참고!$B$31:$B$130,참고!$A$31:$A$130,C1999,참고!$B$31:$B$130,"&lt;="&amp;A1999))*참고!$C$31:$C$130)/100,0)</f>
        <v>0</v>
      </c>
      <c r="J1999" s="31" t="str">
        <f t="shared" si="94"/>
        <v/>
      </c>
      <c r="K1999" s="43">
        <f>IF(B1999="매도",IFERROR(SUMPRODUCT((참고!$A$31:$A$130=C1999)*(참고!$B$31:$B$130&lt;=A1999)*(참고!$B$31:$B$130=_xludf.MAXIFS(참고!$B$31:$B$130,참고!$A$31:$A$130,C1999,참고!$B$31:$B$130,"&lt;="&amp;A1999))*참고!$D$31:$D$130)/100,0),0)</f>
        <v>0</v>
      </c>
      <c r="L1999" s="31" t="str">
        <f t="shared" si="95"/>
        <v/>
      </c>
      <c r="M1999" s="39"/>
    </row>
    <row r="2000" spans="1:13" ht="18" customHeight="1" x14ac:dyDescent="0.45">
      <c r="A2000" s="37"/>
      <c r="B2000" s="29"/>
      <c r="C2000" s="29"/>
      <c r="D2000" s="28"/>
      <c r="E2000" s="30" t="str">
        <f>IFERROR(VLOOKUP(D2000,KRX종목마스터!$A:$B,2,FALSE),"")</f>
        <v/>
      </c>
      <c r="F2000" s="42"/>
      <c r="G2000" s="42"/>
      <c r="H2000" s="31" t="str">
        <f t="shared" si="93"/>
        <v/>
      </c>
      <c r="I2000" s="43">
        <f ca="1">IFERROR(SUMPRODUCT((참고!$A$31:$A$130=C2000)*(참고!$B$31:$B$130&lt;=A2000)*(참고!$B$31:$B$130=_xludf.MAXIFS(참고!$B$31:$B$130,참고!$A$31:$A$130,C2000,참고!$B$31:$B$130,"&lt;="&amp;A2000))*참고!$C$31:$C$130)/100,0)</f>
        <v>0</v>
      </c>
      <c r="J2000" s="31" t="str">
        <f t="shared" si="94"/>
        <v/>
      </c>
      <c r="K2000" s="43">
        <f>IF(B2000="매도",IFERROR(SUMPRODUCT((참고!$A$31:$A$130=C2000)*(참고!$B$31:$B$130&lt;=A2000)*(참고!$B$31:$B$130=_xludf.MAXIFS(참고!$B$31:$B$130,참고!$A$31:$A$130,C2000,참고!$B$31:$B$130,"&lt;="&amp;A2000))*참고!$D$31:$D$130)/100,0),0)</f>
        <v>0</v>
      </c>
      <c r="L2000" s="31" t="str">
        <f t="shared" si="95"/>
        <v/>
      </c>
      <c r="M2000" s="39"/>
    </row>
    <row r="2001" spans="1:13" ht="18" customHeight="1" x14ac:dyDescent="0.45">
      <c r="A2001" s="37"/>
      <c r="B2001" s="29"/>
      <c r="C2001" s="29"/>
      <c r="D2001" s="28"/>
      <c r="E2001" s="30" t="str">
        <f>IFERROR(VLOOKUP(D2001,KRX종목마스터!$A:$B,2,FALSE),"")</f>
        <v/>
      </c>
      <c r="F2001" s="42"/>
      <c r="G2001" s="42"/>
      <c r="H2001" s="31" t="str">
        <f t="shared" si="93"/>
        <v/>
      </c>
      <c r="I2001" s="43">
        <f ca="1">IFERROR(SUMPRODUCT((참고!$A$31:$A$130=C2001)*(참고!$B$31:$B$130&lt;=A2001)*(참고!$B$31:$B$130=_xludf.MAXIFS(참고!$B$31:$B$130,참고!$A$31:$A$130,C2001,참고!$B$31:$B$130,"&lt;="&amp;A2001))*참고!$C$31:$C$130)/100,0)</f>
        <v>0</v>
      </c>
      <c r="J2001" s="31" t="str">
        <f t="shared" si="94"/>
        <v/>
      </c>
      <c r="K2001" s="43">
        <f>IF(B2001="매도",IFERROR(SUMPRODUCT((참고!$A$31:$A$130=C2001)*(참고!$B$31:$B$130&lt;=A2001)*(참고!$B$31:$B$130=_xludf.MAXIFS(참고!$B$31:$B$130,참고!$A$31:$A$130,C2001,참고!$B$31:$B$130,"&lt;="&amp;A2001))*참고!$D$31:$D$130)/100,0),0)</f>
        <v>0</v>
      </c>
      <c r="L2001" s="31" t="str">
        <f t="shared" si="95"/>
        <v/>
      </c>
      <c r="M2001" s="39"/>
    </row>
    <row r="2002" spans="1:13" ht="18" customHeight="1" x14ac:dyDescent="0.45">
      <c r="A2002" s="37"/>
      <c r="B2002" s="29"/>
      <c r="C2002" s="29"/>
      <c r="D2002" s="28"/>
      <c r="E2002" s="30" t="str">
        <f>IFERROR(VLOOKUP(D2002,KRX종목마스터!$A:$B,2,FALSE),"")</f>
        <v/>
      </c>
      <c r="F2002" s="42"/>
      <c r="G2002" s="42"/>
      <c r="H2002" s="31" t="str">
        <f t="shared" si="93"/>
        <v/>
      </c>
      <c r="I2002" s="43">
        <f ca="1">IFERROR(SUMPRODUCT((참고!$A$31:$A$130=C2002)*(참고!$B$31:$B$130&lt;=A2002)*(참고!$B$31:$B$130=_xludf.MAXIFS(참고!$B$31:$B$130,참고!$A$31:$A$130,C2002,참고!$B$31:$B$130,"&lt;="&amp;A2002))*참고!$C$31:$C$130)/100,0)</f>
        <v>0</v>
      </c>
      <c r="J2002" s="31" t="str">
        <f t="shared" si="94"/>
        <v/>
      </c>
      <c r="K2002" s="43">
        <f>IF(B2002="매도",IFERROR(SUMPRODUCT((참고!$A$31:$A$130=C2002)*(참고!$B$31:$B$130&lt;=A2002)*(참고!$B$31:$B$130=_xludf.MAXIFS(참고!$B$31:$B$130,참고!$A$31:$A$130,C2002,참고!$B$31:$B$130,"&lt;="&amp;A2002))*참고!$D$31:$D$130)/100,0),0)</f>
        <v>0</v>
      </c>
      <c r="L2002" s="31" t="str">
        <f t="shared" si="95"/>
        <v/>
      </c>
      <c r="M2002" s="39"/>
    </row>
    <row r="2003" spans="1:13" ht="18" customHeight="1" x14ac:dyDescent="0.45">
      <c r="A2003" s="37"/>
      <c r="B2003" s="29"/>
      <c r="C2003" s="29"/>
      <c r="D2003" s="28"/>
      <c r="E2003" s="30" t="str">
        <f>IFERROR(VLOOKUP(D2003,KRX종목마스터!$A:$B,2,FALSE),"")</f>
        <v/>
      </c>
      <c r="F2003" s="42"/>
      <c r="G2003" s="42"/>
      <c r="H2003" s="31" t="str">
        <f t="shared" si="93"/>
        <v/>
      </c>
      <c r="I2003" s="43">
        <f ca="1">IFERROR(SUMPRODUCT((참고!$A$31:$A$130=C2003)*(참고!$B$31:$B$130&lt;=A2003)*(참고!$B$31:$B$130=_xludf.MAXIFS(참고!$B$31:$B$130,참고!$A$31:$A$130,C2003,참고!$B$31:$B$130,"&lt;="&amp;A2003))*참고!$C$31:$C$130)/100,0)</f>
        <v>0</v>
      </c>
      <c r="J2003" s="31" t="str">
        <f t="shared" si="94"/>
        <v/>
      </c>
      <c r="K2003" s="43">
        <f>IF(B2003="매도",IFERROR(SUMPRODUCT((참고!$A$31:$A$130=C2003)*(참고!$B$31:$B$130&lt;=A2003)*(참고!$B$31:$B$130=_xludf.MAXIFS(참고!$B$31:$B$130,참고!$A$31:$A$130,C2003,참고!$B$31:$B$130,"&lt;="&amp;A2003))*참고!$D$31:$D$130)/100,0),0)</f>
        <v>0</v>
      </c>
      <c r="L2003" s="31" t="str">
        <f t="shared" si="95"/>
        <v/>
      </c>
      <c r="M2003" s="39"/>
    </row>
    <row r="2004" spans="1:13" ht="18" customHeight="1" x14ac:dyDescent="0.45">
      <c r="A2004" s="37"/>
      <c r="B2004" s="29"/>
      <c r="C2004" s="29"/>
      <c r="D2004" s="28"/>
      <c r="E2004" s="30" t="str">
        <f>IFERROR(VLOOKUP(D2004,KRX종목마스터!$A:$B,2,FALSE),"")</f>
        <v/>
      </c>
      <c r="F2004" s="42"/>
      <c r="G2004" s="42"/>
      <c r="H2004" s="31" t="str">
        <f t="shared" si="93"/>
        <v/>
      </c>
      <c r="I2004" s="43">
        <f ca="1">IFERROR(SUMPRODUCT((참고!$A$31:$A$130=C2004)*(참고!$B$31:$B$130&lt;=A2004)*(참고!$B$31:$B$130=_xludf.MAXIFS(참고!$B$31:$B$130,참고!$A$31:$A$130,C2004,참고!$B$31:$B$130,"&lt;="&amp;A2004))*참고!$C$31:$C$130)/100,0)</f>
        <v>0</v>
      </c>
      <c r="J2004" s="31" t="str">
        <f t="shared" si="94"/>
        <v/>
      </c>
      <c r="K2004" s="43">
        <f>IF(B2004="매도",IFERROR(SUMPRODUCT((참고!$A$31:$A$130=C2004)*(참고!$B$31:$B$130&lt;=A2004)*(참고!$B$31:$B$130=_xludf.MAXIFS(참고!$B$31:$B$130,참고!$A$31:$A$130,C2004,참고!$B$31:$B$130,"&lt;="&amp;A2004))*참고!$D$31:$D$130)/100,0),0)</f>
        <v>0</v>
      </c>
      <c r="L2004" s="31" t="str">
        <f t="shared" si="95"/>
        <v/>
      </c>
      <c r="M2004" s="39"/>
    </row>
  </sheetData>
  <autoFilter ref="A3:M3" xr:uid="{00000000-0009-0000-0000-000000000000}"/>
  <mergeCells count="1">
    <mergeCell ref="A1:M1"/>
  </mergeCells>
  <phoneticPr fontId="10" type="noConversion"/>
  <dataValidations count="1">
    <dataValidation type="list" allowBlank="1" sqref="B5:B2004" xr:uid="{00000000-0002-0000-0000-000000000000}">
      <formula1>"매수,매도,배당재투자"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참고!$A$4:$A$25</xm:f>
          </x14:formula1>
          <xm:sqref>C5:C2004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4"/>
  <sheetViews>
    <sheetView workbookViewId="0">
      <pane ySplit="3" topLeftCell="A4" activePane="bottomLeft" state="frozen"/>
      <selection pane="bottomLeft" sqref="A1:I1"/>
    </sheetView>
  </sheetViews>
  <sheetFormatPr defaultRowHeight="17" x14ac:dyDescent="0.45"/>
  <cols>
    <col min="1" max="1" width="11" customWidth="1"/>
    <col min="2" max="2" width="10" customWidth="1"/>
    <col min="3" max="3" width="20" customWidth="1"/>
    <col min="4" max="5" width="14" customWidth="1"/>
    <col min="6" max="8" width="12" customWidth="1"/>
    <col min="9" max="9" width="25" customWidth="1"/>
  </cols>
  <sheetData>
    <row r="1" spans="1:9" ht="26" customHeight="1" x14ac:dyDescent="0.45">
      <c r="A1" s="60" t="s">
        <v>16</v>
      </c>
      <c r="B1" s="59"/>
      <c r="C1" s="59"/>
      <c r="D1" s="59"/>
      <c r="E1" s="59"/>
      <c r="F1" s="59"/>
      <c r="G1" s="59"/>
      <c r="H1" s="59"/>
      <c r="I1" s="59"/>
    </row>
    <row r="2" spans="1:9" x14ac:dyDescent="0.45">
      <c r="A2" s="25" t="s">
        <v>17</v>
      </c>
    </row>
    <row r="3" spans="1:9" ht="20" customHeight="1" x14ac:dyDescent="0.45">
      <c r="A3" s="34" t="s">
        <v>3</v>
      </c>
      <c r="B3" s="34" t="s">
        <v>6</v>
      </c>
      <c r="C3" s="34" t="s">
        <v>7</v>
      </c>
      <c r="D3" s="34" t="s">
        <v>5</v>
      </c>
      <c r="E3" s="34" t="s">
        <v>18</v>
      </c>
      <c r="F3" s="34" t="s">
        <v>19</v>
      </c>
      <c r="G3" s="34" t="s">
        <v>20</v>
      </c>
      <c r="H3" s="34" t="s">
        <v>21</v>
      </c>
      <c r="I3" s="34" t="s">
        <v>15</v>
      </c>
    </row>
    <row r="5" spans="1:9" ht="18" customHeight="1" x14ac:dyDescent="0.45">
      <c r="A5" s="37"/>
      <c r="B5" s="28"/>
      <c r="C5" s="30" t="str">
        <f>IFERROR(VLOOKUP(B5,KRX종목마스터!$A:$B,2,FALSE),"")</f>
        <v/>
      </c>
      <c r="D5" s="29"/>
      <c r="E5" s="42"/>
      <c r="F5" s="44"/>
      <c r="G5" s="31" t="str">
        <f t="shared" ref="G5:G68" si="0">IF(OR(E5="",F5=""),"",ROUND(E5*F5/100,0))</f>
        <v/>
      </c>
      <c r="H5" s="31" t="str">
        <f t="shared" ref="H5:H68" si="1">IF(E5="","",E5-IF(G5="",0,G5))</f>
        <v/>
      </c>
      <c r="I5" s="39"/>
    </row>
    <row r="6" spans="1:9" ht="18" customHeight="1" x14ac:dyDescent="0.45">
      <c r="A6" s="37"/>
      <c r="B6" s="28"/>
      <c r="C6" s="30" t="str">
        <f>IFERROR(VLOOKUP(B6,KRX종목마스터!$A:$B,2,FALSE),"")</f>
        <v/>
      </c>
      <c r="D6" s="29"/>
      <c r="E6" s="42"/>
      <c r="F6" s="44"/>
      <c r="G6" s="31" t="str">
        <f t="shared" si="0"/>
        <v/>
      </c>
      <c r="H6" s="31" t="str">
        <f t="shared" si="1"/>
        <v/>
      </c>
      <c r="I6" s="39"/>
    </row>
    <row r="7" spans="1:9" ht="18" customHeight="1" x14ac:dyDescent="0.45">
      <c r="A7" s="37"/>
      <c r="B7" s="28"/>
      <c r="C7" s="30" t="str">
        <f>IFERROR(VLOOKUP(B7,KRX종목마스터!$A:$B,2,FALSE),"")</f>
        <v/>
      </c>
      <c r="D7" s="29"/>
      <c r="E7" s="42"/>
      <c r="F7" s="44"/>
      <c r="G7" s="31" t="str">
        <f t="shared" si="0"/>
        <v/>
      </c>
      <c r="H7" s="31" t="str">
        <f t="shared" si="1"/>
        <v/>
      </c>
      <c r="I7" s="39"/>
    </row>
    <row r="8" spans="1:9" ht="18" customHeight="1" x14ac:dyDescent="0.45">
      <c r="A8" s="37"/>
      <c r="B8" s="28"/>
      <c r="C8" s="30" t="str">
        <f>IFERROR(VLOOKUP(B8,KRX종목마스터!$A:$B,2,FALSE),"")</f>
        <v/>
      </c>
      <c r="D8" s="29"/>
      <c r="E8" s="42"/>
      <c r="F8" s="44"/>
      <c r="G8" s="31" t="str">
        <f t="shared" si="0"/>
        <v/>
      </c>
      <c r="H8" s="31" t="str">
        <f t="shared" si="1"/>
        <v/>
      </c>
      <c r="I8" s="39"/>
    </row>
    <row r="9" spans="1:9" ht="18" customHeight="1" x14ac:dyDescent="0.45">
      <c r="A9" s="37"/>
      <c r="B9" s="28"/>
      <c r="C9" s="30" t="str">
        <f>IFERROR(VLOOKUP(B9,KRX종목마스터!$A:$B,2,FALSE),"")</f>
        <v/>
      </c>
      <c r="D9" s="29"/>
      <c r="E9" s="42"/>
      <c r="F9" s="44"/>
      <c r="G9" s="31" t="str">
        <f t="shared" si="0"/>
        <v/>
      </c>
      <c r="H9" s="31" t="str">
        <f t="shared" si="1"/>
        <v/>
      </c>
      <c r="I9" s="39"/>
    </row>
    <row r="10" spans="1:9" ht="18" customHeight="1" x14ac:dyDescent="0.45">
      <c r="A10" s="37"/>
      <c r="B10" s="28"/>
      <c r="C10" s="30" t="str">
        <f>IFERROR(VLOOKUP(B10,KRX종목마스터!$A:$B,2,FALSE),"")</f>
        <v/>
      </c>
      <c r="D10" s="29"/>
      <c r="E10" s="42"/>
      <c r="F10" s="44"/>
      <c r="G10" s="31" t="str">
        <f t="shared" si="0"/>
        <v/>
      </c>
      <c r="H10" s="31" t="str">
        <f t="shared" si="1"/>
        <v/>
      </c>
      <c r="I10" s="39"/>
    </row>
    <row r="11" spans="1:9" ht="18" customHeight="1" x14ac:dyDescent="0.45">
      <c r="A11" s="37"/>
      <c r="B11" s="28"/>
      <c r="C11" s="30" t="str">
        <f>IFERROR(VLOOKUP(B11,KRX종목마스터!$A:$B,2,FALSE),"")</f>
        <v/>
      </c>
      <c r="D11" s="29"/>
      <c r="E11" s="42"/>
      <c r="F11" s="44"/>
      <c r="G11" s="31" t="str">
        <f t="shared" si="0"/>
        <v/>
      </c>
      <c r="H11" s="31" t="str">
        <f t="shared" si="1"/>
        <v/>
      </c>
      <c r="I11" s="39"/>
    </row>
    <row r="12" spans="1:9" ht="18" customHeight="1" x14ac:dyDescent="0.45">
      <c r="A12" s="37"/>
      <c r="B12" s="28"/>
      <c r="C12" s="30" t="str">
        <f>IFERROR(VLOOKUP(B12,KRX종목마스터!$A:$B,2,FALSE),"")</f>
        <v/>
      </c>
      <c r="D12" s="29"/>
      <c r="E12" s="42"/>
      <c r="F12" s="44"/>
      <c r="G12" s="31" t="str">
        <f t="shared" si="0"/>
        <v/>
      </c>
      <c r="H12" s="31" t="str">
        <f t="shared" si="1"/>
        <v/>
      </c>
      <c r="I12" s="39"/>
    </row>
    <row r="13" spans="1:9" ht="18" customHeight="1" x14ac:dyDescent="0.45">
      <c r="A13" s="37"/>
      <c r="B13" s="28"/>
      <c r="C13" s="30" t="str">
        <f>IFERROR(VLOOKUP(B13,KRX종목마스터!$A:$B,2,FALSE),"")</f>
        <v/>
      </c>
      <c r="D13" s="29"/>
      <c r="E13" s="42"/>
      <c r="F13" s="44"/>
      <c r="G13" s="31" t="str">
        <f t="shared" si="0"/>
        <v/>
      </c>
      <c r="H13" s="31" t="str">
        <f t="shared" si="1"/>
        <v/>
      </c>
      <c r="I13" s="39"/>
    </row>
    <row r="14" spans="1:9" ht="18" customHeight="1" x14ac:dyDescent="0.45">
      <c r="A14" s="37"/>
      <c r="B14" s="28"/>
      <c r="C14" s="30" t="str">
        <f>IFERROR(VLOOKUP(B14,KRX종목마스터!$A:$B,2,FALSE),"")</f>
        <v/>
      </c>
      <c r="D14" s="29"/>
      <c r="E14" s="42"/>
      <c r="F14" s="44"/>
      <c r="G14" s="31" t="str">
        <f t="shared" si="0"/>
        <v/>
      </c>
      <c r="H14" s="31" t="str">
        <f t="shared" si="1"/>
        <v/>
      </c>
      <c r="I14" s="39"/>
    </row>
    <row r="15" spans="1:9" ht="18" customHeight="1" x14ac:dyDescent="0.45">
      <c r="A15" s="37"/>
      <c r="B15" s="28"/>
      <c r="C15" s="30" t="str">
        <f>IFERROR(VLOOKUP(B15,KRX종목마스터!$A:$B,2,FALSE),"")</f>
        <v/>
      </c>
      <c r="D15" s="29"/>
      <c r="E15" s="42"/>
      <c r="F15" s="44"/>
      <c r="G15" s="31" t="str">
        <f t="shared" si="0"/>
        <v/>
      </c>
      <c r="H15" s="31" t="str">
        <f t="shared" si="1"/>
        <v/>
      </c>
      <c r="I15" s="39"/>
    </row>
    <row r="16" spans="1:9" ht="18" customHeight="1" x14ac:dyDescent="0.45">
      <c r="A16" s="37"/>
      <c r="B16" s="28"/>
      <c r="C16" s="30" t="str">
        <f>IFERROR(VLOOKUP(B16,KRX종목마스터!$A:$B,2,FALSE),"")</f>
        <v/>
      </c>
      <c r="D16" s="29"/>
      <c r="E16" s="42"/>
      <c r="F16" s="44"/>
      <c r="G16" s="31" t="str">
        <f t="shared" si="0"/>
        <v/>
      </c>
      <c r="H16" s="31" t="str">
        <f t="shared" si="1"/>
        <v/>
      </c>
      <c r="I16" s="39"/>
    </row>
    <row r="17" spans="1:9" ht="18" customHeight="1" x14ac:dyDescent="0.45">
      <c r="A17" s="37"/>
      <c r="B17" s="28"/>
      <c r="C17" s="30" t="str">
        <f>IFERROR(VLOOKUP(B17,KRX종목마스터!$A:$B,2,FALSE),"")</f>
        <v/>
      </c>
      <c r="D17" s="29"/>
      <c r="E17" s="42"/>
      <c r="F17" s="44"/>
      <c r="G17" s="31" t="str">
        <f t="shared" si="0"/>
        <v/>
      </c>
      <c r="H17" s="31" t="str">
        <f t="shared" si="1"/>
        <v/>
      </c>
      <c r="I17" s="39"/>
    </row>
    <row r="18" spans="1:9" ht="18" customHeight="1" x14ac:dyDescent="0.45">
      <c r="A18" s="37"/>
      <c r="B18" s="28"/>
      <c r="C18" s="30" t="str">
        <f>IFERROR(VLOOKUP(B18,KRX종목마스터!$A:$B,2,FALSE),"")</f>
        <v/>
      </c>
      <c r="D18" s="29"/>
      <c r="E18" s="42"/>
      <c r="F18" s="44"/>
      <c r="G18" s="31" t="str">
        <f t="shared" si="0"/>
        <v/>
      </c>
      <c r="H18" s="31" t="str">
        <f t="shared" si="1"/>
        <v/>
      </c>
      <c r="I18" s="39"/>
    </row>
    <row r="19" spans="1:9" ht="18" customHeight="1" x14ac:dyDescent="0.45">
      <c r="A19" s="37"/>
      <c r="B19" s="28"/>
      <c r="C19" s="30" t="str">
        <f>IFERROR(VLOOKUP(B19,KRX종목마스터!$A:$B,2,FALSE),"")</f>
        <v/>
      </c>
      <c r="D19" s="29"/>
      <c r="E19" s="42"/>
      <c r="F19" s="44"/>
      <c r="G19" s="31" t="str">
        <f t="shared" si="0"/>
        <v/>
      </c>
      <c r="H19" s="31" t="str">
        <f t="shared" si="1"/>
        <v/>
      </c>
      <c r="I19" s="39"/>
    </row>
    <row r="20" spans="1:9" ht="18" customHeight="1" x14ac:dyDescent="0.45">
      <c r="A20" s="37"/>
      <c r="B20" s="28"/>
      <c r="C20" s="30" t="str">
        <f>IFERROR(VLOOKUP(B20,KRX종목마스터!$A:$B,2,FALSE),"")</f>
        <v/>
      </c>
      <c r="D20" s="29"/>
      <c r="E20" s="42"/>
      <c r="F20" s="44"/>
      <c r="G20" s="31" t="str">
        <f t="shared" si="0"/>
        <v/>
      </c>
      <c r="H20" s="31" t="str">
        <f t="shared" si="1"/>
        <v/>
      </c>
      <c r="I20" s="39"/>
    </row>
    <row r="21" spans="1:9" ht="18" customHeight="1" x14ac:dyDescent="0.45">
      <c r="A21" s="37"/>
      <c r="B21" s="28"/>
      <c r="C21" s="30" t="str">
        <f>IFERROR(VLOOKUP(B21,KRX종목마스터!$A:$B,2,FALSE),"")</f>
        <v/>
      </c>
      <c r="D21" s="29"/>
      <c r="E21" s="42"/>
      <c r="F21" s="44"/>
      <c r="G21" s="31" t="str">
        <f t="shared" si="0"/>
        <v/>
      </c>
      <c r="H21" s="31" t="str">
        <f t="shared" si="1"/>
        <v/>
      </c>
      <c r="I21" s="39"/>
    </row>
    <row r="22" spans="1:9" ht="18" customHeight="1" x14ac:dyDescent="0.45">
      <c r="A22" s="37"/>
      <c r="B22" s="28"/>
      <c r="C22" s="30" t="str">
        <f>IFERROR(VLOOKUP(B22,KRX종목마스터!$A:$B,2,FALSE),"")</f>
        <v/>
      </c>
      <c r="D22" s="29"/>
      <c r="E22" s="42"/>
      <c r="F22" s="44"/>
      <c r="G22" s="31" t="str">
        <f t="shared" si="0"/>
        <v/>
      </c>
      <c r="H22" s="31" t="str">
        <f t="shared" si="1"/>
        <v/>
      </c>
      <c r="I22" s="39"/>
    </row>
    <row r="23" spans="1:9" ht="18" customHeight="1" x14ac:dyDescent="0.45">
      <c r="A23" s="37"/>
      <c r="B23" s="28"/>
      <c r="C23" s="30" t="str">
        <f>IFERROR(VLOOKUP(B23,KRX종목마스터!$A:$B,2,FALSE),"")</f>
        <v/>
      </c>
      <c r="D23" s="29"/>
      <c r="E23" s="42"/>
      <c r="F23" s="44"/>
      <c r="G23" s="31" t="str">
        <f t="shared" si="0"/>
        <v/>
      </c>
      <c r="H23" s="31" t="str">
        <f t="shared" si="1"/>
        <v/>
      </c>
      <c r="I23" s="39"/>
    </row>
    <row r="24" spans="1:9" ht="18" customHeight="1" x14ac:dyDescent="0.45">
      <c r="A24" s="37"/>
      <c r="B24" s="28"/>
      <c r="C24" s="30" t="str">
        <f>IFERROR(VLOOKUP(B24,KRX종목마스터!$A:$B,2,FALSE),"")</f>
        <v/>
      </c>
      <c r="D24" s="29"/>
      <c r="E24" s="42"/>
      <c r="F24" s="44"/>
      <c r="G24" s="31" t="str">
        <f t="shared" si="0"/>
        <v/>
      </c>
      <c r="H24" s="31" t="str">
        <f t="shared" si="1"/>
        <v/>
      </c>
      <c r="I24" s="39"/>
    </row>
    <row r="25" spans="1:9" ht="18" customHeight="1" x14ac:dyDescent="0.45">
      <c r="A25" s="37"/>
      <c r="B25" s="28"/>
      <c r="C25" s="30" t="str">
        <f>IFERROR(VLOOKUP(B25,KRX종목마스터!$A:$B,2,FALSE),"")</f>
        <v/>
      </c>
      <c r="D25" s="29"/>
      <c r="E25" s="42"/>
      <c r="F25" s="44"/>
      <c r="G25" s="31" t="str">
        <f t="shared" si="0"/>
        <v/>
      </c>
      <c r="H25" s="31" t="str">
        <f t="shared" si="1"/>
        <v/>
      </c>
      <c r="I25" s="39"/>
    </row>
    <row r="26" spans="1:9" ht="18" customHeight="1" x14ac:dyDescent="0.45">
      <c r="A26" s="37"/>
      <c r="B26" s="28"/>
      <c r="C26" s="30" t="str">
        <f>IFERROR(VLOOKUP(B26,KRX종목마스터!$A:$B,2,FALSE),"")</f>
        <v/>
      </c>
      <c r="D26" s="29"/>
      <c r="E26" s="42"/>
      <c r="F26" s="44"/>
      <c r="G26" s="31" t="str">
        <f t="shared" si="0"/>
        <v/>
      </c>
      <c r="H26" s="31" t="str">
        <f t="shared" si="1"/>
        <v/>
      </c>
      <c r="I26" s="39"/>
    </row>
    <row r="27" spans="1:9" ht="18" customHeight="1" x14ac:dyDescent="0.45">
      <c r="A27" s="37"/>
      <c r="B27" s="28"/>
      <c r="C27" s="30" t="str">
        <f>IFERROR(VLOOKUP(B27,KRX종목마스터!$A:$B,2,FALSE),"")</f>
        <v/>
      </c>
      <c r="D27" s="29"/>
      <c r="E27" s="42"/>
      <c r="F27" s="44"/>
      <c r="G27" s="31" t="str">
        <f t="shared" si="0"/>
        <v/>
      </c>
      <c r="H27" s="31" t="str">
        <f t="shared" si="1"/>
        <v/>
      </c>
      <c r="I27" s="39"/>
    </row>
    <row r="28" spans="1:9" ht="18" customHeight="1" x14ac:dyDescent="0.45">
      <c r="A28" s="37"/>
      <c r="B28" s="28"/>
      <c r="C28" s="30" t="str">
        <f>IFERROR(VLOOKUP(B28,KRX종목마스터!$A:$B,2,FALSE),"")</f>
        <v/>
      </c>
      <c r="D28" s="29"/>
      <c r="E28" s="42"/>
      <c r="F28" s="44"/>
      <c r="G28" s="31" t="str">
        <f t="shared" si="0"/>
        <v/>
      </c>
      <c r="H28" s="31" t="str">
        <f t="shared" si="1"/>
        <v/>
      </c>
      <c r="I28" s="39"/>
    </row>
    <row r="29" spans="1:9" ht="18" customHeight="1" x14ac:dyDescent="0.45">
      <c r="A29" s="37"/>
      <c r="B29" s="28"/>
      <c r="C29" s="30" t="str">
        <f>IFERROR(VLOOKUP(B29,KRX종목마스터!$A:$B,2,FALSE),"")</f>
        <v/>
      </c>
      <c r="D29" s="29"/>
      <c r="E29" s="42"/>
      <c r="F29" s="44"/>
      <c r="G29" s="31" t="str">
        <f t="shared" si="0"/>
        <v/>
      </c>
      <c r="H29" s="31" t="str">
        <f t="shared" si="1"/>
        <v/>
      </c>
      <c r="I29" s="39"/>
    </row>
    <row r="30" spans="1:9" ht="18" customHeight="1" x14ac:dyDescent="0.45">
      <c r="A30" s="37"/>
      <c r="B30" s="28"/>
      <c r="C30" s="30" t="str">
        <f>IFERROR(VLOOKUP(B30,KRX종목마스터!$A:$B,2,FALSE),"")</f>
        <v/>
      </c>
      <c r="D30" s="29"/>
      <c r="E30" s="42"/>
      <c r="F30" s="44"/>
      <c r="G30" s="31" t="str">
        <f t="shared" si="0"/>
        <v/>
      </c>
      <c r="H30" s="31" t="str">
        <f t="shared" si="1"/>
        <v/>
      </c>
      <c r="I30" s="39"/>
    </row>
    <row r="31" spans="1:9" ht="18" customHeight="1" x14ac:dyDescent="0.45">
      <c r="A31" s="37"/>
      <c r="B31" s="28"/>
      <c r="C31" s="30" t="str">
        <f>IFERROR(VLOOKUP(B31,KRX종목마스터!$A:$B,2,FALSE),"")</f>
        <v/>
      </c>
      <c r="D31" s="29"/>
      <c r="E31" s="42"/>
      <c r="F31" s="44"/>
      <c r="G31" s="31" t="str">
        <f t="shared" si="0"/>
        <v/>
      </c>
      <c r="H31" s="31" t="str">
        <f t="shared" si="1"/>
        <v/>
      </c>
      <c r="I31" s="39"/>
    </row>
    <row r="32" spans="1:9" ht="18" customHeight="1" x14ac:dyDescent="0.45">
      <c r="A32" s="37"/>
      <c r="B32" s="28"/>
      <c r="C32" s="30" t="str">
        <f>IFERROR(VLOOKUP(B32,KRX종목마스터!$A:$B,2,FALSE),"")</f>
        <v/>
      </c>
      <c r="D32" s="29"/>
      <c r="E32" s="42"/>
      <c r="F32" s="44"/>
      <c r="G32" s="31" t="str">
        <f t="shared" si="0"/>
        <v/>
      </c>
      <c r="H32" s="31" t="str">
        <f t="shared" si="1"/>
        <v/>
      </c>
      <c r="I32" s="39"/>
    </row>
    <row r="33" spans="1:9" ht="18" customHeight="1" x14ac:dyDescent="0.45">
      <c r="A33" s="37"/>
      <c r="B33" s="28"/>
      <c r="C33" s="30" t="str">
        <f>IFERROR(VLOOKUP(B33,KRX종목마스터!$A:$B,2,FALSE),"")</f>
        <v/>
      </c>
      <c r="D33" s="29"/>
      <c r="E33" s="42"/>
      <c r="F33" s="44"/>
      <c r="G33" s="31" t="str">
        <f t="shared" si="0"/>
        <v/>
      </c>
      <c r="H33" s="31" t="str">
        <f t="shared" si="1"/>
        <v/>
      </c>
      <c r="I33" s="39"/>
    </row>
    <row r="34" spans="1:9" ht="18" customHeight="1" x14ac:dyDescent="0.45">
      <c r="A34" s="37"/>
      <c r="B34" s="28"/>
      <c r="C34" s="30" t="str">
        <f>IFERROR(VLOOKUP(B34,KRX종목마스터!$A:$B,2,FALSE),"")</f>
        <v/>
      </c>
      <c r="D34" s="29"/>
      <c r="E34" s="42"/>
      <c r="F34" s="44"/>
      <c r="G34" s="31" t="str">
        <f t="shared" si="0"/>
        <v/>
      </c>
      <c r="H34" s="31" t="str">
        <f t="shared" si="1"/>
        <v/>
      </c>
      <c r="I34" s="39"/>
    </row>
    <row r="35" spans="1:9" ht="18" customHeight="1" x14ac:dyDescent="0.45">
      <c r="A35" s="37"/>
      <c r="B35" s="28"/>
      <c r="C35" s="30" t="str">
        <f>IFERROR(VLOOKUP(B35,KRX종목마스터!$A:$B,2,FALSE),"")</f>
        <v/>
      </c>
      <c r="D35" s="29"/>
      <c r="E35" s="42"/>
      <c r="F35" s="44"/>
      <c r="G35" s="31" t="str">
        <f t="shared" si="0"/>
        <v/>
      </c>
      <c r="H35" s="31" t="str">
        <f t="shared" si="1"/>
        <v/>
      </c>
      <c r="I35" s="39"/>
    </row>
    <row r="36" spans="1:9" ht="18" customHeight="1" x14ac:dyDescent="0.45">
      <c r="A36" s="37"/>
      <c r="B36" s="28"/>
      <c r="C36" s="30" t="str">
        <f>IFERROR(VLOOKUP(B36,KRX종목마스터!$A:$B,2,FALSE),"")</f>
        <v/>
      </c>
      <c r="D36" s="29"/>
      <c r="E36" s="42"/>
      <c r="F36" s="44"/>
      <c r="G36" s="31" t="str">
        <f t="shared" si="0"/>
        <v/>
      </c>
      <c r="H36" s="31" t="str">
        <f t="shared" si="1"/>
        <v/>
      </c>
      <c r="I36" s="39"/>
    </row>
    <row r="37" spans="1:9" ht="18" customHeight="1" x14ac:dyDescent="0.45">
      <c r="A37" s="37"/>
      <c r="B37" s="28"/>
      <c r="C37" s="30" t="str">
        <f>IFERROR(VLOOKUP(B37,KRX종목마스터!$A:$B,2,FALSE),"")</f>
        <v/>
      </c>
      <c r="D37" s="29"/>
      <c r="E37" s="42"/>
      <c r="F37" s="44"/>
      <c r="G37" s="31" t="str">
        <f t="shared" si="0"/>
        <v/>
      </c>
      <c r="H37" s="31" t="str">
        <f t="shared" si="1"/>
        <v/>
      </c>
      <c r="I37" s="39"/>
    </row>
    <row r="38" spans="1:9" ht="18" customHeight="1" x14ac:dyDescent="0.45">
      <c r="A38" s="37"/>
      <c r="B38" s="28"/>
      <c r="C38" s="30" t="str">
        <f>IFERROR(VLOOKUP(B38,KRX종목마스터!$A:$B,2,FALSE),"")</f>
        <v/>
      </c>
      <c r="D38" s="29"/>
      <c r="E38" s="42"/>
      <c r="F38" s="44"/>
      <c r="G38" s="31" t="str">
        <f t="shared" si="0"/>
        <v/>
      </c>
      <c r="H38" s="31" t="str">
        <f t="shared" si="1"/>
        <v/>
      </c>
      <c r="I38" s="39"/>
    </row>
    <row r="39" spans="1:9" ht="18" customHeight="1" x14ac:dyDescent="0.45">
      <c r="A39" s="37"/>
      <c r="B39" s="28"/>
      <c r="C39" s="30" t="str">
        <f>IFERROR(VLOOKUP(B39,KRX종목마스터!$A:$B,2,FALSE),"")</f>
        <v/>
      </c>
      <c r="D39" s="29"/>
      <c r="E39" s="42"/>
      <c r="F39" s="44"/>
      <c r="G39" s="31" t="str">
        <f t="shared" si="0"/>
        <v/>
      </c>
      <c r="H39" s="31" t="str">
        <f t="shared" si="1"/>
        <v/>
      </c>
      <c r="I39" s="39"/>
    </row>
    <row r="40" spans="1:9" ht="18" customHeight="1" x14ac:dyDescent="0.45">
      <c r="A40" s="37"/>
      <c r="B40" s="28"/>
      <c r="C40" s="30" t="str">
        <f>IFERROR(VLOOKUP(B40,KRX종목마스터!$A:$B,2,FALSE),"")</f>
        <v/>
      </c>
      <c r="D40" s="29"/>
      <c r="E40" s="42"/>
      <c r="F40" s="44"/>
      <c r="G40" s="31" t="str">
        <f t="shared" si="0"/>
        <v/>
      </c>
      <c r="H40" s="31" t="str">
        <f t="shared" si="1"/>
        <v/>
      </c>
      <c r="I40" s="39"/>
    </row>
    <row r="41" spans="1:9" ht="18" customHeight="1" x14ac:dyDescent="0.45">
      <c r="A41" s="37"/>
      <c r="B41" s="28"/>
      <c r="C41" s="30" t="str">
        <f>IFERROR(VLOOKUP(B41,KRX종목마스터!$A:$B,2,FALSE),"")</f>
        <v/>
      </c>
      <c r="D41" s="29"/>
      <c r="E41" s="42"/>
      <c r="F41" s="44"/>
      <c r="G41" s="31" t="str">
        <f t="shared" si="0"/>
        <v/>
      </c>
      <c r="H41" s="31" t="str">
        <f t="shared" si="1"/>
        <v/>
      </c>
      <c r="I41" s="39"/>
    </row>
    <row r="42" spans="1:9" ht="18" customHeight="1" x14ac:dyDescent="0.45">
      <c r="A42" s="37"/>
      <c r="B42" s="28"/>
      <c r="C42" s="30" t="str">
        <f>IFERROR(VLOOKUP(B42,KRX종목마스터!$A:$B,2,FALSE),"")</f>
        <v/>
      </c>
      <c r="D42" s="29"/>
      <c r="E42" s="42"/>
      <c r="F42" s="44"/>
      <c r="G42" s="31" t="str">
        <f t="shared" si="0"/>
        <v/>
      </c>
      <c r="H42" s="31" t="str">
        <f t="shared" si="1"/>
        <v/>
      </c>
      <c r="I42" s="39"/>
    </row>
    <row r="43" spans="1:9" ht="18" customHeight="1" x14ac:dyDescent="0.45">
      <c r="A43" s="37"/>
      <c r="B43" s="28"/>
      <c r="C43" s="30" t="str">
        <f>IFERROR(VLOOKUP(B43,KRX종목마스터!$A:$B,2,FALSE),"")</f>
        <v/>
      </c>
      <c r="D43" s="29"/>
      <c r="E43" s="42"/>
      <c r="F43" s="44"/>
      <c r="G43" s="31" t="str">
        <f t="shared" si="0"/>
        <v/>
      </c>
      <c r="H43" s="31" t="str">
        <f t="shared" si="1"/>
        <v/>
      </c>
      <c r="I43" s="39"/>
    </row>
    <row r="44" spans="1:9" ht="18" customHeight="1" x14ac:dyDescent="0.45">
      <c r="A44" s="37"/>
      <c r="B44" s="28"/>
      <c r="C44" s="30" t="str">
        <f>IFERROR(VLOOKUP(B44,KRX종목마스터!$A:$B,2,FALSE),"")</f>
        <v/>
      </c>
      <c r="D44" s="29"/>
      <c r="E44" s="42"/>
      <c r="F44" s="44"/>
      <c r="G44" s="31" t="str">
        <f t="shared" si="0"/>
        <v/>
      </c>
      <c r="H44" s="31" t="str">
        <f t="shared" si="1"/>
        <v/>
      </c>
      <c r="I44" s="39"/>
    </row>
    <row r="45" spans="1:9" ht="18" customHeight="1" x14ac:dyDescent="0.45">
      <c r="A45" s="37"/>
      <c r="B45" s="28"/>
      <c r="C45" s="30" t="str">
        <f>IFERROR(VLOOKUP(B45,KRX종목마스터!$A:$B,2,FALSE),"")</f>
        <v/>
      </c>
      <c r="D45" s="29"/>
      <c r="E45" s="42"/>
      <c r="F45" s="44"/>
      <c r="G45" s="31" t="str">
        <f t="shared" si="0"/>
        <v/>
      </c>
      <c r="H45" s="31" t="str">
        <f t="shared" si="1"/>
        <v/>
      </c>
      <c r="I45" s="39"/>
    </row>
    <row r="46" spans="1:9" ht="18" customHeight="1" x14ac:dyDescent="0.45">
      <c r="A46" s="37"/>
      <c r="B46" s="28"/>
      <c r="C46" s="30" t="str">
        <f>IFERROR(VLOOKUP(B46,KRX종목마스터!$A:$B,2,FALSE),"")</f>
        <v/>
      </c>
      <c r="D46" s="29"/>
      <c r="E46" s="42"/>
      <c r="F46" s="44"/>
      <c r="G46" s="31" t="str">
        <f t="shared" si="0"/>
        <v/>
      </c>
      <c r="H46" s="31" t="str">
        <f t="shared" si="1"/>
        <v/>
      </c>
      <c r="I46" s="39"/>
    </row>
    <row r="47" spans="1:9" ht="18" customHeight="1" x14ac:dyDescent="0.45">
      <c r="A47" s="37"/>
      <c r="B47" s="28"/>
      <c r="C47" s="30" t="str">
        <f>IFERROR(VLOOKUP(B47,KRX종목마스터!$A:$B,2,FALSE),"")</f>
        <v/>
      </c>
      <c r="D47" s="29"/>
      <c r="E47" s="42"/>
      <c r="F47" s="44"/>
      <c r="G47" s="31" t="str">
        <f t="shared" si="0"/>
        <v/>
      </c>
      <c r="H47" s="31" t="str">
        <f t="shared" si="1"/>
        <v/>
      </c>
      <c r="I47" s="39"/>
    </row>
    <row r="48" spans="1:9" ht="18" customHeight="1" x14ac:dyDescent="0.45">
      <c r="A48" s="37"/>
      <c r="B48" s="28"/>
      <c r="C48" s="30" t="str">
        <f>IFERROR(VLOOKUP(B48,KRX종목마스터!$A:$B,2,FALSE),"")</f>
        <v/>
      </c>
      <c r="D48" s="29"/>
      <c r="E48" s="42"/>
      <c r="F48" s="44"/>
      <c r="G48" s="31" t="str">
        <f t="shared" si="0"/>
        <v/>
      </c>
      <c r="H48" s="31" t="str">
        <f t="shared" si="1"/>
        <v/>
      </c>
      <c r="I48" s="39"/>
    </row>
    <row r="49" spans="1:9" ht="18" customHeight="1" x14ac:dyDescent="0.45">
      <c r="A49" s="37"/>
      <c r="B49" s="28"/>
      <c r="C49" s="30" t="str">
        <f>IFERROR(VLOOKUP(B49,KRX종목마스터!$A:$B,2,FALSE),"")</f>
        <v/>
      </c>
      <c r="D49" s="29"/>
      <c r="E49" s="42"/>
      <c r="F49" s="44"/>
      <c r="G49" s="31" t="str">
        <f t="shared" si="0"/>
        <v/>
      </c>
      <c r="H49" s="31" t="str">
        <f t="shared" si="1"/>
        <v/>
      </c>
      <c r="I49" s="39"/>
    </row>
    <row r="50" spans="1:9" ht="18" customHeight="1" x14ac:dyDescent="0.45">
      <c r="A50" s="37"/>
      <c r="B50" s="28"/>
      <c r="C50" s="30" t="str">
        <f>IFERROR(VLOOKUP(B50,KRX종목마스터!$A:$B,2,FALSE),"")</f>
        <v/>
      </c>
      <c r="D50" s="29"/>
      <c r="E50" s="42"/>
      <c r="F50" s="44"/>
      <c r="G50" s="31" t="str">
        <f t="shared" si="0"/>
        <v/>
      </c>
      <c r="H50" s="31" t="str">
        <f t="shared" si="1"/>
        <v/>
      </c>
      <c r="I50" s="39"/>
    </row>
    <row r="51" spans="1:9" ht="18" customHeight="1" x14ac:dyDescent="0.45">
      <c r="A51" s="37"/>
      <c r="B51" s="28"/>
      <c r="C51" s="30" t="str">
        <f>IFERROR(VLOOKUP(B51,KRX종목마스터!$A:$B,2,FALSE),"")</f>
        <v/>
      </c>
      <c r="D51" s="29"/>
      <c r="E51" s="42"/>
      <c r="F51" s="44"/>
      <c r="G51" s="31" t="str">
        <f t="shared" si="0"/>
        <v/>
      </c>
      <c r="H51" s="31" t="str">
        <f t="shared" si="1"/>
        <v/>
      </c>
      <c r="I51" s="39"/>
    </row>
    <row r="52" spans="1:9" ht="18" customHeight="1" x14ac:dyDescent="0.45">
      <c r="A52" s="37"/>
      <c r="B52" s="28"/>
      <c r="C52" s="30" t="str">
        <f>IFERROR(VLOOKUP(B52,KRX종목마스터!$A:$B,2,FALSE),"")</f>
        <v/>
      </c>
      <c r="D52" s="29"/>
      <c r="E52" s="42"/>
      <c r="F52" s="44"/>
      <c r="G52" s="31" t="str">
        <f t="shared" si="0"/>
        <v/>
      </c>
      <c r="H52" s="31" t="str">
        <f t="shared" si="1"/>
        <v/>
      </c>
      <c r="I52" s="39"/>
    </row>
    <row r="53" spans="1:9" ht="18" customHeight="1" x14ac:dyDescent="0.45">
      <c r="A53" s="37"/>
      <c r="B53" s="28"/>
      <c r="C53" s="30" t="str">
        <f>IFERROR(VLOOKUP(B53,KRX종목마스터!$A:$B,2,FALSE),"")</f>
        <v/>
      </c>
      <c r="D53" s="29"/>
      <c r="E53" s="42"/>
      <c r="F53" s="44"/>
      <c r="G53" s="31" t="str">
        <f t="shared" si="0"/>
        <v/>
      </c>
      <c r="H53" s="31" t="str">
        <f t="shared" si="1"/>
        <v/>
      </c>
      <c r="I53" s="39"/>
    </row>
    <row r="54" spans="1:9" ht="18" customHeight="1" x14ac:dyDescent="0.45">
      <c r="A54" s="37"/>
      <c r="B54" s="28"/>
      <c r="C54" s="30" t="str">
        <f>IFERROR(VLOOKUP(B54,KRX종목마스터!$A:$B,2,FALSE),"")</f>
        <v/>
      </c>
      <c r="D54" s="29"/>
      <c r="E54" s="42"/>
      <c r="F54" s="44"/>
      <c r="G54" s="31" t="str">
        <f t="shared" si="0"/>
        <v/>
      </c>
      <c r="H54" s="31" t="str">
        <f t="shared" si="1"/>
        <v/>
      </c>
      <c r="I54" s="39"/>
    </row>
    <row r="55" spans="1:9" ht="18" customHeight="1" x14ac:dyDescent="0.45">
      <c r="A55" s="37"/>
      <c r="B55" s="28"/>
      <c r="C55" s="30" t="str">
        <f>IFERROR(VLOOKUP(B55,KRX종목마스터!$A:$B,2,FALSE),"")</f>
        <v/>
      </c>
      <c r="D55" s="29"/>
      <c r="E55" s="42"/>
      <c r="F55" s="44"/>
      <c r="G55" s="31" t="str">
        <f t="shared" si="0"/>
        <v/>
      </c>
      <c r="H55" s="31" t="str">
        <f t="shared" si="1"/>
        <v/>
      </c>
      <c r="I55" s="39"/>
    </row>
    <row r="56" spans="1:9" ht="18" customHeight="1" x14ac:dyDescent="0.45">
      <c r="A56" s="37"/>
      <c r="B56" s="28"/>
      <c r="C56" s="30" t="str">
        <f>IFERROR(VLOOKUP(B56,KRX종목마스터!$A:$B,2,FALSE),"")</f>
        <v/>
      </c>
      <c r="D56" s="29"/>
      <c r="E56" s="42"/>
      <c r="F56" s="44"/>
      <c r="G56" s="31" t="str">
        <f t="shared" si="0"/>
        <v/>
      </c>
      <c r="H56" s="31" t="str">
        <f t="shared" si="1"/>
        <v/>
      </c>
      <c r="I56" s="39"/>
    </row>
    <row r="57" spans="1:9" ht="18" customHeight="1" x14ac:dyDescent="0.45">
      <c r="A57" s="37"/>
      <c r="B57" s="28"/>
      <c r="C57" s="30" t="str">
        <f>IFERROR(VLOOKUP(B57,KRX종목마스터!$A:$B,2,FALSE),"")</f>
        <v/>
      </c>
      <c r="D57" s="29"/>
      <c r="E57" s="42"/>
      <c r="F57" s="44"/>
      <c r="G57" s="31" t="str">
        <f t="shared" si="0"/>
        <v/>
      </c>
      <c r="H57" s="31" t="str">
        <f t="shared" si="1"/>
        <v/>
      </c>
      <c r="I57" s="39"/>
    </row>
    <row r="58" spans="1:9" ht="18" customHeight="1" x14ac:dyDescent="0.45">
      <c r="A58" s="37"/>
      <c r="B58" s="28"/>
      <c r="C58" s="30" t="str">
        <f>IFERROR(VLOOKUP(B58,KRX종목마스터!$A:$B,2,FALSE),"")</f>
        <v/>
      </c>
      <c r="D58" s="29"/>
      <c r="E58" s="42"/>
      <c r="F58" s="44"/>
      <c r="G58" s="31" t="str">
        <f t="shared" si="0"/>
        <v/>
      </c>
      <c r="H58" s="31" t="str">
        <f t="shared" si="1"/>
        <v/>
      </c>
      <c r="I58" s="39"/>
    </row>
    <row r="59" spans="1:9" ht="18" customHeight="1" x14ac:dyDescent="0.45">
      <c r="A59" s="37"/>
      <c r="B59" s="28"/>
      <c r="C59" s="30" t="str">
        <f>IFERROR(VLOOKUP(B59,KRX종목마스터!$A:$B,2,FALSE),"")</f>
        <v/>
      </c>
      <c r="D59" s="29"/>
      <c r="E59" s="42"/>
      <c r="F59" s="44"/>
      <c r="G59" s="31" t="str">
        <f t="shared" si="0"/>
        <v/>
      </c>
      <c r="H59" s="31" t="str">
        <f t="shared" si="1"/>
        <v/>
      </c>
      <c r="I59" s="39"/>
    </row>
    <row r="60" spans="1:9" ht="18" customHeight="1" x14ac:dyDescent="0.45">
      <c r="A60" s="37"/>
      <c r="B60" s="28"/>
      <c r="C60" s="30" t="str">
        <f>IFERROR(VLOOKUP(B60,KRX종목마스터!$A:$B,2,FALSE),"")</f>
        <v/>
      </c>
      <c r="D60" s="29"/>
      <c r="E60" s="42"/>
      <c r="F60" s="44"/>
      <c r="G60" s="31" t="str">
        <f t="shared" si="0"/>
        <v/>
      </c>
      <c r="H60" s="31" t="str">
        <f t="shared" si="1"/>
        <v/>
      </c>
      <c r="I60" s="39"/>
    </row>
    <row r="61" spans="1:9" ht="18" customHeight="1" x14ac:dyDescent="0.45">
      <c r="A61" s="37"/>
      <c r="B61" s="28"/>
      <c r="C61" s="30" t="str">
        <f>IFERROR(VLOOKUP(B61,KRX종목마스터!$A:$B,2,FALSE),"")</f>
        <v/>
      </c>
      <c r="D61" s="29"/>
      <c r="E61" s="42"/>
      <c r="F61" s="44"/>
      <c r="G61" s="31" t="str">
        <f t="shared" si="0"/>
        <v/>
      </c>
      <c r="H61" s="31" t="str">
        <f t="shared" si="1"/>
        <v/>
      </c>
      <c r="I61" s="39"/>
    </row>
    <row r="62" spans="1:9" ht="18" customHeight="1" x14ac:dyDescent="0.45">
      <c r="A62" s="37"/>
      <c r="B62" s="28"/>
      <c r="C62" s="30" t="str">
        <f>IFERROR(VLOOKUP(B62,KRX종목마스터!$A:$B,2,FALSE),"")</f>
        <v/>
      </c>
      <c r="D62" s="29"/>
      <c r="E62" s="42"/>
      <c r="F62" s="44"/>
      <c r="G62" s="31" t="str">
        <f t="shared" si="0"/>
        <v/>
      </c>
      <c r="H62" s="31" t="str">
        <f t="shared" si="1"/>
        <v/>
      </c>
      <c r="I62" s="39"/>
    </row>
    <row r="63" spans="1:9" ht="18" customHeight="1" x14ac:dyDescent="0.45">
      <c r="A63" s="37"/>
      <c r="B63" s="28"/>
      <c r="C63" s="30" t="str">
        <f>IFERROR(VLOOKUP(B63,KRX종목마스터!$A:$B,2,FALSE),"")</f>
        <v/>
      </c>
      <c r="D63" s="29"/>
      <c r="E63" s="42"/>
      <c r="F63" s="44"/>
      <c r="G63" s="31" t="str">
        <f t="shared" si="0"/>
        <v/>
      </c>
      <c r="H63" s="31" t="str">
        <f t="shared" si="1"/>
        <v/>
      </c>
      <c r="I63" s="39"/>
    </row>
    <row r="64" spans="1:9" ht="18" customHeight="1" x14ac:dyDescent="0.45">
      <c r="A64" s="37"/>
      <c r="B64" s="28"/>
      <c r="C64" s="30" t="str">
        <f>IFERROR(VLOOKUP(B64,KRX종목마스터!$A:$B,2,FALSE),"")</f>
        <v/>
      </c>
      <c r="D64" s="29"/>
      <c r="E64" s="42"/>
      <c r="F64" s="44"/>
      <c r="G64" s="31" t="str">
        <f t="shared" si="0"/>
        <v/>
      </c>
      <c r="H64" s="31" t="str">
        <f t="shared" si="1"/>
        <v/>
      </c>
      <c r="I64" s="39"/>
    </row>
    <row r="65" spans="1:9" ht="18" customHeight="1" x14ac:dyDescent="0.45">
      <c r="A65" s="37"/>
      <c r="B65" s="28"/>
      <c r="C65" s="30" t="str">
        <f>IFERROR(VLOOKUP(B65,KRX종목마스터!$A:$B,2,FALSE),"")</f>
        <v/>
      </c>
      <c r="D65" s="29"/>
      <c r="E65" s="42"/>
      <c r="F65" s="44"/>
      <c r="G65" s="31" t="str">
        <f t="shared" si="0"/>
        <v/>
      </c>
      <c r="H65" s="31" t="str">
        <f t="shared" si="1"/>
        <v/>
      </c>
      <c r="I65" s="39"/>
    </row>
    <row r="66" spans="1:9" ht="18" customHeight="1" x14ac:dyDescent="0.45">
      <c r="A66" s="37"/>
      <c r="B66" s="28"/>
      <c r="C66" s="30" t="str">
        <f>IFERROR(VLOOKUP(B66,KRX종목마스터!$A:$B,2,FALSE),"")</f>
        <v/>
      </c>
      <c r="D66" s="29"/>
      <c r="E66" s="42"/>
      <c r="F66" s="44"/>
      <c r="G66" s="31" t="str">
        <f t="shared" si="0"/>
        <v/>
      </c>
      <c r="H66" s="31" t="str">
        <f t="shared" si="1"/>
        <v/>
      </c>
      <c r="I66" s="39"/>
    </row>
    <row r="67" spans="1:9" ht="18" customHeight="1" x14ac:dyDescent="0.45">
      <c r="A67" s="37"/>
      <c r="B67" s="28"/>
      <c r="C67" s="30" t="str">
        <f>IFERROR(VLOOKUP(B67,KRX종목마스터!$A:$B,2,FALSE),"")</f>
        <v/>
      </c>
      <c r="D67" s="29"/>
      <c r="E67" s="42"/>
      <c r="F67" s="44"/>
      <c r="G67" s="31" t="str">
        <f t="shared" si="0"/>
        <v/>
      </c>
      <c r="H67" s="31" t="str">
        <f t="shared" si="1"/>
        <v/>
      </c>
      <c r="I67" s="39"/>
    </row>
    <row r="68" spans="1:9" ht="18" customHeight="1" x14ac:dyDescent="0.45">
      <c r="A68" s="37"/>
      <c r="B68" s="28"/>
      <c r="C68" s="30" t="str">
        <f>IFERROR(VLOOKUP(B68,KRX종목마스터!$A:$B,2,FALSE),"")</f>
        <v/>
      </c>
      <c r="D68" s="29"/>
      <c r="E68" s="42"/>
      <c r="F68" s="44"/>
      <c r="G68" s="31" t="str">
        <f t="shared" si="0"/>
        <v/>
      </c>
      <c r="H68" s="31" t="str">
        <f t="shared" si="1"/>
        <v/>
      </c>
      <c r="I68" s="39"/>
    </row>
    <row r="69" spans="1:9" ht="18" customHeight="1" x14ac:dyDescent="0.45">
      <c r="A69" s="37"/>
      <c r="B69" s="28"/>
      <c r="C69" s="30" t="str">
        <f>IFERROR(VLOOKUP(B69,KRX종목마스터!$A:$B,2,FALSE),"")</f>
        <v/>
      </c>
      <c r="D69" s="29"/>
      <c r="E69" s="42"/>
      <c r="F69" s="44"/>
      <c r="G69" s="31" t="str">
        <f t="shared" ref="G69:G132" si="2">IF(OR(E69="",F69=""),"",ROUND(E69*F69/100,0))</f>
        <v/>
      </c>
      <c r="H69" s="31" t="str">
        <f t="shared" ref="H69:H132" si="3">IF(E69="","",E69-IF(G69="",0,G69))</f>
        <v/>
      </c>
      <c r="I69" s="39"/>
    </row>
    <row r="70" spans="1:9" ht="18" customHeight="1" x14ac:dyDescent="0.45">
      <c r="A70" s="37"/>
      <c r="B70" s="28"/>
      <c r="C70" s="30" t="str">
        <f>IFERROR(VLOOKUP(B70,KRX종목마스터!$A:$B,2,FALSE),"")</f>
        <v/>
      </c>
      <c r="D70" s="29"/>
      <c r="E70" s="42"/>
      <c r="F70" s="44"/>
      <c r="G70" s="31" t="str">
        <f t="shared" si="2"/>
        <v/>
      </c>
      <c r="H70" s="31" t="str">
        <f t="shared" si="3"/>
        <v/>
      </c>
      <c r="I70" s="39"/>
    </row>
    <row r="71" spans="1:9" ht="18" customHeight="1" x14ac:dyDescent="0.45">
      <c r="A71" s="37"/>
      <c r="B71" s="28"/>
      <c r="C71" s="30" t="str">
        <f>IFERROR(VLOOKUP(B71,KRX종목마스터!$A:$B,2,FALSE),"")</f>
        <v/>
      </c>
      <c r="D71" s="29"/>
      <c r="E71" s="42"/>
      <c r="F71" s="44"/>
      <c r="G71" s="31" t="str">
        <f t="shared" si="2"/>
        <v/>
      </c>
      <c r="H71" s="31" t="str">
        <f t="shared" si="3"/>
        <v/>
      </c>
      <c r="I71" s="39"/>
    </row>
    <row r="72" spans="1:9" ht="18" customHeight="1" x14ac:dyDescent="0.45">
      <c r="A72" s="37"/>
      <c r="B72" s="28"/>
      <c r="C72" s="30" t="str">
        <f>IFERROR(VLOOKUP(B72,KRX종목마스터!$A:$B,2,FALSE),"")</f>
        <v/>
      </c>
      <c r="D72" s="29"/>
      <c r="E72" s="42"/>
      <c r="F72" s="44"/>
      <c r="G72" s="31" t="str">
        <f t="shared" si="2"/>
        <v/>
      </c>
      <c r="H72" s="31" t="str">
        <f t="shared" si="3"/>
        <v/>
      </c>
      <c r="I72" s="39"/>
    </row>
    <row r="73" spans="1:9" ht="18" customHeight="1" x14ac:dyDescent="0.45">
      <c r="A73" s="37"/>
      <c r="B73" s="28"/>
      <c r="C73" s="30" t="str">
        <f>IFERROR(VLOOKUP(B73,KRX종목마스터!$A:$B,2,FALSE),"")</f>
        <v/>
      </c>
      <c r="D73" s="29"/>
      <c r="E73" s="42"/>
      <c r="F73" s="44"/>
      <c r="G73" s="31" t="str">
        <f t="shared" si="2"/>
        <v/>
      </c>
      <c r="H73" s="31" t="str">
        <f t="shared" si="3"/>
        <v/>
      </c>
      <c r="I73" s="39"/>
    </row>
    <row r="74" spans="1:9" ht="18" customHeight="1" x14ac:dyDescent="0.45">
      <c r="A74" s="37"/>
      <c r="B74" s="28"/>
      <c r="C74" s="30" t="str">
        <f>IFERROR(VLOOKUP(B74,KRX종목마스터!$A:$B,2,FALSE),"")</f>
        <v/>
      </c>
      <c r="D74" s="29"/>
      <c r="E74" s="42"/>
      <c r="F74" s="44"/>
      <c r="G74" s="31" t="str">
        <f t="shared" si="2"/>
        <v/>
      </c>
      <c r="H74" s="31" t="str">
        <f t="shared" si="3"/>
        <v/>
      </c>
      <c r="I74" s="39"/>
    </row>
    <row r="75" spans="1:9" ht="18" customHeight="1" x14ac:dyDescent="0.45">
      <c r="A75" s="37"/>
      <c r="B75" s="28"/>
      <c r="C75" s="30" t="str">
        <f>IFERROR(VLOOKUP(B75,KRX종목마스터!$A:$B,2,FALSE),"")</f>
        <v/>
      </c>
      <c r="D75" s="29"/>
      <c r="E75" s="42"/>
      <c r="F75" s="44"/>
      <c r="G75" s="31" t="str">
        <f t="shared" si="2"/>
        <v/>
      </c>
      <c r="H75" s="31" t="str">
        <f t="shared" si="3"/>
        <v/>
      </c>
      <c r="I75" s="39"/>
    </row>
    <row r="76" spans="1:9" ht="18" customHeight="1" x14ac:dyDescent="0.45">
      <c r="A76" s="37"/>
      <c r="B76" s="28"/>
      <c r="C76" s="30" t="str">
        <f>IFERROR(VLOOKUP(B76,KRX종목마스터!$A:$B,2,FALSE),"")</f>
        <v/>
      </c>
      <c r="D76" s="29"/>
      <c r="E76" s="42"/>
      <c r="F76" s="44"/>
      <c r="G76" s="31" t="str">
        <f t="shared" si="2"/>
        <v/>
      </c>
      <c r="H76" s="31" t="str">
        <f t="shared" si="3"/>
        <v/>
      </c>
      <c r="I76" s="39"/>
    </row>
    <row r="77" spans="1:9" ht="18" customHeight="1" x14ac:dyDescent="0.45">
      <c r="A77" s="37"/>
      <c r="B77" s="28"/>
      <c r="C77" s="30" t="str">
        <f>IFERROR(VLOOKUP(B77,KRX종목마스터!$A:$B,2,FALSE),"")</f>
        <v/>
      </c>
      <c r="D77" s="29"/>
      <c r="E77" s="42"/>
      <c r="F77" s="44"/>
      <c r="G77" s="31" t="str">
        <f t="shared" si="2"/>
        <v/>
      </c>
      <c r="H77" s="31" t="str">
        <f t="shared" si="3"/>
        <v/>
      </c>
      <c r="I77" s="39"/>
    </row>
    <row r="78" spans="1:9" ht="18" customHeight="1" x14ac:dyDescent="0.45">
      <c r="A78" s="37"/>
      <c r="B78" s="28"/>
      <c r="C78" s="30" t="str">
        <f>IFERROR(VLOOKUP(B78,KRX종목마스터!$A:$B,2,FALSE),"")</f>
        <v/>
      </c>
      <c r="D78" s="29"/>
      <c r="E78" s="42"/>
      <c r="F78" s="44"/>
      <c r="G78" s="31" t="str">
        <f t="shared" si="2"/>
        <v/>
      </c>
      <c r="H78" s="31" t="str">
        <f t="shared" si="3"/>
        <v/>
      </c>
      <c r="I78" s="39"/>
    </row>
    <row r="79" spans="1:9" ht="18" customHeight="1" x14ac:dyDescent="0.45">
      <c r="A79" s="37"/>
      <c r="B79" s="28"/>
      <c r="C79" s="30" t="str">
        <f>IFERROR(VLOOKUP(B79,KRX종목마스터!$A:$B,2,FALSE),"")</f>
        <v/>
      </c>
      <c r="D79" s="29"/>
      <c r="E79" s="42"/>
      <c r="F79" s="44"/>
      <c r="G79" s="31" t="str">
        <f t="shared" si="2"/>
        <v/>
      </c>
      <c r="H79" s="31" t="str">
        <f t="shared" si="3"/>
        <v/>
      </c>
      <c r="I79" s="39"/>
    </row>
    <row r="80" spans="1:9" ht="18" customHeight="1" x14ac:dyDescent="0.45">
      <c r="A80" s="37"/>
      <c r="B80" s="28"/>
      <c r="C80" s="30" t="str">
        <f>IFERROR(VLOOKUP(B80,KRX종목마스터!$A:$B,2,FALSE),"")</f>
        <v/>
      </c>
      <c r="D80" s="29"/>
      <c r="E80" s="42"/>
      <c r="F80" s="44"/>
      <c r="G80" s="31" t="str">
        <f t="shared" si="2"/>
        <v/>
      </c>
      <c r="H80" s="31" t="str">
        <f t="shared" si="3"/>
        <v/>
      </c>
      <c r="I80" s="39"/>
    </row>
    <row r="81" spans="1:9" ht="18" customHeight="1" x14ac:dyDescent="0.45">
      <c r="A81" s="37"/>
      <c r="B81" s="28"/>
      <c r="C81" s="30" t="str">
        <f>IFERROR(VLOOKUP(B81,KRX종목마스터!$A:$B,2,FALSE),"")</f>
        <v/>
      </c>
      <c r="D81" s="29"/>
      <c r="E81" s="42"/>
      <c r="F81" s="44"/>
      <c r="G81" s="31" t="str">
        <f t="shared" si="2"/>
        <v/>
      </c>
      <c r="H81" s="31" t="str">
        <f t="shared" si="3"/>
        <v/>
      </c>
      <c r="I81" s="39"/>
    </row>
    <row r="82" spans="1:9" ht="18" customHeight="1" x14ac:dyDescent="0.45">
      <c r="A82" s="37"/>
      <c r="B82" s="28"/>
      <c r="C82" s="30" t="str">
        <f>IFERROR(VLOOKUP(B82,KRX종목마스터!$A:$B,2,FALSE),"")</f>
        <v/>
      </c>
      <c r="D82" s="29"/>
      <c r="E82" s="42"/>
      <c r="F82" s="44"/>
      <c r="G82" s="31" t="str">
        <f t="shared" si="2"/>
        <v/>
      </c>
      <c r="H82" s="31" t="str">
        <f t="shared" si="3"/>
        <v/>
      </c>
      <c r="I82" s="39"/>
    </row>
    <row r="83" spans="1:9" ht="18" customHeight="1" x14ac:dyDescent="0.45">
      <c r="A83" s="37"/>
      <c r="B83" s="28"/>
      <c r="C83" s="30" t="str">
        <f>IFERROR(VLOOKUP(B83,KRX종목마스터!$A:$B,2,FALSE),"")</f>
        <v/>
      </c>
      <c r="D83" s="29"/>
      <c r="E83" s="42"/>
      <c r="F83" s="44"/>
      <c r="G83" s="31" t="str">
        <f t="shared" si="2"/>
        <v/>
      </c>
      <c r="H83" s="31" t="str">
        <f t="shared" si="3"/>
        <v/>
      </c>
      <c r="I83" s="39"/>
    </row>
    <row r="84" spans="1:9" ht="18" customHeight="1" x14ac:dyDescent="0.45">
      <c r="A84" s="37"/>
      <c r="B84" s="28"/>
      <c r="C84" s="30" t="str">
        <f>IFERROR(VLOOKUP(B84,KRX종목마스터!$A:$B,2,FALSE),"")</f>
        <v/>
      </c>
      <c r="D84" s="29"/>
      <c r="E84" s="42"/>
      <c r="F84" s="44"/>
      <c r="G84" s="31" t="str">
        <f t="shared" si="2"/>
        <v/>
      </c>
      <c r="H84" s="31" t="str">
        <f t="shared" si="3"/>
        <v/>
      </c>
      <c r="I84" s="39"/>
    </row>
    <row r="85" spans="1:9" ht="18" customHeight="1" x14ac:dyDescent="0.45">
      <c r="A85" s="37"/>
      <c r="B85" s="28"/>
      <c r="C85" s="30" t="str">
        <f>IFERROR(VLOOKUP(B85,KRX종목마스터!$A:$B,2,FALSE),"")</f>
        <v/>
      </c>
      <c r="D85" s="29"/>
      <c r="E85" s="42"/>
      <c r="F85" s="44"/>
      <c r="G85" s="31" t="str">
        <f t="shared" si="2"/>
        <v/>
      </c>
      <c r="H85" s="31" t="str">
        <f t="shared" si="3"/>
        <v/>
      </c>
      <c r="I85" s="39"/>
    </row>
    <row r="86" spans="1:9" ht="18" customHeight="1" x14ac:dyDescent="0.45">
      <c r="A86" s="37"/>
      <c r="B86" s="28"/>
      <c r="C86" s="30" t="str">
        <f>IFERROR(VLOOKUP(B86,KRX종목마스터!$A:$B,2,FALSE),"")</f>
        <v/>
      </c>
      <c r="D86" s="29"/>
      <c r="E86" s="42"/>
      <c r="F86" s="44"/>
      <c r="G86" s="31" t="str">
        <f t="shared" si="2"/>
        <v/>
      </c>
      <c r="H86" s="31" t="str">
        <f t="shared" si="3"/>
        <v/>
      </c>
      <c r="I86" s="39"/>
    </row>
    <row r="87" spans="1:9" ht="18" customHeight="1" x14ac:dyDescent="0.45">
      <c r="A87" s="37"/>
      <c r="B87" s="28"/>
      <c r="C87" s="30" t="str">
        <f>IFERROR(VLOOKUP(B87,KRX종목마스터!$A:$B,2,FALSE),"")</f>
        <v/>
      </c>
      <c r="D87" s="29"/>
      <c r="E87" s="42"/>
      <c r="F87" s="44"/>
      <c r="G87" s="31" t="str">
        <f t="shared" si="2"/>
        <v/>
      </c>
      <c r="H87" s="31" t="str">
        <f t="shared" si="3"/>
        <v/>
      </c>
      <c r="I87" s="39"/>
    </row>
    <row r="88" spans="1:9" ht="18" customHeight="1" x14ac:dyDescent="0.45">
      <c r="A88" s="37"/>
      <c r="B88" s="28"/>
      <c r="C88" s="30" t="str">
        <f>IFERROR(VLOOKUP(B88,KRX종목마스터!$A:$B,2,FALSE),"")</f>
        <v/>
      </c>
      <c r="D88" s="29"/>
      <c r="E88" s="42"/>
      <c r="F88" s="44"/>
      <c r="G88" s="31" t="str">
        <f t="shared" si="2"/>
        <v/>
      </c>
      <c r="H88" s="31" t="str">
        <f t="shared" si="3"/>
        <v/>
      </c>
      <c r="I88" s="39"/>
    </row>
    <row r="89" spans="1:9" ht="18" customHeight="1" x14ac:dyDescent="0.45">
      <c r="A89" s="37"/>
      <c r="B89" s="28"/>
      <c r="C89" s="30" t="str">
        <f>IFERROR(VLOOKUP(B89,KRX종목마스터!$A:$B,2,FALSE),"")</f>
        <v/>
      </c>
      <c r="D89" s="29"/>
      <c r="E89" s="42"/>
      <c r="F89" s="44"/>
      <c r="G89" s="31" t="str">
        <f t="shared" si="2"/>
        <v/>
      </c>
      <c r="H89" s="31" t="str">
        <f t="shared" si="3"/>
        <v/>
      </c>
      <c r="I89" s="39"/>
    </row>
    <row r="90" spans="1:9" ht="18" customHeight="1" x14ac:dyDescent="0.45">
      <c r="A90" s="37"/>
      <c r="B90" s="28"/>
      <c r="C90" s="30" t="str">
        <f>IFERROR(VLOOKUP(B90,KRX종목마스터!$A:$B,2,FALSE),"")</f>
        <v/>
      </c>
      <c r="D90" s="29"/>
      <c r="E90" s="42"/>
      <c r="F90" s="44"/>
      <c r="G90" s="31" t="str">
        <f t="shared" si="2"/>
        <v/>
      </c>
      <c r="H90" s="31" t="str">
        <f t="shared" si="3"/>
        <v/>
      </c>
      <c r="I90" s="39"/>
    </row>
    <row r="91" spans="1:9" ht="18" customHeight="1" x14ac:dyDescent="0.45">
      <c r="A91" s="37"/>
      <c r="B91" s="28"/>
      <c r="C91" s="30" t="str">
        <f>IFERROR(VLOOKUP(B91,KRX종목마스터!$A:$B,2,FALSE),"")</f>
        <v/>
      </c>
      <c r="D91" s="29"/>
      <c r="E91" s="42"/>
      <c r="F91" s="44"/>
      <c r="G91" s="31" t="str">
        <f t="shared" si="2"/>
        <v/>
      </c>
      <c r="H91" s="31" t="str">
        <f t="shared" si="3"/>
        <v/>
      </c>
      <c r="I91" s="39"/>
    </row>
    <row r="92" spans="1:9" ht="18" customHeight="1" x14ac:dyDescent="0.45">
      <c r="A92" s="37"/>
      <c r="B92" s="28"/>
      <c r="C92" s="30" t="str">
        <f>IFERROR(VLOOKUP(B92,KRX종목마스터!$A:$B,2,FALSE),"")</f>
        <v/>
      </c>
      <c r="D92" s="29"/>
      <c r="E92" s="42"/>
      <c r="F92" s="44"/>
      <c r="G92" s="31" t="str">
        <f t="shared" si="2"/>
        <v/>
      </c>
      <c r="H92" s="31" t="str">
        <f t="shared" si="3"/>
        <v/>
      </c>
      <c r="I92" s="39"/>
    </row>
    <row r="93" spans="1:9" ht="18" customHeight="1" x14ac:dyDescent="0.45">
      <c r="A93" s="37"/>
      <c r="B93" s="28"/>
      <c r="C93" s="30" t="str">
        <f>IFERROR(VLOOKUP(B93,KRX종목마스터!$A:$B,2,FALSE),"")</f>
        <v/>
      </c>
      <c r="D93" s="29"/>
      <c r="E93" s="42"/>
      <c r="F93" s="44"/>
      <c r="G93" s="31" t="str">
        <f t="shared" si="2"/>
        <v/>
      </c>
      <c r="H93" s="31" t="str">
        <f t="shared" si="3"/>
        <v/>
      </c>
      <c r="I93" s="39"/>
    </row>
    <row r="94" spans="1:9" ht="18" customHeight="1" x14ac:dyDescent="0.45">
      <c r="A94" s="37"/>
      <c r="B94" s="28"/>
      <c r="C94" s="30" t="str">
        <f>IFERROR(VLOOKUP(B94,KRX종목마스터!$A:$B,2,FALSE),"")</f>
        <v/>
      </c>
      <c r="D94" s="29"/>
      <c r="E94" s="42"/>
      <c r="F94" s="44"/>
      <c r="G94" s="31" t="str">
        <f t="shared" si="2"/>
        <v/>
      </c>
      <c r="H94" s="31" t="str">
        <f t="shared" si="3"/>
        <v/>
      </c>
      <c r="I94" s="39"/>
    </row>
    <row r="95" spans="1:9" ht="18" customHeight="1" x14ac:dyDescent="0.45">
      <c r="A95" s="37"/>
      <c r="B95" s="28"/>
      <c r="C95" s="30" t="str">
        <f>IFERROR(VLOOKUP(B95,KRX종목마스터!$A:$B,2,FALSE),"")</f>
        <v/>
      </c>
      <c r="D95" s="29"/>
      <c r="E95" s="42"/>
      <c r="F95" s="44"/>
      <c r="G95" s="31" t="str">
        <f t="shared" si="2"/>
        <v/>
      </c>
      <c r="H95" s="31" t="str">
        <f t="shared" si="3"/>
        <v/>
      </c>
      <c r="I95" s="39"/>
    </row>
    <row r="96" spans="1:9" ht="18" customHeight="1" x14ac:dyDescent="0.45">
      <c r="A96" s="37"/>
      <c r="B96" s="28"/>
      <c r="C96" s="30" t="str">
        <f>IFERROR(VLOOKUP(B96,KRX종목마스터!$A:$B,2,FALSE),"")</f>
        <v/>
      </c>
      <c r="D96" s="29"/>
      <c r="E96" s="42"/>
      <c r="F96" s="44"/>
      <c r="G96" s="31" t="str">
        <f t="shared" si="2"/>
        <v/>
      </c>
      <c r="H96" s="31" t="str">
        <f t="shared" si="3"/>
        <v/>
      </c>
      <c r="I96" s="39"/>
    </row>
    <row r="97" spans="1:9" ht="18" customHeight="1" x14ac:dyDescent="0.45">
      <c r="A97" s="37"/>
      <c r="B97" s="28"/>
      <c r="C97" s="30" t="str">
        <f>IFERROR(VLOOKUP(B97,KRX종목마스터!$A:$B,2,FALSE),"")</f>
        <v/>
      </c>
      <c r="D97" s="29"/>
      <c r="E97" s="42"/>
      <c r="F97" s="44"/>
      <c r="G97" s="31" t="str">
        <f t="shared" si="2"/>
        <v/>
      </c>
      <c r="H97" s="31" t="str">
        <f t="shared" si="3"/>
        <v/>
      </c>
      <c r="I97" s="39"/>
    </row>
    <row r="98" spans="1:9" ht="18" customHeight="1" x14ac:dyDescent="0.45">
      <c r="A98" s="37"/>
      <c r="B98" s="28"/>
      <c r="C98" s="30" t="str">
        <f>IFERROR(VLOOKUP(B98,KRX종목마스터!$A:$B,2,FALSE),"")</f>
        <v/>
      </c>
      <c r="D98" s="29"/>
      <c r="E98" s="42"/>
      <c r="F98" s="44"/>
      <c r="G98" s="31" t="str">
        <f t="shared" si="2"/>
        <v/>
      </c>
      <c r="H98" s="31" t="str">
        <f t="shared" si="3"/>
        <v/>
      </c>
      <c r="I98" s="39"/>
    </row>
    <row r="99" spans="1:9" ht="18" customHeight="1" x14ac:dyDescent="0.45">
      <c r="A99" s="37"/>
      <c r="B99" s="28"/>
      <c r="C99" s="30" t="str">
        <f>IFERROR(VLOOKUP(B99,KRX종목마스터!$A:$B,2,FALSE),"")</f>
        <v/>
      </c>
      <c r="D99" s="29"/>
      <c r="E99" s="42"/>
      <c r="F99" s="44"/>
      <c r="G99" s="31" t="str">
        <f t="shared" si="2"/>
        <v/>
      </c>
      <c r="H99" s="31" t="str">
        <f t="shared" si="3"/>
        <v/>
      </c>
      <c r="I99" s="39"/>
    </row>
    <row r="100" spans="1:9" ht="18" customHeight="1" x14ac:dyDescent="0.45">
      <c r="A100" s="37"/>
      <c r="B100" s="28"/>
      <c r="C100" s="30" t="str">
        <f>IFERROR(VLOOKUP(B100,KRX종목마스터!$A:$B,2,FALSE),"")</f>
        <v/>
      </c>
      <c r="D100" s="29"/>
      <c r="E100" s="42"/>
      <c r="F100" s="44"/>
      <c r="G100" s="31" t="str">
        <f t="shared" si="2"/>
        <v/>
      </c>
      <c r="H100" s="31" t="str">
        <f t="shared" si="3"/>
        <v/>
      </c>
      <c r="I100" s="39"/>
    </row>
    <row r="101" spans="1:9" ht="18" customHeight="1" x14ac:dyDescent="0.45">
      <c r="A101" s="37"/>
      <c r="B101" s="28"/>
      <c r="C101" s="30" t="str">
        <f>IFERROR(VLOOKUP(B101,KRX종목마스터!$A:$B,2,FALSE),"")</f>
        <v/>
      </c>
      <c r="D101" s="29"/>
      <c r="E101" s="42"/>
      <c r="F101" s="44"/>
      <c r="G101" s="31" t="str">
        <f t="shared" si="2"/>
        <v/>
      </c>
      <c r="H101" s="31" t="str">
        <f t="shared" si="3"/>
        <v/>
      </c>
      <c r="I101" s="39"/>
    </row>
    <row r="102" spans="1:9" ht="18" customHeight="1" x14ac:dyDescent="0.45">
      <c r="A102" s="37"/>
      <c r="B102" s="28"/>
      <c r="C102" s="30" t="str">
        <f>IFERROR(VLOOKUP(B102,KRX종목마스터!$A:$B,2,FALSE),"")</f>
        <v/>
      </c>
      <c r="D102" s="29"/>
      <c r="E102" s="42"/>
      <c r="F102" s="44"/>
      <c r="G102" s="31" t="str">
        <f t="shared" si="2"/>
        <v/>
      </c>
      <c r="H102" s="31" t="str">
        <f t="shared" si="3"/>
        <v/>
      </c>
      <c r="I102" s="39"/>
    </row>
    <row r="103" spans="1:9" ht="18" customHeight="1" x14ac:dyDescent="0.45">
      <c r="A103" s="37"/>
      <c r="B103" s="28"/>
      <c r="C103" s="30" t="str">
        <f>IFERROR(VLOOKUP(B103,KRX종목마스터!$A:$B,2,FALSE),"")</f>
        <v/>
      </c>
      <c r="D103" s="29"/>
      <c r="E103" s="42"/>
      <c r="F103" s="44"/>
      <c r="G103" s="31" t="str">
        <f t="shared" si="2"/>
        <v/>
      </c>
      <c r="H103" s="31" t="str">
        <f t="shared" si="3"/>
        <v/>
      </c>
      <c r="I103" s="39"/>
    </row>
    <row r="104" spans="1:9" ht="18" customHeight="1" x14ac:dyDescent="0.45">
      <c r="A104" s="37"/>
      <c r="B104" s="28"/>
      <c r="C104" s="30" t="str">
        <f>IFERROR(VLOOKUP(B104,KRX종목마스터!$A:$B,2,FALSE),"")</f>
        <v/>
      </c>
      <c r="D104" s="29"/>
      <c r="E104" s="42"/>
      <c r="F104" s="44"/>
      <c r="G104" s="31" t="str">
        <f t="shared" si="2"/>
        <v/>
      </c>
      <c r="H104" s="31" t="str">
        <f t="shared" si="3"/>
        <v/>
      </c>
      <c r="I104" s="39"/>
    </row>
    <row r="105" spans="1:9" ht="18" customHeight="1" x14ac:dyDescent="0.45">
      <c r="A105" s="37"/>
      <c r="B105" s="28"/>
      <c r="C105" s="30" t="str">
        <f>IFERROR(VLOOKUP(B105,KRX종목마스터!$A:$B,2,FALSE),"")</f>
        <v/>
      </c>
      <c r="D105" s="29"/>
      <c r="E105" s="42"/>
      <c r="F105" s="44"/>
      <c r="G105" s="31" t="str">
        <f t="shared" si="2"/>
        <v/>
      </c>
      <c r="H105" s="31" t="str">
        <f t="shared" si="3"/>
        <v/>
      </c>
      <c r="I105" s="39"/>
    </row>
    <row r="106" spans="1:9" ht="18" customHeight="1" x14ac:dyDescent="0.45">
      <c r="A106" s="37"/>
      <c r="B106" s="28"/>
      <c r="C106" s="30" t="str">
        <f>IFERROR(VLOOKUP(B106,KRX종목마스터!$A:$B,2,FALSE),"")</f>
        <v/>
      </c>
      <c r="D106" s="29"/>
      <c r="E106" s="42"/>
      <c r="F106" s="44"/>
      <c r="G106" s="31" t="str">
        <f t="shared" si="2"/>
        <v/>
      </c>
      <c r="H106" s="31" t="str">
        <f t="shared" si="3"/>
        <v/>
      </c>
      <c r="I106" s="39"/>
    </row>
    <row r="107" spans="1:9" ht="18" customHeight="1" x14ac:dyDescent="0.45">
      <c r="A107" s="37"/>
      <c r="B107" s="28"/>
      <c r="C107" s="30" t="str">
        <f>IFERROR(VLOOKUP(B107,KRX종목마스터!$A:$B,2,FALSE),"")</f>
        <v/>
      </c>
      <c r="D107" s="29"/>
      <c r="E107" s="42"/>
      <c r="F107" s="44"/>
      <c r="G107" s="31" t="str">
        <f t="shared" si="2"/>
        <v/>
      </c>
      <c r="H107" s="31" t="str">
        <f t="shared" si="3"/>
        <v/>
      </c>
      <c r="I107" s="39"/>
    </row>
    <row r="108" spans="1:9" ht="18" customHeight="1" x14ac:dyDescent="0.45">
      <c r="A108" s="37"/>
      <c r="B108" s="28"/>
      <c r="C108" s="30" t="str">
        <f>IFERROR(VLOOKUP(B108,KRX종목마스터!$A:$B,2,FALSE),"")</f>
        <v/>
      </c>
      <c r="D108" s="29"/>
      <c r="E108" s="42"/>
      <c r="F108" s="44"/>
      <c r="G108" s="31" t="str">
        <f t="shared" si="2"/>
        <v/>
      </c>
      <c r="H108" s="31" t="str">
        <f t="shared" si="3"/>
        <v/>
      </c>
      <c r="I108" s="39"/>
    </row>
    <row r="109" spans="1:9" ht="18" customHeight="1" x14ac:dyDescent="0.45">
      <c r="A109" s="37"/>
      <c r="B109" s="28"/>
      <c r="C109" s="30" t="str">
        <f>IFERROR(VLOOKUP(B109,KRX종목마스터!$A:$B,2,FALSE),"")</f>
        <v/>
      </c>
      <c r="D109" s="29"/>
      <c r="E109" s="42"/>
      <c r="F109" s="44"/>
      <c r="G109" s="31" t="str">
        <f t="shared" si="2"/>
        <v/>
      </c>
      <c r="H109" s="31" t="str">
        <f t="shared" si="3"/>
        <v/>
      </c>
      <c r="I109" s="39"/>
    </row>
    <row r="110" spans="1:9" ht="18" customHeight="1" x14ac:dyDescent="0.45">
      <c r="A110" s="37"/>
      <c r="B110" s="28"/>
      <c r="C110" s="30" t="str">
        <f>IFERROR(VLOOKUP(B110,KRX종목마스터!$A:$B,2,FALSE),"")</f>
        <v/>
      </c>
      <c r="D110" s="29"/>
      <c r="E110" s="42"/>
      <c r="F110" s="44"/>
      <c r="G110" s="31" t="str">
        <f t="shared" si="2"/>
        <v/>
      </c>
      <c r="H110" s="31" t="str">
        <f t="shared" si="3"/>
        <v/>
      </c>
      <c r="I110" s="39"/>
    </row>
    <row r="111" spans="1:9" ht="18" customHeight="1" x14ac:dyDescent="0.45">
      <c r="A111" s="37"/>
      <c r="B111" s="28"/>
      <c r="C111" s="30" t="str">
        <f>IFERROR(VLOOKUP(B111,KRX종목마스터!$A:$B,2,FALSE),"")</f>
        <v/>
      </c>
      <c r="D111" s="29"/>
      <c r="E111" s="42"/>
      <c r="F111" s="44"/>
      <c r="G111" s="31" t="str">
        <f t="shared" si="2"/>
        <v/>
      </c>
      <c r="H111" s="31" t="str">
        <f t="shared" si="3"/>
        <v/>
      </c>
      <c r="I111" s="39"/>
    </row>
    <row r="112" spans="1:9" ht="18" customHeight="1" x14ac:dyDescent="0.45">
      <c r="A112" s="37"/>
      <c r="B112" s="28"/>
      <c r="C112" s="30" t="str">
        <f>IFERROR(VLOOKUP(B112,KRX종목마스터!$A:$B,2,FALSE),"")</f>
        <v/>
      </c>
      <c r="D112" s="29"/>
      <c r="E112" s="42"/>
      <c r="F112" s="44"/>
      <c r="G112" s="31" t="str">
        <f t="shared" si="2"/>
        <v/>
      </c>
      <c r="H112" s="31" t="str">
        <f t="shared" si="3"/>
        <v/>
      </c>
      <c r="I112" s="39"/>
    </row>
    <row r="113" spans="1:9" ht="18" customHeight="1" x14ac:dyDescent="0.45">
      <c r="A113" s="37"/>
      <c r="B113" s="28"/>
      <c r="C113" s="30" t="str">
        <f>IFERROR(VLOOKUP(B113,KRX종목마스터!$A:$B,2,FALSE),"")</f>
        <v/>
      </c>
      <c r="D113" s="29"/>
      <c r="E113" s="42"/>
      <c r="F113" s="44"/>
      <c r="G113" s="31" t="str">
        <f t="shared" si="2"/>
        <v/>
      </c>
      <c r="H113" s="31" t="str">
        <f t="shared" si="3"/>
        <v/>
      </c>
      <c r="I113" s="39"/>
    </row>
    <row r="114" spans="1:9" ht="18" customHeight="1" x14ac:dyDescent="0.45">
      <c r="A114" s="37"/>
      <c r="B114" s="28"/>
      <c r="C114" s="30" t="str">
        <f>IFERROR(VLOOKUP(B114,KRX종목마스터!$A:$B,2,FALSE),"")</f>
        <v/>
      </c>
      <c r="D114" s="29"/>
      <c r="E114" s="42"/>
      <c r="F114" s="44"/>
      <c r="G114" s="31" t="str">
        <f t="shared" si="2"/>
        <v/>
      </c>
      <c r="H114" s="31" t="str">
        <f t="shared" si="3"/>
        <v/>
      </c>
      <c r="I114" s="39"/>
    </row>
    <row r="115" spans="1:9" ht="18" customHeight="1" x14ac:dyDescent="0.45">
      <c r="A115" s="37"/>
      <c r="B115" s="28"/>
      <c r="C115" s="30" t="str">
        <f>IFERROR(VLOOKUP(B115,KRX종목마스터!$A:$B,2,FALSE),"")</f>
        <v/>
      </c>
      <c r="D115" s="29"/>
      <c r="E115" s="42"/>
      <c r="F115" s="44"/>
      <c r="G115" s="31" t="str">
        <f t="shared" si="2"/>
        <v/>
      </c>
      <c r="H115" s="31" t="str">
        <f t="shared" si="3"/>
        <v/>
      </c>
      <c r="I115" s="39"/>
    </row>
    <row r="116" spans="1:9" ht="18" customHeight="1" x14ac:dyDescent="0.45">
      <c r="A116" s="37"/>
      <c r="B116" s="28"/>
      <c r="C116" s="30" t="str">
        <f>IFERROR(VLOOKUP(B116,KRX종목마스터!$A:$B,2,FALSE),"")</f>
        <v/>
      </c>
      <c r="D116" s="29"/>
      <c r="E116" s="42"/>
      <c r="F116" s="44"/>
      <c r="G116" s="31" t="str">
        <f t="shared" si="2"/>
        <v/>
      </c>
      <c r="H116" s="31" t="str">
        <f t="shared" si="3"/>
        <v/>
      </c>
      <c r="I116" s="39"/>
    </row>
    <row r="117" spans="1:9" ht="18" customHeight="1" x14ac:dyDescent="0.45">
      <c r="A117" s="37"/>
      <c r="B117" s="28"/>
      <c r="C117" s="30" t="str">
        <f>IFERROR(VLOOKUP(B117,KRX종목마스터!$A:$B,2,FALSE),"")</f>
        <v/>
      </c>
      <c r="D117" s="29"/>
      <c r="E117" s="42"/>
      <c r="F117" s="44"/>
      <c r="G117" s="31" t="str">
        <f t="shared" si="2"/>
        <v/>
      </c>
      <c r="H117" s="31" t="str">
        <f t="shared" si="3"/>
        <v/>
      </c>
      <c r="I117" s="39"/>
    </row>
    <row r="118" spans="1:9" ht="18" customHeight="1" x14ac:dyDescent="0.45">
      <c r="A118" s="37"/>
      <c r="B118" s="28"/>
      <c r="C118" s="30" t="str">
        <f>IFERROR(VLOOKUP(B118,KRX종목마스터!$A:$B,2,FALSE),"")</f>
        <v/>
      </c>
      <c r="D118" s="29"/>
      <c r="E118" s="42"/>
      <c r="F118" s="44"/>
      <c r="G118" s="31" t="str">
        <f t="shared" si="2"/>
        <v/>
      </c>
      <c r="H118" s="31" t="str">
        <f t="shared" si="3"/>
        <v/>
      </c>
      <c r="I118" s="39"/>
    </row>
    <row r="119" spans="1:9" ht="18" customHeight="1" x14ac:dyDescent="0.45">
      <c r="A119" s="37"/>
      <c r="B119" s="28"/>
      <c r="C119" s="30" t="str">
        <f>IFERROR(VLOOKUP(B119,KRX종목마스터!$A:$B,2,FALSE),"")</f>
        <v/>
      </c>
      <c r="D119" s="29"/>
      <c r="E119" s="42"/>
      <c r="F119" s="44"/>
      <c r="G119" s="31" t="str">
        <f t="shared" si="2"/>
        <v/>
      </c>
      <c r="H119" s="31" t="str">
        <f t="shared" si="3"/>
        <v/>
      </c>
      <c r="I119" s="39"/>
    </row>
    <row r="120" spans="1:9" ht="18" customHeight="1" x14ac:dyDescent="0.45">
      <c r="A120" s="37"/>
      <c r="B120" s="28"/>
      <c r="C120" s="30" t="str">
        <f>IFERROR(VLOOKUP(B120,KRX종목마스터!$A:$B,2,FALSE),"")</f>
        <v/>
      </c>
      <c r="D120" s="29"/>
      <c r="E120" s="42"/>
      <c r="F120" s="44"/>
      <c r="G120" s="31" t="str">
        <f t="shared" si="2"/>
        <v/>
      </c>
      <c r="H120" s="31" t="str">
        <f t="shared" si="3"/>
        <v/>
      </c>
      <c r="I120" s="39"/>
    </row>
    <row r="121" spans="1:9" ht="18" customHeight="1" x14ac:dyDescent="0.45">
      <c r="A121" s="37"/>
      <c r="B121" s="28"/>
      <c r="C121" s="30" t="str">
        <f>IFERROR(VLOOKUP(B121,KRX종목마스터!$A:$B,2,FALSE),"")</f>
        <v/>
      </c>
      <c r="D121" s="29"/>
      <c r="E121" s="42"/>
      <c r="F121" s="44"/>
      <c r="G121" s="31" t="str">
        <f t="shared" si="2"/>
        <v/>
      </c>
      <c r="H121" s="31" t="str">
        <f t="shared" si="3"/>
        <v/>
      </c>
      <c r="I121" s="39"/>
    </row>
    <row r="122" spans="1:9" ht="18" customHeight="1" x14ac:dyDescent="0.45">
      <c r="A122" s="37"/>
      <c r="B122" s="28"/>
      <c r="C122" s="30" t="str">
        <f>IFERROR(VLOOKUP(B122,KRX종목마스터!$A:$B,2,FALSE),"")</f>
        <v/>
      </c>
      <c r="D122" s="29"/>
      <c r="E122" s="42"/>
      <c r="F122" s="44"/>
      <c r="G122" s="31" t="str">
        <f t="shared" si="2"/>
        <v/>
      </c>
      <c r="H122" s="31" t="str">
        <f t="shared" si="3"/>
        <v/>
      </c>
      <c r="I122" s="39"/>
    </row>
    <row r="123" spans="1:9" ht="18" customHeight="1" x14ac:dyDescent="0.45">
      <c r="A123" s="37"/>
      <c r="B123" s="28"/>
      <c r="C123" s="30" t="str">
        <f>IFERROR(VLOOKUP(B123,KRX종목마스터!$A:$B,2,FALSE),"")</f>
        <v/>
      </c>
      <c r="D123" s="29"/>
      <c r="E123" s="42"/>
      <c r="F123" s="44"/>
      <c r="G123" s="31" t="str">
        <f t="shared" si="2"/>
        <v/>
      </c>
      <c r="H123" s="31" t="str">
        <f t="shared" si="3"/>
        <v/>
      </c>
      <c r="I123" s="39"/>
    </row>
    <row r="124" spans="1:9" ht="18" customHeight="1" x14ac:dyDescent="0.45">
      <c r="A124" s="37"/>
      <c r="B124" s="28"/>
      <c r="C124" s="30" t="str">
        <f>IFERROR(VLOOKUP(B124,KRX종목마스터!$A:$B,2,FALSE),"")</f>
        <v/>
      </c>
      <c r="D124" s="29"/>
      <c r="E124" s="42"/>
      <c r="F124" s="44"/>
      <c r="G124" s="31" t="str">
        <f t="shared" si="2"/>
        <v/>
      </c>
      <c r="H124" s="31" t="str">
        <f t="shared" si="3"/>
        <v/>
      </c>
      <c r="I124" s="39"/>
    </row>
    <row r="125" spans="1:9" ht="18" customHeight="1" x14ac:dyDescent="0.45">
      <c r="A125" s="37"/>
      <c r="B125" s="28"/>
      <c r="C125" s="30" t="str">
        <f>IFERROR(VLOOKUP(B125,KRX종목마스터!$A:$B,2,FALSE),"")</f>
        <v/>
      </c>
      <c r="D125" s="29"/>
      <c r="E125" s="42"/>
      <c r="F125" s="44"/>
      <c r="G125" s="31" t="str">
        <f t="shared" si="2"/>
        <v/>
      </c>
      <c r="H125" s="31" t="str">
        <f t="shared" si="3"/>
        <v/>
      </c>
      <c r="I125" s="39"/>
    </row>
    <row r="126" spans="1:9" ht="18" customHeight="1" x14ac:dyDescent="0.45">
      <c r="A126" s="37"/>
      <c r="B126" s="28"/>
      <c r="C126" s="30" t="str">
        <f>IFERROR(VLOOKUP(B126,KRX종목마스터!$A:$B,2,FALSE),"")</f>
        <v/>
      </c>
      <c r="D126" s="29"/>
      <c r="E126" s="42"/>
      <c r="F126" s="44"/>
      <c r="G126" s="31" t="str">
        <f t="shared" si="2"/>
        <v/>
      </c>
      <c r="H126" s="31" t="str">
        <f t="shared" si="3"/>
        <v/>
      </c>
      <c r="I126" s="39"/>
    </row>
    <row r="127" spans="1:9" ht="18" customHeight="1" x14ac:dyDescent="0.45">
      <c r="A127" s="37"/>
      <c r="B127" s="28"/>
      <c r="C127" s="30" t="str">
        <f>IFERROR(VLOOKUP(B127,KRX종목마스터!$A:$B,2,FALSE),"")</f>
        <v/>
      </c>
      <c r="D127" s="29"/>
      <c r="E127" s="42"/>
      <c r="F127" s="44"/>
      <c r="G127" s="31" t="str">
        <f t="shared" si="2"/>
        <v/>
      </c>
      <c r="H127" s="31" t="str">
        <f t="shared" si="3"/>
        <v/>
      </c>
      <c r="I127" s="39"/>
    </row>
    <row r="128" spans="1:9" ht="18" customHeight="1" x14ac:dyDescent="0.45">
      <c r="A128" s="37"/>
      <c r="B128" s="28"/>
      <c r="C128" s="30" t="str">
        <f>IFERROR(VLOOKUP(B128,KRX종목마스터!$A:$B,2,FALSE),"")</f>
        <v/>
      </c>
      <c r="D128" s="29"/>
      <c r="E128" s="42"/>
      <c r="F128" s="44"/>
      <c r="G128" s="31" t="str">
        <f t="shared" si="2"/>
        <v/>
      </c>
      <c r="H128" s="31" t="str">
        <f t="shared" si="3"/>
        <v/>
      </c>
      <c r="I128" s="39"/>
    </row>
    <row r="129" spans="1:9" ht="18" customHeight="1" x14ac:dyDescent="0.45">
      <c r="A129" s="37"/>
      <c r="B129" s="28"/>
      <c r="C129" s="30" t="str">
        <f>IFERROR(VLOOKUP(B129,KRX종목마스터!$A:$B,2,FALSE),"")</f>
        <v/>
      </c>
      <c r="D129" s="29"/>
      <c r="E129" s="42"/>
      <c r="F129" s="44"/>
      <c r="G129" s="31" t="str">
        <f t="shared" si="2"/>
        <v/>
      </c>
      <c r="H129" s="31" t="str">
        <f t="shared" si="3"/>
        <v/>
      </c>
      <c r="I129" s="39"/>
    </row>
    <row r="130" spans="1:9" ht="18" customHeight="1" x14ac:dyDescent="0.45">
      <c r="A130" s="37"/>
      <c r="B130" s="28"/>
      <c r="C130" s="30" t="str">
        <f>IFERROR(VLOOKUP(B130,KRX종목마스터!$A:$B,2,FALSE),"")</f>
        <v/>
      </c>
      <c r="D130" s="29"/>
      <c r="E130" s="42"/>
      <c r="F130" s="44"/>
      <c r="G130" s="31" t="str">
        <f t="shared" si="2"/>
        <v/>
      </c>
      <c r="H130" s="31" t="str">
        <f t="shared" si="3"/>
        <v/>
      </c>
      <c r="I130" s="39"/>
    </row>
    <row r="131" spans="1:9" ht="18" customHeight="1" x14ac:dyDescent="0.45">
      <c r="A131" s="37"/>
      <c r="B131" s="28"/>
      <c r="C131" s="30" t="str">
        <f>IFERROR(VLOOKUP(B131,KRX종목마스터!$A:$B,2,FALSE),"")</f>
        <v/>
      </c>
      <c r="D131" s="29"/>
      <c r="E131" s="42"/>
      <c r="F131" s="44"/>
      <c r="G131" s="31" t="str">
        <f t="shared" si="2"/>
        <v/>
      </c>
      <c r="H131" s="31" t="str">
        <f t="shared" si="3"/>
        <v/>
      </c>
      <c r="I131" s="39"/>
    </row>
    <row r="132" spans="1:9" ht="18" customHeight="1" x14ac:dyDescent="0.45">
      <c r="A132" s="37"/>
      <c r="B132" s="28"/>
      <c r="C132" s="30" t="str">
        <f>IFERROR(VLOOKUP(B132,KRX종목마스터!$A:$B,2,FALSE),"")</f>
        <v/>
      </c>
      <c r="D132" s="29"/>
      <c r="E132" s="42"/>
      <c r="F132" s="44"/>
      <c r="G132" s="31" t="str">
        <f t="shared" si="2"/>
        <v/>
      </c>
      <c r="H132" s="31" t="str">
        <f t="shared" si="3"/>
        <v/>
      </c>
      <c r="I132" s="39"/>
    </row>
    <row r="133" spans="1:9" ht="18" customHeight="1" x14ac:dyDescent="0.45">
      <c r="A133" s="37"/>
      <c r="B133" s="28"/>
      <c r="C133" s="30" t="str">
        <f>IFERROR(VLOOKUP(B133,KRX종목마스터!$A:$B,2,FALSE),"")</f>
        <v/>
      </c>
      <c r="D133" s="29"/>
      <c r="E133" s="42"/>
      <c r="F133" s="44"/>
      <c r="G133" s="31" t="str">
        <f t="shared" ref="G133:G196" si="4">IF(OR(E133="",F133=""),"",ROUND(E133*F133/100,0))</f>
        <v/>
      </c>
      <c r="H133" s="31" t="str">
        <f t="shared" ref="H133:H196" si="5">IF(E133="","",E133-IF(G133="",0,G133))</f>
        <v/>
      </c>
      <c r="I133" s="39"/>
    </row>
    <row r="134" spans="1:9" ht="18" customHeight="1" x14ac:dyDescent="0.45">
      <c r="A134" s="37"/>
      <c r="B134" s="28"/>
      <c r="C134" s="30" t="str">
        <f>IFERROR(VLOOKUP(B134,KRX종목마스터!$A:$B,2,FALSE),"")</f>
        <v/>
      </c>
      <c r="D134" s="29"/>
      <c r="E134" s="42"/>
      <c r="F134" s="44"/>
      <c r="G134" s="31" t="str">
        <f t="shared" si="4"/>
        <v/>
      </c>
      <c r="H134" s="31" t="str">
        <f t="shared" si="5"/>
        <v/>
      </c>
      <c r="I134" s="39"/>
    </row>
    <row r="135" spans="1:9" ht="18" customHeight="1" x14ac:dyDescent="0.45">
      <c r="A135" s="37"/>
      <c r="B135" s="28"/>
      <c r="C135" s="30" t="str">
        <f>IFERROR(VLOOKUP(B135,KRX종목마스터!$A:$B,2,FALSE),"")</f>
        <v/>
      </c>
      <c r="D135" s="29"/>
      <c r="E135" s="42"/>
      <c r="F135" s="44"/>
      <c r="G135" s="31" t="str">
        <f t="shared" si="4"/>
        <v/>
      </c>
      <c r="H135" s="31" t="str">
        <f t="shared" si="5"/>
        <v/>
      </c>
      <c r="I135" s="39"/>
    </row>
    <row r="136" spans="1:9" ht="18" customHeight="1" x14ac:dyDescent="0.45">
      <c r="A136" s="37"/>
      <c r="B136" s="28"/>
      <c r="C136" s="30" t="str">
        <f>IFERROR(VLOOKUP(B136,KRX종목마스터!$A:$B,2,FALSE),"")</f>
        <v/>
      </c>
      <c r="D136" s="29"/>
      <c r="E136" s="42"/>
      <c r="F136" s="44"/>
      <c r="G136" s="31" t="str">
        <f t="shared" si="4"/>
        <v/>
      </c>
      <c r="H136" s="31" t="str">
        <f t="shared" si="5"/>
        <v/>
      </c>
      <c r="I136" s="39"/>
    </row>
    <row r="137" spans="1:9" ht="18" customHeight="1" x14ac:dyDescent="0.45">
      <c r="A137" s="37"/>
      <c r="B137" s="28"/>
      <c r="C137" s="30" t="str">
        <f>IFERROR(VLOOKUP(B137,KRX종목마스터!$A:$B,2,FALSE),"")</f>
        <v/>
      </c>
      <c r="D137" s="29"/>
      <c r="E137" s="42"/>
      <c r="F137" s="44"/>
      <c r="G137" s="31" t="str">
        <f t="shared" si="4"/>
        <v/>
      </c>
      <c r="H137" s="31" t="str">
        <f t="shared" si="5"/>
        <v/>
      </c>
      <c r="I137" s="39"/>
    </row>
    <row r="138" spans="1:9" ht="18" customHeight="1" x14ac:dyDescent="0.45">
      <c r="A138" s="37"/>
      <c r="B138" s="28"/>
      <c r="C138" s="30" t="str">
        <f>IFERROR(VLOOKUP(B138,KRX종목마스터!$A:$B,2,FALSE),"")</f>
        <v/>
      </c>
      <c r="D138" s="29"/>
      <c r="E138" s="42"/>
      <c r="F138" s="44"/>
      <c r="G138" s="31" t="str">
        <f t="shared" si="4"/>
        <v/>
      </c>
      <c r="H138" s="31" t="str">
        <f t="shared" si="5"/>
        <v/>
      </c>
      <c r="I138" s="39"/>
    </row>
    <row r="139" spans="1:9" ht="18" customHeight="1" x14ac:dyDescent="0.45">
      <c r="A139" s="37"/>
      <c r="B139" s="28"/>
      <c r="C139" s="30" t="str">
        <f>IFERROR(VLOOKUP(B139,KRX종목마스터!$A:$B,2,FALSE),"")</f>
        <v/>
      </c>
      <c r="D139" s="29"/>
      <c r="E139" s="42"/>
      <c r="F139" s="44"/>
      <c r="G139" s="31" t="str">
        <f t="shared" si="4"/>
        <v/>
      </c>
      <c r="H139" s="31" t="str">
        <f t="shared" si="5"/>
        <v/>
      </c>
      <c r="I139" s="39"/>
    </row>
    <row r="140" spans="1:9" ht="18" customHeight="1" x14ac:dyDescent="0.45">
      <c r="A140" s="37"/>
      <c r="B140" s="28"/>
      <c r="C140" s="30" t="str">
        <f>IFERROR(VLOOKUP(B140,KRX종목마스터!$A:$B,2,FALSE),"")</f>
        <v/>
      </c>
      <c r="D140" s="29"/>
      <c r="E140" s="42"/>
      <c r="F140" s="44"/>
      <c r="G140" s="31" t="str">
        <f t="shared" si="4"/>
        <v/>
      </c>
      <c r="H140" s="31" t="str">
        <f t="shared" si="5"/>
        <v/>
      </c>
      <c r="I140" s="39"/>
    </row>
    <row r="141" spans="1:9" ht="18" customHeight="1" x14ac:dyDescent="0.45">
      <c r="A141" s="37"/>
      <c r="B141" s="28"/>
      <c r="C141" s="30" t="str">
        <f>IFERROR(VLOOKUP(B141,KRX종목마스터!$A:$B,2,FALSE),"")</f>
        <v/>
      </c>
      <c r="D141" s="29"/>
      <c r="E141" s="42"/>
      <c r="F141" s="44"/>
      <c r="G141" s="31" t="str">
        <f t="shared" si="4"/>
        <v/>
      </c>
      <c r="H141" s="31" t="str">
        <f t="shared" si="5"/>
        <v/>
      </c>
      <c r="I141" s="39"/>
    </row>
    <row r="142" spans="1:9" ht="18" customHeight="1" x14ac:dyDescent="0.45">
      <c r="A142" s="37"/>
      <c r="B142" s="28"/>
      <c r="C142" s="30" t="str">
        <f>IFERROR(VLOOKUP(B142,KRX종목마스터!$A:$B,2,FALSE),"")</f>
        <v/>
      </c>
      <c r="D142" s="29"/>
      <c r="E142" s="42"/>
      <c r="F142" s="44"/>
      <c r="G142" s="31" t="str">
        <f t="shared" si="4"/>
        <v/>
      </c>
      <c r="H142" s="31" t="str">
        <f t="shared" si="5"/>
        <v/>
      </c>
      <c r="I142" s="39"/>
    </row>
    <row r="143" spans="1:9" ht="18" customHeight="1" x14ac:dyDescent="0.45">
      <c r="A143" s="37"/>
      <c r="B143" s="28"/>
      <c r="C143" s="30" t="str">
        <f>IFERROR(VLOOKUP(B143,KRX종목마스터!$A:$B,2,FALSE),"")</f>
        <v/>
      </c>
      <c r="D143" s="29"/>
      <c r="E143" s="42"/>
      <c r="F143" s="44"/>
      <c r="G143" s="31" t="str">
        <f t="shared" si="4"/>
        <v/>
      </c>
      <c r="H143" s="31" t="str">
        <f t="shared" si="5"/>
        <v/>
      </c>
      <c r="I143" s="39"/>
    </row>
    <row r="144" spans="1:9" ht="18" customHeight="1" x14ac:dyDescent="0.45">
      <c r="A144" s="37"/>
      <c r="B144" s="28"/>
      <c r="C144" s="30" t="str">
        <f>IFERROR(VLOOKUP(B144,KRX종목마스터!$A:$B,2,FALSE),"")</f>
        <v/>
      </c>
      <c r="D144" s="29"/>
      <c r="E144" s="42"/>
      <c r="F144" s="44"/>
      <c r="G144" s="31" t="str">
        <f t="shared" si="4"/>
        <v/>
      </c>
      <c r="H144" s="31" t="str">
        <f t="shared" si="5"/>
        <v/>
      </c>
      <c r="I144" s="39"/>
    </row>
    <row r="145" spans="1:9" ht="18" customHeight="1" x14ac:dyDescent="0.45">
      <c r="A145" s="37"/>
      <c r="B145" s="28"/>
      <c r="C145" s="30" t="str">
        <f>IFERROR(VLOOKUP(B145,KRX종목마스터!$A:$B,2,FALSE),"")</f>
        <v/>
      </c>
      <c r="D145" s="29"/>
      <c r="E145" s="42"/>
      <c r="F145" s="44"/>
      <c r="G145" s="31" t="str">
        <f t="shared" si="4"/>
        <v/>
      </c>
      <c r="H145" s="31" t="str">
        <f t="shared" si="5"/>
        <v/>
      </c>
      <c r="I145" s="39"/>
    </row>
    <row r="146" spans="1:9" ht="18" customHeight="1" x14ac:dyDescent="0.45">
      <c r="A146" s="37"/>
      <c r="B146" s="28"/>
      <c r="C146" s="30" t="str">
        <f>IFERROR(VLOOKUP(B146,KRX종목마스터!$A:$B,2,FALSE),"")</f>
        <v/>
      </c>
      <c r="D146" s="29"/>
      <c r="E146" s="42"/>
      <c r="F146" s="44"/>
      <c r="G146" s="31" t="str">
        <f t="shared" si="4"/>
        <v/>
      </c>
      <c r="H146" s="31" t="str">
        <f t="shared" si="5"/>
        <v/>
      </c>
      <c r="I146" s="39"/>
    </row>
    <row r="147" spans="1:9" ht="18" customHeight="1" x14ac:dyDescent="0.45">
      <c r="A147" s="37"/>
      <c r="B147" s="28"/>
      <c r="C147" s="30" t="str">
        <f>IFERROR(VLOOKUP(B147,KRX종목마스터!$A:$B,2,FALSE),"")</f>
        <v/>
      </c>
      <c r="D147" s="29"/>
      <c r="E147" s="42"/>
      <c r="F147" s="44"/>
      <c r="G147" s="31" t="str">
        <f t="shared" si="4"/>
        <v/>
      </c>
      <c r="H147" s="31" t="str">
        <f t="shared" si="5"/>
        <v/>
      </c>
      <c r="I147" s="39"/>
    </row>
    <row r="148" spans="1:9" ht="18" customHeight="1" x14ac:dyDescent="0.45">
      <c r="A148" s="37"/>
      <c r="B148" s="28"/>
      <c r="C148" s="30" t="str">
        <f>IFERROR(VLOOKUP(B148,KRX종목마스터!$A:$B,2,FALSE),"")</f>
        <v/>
      </c>
      <c r="D148" s="29"/>
      <c r="E148" s="42"/>
      <c r="F148" s="44"/>
      <c r="G148" s="31" t="str">
        <f t="shared" si="4"/>
        <v/>
      </c>
      <c r="H148" s="31" t="str">
        <f t="shared" si="5"/>
        <v/>
      </c>
      <c r="I148" s="39"/>
    </row>
    <row r="149" spans="1:9" ht="18" customHeight="1" x14ac:dyDescent="0.45">
      <c r="A149" s="37"/>
      <c r="B149" s="28"/>
      <c r="C149" s="30" t="str">
        <f>IFERROR(VLOOKUP(B149,KRX종목마스터!$A:$B,2,FALSE),"")</f>
        <v/>
      </c>
      <c r="D149" s="29"/>
      <c r="E149" s="42"/>
      <c r="F149" s="44"/>
      <c r="G149" s="31" t="str">
        <f t="shared" si="4"/>
        <v/>
      </c>
      <c r="H149" s="31" t="str">
        <f t="shared" si="5"/>
        <v/>
      </c>
      <c r="I149" s="39"/>
    </row>
    <row r="150" spans="1:9" ht="18" customHeight="1" x14ac:dyDescent="0.45">
      <c r="A150" s="37"/>
      <c r="B150" s="28"/>
      <c r="C150" s="30" t="str">
        <f>IFERROR(VLOOKUP(B150,KRX종목마스터!$A:$B,2,FALSE),"")</f>
        <v/>
      </c>
      <c r="D150" s="29"/>
      <c r="E150" s="42"/>
      <c r="F150" s="44"/>
      <c r="G150" s="31" t="str">
        <f t="shared" si="4"/>
        <v/>
      </c>
      <c r="H150" s="31" t="str">
        <f t="shared" si="5"/>
        <v/>
      </c>
      <c r="I150" s="39"/>
    </row>
    <row r="151" spans="1:9" ht="18" customHeight="1" x14ac:dyDescent="0.45">
      <c r="A151" s="37"/>
      <c r="B151" s="28"/>
      <c r="C151" s="30" t="str">
        <f>IFERROR(VLOOKUP(B151,KRX종목마스터!$A:$B,2,FALSE),"")</f>
        <v/>
      </c>
      <c r="D151" s="29"/>
      <c r="E151" s="42"/>
      <c r="F151" s="44"/>
      <c r="G151" s="31" t="str">
        <f t="shared" si="4"/>
        <v/>
      </c>
      <c r="H151" s="31" t="str">
        <f t="shared" si="5"/>
        <v/>
      </c>
      <c r="I151" s="39"/>
    </row>
    <row r="152" spans="1:9" ht="18" customHeight="1" x14ac:dyDescent="0.45">
      <c r="A152" s="37"/>
      <c r="B152" s="28"/>
      <c r="C152" s="30" t="str">
        <f>IFERROR(VLOOKUP(B152,KRX종목마스터!$A:$B,2,FALSE),"")</f>
        <v/>
      </c>
      <c r="D152" s="29"/>
      <c r="E152" s="42"/>
      <c r="F152" s="44"/>
      <c r="G152" s="31" t="str">
        <f t="shared" si="4"/>
        <v/>
      </c>
      <c r="H152" s="31" t="str">
        <f t="shared" si="5"/>
        <v/>
      </c>
      <c r="I152" s="39"/>
    </row>
    <row r="153" spans="1:9" ht="18" customHeight="1" x14ac:dyDescent="0.45">
      <c r="A153" s="37"/>
      <c r="B153" s="28"/>
      <c r="C153" s="30" t="str">
        <f>IFERROR(VLOOKUP(B153,KRX종목마스터!$A:$B,2,FALSE),"")</f>
        <v/>
      </c>
      <c r="D153" s="29"/>
      <c r="E153" s="42"/>
      <c r="F153" s="44"/>
      <c r="G153" s="31" t="str">
        <f t="shared" si="4"/>
        <v/>
      </c>
      <c r="H153" s="31" t="str">
        <f t="shared" si="5"/>
        <v/>
      </c>
      <c r="I153" s="39"/>
    </row>
    <row r="154" spans="1:9" ht="18" customHeight="1" x14ac:dyDescent="0.45">
      <c r="A154" s="37"/>
      <c r="B154" s="28"/>
      <c r="C154" s="30" t="str">
        <f>IFERROR(VLOOKUP(B154,KRX종목마스터!$A:$B,2,FALSE),"")</f>
        <v/>
      </c>
      <c r="D154" s="29"/>
      <c r="E154" s="42"/>
      <c r="F154" s="44"/>
      <c r="G154" s="31" t="str">
        <f t="shared" si="4"/>
        <v/>
      </c>
      <c r="H154" s="31" t="str">
        <f t="shared" si="5"/>
        <v/>
      </c>
      <c r="I154" s="39"/>
    </row>
    <row r="155" spans="1:9" ht="18" customHeight="1" x14ac:dyDescent="0.45">
      <c r="A155" s="37"/>
      <c r="B155" s="28"/>
      <c r="C155" s="30" t="str">
        <f>IFERROR(VLOOKUP(B155,KRX종목마스터!$A:$B,2,FALSE),"")</f>
        <v/>
      </c>
      <c r="D155" s="29"/>
      <c r="E155" s="42"/>
      <c r="F155" s="44"/>
      <c r="G155" s="31" t="str">
        <f t="shared" si="4"/>
        <v/>
      </c>
      <c r="H155" s="31" t="str">
        <f t="shared" si="5"/>
        <v/>
      </c>
      <c r="I155" s="39"/>
    </row>
    <row r="156" spans="1:9" ht="18" customHeight="1" x14ac:dyDescent="0.45">
      <c r="A156" s="37"/>
      <c r="B156" s="28"/>
      <c r="C156" s="30" t="str">
        <f>IFERROR(VLOOKUP(B156,KRX종목마스터!$A:$B,2,FALSE),"")</f>
        <v/>
      </c>
      <c r="D156" s="29"/>
      <c r="E156" s="42"/>
      <c r="F156" s="44"/>
      <c r="G156" s="31" t="str">
        <f t="shared" si="4"/>
        <v/>
      </c>
      <c r="H156" s="31" t="str">
        <f t="shared" si="5"/>
        <v/>
      </c>
      <c r="I156" s="39"/>
    </row>
    <row r="157" spans="1:9" ht="18" customHeight="1" x14ac:dyDescent="0.45">
      <c r="A157" s="37"/>
      <c r="B157" s="28"/>
      <c r="C157" s="30" t="str">
        <f>IFERROR(VLOOKUP(B157,KRX종목마스터!$A:$B,2,FALSE),"")</f>
        <v/>
      </c>
      <c r="D157" s="29"/>
      <c r="E157" s="42"/>
      <c r="F157" s="44"/>
      <c r="G157" s="31" t="str">
        <f t="shared" si="4"/>
        <v/>
      </c>
      <c r="H157" s="31" t="str">
        <f t="shared" si="5"/>
        <v/>
      </c>
      <c r="I157" s="39"/>
    </row>
    <row r="158" spans="1:9" ht="18" customHeight="1" x14ac:dyDescent="0.45">
      <c r="A158" s="37"/>
      <c r="B158" s="28"/>
      <c r="C158" s="30" t="str">
        <f>IFERROR(VLOOKUP(B158,KRX종목마스터!$A:$B,2,FALSE),"")</f>
        <v/>
      </c>
      <c r="D158" s="29"/>
      <c r="E158" s="42"/>
      <c r="F158" s="44"/>
      <c r="G158" s="31" t="str">
        <f t="shared" si="4"/>
        <v/>
      </c>
      <c r="H158" s="31" t="str">
        <f t="shared" si="5"/>
        <v/>
      </c>
      <c r="I158" s="39"/>
    </row>
    <row r="159" spans="1:9" ht="18" customHeight="1" x14ac:dyDescent="0.45">
      <c r="A159" s="37"/>
      <c r="B159" s="28"/>
      <c r="C159" s="30" t="str">
        <f>IFERROR(VLOOKUP(B159,KRX종목마스터!$A:$B,2,FALSE),"")</f>
        <v/>
      </c>
      <c r="D159" s="29"/>
      <c r="E159" s="42"/>
      <c r="F159" s="44"/>
      <c r="G159" s="31" t="str">
        <f t="shared" si="4"/>
        <v/>
      </c>
      <c r="H159" s="31" t="str">
        <f t="shared" si="5"/>
        <v/>
      </c>
      <c r="I159" s="39"/>
    </row>
    <row r="160" spans="1:9" ht="18" customHeight="1" x14ac:dyDescent="0.45">
      <c r="A160" s="37"/>
      <c r="B160" s="28"/>
      <c r="C160" s="30" t="str">
        <f>IFERROR(VLOOKUP(B160,KRX종목마스터!$A:$B,2,FALSE),"")</f>
        <v/>
      </c>
      <c r="D160" s="29"/>
      <c r="E160" s="42"/>
      <c r="F160" s="44"/>
      <c r="G160" s="31" t="str">
        <f t="shared" si="4"/>
        <v/>
      </c>
      <c r="H160" s="31" t="str">
        <f t="shared" si="5"/>
        <v/>
      </c>
      <c r="I160" s="39"/>
    </row>
    <row r="161" spans="1:9" ht="18" customHeight="1" x14ac:dyDescent="0.45">
      <c r="A161" s="37"/>
      <c r="B161" s="28"/>
      <c r="C161" s="30" t="str">
        <f>IFERROR(VLOOKUP(B161,KRX종목마스터!$A:$B,2,FALSE),"")</f>
        <v/>
      </c>
      <c r="D161" s="29"/>
      <c r="E161" s="42"/>
      <c r="F161" s="44"/>
      <c r="G161" s="31" t="str">
        <f t="shared" si="4"/>
        <v/>
      </c>
      <c r="H161" s="31" t="str">
        <f t="shared" si="5"/>
        <v/>
      </c>
      <c r="I161" s="39"/>
    </row>
    <row r="162" spans="1:9" ht="18" customHeight="1" x14ac:dyDescent="0.45">
      <c r="A162" s="37"/>
      <c r="B162" s="28"/>
      <c r="C162" s="30" t="str">
        <f>IFERROR(VLOOKUP(B162,KRX종목마스터!$A:$B,2,FALSE),"")</f>
        <v/>
      </c>
      <c r="D162" s="29"/>
      <c r="E162" s="42"/>
      <c r="F162" s="44"/>
      <c r="G162" s="31" t="str">
        <f t="shared" si="4"/>
        <v/>
      </c>
      <c r="H162" s="31" t="str">
        <f t="shared" si="5"/>
        <v/>
      </c>
      <c r="I162" s="39"/>
    </row>
    <row r="163" spans="1:9" ht="18" customHeight="1" x14ac:dyDescent="0.45">
      <c r="A163" s="37"/>
      <c r="B163" s="28"/>
      <c r="C163" s="30" t="str">
        <f>IFERROR(VLOOKUP(B163,KRX종목마스터!$A:$B,2,FALSE),"")</f>
        <v/>
      </c>
      <c r="D163" s="29"/>
      <c r="E163" s="42"/>
      <c r="F163" s="44"/>
      <c r="G163" s="31" t="str">
        <f t="shared" si="4"/>
        <v/>
      </c>
      <c r="H163" s="31" t="str">
        <f t="shared" si="5"/>
        <v/>
      </c>
      <c r="I163" s="39"/>
    </row>
    <row r="164" spans="1:9" ht="18" customHeight="1" x14ac:dyDescent="0.45">
      <c r="A164" s="37"/>
      <c r="B164" s="28"/>
      <c r="C164" s="30" t="str">
        <f>IFERROR(VLOOKUP(B164,KRX종목마스터!$A:$B,2,FALSE),"")</f>
        <v/>
      </c>
      <c r="D164" s="29"/>
      <c r="E164" s="42"/>
      <c r="F164" s="44"/>
      <c r="G164" s="31" t="str">
        <f t="shared" si="4"/>
        <v/>
      </c>
      <c r="H164" s="31" t="str">
        <f t="shared" si="5"/>
        <v/>
      </c>
      <c r="I164" s="39"/>
    </row>
    <row r="165" spans="1:9" ht="18" customHeight="1" x14ac:dyDescent="0.45">
      <c r="A165" s="37"/>
      <c r="B165" s="28"/>
      <c r="C165" s="30" t="str">
        <f>IFERROR(VLOOKUP(B165,KRX종목마스터!$A:$B,2,FALSE),"")</f>
        <v/>
      </c>
      <c r="D165" s="29"/>
      <c r="E165" s="42"/>
      <c r="F165" s="44"/>
      <c r="G165" s="31" t="str">
        <f t="shared" si="4"/>
        <v/>
      </c>
      <c r="H165" s="31" t="str">
        <f t="shared" si="5"/>
        <v/>
      </c>
      <c r="I165" s="39"/>
    </row>
    <row r="166" spans="1:9" ht="18" customHeight="1" x14ac:dyDescent="0.45">
      <c r="A166" s="37"/>
      <c r="B166" s="28"/>
      <c r="C166" s="30" t="str">
        <f>IFERROR(VLOOKUP(B166,KRX종목마스터!$A:$B,2,FALSE),"")</f>
        <v/>
      </c>
      <c r="D166" s="29"/>
      <c r="E166" s="42"/>
      <c r="F166" s="44"/>
      <c r="G166" s="31" t="str">
        <f t="shared" si="4"/>
        <v/>
      </c>
      <c r="H166" s="31" t="str">
        <f t="shared" si="5"/>
        <v/>
      </c>
      <c r="I166" s="39"/>
    </row>
    <row r="167" spans="1:9" ht="18" customHeight="1" x14ac:dyDescent="0.45">
      <c r="A167" s="37"/>
      <c r="B167" s="28"/>
      <c r="C167" s="30" t="str">
        <f>IFERROR(VLOOKUP(B167,KRX종목마스터!$A:$B,2,FALSE),"")</f>
        <v/>
      </c>
      <c r="D167" s="29"/>
      <c r="E167" s="42"/>
      <c r="F167" s="44"/>
      <c r="G167" s="31" t="str">
        <f t="shared" si="4"/>
        <v/>
      </c>
      <c r="H167" s="31" t="str">
        <f t="shared" si="5"/>
        <v/>
      </c>
      <c r="I167" s="39"/>
    </row>
    <row r="168" spans="1:9" ht="18" customHeight="1" x14ac:dyDescent="0.45">
      <c r="A168" s="37"/>
      <c r="B168" s="28"/>
      <c r="C168" s="30" t="str">
        <f>IFERROR(VLOOKUP(B168,KRX종목마스터!$A:$B,2,FALSE),"")</f>
        <v/>
      </c>
      <c r="D168" s="29"/>
      <c r="E168" s="42"/>
      <c r="F168" s="44"/>
      <c r="G168" s="31" t="str">
        <f t="shared" si="4"/>
        <v/>
      </c>
      <c r="H168" s="31" t="str">
        <f t="shared" si="5"/>
        <v/>
      </c>
      <c r="I168" s="39"/>
    </row>
    <row r="169" spans="1:9" ht="18" customHeight="1" x14ac:dyDescent="0.45">
      <c r="A169" s="37"/>
      <c r="B169" s="28"/>
      <c r="C169" s="30" t="str">
        <f>IFERROR(VLOOKUP(B169,KRX종목마스터!$A:$B,2,FALSE),"")</f>
        <v/>
      </c>
      <c r="D169" s="29"/>
      <c r="E169" s="42"/>
      <c r="F169" s="44"/>
      <c r="G169" s="31" t="str">
        <f t="shared" si="4"/>
        <v/>
      </c>
      <c r="H169" s="31" t="str">
        <f t="shared" si="5"/>
        <v/>
      </c>
      <c r="I169" s="39"/>
    </row>
    <row r="170" spans="1:9" ht="18" customHeight="1" x14ac:dyDescent="0.45">
      <c r="A170" s="37"/>
      <c r="B170" s="28"/>
      <c r="C170" s="30" t="str">
        <f>IFERROR(VLOOKUP(B170,KRX종목마스터!$A:$B,2,FALSE),"")</f>
        <v/>
      </c>
      <c r="D170" s="29"/>
      <c r="E170" s="42"/>
      <c r="F170" s="44"/>
      <c r="G170" s="31" t="str">
        <f t="shared" si="4"/>
        <v/>
      </c>
      <c r="H170" s="31" t="str">
        <f t="shared" si="5"/>
        <v/>
      </c>
      <c r="I170" s="39"/>
    </row>
    <row r="171" spans="1:9" ht="18" customHeight="1" x14ac:dyDescent="0.45">
      <c r="A171" s="37"/>
      <c r="B171" s="28"/>
      <c r="C171" s="30" t="str">
        <f>IFERROR(VLOOKUP(B171,KRX종목마스터!$A:$B,2,FALSE),"")</f>
        <v/>
      </c>
      <c r="D171" s="29"/>
      <c r="E171" s="42"/>
      <c r="F171" s="44"/>
      <c r="G171" s="31" t="str">
        <f t="shared" si="4"/>
        <v/>
      </c>
      <c r="H171" s="31" t="str">
        <f t="shared" si="5"/>
        <v/>
      </c>
      <c r="I171" s="39"/>
    </row>
    <row r="172" spans="1:9" ht="18" customHeight="1" x14ac:dyDescent="0.45">
      <c r="A172" s="37"/>
      <c r="B172" s="28"/>
      <c r="C172" s="30" t="str">
        <f>IFERROR(VLOOKUP(B172,KRX종목마스터!$A:$B,2,FALSE),"")</f>
        <v/>
      </c>
      <c r="D172" s="29"/>
      <c r="E172" s="42"/>
      <c r="F172" s="44"/>
      <c r="G172" s="31" t="str">
        <f t="shared" si="4"/>
        <v/>
      </c>
      <c r="H172" s="31" t="str">
        <f t="shared" si="5"/>
        <v/>
      </c>
      <c r="I172" s="39"/>
    </row>
    <row r="173" spans="1:9" ht="18" customHeight="1" x14ac:dyDescent="0.45">
      <c r="A173" s="37"/>
      <c r="B173" s="28"/>
      <c r="C173" s="30" t="str">
        <f>IFERROR(VLOOKUP(B173,KRX종목마스터!$A:$B,2,FALSE),"")</f>
        <v/>
      </c>
      <c r="D173" s="29"/>
      <c r="E173" s="42"/>
      <c r="F173" s="44"/>
      <c r="G173" s="31" t="str">
        <f t="shared" si="4"/>
        <v/>
      </c>
      <c r="H173" s="31" t="str">
        <f t="shared" si="5"/>
        <v/>
      </c>
      <c r="I173" s="39"/>
    </row>
    <row r="174" spans="1:9" ht="18" customHeight="1" x14ac:dyDescent="0.45">
      <c r="A174" s="37"/>
      <c r="B174" s="28"/>
      <c r="C174" s="30" t="str">
        <f>IFERROR(VLOOKUP(B174,KRX종목마스터!$A:$B,2,FALSE),"")</f>
        <v/>
      </c>
      <c r="D174" s="29"/>
      <c r="E174" s="42"/>
      <c r="F174" s="44"/>
      <c r="G174" s="31" t="str">
        <f t="shared" si="4"/>
        <v/>
      </c>
      <c r="H174" s="31" t="str">
        <f t="shared" si="5"/>
        <v/>
      </c>
      <c r="I174" s="39"/>
    </row>
    <row r="175" spans="1:9" ht="18" customHeight="1" x14ac:dyDescent="0.45">
      <c r="A175" s="37"/>
      <c r="B175" s="28"/>
      <c r="C175" s="30" t="str">
        <f>IFERROR(VLOOKUP(B175,KRX종목마스터!$A:$B,2,FALSE),"")</f>
        <v/>
      </c>
      <c r="D175" s="29"/>
      <c r="E175" s="42"/>
      <c r="F175" s="44"/>
      <c r="G175" s="31" t="str">
        <f t="shared" si="4"/>
        <v/>
      </c>
      <c r="H175" s="31" t="str">
        <f t="shared" si="5"/>
        <v/>
      </c>
      <c r="I175" s="39"/>
    </row>
    <row r="176" spans="1:9" ht="18" customHeight="1" x14ac:dyDescent="0.45">
      <c r="A176" s="37"/>
      <c r="B176" s="28"/>
      <c r="C176" s="30" t="str">
        <f>IFERROR(VLOOKUP(B176,KRX종목마스터!$A:$B,2,FALSE),"")</f>
        <v/>
      </c>
      <c r="D176" s="29"/>
      <c r="E176" s="42"/>
      <c r="F176" s="44"/>
      <c r="G176" s="31" t="str">
        <f t="shared" si="4"/>
        <v/>
      </c>
      <c r="H176" s="31" t="str">
        <f t="shared" si="5"/>
        <v/>
      </c>
      <c r="I176" s="39"/>
    </row>
    <row r="177" spans="1:9" ht="18" customHeight="1" x14ac:dyDescent="0.45">
      <c r="A177" s="37"/>
      <c r="B177" s="28"/>
      <c r="C177" s="30" t="str">
        <f>IFERROR(VLOOKUP(B177,KRX종목마스터!$A:$B,2,FALSE),"")</f>
        <v/>
      </c>
      <c r="D177" s="29"/>
      <c r="E177" s="42"/>
      <c r="F177" s="44"/>
      <c r="G177" s="31" t="str">
        <f t="shared" si="4"/>
        <v/>
      </c>
      <c r="H177" s="31" t="str">
        <f t="shared" si="5"/>
        <v/>
      </c>
      <c r="I177" s="39"/>
    </row>
    <row r="178" spans="1:9" ht="18" customHeight="1" x14ac:dyDescent="0.45">
      <c r="A178" s="37"/>
      <c r="B178" s="28"/>
      <c r="C178" s="30" t="str">
        <f>IFERROR(VLOOKUP(B178,KRX종목마스터!$A:$B,2,FALSE),"")</f>
        <v/>
      </c>
      <c r="D178" s="29"/>
      <c r="E178" s="42"/>
      <c r="F178" s="44"/>
      <c r="G178" s="31" t="str">
        <f t="shared" si="4"/>
        <v/>
      </c>
      <c r="H178" s="31" t="str">
        <f t="shared" si="5"/>
        <v/>
      </c>
      <c r="I178" s="39"/>
    </row>
    <row r="179" spans="1:9" ht="18" customHeight="1" x14ac:dyDescent="0.45">
      <c r="A179" s="37"/>
      <c r="B179" s="28"/>
      <c r="C179" s="30" t="str">
        <f>IFERROR(VLOOKUP(B179,KRX종목마스터!$A:$B,2,FALSE),"")</f>
        <v/>
      </c>
      <c r="D179" s="29"/>
      <c r="E179" s="42"/>
      <c r="F179" s="44"/>
      <c r="G179" s="31" t="str">
        <f t="shared" si="4"/>
        <v/>
      </c>
      <c r="H179" s="31" t="str">
        <f t="shared" si="5"/>
        <v/>
      </c>
      <c r="I179" s="39"/>
    </row>
    <row r="180" spans="1:9" ht="18" customHeight="1" x14ac:dyDescent="0.45">
      <c r="A180" s="37"/>
      <c r="B180" s="28"/>
      <c r="C180" s="30" t="str">
        <f>IFERROR(VLOOKUP(B180,KRX종목마스터!$A:$B,2,FALSE),"")</f>
        <v/>
      </c>
      <c r="D180" s="29"/>
      <c r="E180" s="42"/>
      <c r="F180" s="44"/>
      <c r="G180" s="31" t="str">
        <f t="shared" si="4"/>
        <v/>
      </c>
      <c r="H180" s="31" t="str">
        <f t="shared" si="5"/>
        <v/>
      </c>
      <c r="I180" s="39"/>
    </row>
    <row r="181" spans="1:9" ht="18" customHeight="1" x14ac:dyDescent="0.45">
      <c r="A181" s="37"/>
      <c r="B181" s="28"/>
      <c r="C181" s="30" t="str">
        <f>IFERROR(VLOOKUP(B181,KRX종목마스터!$A:$B,2,FALSE),"")</f>
        <v/>
      </c>
      <c r="D181" s="29"/>
      <c r="E181" s="42"/>
      <c r="F181" s="44"/>
      <c r="G181" s="31" t="str">
        <f t="shared" si="4"/>
        <v/>
      </c>
      <c r="H181" s="31" t="str">
        <f t="shared" si="5"/>
        <v/>
      </c>
      <c r="I181" s="39"/>
    </row>
    <row r="182" spans="1:9" ht="18" customHeight="1" x14ac:dyDescent="0.45">
      <c r="A182" s="37"/>
      <c r="B182" s="28"/>
      <c r="C182" s="30" t="str">
        <f>IFERROR(VLOOKUP(B182,KRX종목마스터!$A:$B,2,FALSE),"")</f>
        <v/>
      </c>
      <c r="D182" s="29"/>
      <c r="E182" s="42"/>
      <c r="F182" s="44"/>
      <c r="G182" s="31" t="str">
        <f t="shared" si="4"/>
        <v/>
      </c>
      <c r="H182" s="31" t="str">
        <f t="shared" si="5"/>
        <v/>
      </c>
      <c r="I182" s="39"/>
    </row>
    <row r="183" spans="1:9" ht="18" customHeight="1" x14ac:dyDescent="0.45">
      <c r="A183" s="37"/>
      <c r="B183" s="28"/>
      <c r="C183" s="30" t="str">
        <f>IFERROR(VLOOKUP(B183,KRX종목마스터!$A:$B,2,FALSE),"")</f>
        <v/>
      </c>
      <c r="D183" s="29"/>
      <c r="E183" s="42"/>
      <c r="F183" s="44"/>
      <c r="G183" s="31" t="str">
        <f t="shared" si="4"/>
        <v/>
      </c>
      <c r="H183" s="31" t="str">
        <f t="shared" si="5"/>
        <v/>
      </c>
      <c r="I183" s="39"/>
    </row>
    <row r="184" spans="1:9" ht="18" customHeight="1" x14ac:dyDescent="0.45">
      <c r="A184" s="37"/>
      <c r="B184" s="28"/>
      <c r="C184" s="30" t="str">
        <f>IFERROR(VLOOKUP(B184,KRX종목마스터!$A:$B,2,FALSE),"")</f>
        <v/>
      </c>
      <c r="D184" s="29"/>
      <c r="E184" s="42"/>
      <c r="F184" s="44"/>
      <c r="G184" s="31" t="str">
        <f t="shared" si="4"/>
        <v/>
      </c>
      <c r="H184" s="31" t="str">
        <f t="shared" si="5"/>
        <v/>
      </c>
      <c r="I184" s="39"/>
    </row>
    <row r="185" spans="1:9" ht="18" customHeight="1" x14ac:dyDescent="0.45">
      <c r="A185" s="37"/>
      <c r="B185" s="28"/>
      <c r="C185" s="30" t="str">
        <f>IFERROR(VLOOKUP(B185,KRX종목마스터!$A:$B,2,FALSE),"")</f>
        <v/>
      </c>
      <c r="D185" s="29"/>
      <c r="E185" s="42"/>
      <c r="F185" s="44"/>
      <c r="G185" s="31" t="str">
        <f t="shared" si="4"/>
        <v/>
      </c>
      <c r="H185" s="31" t="str">
        <f t="shared" si="5"/>
        <v/>
      </c>
      <c r="I185" s="39"/>
    </row>
    <row r="186" spans="1:9" ht="18" customHeight="1" x14ac:dyDescent="0.45">
      <c r="A186" s="37"/>
      <c r="B186" s="28"/>
      <c r="C186" s="30" t="str">
        <f>IFERROR(VLOOKUP(B186,KRX종목마스터!$A:$B,2,FALSE),"")</f>
        <v/>
      </c>
      <c r="D186" s="29"/>
      <c r="E186" s="42"/>
      <c r="F186" s="44"/>
      <c r="G186" s="31" t="str">
        <f t="shared" si="4"/>
        <v/>
      </c>
      <c r="H186" s="31" t="str">
        <f t="shared" si="5"/>
        <v/>
      </c>
      <c r="I186" s="39"/>
    </row>
    <row r="187" spans="1:9" ht="18" customHeight="1" x14ac:dyDescent="0.45">
      <c r="A187" s="37"/>
      <c r="B187" s="28"/>
      <c r="C187" s="30" t="str">
        <f>IFERROR(VLOOKUP(B187,KRX종목마스터!$A:$B,2,FALSE),"")</f>
        <v/>
      </c>
      <c r="D187" s="29"/>
      <c r="E187" s="42"/>
      <c r="F187" s="44"/>
      <c r="G187" s="31" t="str">
        <f t="shared" si="4"/>
        <v/>
      </c>
      <c r="H187" s="31" t="str">
        <f t="shared" si="5"/>
        <v/>
      </c>
      <c r="I187" s="39"/>
    </row>
    <row r="188" spans="1:9" ht="18" customHeight="1" x14ac:dyDescent="0.45">
      <c r="A188" s="37"/>
      <c r="B188" s="28"/>
      <c r="C188" s="30" t="str">
        <f>IFERROR(VLOOKUP(B188,KRX종목마스터!$A:$B,2,FALSE),"")</f>
        <v/>
      </c>
      <c r="D188" s="29"/>
      <c r="E188" s="42"/>
      <c r="F188" s="44"/>
      <c r="G188" s="31" t="str">
        <f t="shared" si="4"/>
        <v/>
      </c>
      <c r="H188" s="31" t="str">
        <f t="shared" si="5"/>
        <v/>
      </c>
      <c r="I188" s="39"/>
    </row>
    <row r="189" spans="1:9" ht="18" customHeight="1" x14ac:dyDescent="0.45">
      <c r="A189" s="37"/>
      <c r="B189" s="28"/>
      <c r="C189" s="30" t="str">
        <f>IFERROR(VLOOKUP(B189,KRX종목마스터!$A:$B,2,FALSE),"")</f>
        <v/>
      </c>
      <c r="D189" s="29"/>
      <c r="E189" s="42"/>
      <c r="F189" s="44"/>
      <c r="G189" s="31" t="str">
        <f t="shared" si="4"/>
        <v/>
      </c>
      <c r="H189" s="31" t="str">
        <f t="shared" si="5"/>
        <v/>
      </c>
      <c r="I189" s="39"/>
    </row>
    <row r="190" spans="1:9" ht="18" customHeight="1" x14ac:dyDescent="0.45">
      <c r="A190" s="37"/>
      <c r="B190" s="28"/>
      <c r="C190" s="30" t="str">
        <f>IFERROR(VLOOKUP(B190,KRX종목마스터!$A:$B,2,FALSE),"")</f>
        <v/>
      </c>
      <c r="D190" s="29"/>
      <c r="E190" s="42"/>
      <c r="F190" s="44"/>
      <c r="G190" s="31" t="str">
        <f t="shared" si="4"/>
        <v/>
      </c>
      <c r="H190" s="31" t="str">
        <f t="shared" si="5"/>
        <v/>
      </c>
      <c r="I190" s="39"/>
    </row>
    <row r="191" spans="1:9" ht="18" customHeight="1" x14ac:dyDescent="0.45">
      <c r="A191" s="37"/>
      <c r="B191" s="28"/>
      <c r="C191" s="30" t="str">
        <f>IFERROR(VLOOKUP(B191,KRX종목마스터!$A:$B,2,FALSE),"")</f>
        <v/>
      </c>
      <c r="D191" s="29"/>
      <c r="E191" s="42"/>
      <c r="F191" s="44"/>
      <c r="G191" s="31" t="str">
        <f t="shared" si="4"/>
        <v/>
      </c>
      <c r="H191" s="31" t="str">
        <f t="shared" si="5"/>
        <v/>
      </c>
      <c r="I191" s="39"/>
    </row>
    <row r="192" spans="1:9" ht="18" customHeight="1" x14ac:dyDescent="0.45">
      <c r="A192" s="37"/>
      <c r="B192" s="28"/>
      <c r="C192" s="30" t="str">
        <f>IFERROR(VLOOKUP(B192,KRX종목마스터!$A:$B,2,FALSE),"")</f>
        <v/>
      </c>
      <c r="D192" s="29"/>
      <c r="E192" s="42"/>
      <c r="F192" s="44"/>
      <c r="G192" s="31" t="str">
        <f t="shared" si="4"/>
        <v/>
      </c>
      <c r="H192" s="31" t="str">
        <f t="shared" si="5"/>
        <v/>
      </c>
      <c r="I192" s="39"/>
    </row>
    <row r="193" spans="1:9" ht="18" customHeight="1" x14ac:dyDescent="0.45">
      <c r="A193" s="37"/>
      <c r="B193" s="28"/>
      <c r="C193" s="30" t="str">
        <f>IFERROR(VLOOKUP(B193,KRX종목마스터!$A:$B,2,FALSE),"")</f>
        <v/>
      </c>
      <c r="D193" s="29"/>
      <c r="E193" s="42"/>
      <c r="F193" s="44"/>
      <c r="G193" s="31" t="str">
        <f t="shared" si="4"/>
        <v/>
      </c>
      <c r="H193" s="31" t="str">
        <f t="shared" si="5"/>
        <v/>
      </c>
      <c r="I193" s="39"/>
    </row>
    <row r="194" spans="1:9" ht="18" customHeight="1" x14ac:dyDescent="0.45">
      <c r="A194" s="37"/>
      <c r="B194" s="28"/>
      <c r="C194" s="30" t="str">
        <f>IFERROR(VLOOKUP(B194,KRX종목마스터!$A:$B,2,FALSE),"")</f>
        <v/>
      </c>
      <c r="D194" s="29"/>
      <c r="E194" s="42"/>
      <c r="F194" s="44"/>
      <c r="G194" s="31" t="str">
        <f t="shared" si="4"/>
        <v/>
      </c>
      <c r="H194" s="31" t="str">
        <f t="shared" si="5"/>
        <v/>
      </c>
      <c r="I194" s="39"/>
    </row>
    <row r="195" spans="1:9" ht="18" customHeight="1" x14ac:dyDescent="0.45">
      <c r="A195" s="37"/>
      <c r="B195" s="28"/>
      <c r="C195" s="30" t="str">
        <f>IFERROR(VLOOKUP(B195,KRX종목마스터!$A:$B,2,FALSE),"")</f>
        <v/>
      </c>
      <c r="D195" s="29"/>
      <c r="E195" s="42"/>
      <c r="F195" s="44"/>
      <c r="G195" s="31" t="str">
        <f t="shared" si="4"/>
        <v/>
      </c>
      <c r="H195" s="31" t="str">
        <f t="shared" si="5"/>
        <v/>
      </c>
      <c r="I195" s="39"/>
    </row>
    <row r="196" spans="1:9" ht="18" customHeight="1" x14ac:dyDescent="0.45">
      <c r="A196" s="37"/>
      <c r="B196" s="28"/>
      <c r="C196" s="30" t="str">
        <f>IFERROR(VLOOKUP(B196,KRX종목마스터!$A:$B,2,FALSE),"")</f>
        <v/>
      </c>
      <c r="D196" s="29"/>
      <c r="E196" s="42"/>
      <c r="F196" s="44"/>
      <c r="G196" s="31" t="str">
        <f t="shared" si="4"/>
        <v/>
      </c>
      <c r="H196" s="31" t="str">
        <f t="shared" si="5"/>
        <v/>
      </c>
      <c r="I196" s="39"/>
    </row>
    <row r="197" spans="1:9" ht="18" customHeight="1" x14ac:dyDescent="0.45">
      <c r="A197" s="37"/>
      <c r="B197" s="28"/>
      <c r="C197" s="30" t="str">
        <f>IFERROR(VLOOKUP(B197,KRX종목마스터!$A:$B,2,FALSE),"")</f>
        <v/>
      </c>
      <c r="D197" s="29"/>
      <c r="E197" s="42"/>
      <c r="F197" s="44"/>
      <c r="G197" s="31" t="str">
        <f t="shared" ref="G197:G260" si="6">IF(OR(E197="",F197=""),"",ROUND(E197*F197/100,0))</f>
        <v/>
      </c>
      <c r="H197" s="31" t="str">
        <f t="shared" ref="H197:H260" si="7">IF(E197="","",E197-IF(G197="",0,G197))</f>
        <v/>
      </c>
      <c r="I197" s="39"/>
    </row>
    <row r="198" spans="1:9" ht="18" customHeight="1" x14ac:dyDescent="0.45">
      <c r="A198" s="37"/>
      <c r="B198" s="28"/>
      <c r="C198" s="30" t="str">
        <f>IFERROR(VLOOKUP(B198,KRX종목마스터!$A:$B,2,FALSE),"")</f>
        <v/>
      </c>
      <c r="D198" s="29"/>
      <c r="E198" s="42"/>
      <c r="F198" s="44"/>
      <c r="G198" s="31" t="str">
        <f t="shared" si="6"/>
        <v/>
      </c>
      <c r="H198" s="31" t="str">
        <f t="shared" si="7"/>
        <v/>
      </c>
      <c r="I198" s="39"/>
    </row>
    <row r="199" spans="1:9" ht="18" customHeight="1" x14ac:dyDescent="0.45">
      <c r="A199" s="37"/>
      <c r="B199" s="28"/>
      <c r="C199" s="30" t="str">
        <f>IFERROR(VLOOKUP(B199,KRX종목마스터!$A:$B,2,FALSE),"")</f>
        <v/>
      </c>
      <c r="D199" s="29"/>
      <c r="E199" s="42"/>
      <c r="F199" s="44"/>
      <c r="G199" s="31" t="str">
        <f t="shared" si="6"/>
        <v/>
      </c>
      <c r="H199" s="31" t="str">
        <f t="shared" si="7"/>
        <v/>
      </c>
      <c r="I199" s="39"/>
    </row>
    <row r="200" spans="1:9" ht="18" customHeight="1" x14ac:dyDescent="0.45">
      <c r="A200" s="37"/>
      <c r="B200" s="28"/>
      <c r="C200" s="30" t="str">
        <f>IFERROR(VLOOKUP(B200,KRX종목마스터!$A:$B,2,FALSE),"")</f>
        <v/>
      </c>
      <c r="D200" s="29"/>
      <c r="E200" s="42"/>
      <c r="F200" s="44"/>
      <c r="G200" s="31" t="str">
        <f t="shared" si="6"/>
        <v/>
      </c>
      <c r="H200" s="31" t="str">
        <f t="shared" si="7"/>
        <v/>
      </c>
      <c r="I200" s="39"/>
    </row>
    <row r="201" spans="1:9" ht="18" customHeight="1" x14ac:dyDescent="0.45">
      <c r="A201" s="37"/>
      <c r="B201" s="28"/>
      <c r="C201" s="30" t="str">
        <f>IFERROR(VLOOKUP(B201,KRX종목마스터!$A:$B,2,FALSE),"")</f>
        <v/>
      </c>
      <c r="D201" s="29"/>
      <c r="E201" s="42"/>
      <c r="F201" s="44"/>
      <c r="G201" s="31" t="str">
        <f t="shared" si="6"/>
        <v/>
      </c>
      <c r="H201" s="31" t="str">
        <f t="shared" si="7"/>
        <v/>
      </c>
      <c r="I201" s="39"/>
    </row>
    <row r="202" spans="1:9" ht="18" customHeight="1" x14ac:dyDescent="0.45">
      <c r="A202" s="37"/>
      <c r="B202" s="28"/>
      <c r="C202" s="30" t="str">
        <f>IFERROR(VLOOKUP(B202,KRX종목마스터!$A:$B,2,FALSE),"")</f>
        <v/>
      </c>
      <c r="D202" s="29"/>
      <c r="E202" s="42"/>
      <c r="F202" s="44"/>
      <c r="G202" s="31" t="str">
        <f t="shared" si="6"/>
        <v/>
      </c>
      <c r="H202" s="31" t="str">
        <f t="shared" si="7"/>
        <v/>
      </c>
      <c r="I202" s="39"/>
    </row>
    <row r="203" spans="1:9" ht="18" customHeight="1" x14ac:dyDescent="0.45">
      <c r="A203" s="37"/>
      <c r="B203" s="28"/>
      <c r="C203" s="30" t="str">
        <f>IFERROR(VLOOKUP(B203,KRX종목마스터!$A:$B,2,FALSE),"")</f>
        <v/>
      </c>
      <c r="D203" s="29"/>
      <c r="E203" s="42"/>
      <c r="F203" s="44"/>
      <c r="G203" s="31" t="str">
        <f t="shared" si="6"/>
        <v/>
      </c>
      <c r="H203" s="31" t="str">
        <f t="shared" si="7"/>
        <v/>
      </c>
      <c r="I203" s="39"/>
    </row>
    <row r="204" spans="1:9" ht="18" customHeight="1" x14ac:dyDescent="0.45">
      <c r="A204" s="37"/>
      <c r="B204" s="28"/>
      <c r="C204" s="30" t="str">
        <f>IFERROR(VLOOKUP(B204,KRX종목마스터!$A:$B,2,FALSE),"")</f>
        <v/>
      </c>
      <c r="D204" s="29"/>
      <c r="E204" s="42"/>
      <c r="F204" s="44"/>
      <c r="G204" s="31" t="str">
        <f t="shared" si="6"/>
        <v/>
      </c>
      <c r="H204" s="31" t="str">
        <f t="shared" si="7"/>
        <v/>
      </c>
      <c r="I204" s="39"/>
    </row>
    <row r="205" spans="1:9" ht="18" customHeight="1" x14ac:dyDescent="0.45">
      <c r="A205" s="37"/>
      <c r="B205" s="28"/>
      <c r="C205" s="30" t="str">
        <f>IFERROR(VLOOKUP(B205,KRX종목마스터!$A:$B,2,FALSE),"")</f>
        <v/>
      </c>
      <c r="D205" s="29"/>
      <c r="E205" s="42"/>
      <c r="F205" s="44"/>
      <c r="G205" s="31" t="str">
        <f t="shared" si="6"/>
        <v/>
      </c>
      <c r="H205" s="31" t="str">
        <f t="shared" si="7"/>
        <v/>
      </c>
      <c r="I205" s="39"/>
    </row>
    <row r="206" spans="1:9" ht="18" customHeight="1" x14ac:dyDescent="0.45">
      <c r="A206" s="37"/>
      <c r="B206" s="28"/>
      <c r="C206" s="30" t="str">
        <f>IFERROR(VLOOKUP(B206,KRX종목마스터!$A:$B,2,FALSE),"")</f>
        <v/>
      </c>
      <c r="D206" s="29"/>
      <c r="E206" s="42"/>
      <c r="F206" s="44"/>
      <c r="G206" s="31" t="str">
        <f t="shared" si="6"/>
        <v/>
      </c>
      <c r="H206" s="31" t="str">
        <f t="shared" si="7"/>
        <v/>
      </c>
      <c r="I206" s="39"/>
    </row>
    <row r="207" spans="1:9" ht="18" customHeight="1" x14ac:dyDescent="0.45">
      <c r="A207" s="37"/>
      <c r="B207" s="28"/>
      <c r="C207" s="30" t="str">
        <f>IFERROR(VLOOKUP(B207,KRX종목마스터!$A:$B,2,FALSE),"")</f>
        <v/>
      </c>
      <c r="D207" s="29"/>
      <c r="E207" s="42"/>
      <c r="F207" s="44"/>
      <c r="G207" s="31" t="str">
        <f t="shared" si="6"/>
        <v/>
      </c>
      <c r="H207" s="31" t="str">
        <f t="shared" si="7"/>
        <v/>
      </c>
      <c r="I207" s="39"/>
    </row>
    <row r="208" spans="1:9" ht="18" customHeight="1" x14ac:dyDescent="0.45">
      <c r="A208" s="37"/>
      <c r="B208" s="28"/>
      <c r="C208" s="30" t="str">
        <f>IFERROR(VLOOKUP(B208,KRX종목마스터!$A:$B,2,FALSE),"")</f>
        <v/>
      </c>
      <c r="D208" s="29"/>
      <c r="E208" s="42"/>
      <c r="F208" s="44"/>
      <c r="G208" s="31" t="str">
        <f t="shared" si="6"/>
        <v/>
      </c>
      <c r="H208" s="31" t="str">
        <f t="shared" si="7"/>
        <v/>
      </c>
      <c r="I208" s="39"/>
    </row>
    <row r="209" spans="1:9" ht="18" customHeight="1" x14ac:dyDescent="0.45">
      <c r="A209" s="37"/>
      <c r="B209" s="28"/>
      <c r="C209" s="30" t="str">
        <f>IFERROR(VLOOKUP(B209,KRX종목마스터!$A:$B,2,FALSE),"")</f>
        <v/>
      </c>
      <c r="D209" s="29"/>
      <c r="E209" s="42"/>
      <c r="F209" s="44"/>
      <c r="G209" s="31" t="str">
        <f t="shared" si="6"/>
        <v/>
      </c>
      <c r="H209" s="31" t="str">
        <f t="shared" si="7"/>
        <v/>
      </c>
      <c r="I209" s="39"/>
    </row>
    <row r="210" spans="1:9" ht="18" customHeight="1" x14ac:dyDescent="0.45">
      <c r="A210" s="37"/>
      <c r="B210" s="28"/>
      <c r="C210" s="30" t="str">
        <f>IFERROR(VLOOKUP(B210,KRX종목마스터!$A:$B,2,FALSE),"")</f>
        <v/>
      </c>
      <c r="D210" s="29"/>
      <c r="E210" s="42"/>
      <c r="F210" s="44"/>
      <c r="G210" s="31" t="str">
        <f t="shared" si="6"/>
        <v/>
      </c>
      <c r="H210" s="31" t="str">
        <f t="shared" si="7"/>
        <v/>
      </c>
      <c r="I210" s="39"/>
    </row>
    <row r="211" spans="1:9" ht="18" customHeight="1" x14ac:dyDescent="0.45">
      <c r="A211" s="37"/>
      <c r="B211" s="28"/>
      <c r="C211" s="30" t="str">
        <f>IFERROR(VLOOKUP(B211,KRX종목마스터!$A:$B,2,FALSE),"")</f>
        <v/>
      </c>
      <c r="D211" s="29"/>
      <c r="E211" s="42"/>
      <c r="F211" s="44"/>
      <c r="G211" s="31" t="str">
        <f t="shared" si="6"/>
        <v/>
      </c>
      <c r="H211" s="31" t="str">
        <f t="shared" si="7"/>
        <v/>
      </c>
      <c r="I211" s="39"/>
    </row>
    <row r="212" spans="1:9" ht="18" customHeight="1" x14ac:dyDescent="0.45">
      <c r="A212" s="37"/>
      <c r="B212" s="28"/>
      <c r="C212" s="30" t="str">
        <f>IFERROR(VLOOKUP(B212,KRX종목마스터!$A:$B,2,FALSE),"")</f>
        <v/>
      </c>
      <c r="D212" s="29"/>
      <c r="E212" s="42"/>
      <c r="F212" s="44"/>
      <c r="G212" s="31" t="str">
        <f t="shared" si="6"/>
        <v/>
      </c>
      <c r="H212" s="31" t="str">
        <f t="shared" si="7"/>
        <v/>
      </c>
      <c r="I212" s="39"/>
    </row>
    <row r="213" spans="1:9" ht="18" customHeight="1" x14ac:dyDescent="0.45">
      <c r="A213" s="37"/>
      <c r="B213" s="28"/>
      <c r="C213" s="30" t="str">
        <f>IFERROR(VLOOKUP(B213,KRX종목마스터!$A:$B,2,FALSE),"")</f>
        <v/>
      </c>
      <c r="D213" s="29"/>
      <c r="E213" s="42"/>
      <c r="F213" s="44"/>
      <c r="G213" s="31" t="str">
        <f t="shared" si="6"/>
        <v/>
      </c>
      <c r="H213" s="31" t="str">
        <f t="shared" si="7"/>
        <v/>
      </c>
      <c r="I213" s="39"/>
    </row>
    <row r="214" spans="1:9" ht="18" customHeight="1" x14ac:dyDescent="0.45">
      <c r="A214" s="37"/>
      <c r="B214" s="28"/>
      <c r="C214" s="30" t="str">
        <f>IFERROR(VLOOKUP(B214,KRX종목마스터!$A:$B,2,FALSE),"")</f>
        <v/>
      </c>
      <c r="D214" s="29"/>
      <c r="E214" s="42"/>
      <c r="F214" s="44"/>
      <c r="G214" s="31" t="str">
        <f t="shared" si="6"/>
        <v/>
      </c>
      <c r="H214" s="31" t="str">
        <f t="shared" si="7"/>
        <v/>
      </c>
      <c r="I214" s="39"/>
    </row>
    <row r="215" spans="1:9" ht="18" customHeight="1" x14ac:dyDescent="0.45">
      <c r="A215" s="37"/>
      <c r="B215" s="28"/>
      <c r="C215" s="30" t="str">
        <f>IFERROR(VLOOKUP(B215,KRX종목마스터!$A:$B,2,FALSE),"")</f>
        <v/>
      </c>
      <c r="D215" s="29"/>
      <c r="E215" s="42"/>
      <c r="F215" s="44"/>
      <c r="G215" s="31" t="str">
        <f t="shared" si="6"/>
        <v/>
      </c>
      <c r="H215" s="31" t="str">
        <f t="shared" si="7"/>
        <v/>
      </c>
      <c r="I215" s="39"/>
    </row>
    <row r="216" spans="1:9" ht="18" customHeight="1" x14ac:dyDescent="0.45">
      <c r="A216" s="37"/>
      <c r="B216" s="28"/>
      <c r="C216" s="30" t="str">
        <f>IFERROR(VLOOKUP(B216,KRX종목마스터!$A:$B,2,FALSE),"")</f>
        <v/>
      </c>
      <c r="D216" s="29"/>
      <c r="E216" s="42"/>
      <c r="F216" s="44"/>
      <c r="G216" s="31" t="str">
        <f t="shared" si="6"/>
        <v/>
      </c>
      <c r="H216" s="31" t="str">
        <f t="shared" si="7"/>
        <v/>
      </c>
      <c r="I216" s="39"/>
    </row>
    <row r="217" spans="1:9" ht="18" customHeight="1" x14ac:dyDescent="0.45">
      <c r="A217" s="37"/>
      <c r="B217" s="28"/>
      <c r="C217" s="30" t="str">
        <f>IFERROR(VLOOKUP(B217,KRX종목마스터!$A:$B,2,FALSE),"")</f>
        <v/>
      </c>
      <c r="D217" s="29"/>
      <c r="E217" s="42"/>
      <c r="F217" s="44"/>
      <c r="G217" s="31" t="str">
        <f t="shared" si="6"/>
        <v/>
      </c>
      <c r="H217" s="31" t="str">
        <f t="shared" si="7"/>
        <v/>
      </c>
      <c r="I217" s="39"/>
    </row>
    <row r="218" spans="1:9" ht="18" customHeight="1" x14ac:dyDescent="0.45">
      <c r="A218" s="37"/>
      <c r="B218" s="28"/>
      <c r="C218" s="30" t="str">
        <f>IFERROR(VLOOKUP(B218,KRX종목마스터!$A:$B,2,FALSE),"")</f>
        <v/>
      </c>
      <c r="D218" s="29"/>
      <c r="E218" s="42"/>
      <c r="F218" s="44"/>
      <c r="G218" s="31" t="str">
        <f t="shared" si="6"/>
        <v/>
      </c>
      <c r="H218" s="31" t="str">
        <f t="shared" si="7"/>
        <v/>
      </c>
      <c r="I218" s="39"/>
    </row>
    <row r="219" spans="1:9" ht="18" customHeight="1" x14ac:dyDescent="0.45">
      <c r="A219" s="37"/>
      <c r="B219" s="28"/>
      <c r="C219" s="30" t="str">
        <f>IFERROR(VLOOKUP(B219,KRX종목마스터!$A:$B,2,FALSE),"")</f>
        <v/>
      </c>
      <c r="D219" s="29"/>
      <c r="E219" s="42"/>
      <c r="F219" s="44"/>
      <c r="G219" s="31" t="str">
        <f t="shared" si="6"/>
        <v/>
      </c>
      <c r="H219" s="31" t="str">
        <f t="shared" si="7"/>
        <v/>
      </c>
      <c r="I219" s="39"/>
    </row>
    <row r="220" spans="1:9" ht="18" customHeight="1" x14ac:dyDescent="0.45">
      <c r="A220" s="37"/>
      <c r="B220" s="28"/>
      <c r="C220" s="30" t="str">
        <f>IFERROR(VLOOKUP(B220,KRX종목마스터!$A:$B,2,FALSE),"")</f>
        <v/>
      </c>
      <c r="D220" s="29"/>
      <c r="E220" s="42"/>
      <c r="F220" s="44"/>
      <c r="G220" s="31" t="str">
        <f t="shared" si="6"/>
        <v/>
      </c>
      <c r="H220" s="31" t="str">
        <f t="shared" si="7"/>
        <v/>
      </c>
      <c r="I220" s="39"/>
    </row>
    <row r="221" spans="1:9" ht="18" customHeight="1" x14ac:dyDescent="0.45">
      <c r="A221" s="37"/>
      <c r="B221" s="28"/>
      <c r="C221" s="30" t="str">
        <f>IFERROR(VLOOKUP(B221,KRX종목마스터!$A:$B,2,FALSE),"")</f>
        <v/>
      </c>
      <c r="D221" s="29"/>
      <c r="E221" s="42"/>
      <c r="F221" s="44"/>
      <c r="G221" s="31" t="str">
        <f t="shared" si="6"/>
        <v/>
      </c>
      <c r="H221" s="31" t="str">
        <f t="shared" si="7"/>
        <v/>
      </c>
      <c r="I221" s="39"/>
    </row>
    <row r="222" spans="1:9" ht="18" customHeight="1" x14ac:dyDescent="0.45">
      <c r="A222" s="37"/>
      <c r="B222" s="28"/>
      <c r="C222" s="30" t="str">
        <f>IFERROR(VLOOKUP(B222,KRX종목마스터!$A:$B,2,FALSE),"")</f>
        <v/>
      </c>
      <c r="D222" s="29"/>
      <c r="E222" s="42"/>
      <c r="F222" s="44"/>
      <c r="G222" s="31" t="str">
        <f t="shared" si="6"/>
        <v/>
      </c>
      <c r="H222" s="31" t="str">
        <f t="shared" si="7"/>
        <v/>
      </c>
      <c r="I222" s="39"/>
    </row>
    <row r="223" spans="1:9" ht="18" customHeight="1" x14ac:dyDescent="0.45">
      <c r="A223" s="37"/>
      <c r="B223" s="28"/>
      <c r="C223" s="30" t="str">
        <f>IFERROR(VLOOKUP(B223,KRX종목마스터!$A:$B,2,FALSE),"")</f>
        <v/>
      </c>
      <c r="D223" s="29"/>
      <c r="E223" s="42"/>
      <c r="F223" s="44"/>
      <c r="G223" s="31" t="str">
        <f t="shared" si="6"/>
        <v/>
      </c>
      <c r="H223" s="31" t="str">
        <f t="shared" si="7"/>
        <v/>
      </c>
      <c r="I223" s="39"/>
    </row>
    <row r="224" spans="1:9" ht="18" customHeight="1" x14ac:dyDescent="0.45">
      <c r="A224" s="37"/>
      <c r="B224" s="28"/>
      <c r="C224" s="30" t="str">
        <f>IFERROR(VLOOKUP(B224,KRX종목마스터!$A:$B,2,FALSE),"")</f>
        <v/>
      </c>
      <c r="D224" s="29"/>
      <c r="E224" s="42"/>
      <c r="F224" s="44"/>
      <c r="G224" s="31" t="str">
        <f t="shared" si="6"/>
        <v/>
      </c>
      <c r="H224" s="31" t="str">
        <f t="shared" si="7"/>
        <v/>
      </c>
      <c r="I224" s="39"/>
    </row>
    <row r="225" spans="1:9" ht="18" customHeight="1" x14ac:dyDescent="0.45">
      <c r="A225" s="37"/>
      <c r="B225" s="28"/>
      <c r="C225" s="30" t="str">
        <f>IFERROR(VLOOKUP(B225,KRX종목마스터!$A:$B,2,FALSE),"")</f>
        <v/>
      </c>
      <c r="D225" s="29"/>
      <c r="E225" s="42"/>
      <c r="F225" s="44"/>
      <c r="G225" s="31" t="str">
        <f t="shared" si="6"/>
        <v/>
      </c>
      <c r="H225" s="31" t="str">
        <f t="shared" si="7"/>
        <v/>
      </c>
      <c r="I225" s="39"/>
    </row>
    <row r="226" spans="1:9" ht="18" customHeight="1" x14ac:dyDescent="0.45">
      <c r="A226" s="37"/>
      <c r="B226" s="28"/>
      <c r="C226" s="30" t="str">
        <f>IFERROR(VLOOKUP(B226,KRX종목마스터!$A:$B,2,FALSE),"")</f>
        <v/>
      </c>
      <c r="D226" s="29"/>
      <c r="E226" s="42"/>
      <c r="F226" s="44"/>
      <c r="G226" s="31" t="str">
        <f t="shared" si="6"/>
        <v/>
      </c>
      <c r="H226" s="31" t="str">
        <f t="shared" si="7"/>
        <v/>
      </c>
      <c r="I226" s="39"/>
    </row>
    <row r="227" spans="1:9" ht="18" customHeight="1" x14ac:dyDescent="0.45">
      <c r="A227" s="37"/>
      <c r="B227" s="28"/>
      <c r="C227" s="30" t="str">
        <f>IFERROR(VLOOKUP(B227,KRX종목마스터!$A:$B,2,FALSE),"")</f>
        <v/>
      </c>
      <c r="D227" s="29"/>
      <c r="E227" s="42"/>
      <c r="F227" s="44"/>
      <c r="G227" s="31" t="str">
        <f t="shared" si="6"/>
        <v/>
      </c>
      <c r="H227" s="31" t="str">
        <f t="shared" si="7"/>
        <v/>
      </c>
      <c r="I227" s="39"/>
    </row>
    <row r="228" spans="1:9" ht="18" customHeight="1" x14ac:dyDescent="0.45">
      <c r="A228" s="37"/>
      <c r="B228" s="28"/>
      <c r="C228" s="30" t="str">
        <f>IFERROR(VLOOKUP(B228,KRX종목마스터!$A:$B,2,FALSE),"")</f>
        <v/>
      </c>
      <c r="D228" s="29"/>
      <c r="E228" s="42"/>
      <c r="F228" s="44"/>
      <c r="G228" s="31" t="str">
        <f t="shared" si="6"/>
        <v/>
      </c>
      <c r="H228" s="31" t="str">
        <f t="shared" si="7"/>
        <v/>
      </c>
      <c r="I228" s="39"/>
    </row>
    <row r="229" spans="1:9" ht="18" customHeight="1" x14ac:dyDescent="0.45">
      <c r="A229" s="37"/>
      <c r="B229" s="28"/>
      <c r="C229" s="30" t="str">
        <f>IFERROR(VLOOKUP(B229,KRX종목마스터!$A:$B,2,FALSE),"")</f>
        <v/>
      </c>
      <c r="D229" s="29"/>
      <c r="E229" s="42"/>
      <c r="F229" s="44"/>
      <c r="G229" s="31" t="str">
        <f t="shared" si="6"/>
        <v/>
      </c>
      <c r="H229" s="31" t="str">
        <f t="shared" si="7"/>
        <v/>
      </c>
      <c r="I229" s="39"/>
    </row>
    <row r="230" spans="1:9" ht="18" customHeight="1" x14ac:dyDescent="0.45">
      <c r="A230" s="37"/>
      <c r="B230" s="28"/>
      <c r="C230" s="30" t="str">
        <f>IFERROR(VLOOKUP(B230,KRX종목마스터!$A:$B,2,FALSE),"")</f>
        <v/>
      </c>
      <c r="D230" s="29"/>
      <c r="E230" s="42"/>
      <c r="F230" s="44"/>
      <c r="G230" s="31" t="str">
        <f t="shared" si="6"/>
        <v/>
      </c>
      <c r="H230" s="31" t="str">
        <f t="shared" si="7"/>
        <v/>
      </c>
      <c r="I230" s="39"/>
    </row>
    <row r="231" spans="1:9" ht="18" customHeight="1" x14ac:dyDescent="0.45">
      <c r="A231" s="37"/>
      <c r="B231" s="28"/>
      <c r="C231" s="30" t="str">
        <f>IFERROR(VLOOKUP(B231,KRX종목마스터!$A:$B,2,FALSE),"")</f>
        <v/>
      </c>
      <c r="D231" s="29"/>
      <c r="E231" s="42"/>
      <c r="F231" s="44"/>
      <c r="G231" s="31" t="str">
        <f t="shared" si="6"/>
        <v/>
      </c>
      <c r="H231" s="31" t="str">
        <f t="shared" si="7"/>
        <v/>
      </c>
      <c r="I231" s="39"/>
    </row>
    <row r="232" spans="1:9" ht="18" customHeight="1" x14ac:dyDescent="0.45">
      <c r="A232" s="37"/>
      <c r="B232" s="28"/>
      <c r="C232" s="30" t="str">
        <f>IFERROR(VLOOKUP(B232,KRX종목마스터!$A:$B,2,FALSE),"")</f>
        <v/>
      </c>
      <c r="D232" s="29"/>
      <c r="E232" s="42"/>
      <c r="F232" s="44"/>
      <c r="G232" s="31" t="str">
        <f t="shared" si="6"/>
        <v/>
      </c>
      <c r="H232" s="31" t="str">
        <f t="shared" si="7"/>
        <v/>
      </c>
      <c r="I232" s="39"/>
    </row>
    <row r="233" spans="1:9" ht="18" customHeight="1" x14ac:dyDescent="0.45">
      <c r="A233" s="37"/>
      <c r="B233" s="28"/>
      <c r="C233" s="30" t="str">
        <f>IFERROR(VLOOKUP(B233,KRX종목마스터!$A:$B,2,FALSE),"")</f>
        <v/>
      </c>
      <c r="D233" s="29"/>
      <c r="E233" s="42"/>
      <c r="F233" s="44"/>
      <c r="G233" s="31" t="str">
        <f t="shared" si="6"/>
        <v/>
      </c>
      <c r="H233" s="31" t="str">
        <f t="shared" si="7"/>
        <v/>
      </c>
      <c r="I233" s="39"/>
    </row>
    <row r="234" spans="1:9" ht="18" customHeight="1" x14ac:dyDescent="0.45">
      <c r="A234" s="37"/>
      <c r="B234" s="28"/>
      <c r="C234" s="30" t="str">
        <f>IFERROR(VLOOKUP(B234,KRX종목마스터!$A:$B,2,FALSE),"")</f>
        <v/>
      </c>
      <c r="D234" s="29"/>
      <c r="E234" s="42"/>
      <c r="F234" s="44"/>
      <c r="G234" s="31" t="str">
        <f t="shared" si="6"/>
        <v/>
      </c>
      <c r="H234" s="31" t="str">
        <f t="shared" si="7"/>
        <v/>
      </c>
      <c r="I234" s="39"/>
    </row>
    <row r="235" spans="1:9" ht="18" customHeight="1" x14ac:dyDescent="0.45">
      <c r="A235" s="37"/>
      <c r="B235" s="28"/>
      <c r="C235" s="30" t="str">
        <f>IFERROR(VLOOKUP(B235,KRX종목마스터!$A:$B,2,FALSE),"")</f>
        <v/>
      </c>
      <c r="D235" s="29"/>
      <c r="E235" s="42"/>
      <c r="F235" s="44"/>
      <c r="G235" s="31" t="str">
        <f t="shared" si="6"/>
        <v/>
      </c>
      <c r="H235" s="31" t="str">
        <f t="shared" si="7"/>
        <v/>
      </c>
      <c r="I235" s="39"/>
    </row>
    <row r="236" spans="1:9" ht="18" customHeight="1" x14ac:dyDescent="0.45">
      <c r="A236" s="37"/>
      <c r="B236" s="28"/>
      <c r="C236" s="30" t="str">
        <f>IFERROR(VLOOKUP(B236,KRX종목마스터!$A:$B,2,FALSE),"")</f>
        <v/>
      </c>
      <c r="D236" s="29"/>
      <c r="E236" s="42"/>
      <c r="F236" s="44"/>
      <c r="G236" s="31" t="str">
        <f t="shared" si="6"/>
        <v/>
      </c>
      <c r="H236" s="31" t="str">
        <f t="shared" si="7"/>
        <v/>
      </c>
      <c r="I236" s="39"/>
    </row>
    <row r="237" spans="1:9" ht="18" customHeight="1" x14ac:dyDescent="0.45">
      <c r="A237" s="37"/>
      <c r="B237" s="28"/>
      <c r="C237" s="30" t="str">
        <f>IFERROR(VLOOKUP(B237,KRX종목마스터!$A:$B,2,FALSE),"")</f>
        <v/>
      </c>
      <c r="D237" s="29"/>
      <c r="E237" s="42"/>
      <c r="F237" s="44"/>
      <c r="G237" s="31" t="str">
        <f t="shared" si="6"/>
        <v/>
      </c>
      <c r="H237" s="31" t="str">
        <f t="shared" si="7"/>
        <v/>
      </c>
      <c r="I237" s="39"/>
    </row>
    <row r="238" spans="1:9" ht="18" customHeight="1" x14ac:dyDescent="0.45">
      <c r="A238" s="37"/>
      <c r="B238" s="28"/>
      <c r="C238" s="30" t="str">
        <f>IFERROR(VLOOKUP(B238,KRX종목마스터!$A:$B,2,FALSE),"")</f>
        <v/>
      </c>
      <c r="D238" s="29"/>
      <c r="E238" s="42"/>
      <c r="F238" s="44"/>
      <c r="G238" s="31" t="str">
        <f t="shared" si="6"/>
        <v/>
      </c>
      <c r="H238" s="31" t="str">
        <f t="shared" si="7"/>
        <v/>
      </c>
      <c r="I238" s="39"/>
    </row>
    <row r="239" spans="1:9" ht="18" customHeight="1" x14ac:dyDescent="0.45">
      <c r="A239" s="37"/>
      <c r="B239" s="28"/>
      <c r="C239" s="30" t="str">
        <f>IFERROR(VLOOKUP(B239,KRX종목마스터!$A:$B,2,FALSE),"")</f>
        <v/>
      </c>
      <c r="D239" s="29"/>
      <c r="E239" s="42"/>
      <c r="F239" s="44"/>
      <c r="G239" s="31" t="str">
        <f t="shared" si="6"/>
        <v/>
      </c>
      <c r="H239" s="31" t="str">
        <f t="shared" si="7"/>
        <v/>
      </c>
      <c r="I239" s="39"/>
    </row>
    <row r="240" spans="1:9" ht="18" customHeight="1" x14ac:dyDescent="0.45">
      <c r="A240" s="37"/>
      <c r="B240" s="28"/>
      <c r="C240" s="30" t="str">
        <f>IFERROR(VLOOKUP(B240,KRX종목마스터!$A:$B,2,FALSE),"")</f>
        <v/>
      </c>
      <c r="D240" s="29"/>
      <c r="E240" s="42"/>
      <c r="F240" s="44"/>
      <c r="G240" s="31" t="str">
        <f t="shared" si="6"/>
        <v/>
      </c>
      <c r="H240" s="31" t="str">
        <f t="shared" si="7"/>
        <v/>
      </c>
      <c r="I240" s="39"/>
    </row>
    <row r="241" spans="1:9" ht="18" customHeight="1" x14ac:dyDescent="0.45">
      <c r="A241" s="37"/>
      <c r="B241" s="28"/>
      <c r="C241" s="30" t="str">
        <f>IFERROR(VLOOKUP(B241,KRX종목마스터!$A:$B,2,FALSE),"")</f>
        <v/>
      </c>
      <c r="D241" s="29"/>
      <c r="E241" s="42"/>
      <c r="F241" s="44"/>
      <c r="G241" s="31" t="str">
        <f t="shared" si="6"/>
        <v/>
      </c>
      <c r="H241" s="31" t="str">
        <f t="shared" si="7"/>
        <v/>
      </c>
      <c r="I241" s="39"/>
    </row>
    <row r="242" spans="1:9" ht="18" customHeight="1" x14ac:dyDescent="0.45">
      <c r="A242" s="37"/>
      <c r="B242" s="28"/>
      <c r="C242" s="30" t="str">
        <f>IFERROR(VLOOKUP(B242,KRX종목마스터!$A:$B,2,FALSE),"")</f>
        <v/>
      </c>
      <c r="D242" s="29"/>
      <c r="E242" s="42"/>
      <c r="F242" s="44"/>
      <c r="G242" s="31" t="str">
        <f t="shared" si="6"/>
        <v/>
      </c>
      <c r="H242" s="31" t="str">
        <f t="shared" si="7"/>
        <v/>
      </c>
      <c r="I242" s="39"/>
    </row>
    <row r="243" spans="1:9" ht="18" customHeight="1" x14ac:dyDescent="0.45">
      <c r="A243" s="37"/>
      <c r="B243" s="28"/>
      <c r="C243" s="30" t="str">
        <f>IFERROR(VLOOKUP(B243,KRX종목마스터!$A:$B,2,FALSE),"")</f>
        <v/>
      </c>
      <c r="D243" s="29"/>
      <c r="E243" s="42"/>
      <c r="F243" s="44"/>
      <c r="G243" s="31" t="str">
        <f t="shared" si="6"/>
        <v/>
      </c>
      <c r="H243" s="31" t="str">
        <f t="shared" si="7"/>
        <v/>
      </c>
      <c r="I243" s="39"/>
    </row>
    <row r="244" spans="1:9" ht="18" customHeight="1" x14ac:dyDescent="0.45">
      <c r="A244" s="37"/>
      <c r="B244" s="28"/>
      <c r="C244" s="30" t="str">
        <f>IFERROR(VLOOKUP(B244,KRX종목마스터!$A:$B,2,FALSE),"")</f>
        <v/>
      </c>
      <c r="D244" s="29"/>
      <c r="E244" s="42"/>
      <c r="F244" s="44"/>
      <c r="G244" s="31" t="str">
        <f t="shared" si="6"/>
        <v/>
      </c>
      <c r="H244" s="31" t="str">
        <f t="shared" si="7"/>
        <v/>
      </c>
      <c r="I244" s="39"/>
    </row>
    <row r="245" spans="1:9" ht="18" customHeight="1" x14ac:dyDescent="0.45">
      <c r="A245" s="37"/>
      <c r="B245" s="28"/>
      <c r="C245" s="30" t="str">
        <f>IFERROR(VLOOKUP(B245,KRX종목마스터!$A:$B,2,FALSE),"")</f>
        <v/>
      </c>
      <c r="D245" s="29"/>
      <c r="E245" s="42"/>
      <c r="F245" s="44"/>
      <c r="G245" s="31" t="str">
        <f t="shared" si="6"/>
        <v/>
      </c>
      <c r="H245" s="31" t="str">
        <f t="shared" si="7"/>
        <v/>
      </c>
      <c r="I245" s="39"/>
    </row>
    <row r="246" spans="1:9" ht="18" customHeight="1" x14ac:dyDescent="0.45">
      <c r="A246" s="37"/>
      <c r="B246" s="28"/>
      <c r="C246" s="30" t="str">
        <f>IFERROR(VLOOKUP(B246,KRX종목마스터!$A:$B,2,FALSE),"")</f>
        <v/>
      </c>
      <c r="D246" s="29"/>
      <c r="E246" s="42"/>
      <c r="F246" s="44"/>
      <c r="G246" s="31" t="str">
        <f t="shared" si="6"/>
        <v/>
      </c>
      <c r="H246" s="31" t="str">
        <f t="shared" si="7"/>
        <v/>
      </c>
      <c r="I246" s="39"/>
    </row>
    <row r="247" spans="1:9" ht="18" customHeight="1" x14ac:dyDescent="0.45">
      <c r="A247" s="37"/>
      <c r="B247" s="28"/>
      <c r="C247" s="30" t="str">
        <f>IFERROR(VLOOKUP(B247,KRX종목마스터!$A:$B,2,FALSE),"")</f>
        <v/>
      </c>
      <c r="D247" s="29"/>
      <c r="E247" s="42"/>
      <c r="F247" s="44"/>
      <c r="G247" s="31" t="str">
        <f t="shared" si="6"/>
        <v/>
      </c>
      <c r="H247" s="31" t="str">
        <f t="shared" si="7"/>
        <v/>
      </c>
      <c r="I247" s="39"/>
    </row>
    <row r="248" spans="1:9" ht="18" customHeight="1" x14ac:dyDescent="0.45">
      <c r="A248" s="37"/>
      <c r="B248" s="28"/>
      <c r="C248" s="30" t="str">
        <f>IFERROR(VLOOKUP(B248,KRX종목마스터!$A:$B,2,FALSE),"")</f>
        <v/>
      </c>
      <c r="D248" s="29"/>
      <c r="E248" s="42"/>
      <c r="F248" s="44"/>
      <c r="G248" s="31" t="str">
        <f t="shared" si="6"/>
        <v/>
      </c>
      <c r="H248" s="31" t="str">
        <f t="shared" si="7"/>
        <v/>
      </c>
      <c r="I248" s="39"/>
    </row>
    <row r="249" spans="1:9" ht="18" customHeight="1" x14ac:dyDescent="0.45">
      <c r="A249" s="37"/>
      <c r="B249" s="28"/>
      <c r="C249" s="30" t="str">
        <f>IFERROR(VLOOKUP(B249,KRX종목마스터!$A:$B,2,FALSE),"")</f>
        <v/>
      </c>
      <c r="D249" s="29"/>
      <c r="E249" s="42"/>
      <c r="F249" s="44"/>
      <c r="G249" s="31" t="str">
        <f t="shared" si="6"/>
        <v/>
      </c>
      <c r="H249" s="31" t="str">
        <f t="shared" si="7"/>
        <v/>
      </c>
      <c r="I249" s="39"/>
    </row>
    <row r="250" spans="1:9" ht="18" customHeight="1" x14ac:dyDescent="0.45">
      <c r="A250" s="37"/>
      <c r="B250" s="28"/>
      <c r="C250" s="30" t="str">
        <f>IFERROR(VLOOKUP(B250,KRX종목마스터!$A:$B,2,FALSE),"")</f>
        <v/>
      </c>
      <c r="D250" s="29"/>
      <c r="E250" s="42"/>
      <c r="F250" s="44"/>
      <c r="G250" s="31" t="str">
        <f t="shared" si="6"/>
        <v/>
      </c>
      <c r="H250" s="31" t="str">
        <f t="shared" si="7"/>
        <v/>
      </c>
      <c r="I250" s="39"/>
    </row>
    <row r="251" spans="1:9" ht="18" customHeight="1" x14ac:dyDescent="0.45">
      <c r="A251" s="37"/>
      <c r="B251" s="28"/>
      <c r="C251" s="30" t="str">
        <f>IFERROR(VLOOKUP(B251,KRX종목마스터!$A:$B,2,FALSE),"")</f>
        <v/>
      </c>
      <c r="D251" s="29"/>
      <c r="E251" s="42"/>
      <c r="F251" s="44"/>
      <c r="G251" s="31" t="str">
        <f t="shared" si="6"/>
        <v/>
      </c>
      <c r="H251" s="31" t="str">
        <f t="shared" si="7"/>
        <v/>
      </c>
      <c r="I251" s="39"/>
    </row>
    <row r="252" spans="1:9" ht="18" customHeight="1" x14ac:dyDescent="0.45">
      <c r="A252" s="37"/>
      <c r="B252" s="28"/>
      <c r="C252" s="30" t="str">
        <f>IFERROR(VLOOKUP(B252,KRX종목마스터!$A:$B,2,FALSE),"")</f>
        <v/>
      </c>
      <c r="D252" s="29"/>
      <c r="E252" s="42"/>
      <c r="F252" s="44"/>
      <c r="G252" s="31" t="str">
        <f t="shared" si="6"/>
        <v/>
      </c>
      <c r="H252" s="31" t="str">
        <f t="shared" si="7"/>
        <v/>
      </c>
      <c r="I252" s="39"/>
    </row>
    <row r="253" spans="1:9" ht="18" customHeight="1" x14ac:dyDescent="0.45">
      <c r="A253" s="37"/>
      <c r="B253" s="28"/>
      <c r="C253" s="30" t="str">
        <f>IFERROR(VLOOKUP(B253,KRX종목마스터!$A:$B,2,FALSE),"")</f>
        <v/>
      </c>
      <c r="D253" s="29"/>
      <c r="E253" s="42"/>
      <c r="F253" s="44"/>
      <c r="G253" s="31" t="str">
        <f t="shared" si="6"/>
        <v/>
      </c>
      <c r="H253" s="31" t="str">
        <f t="shared" si="7"/>
        <v/>
      </c>
      <c r="I253" s="39"/>
    </row>
    <row r="254" spans="1:9" ht="18" customHeight="1" x14ac:dyDescent="0.45">
      <c r="A254" s="37"/>
      <c r="B254" s="28"/>
      <c r="C254" s="30" t="str">
        <f>IFERROR(VLOOKUP(B254,KRX종목마스터!$A:$B,2,FALSE),"")</f>
        <v/>
      </c>
      <c r="D254" s="29"/>
      <c r="E254" s="42"/>
      <c r="F254" s="44"/>
      <c r="G254" s="31" t="str">
        <f t="shared" si="6"/>
        <v/>
      </c>
      <c r="H254" s="31" t="str">
        <f t="shared" si="7"/>
        <v/>
      </c>
      <c r="I254" s="39"/>
    </row>
    <row r="255" spans="1:9" ht="18" customHeight="1" x14ac:dyDescent="0.45">
      <c r="A255" s="37"/>
      <c r="B255" s="28"/>
      <c r="C255" s="30" t="str">
        <f>IFERROR(VLOOKUP(B255,KRX종목마스터!$A:$B,2,FALSE),"")</f>
        <v/>
      </c>
      <c r="D255" s="29"/>
      <c r="E255" s="42"/>
      <c r="F255" s="44"/>
      <c r="G255" s="31" t="str">
        <f t="shared" si="6"/>
        <v/>
      </c>
      <c r="H255" s="31" t="str">
        <f t="shared" si="7"/>
        <v/>
      </c>
      <c r="I255" s="39"/>
    </row>
    <row r="256" spans="1:9" ht="18" customHeight="1" x14ac:dyDescent="0.45">
      <c r="A256" s="37"/>
      <c r="B256" s="28"/>
      <c r="C256" s="30" t="str">
        <f>IFERROR(VLOOKUP(B256,KRX종목마스터!$A:$B,2,FALSE),"")</f>
        <v/>
      </c>
      <c r="D256" s="29"/>
      <c r="E256" s="42"/>
      <c r="F256" s="44"/>
      <c r="G256" s="31" t="str">
        <f t="shared" si="6"/>
        <v/>
      </c>
      <c r="H256" s="31" t="str">
        <f t="shared" si="7"/>
        <v/>
      </c>
      <c r="I256" s="39"/>
    </row>
    <row r="257" spans="1:9" ht="18" customHeight="1" x14ac:dyDescent="0.45">
      <c r="A257" s="37"/>
      <c r="B257" s="28"/>
      <c r="C257" s="30" t="str">
        <f>IFERROR(VLOOKUP(B257,KRX종목마스터!$A:$B,2,FALSE),"")</f>
        <v/>
      </c>
      <c r="D257" s="29"/>
      <c r="E257" s="42"/>
      <c r="F257" s="44"/>
      <c r="G257" s="31" t="str">
        <f t="shared" si="6"/>
        <v/>
      </c>
      <c r="H257" s="31" t="str">
        <f t="shared" si="7"/>
        <v/>
      </c>
      <c r="I257" s="39"/>
    </row>
    <row r="258" spans="1:9" ht="18" customHeight="1" x14ac:dyDescent="0.45">
      <c r="A258" s="37"/>
      <c r="B258" s="28"/>
      <c r="C258" s="30" t="str">
        <f>IFERROR(VLOOKUP(B258,KRX종목마스터!$A:$B,2,FALSE),"")</f>
        <v/>
      </c>
      <c r="D258" s="29"/>
      <c r="E258" s="42"/>
      <c r="F258" s="44"/>
      <c r="G258" s="31" t="str">
        <f t="shared" si="6"/>
        <v/>
      </c>
      <c r="H258" s="31" t="str">
        <f t="shared" si="7"/>
        <v/>
      </c>
      <c r="I258" s="39"/>
    </row>
    <row r="259" spans="1:9" ht="18" customHeight="1" x14ac:dyDescent="0.45">
      <c r="A259" s="37"/>
      <c r="B259" s="28"/>
      <c r="C259" s="30" t="str">
        <f>IFERROR(VLOOKUP(B259,KRX종목마스터!$A:$B,2,FALSE),"")</f>
        <v/>
      </c>
      <c r="D259" s="29"/>
      <c r="E259" s="42"/>
      <c r="F259" s="44"/>
      <c r="G259" s="31" t="str">
        <f t="shared" si="6"/>
        <v/>
      </c>
      <c r="H259" s="31" t="str">
        <f t="shared" si="7"/>
        <v/>
      </c>
      <c r="I259" s="39"/>
    </row>
    <row r="260" spans="1:9" ht="18" customHeight="1" x14ac:dyDescent="0.45">
      <c r="A260" s="37"/>
      <c r="B260" s="28"/>
      <c r="C260" s="30" t="str">
        <f>IFERROR(VLOOKUP(B260,KRX종목마스터!$A:$B,2,FALSE),"")</f>
        <v/>
      </c>
      <c r="D260" s="29"/>
      <c r="E260" s="42"/>
      <c r="F260" s="44"/>
      <c r="G260" s="31" t="str">
        <f t="shared" si="6"/>
        <v/>
      </c>
      <c r="H260" s="31" t="str">
        <f t="shared" si="7"/>
        <v/>
      </c>
      <c r="I260" s="39"/>
    </row>
    <row r="261" spans="1:9" ht="18" customHeight="1" x14ac:dyDescent="0.45">
      <c r="A261" s="37"/>
      <c r="B261" s="28"/>
      <c r="C261" s="30" t="str">
        <f>IFERROR(VLOOKUP(B261,KRX종목마스터!$A:$B,2,FALSE),"")</f>
        <v/>
      </c>
      <c r="D261" s="29"/>
      <c r="E261" s="42"/>
      <c r="F261" s="44"/>
      <c r="G261" s="31" t="str">
        <f t="shared" ref="G261:G324" si="8">IF(OR(E261="",F261=""),"",ROUND(E261*F261/100,0))</f>
        <v/>
      </c>
      <c r="H261" s="31" t="str">
        <f t="shared" ref="H261:H324" si="9">IF(E261="","",E261-IF(G261="",0,G261))</f>
        <v/>
      </c>
      <c r="I261" s="39"/>
    </row>
    <row r="262" spans="1:9" ht="18" customHeight="1" x14ac:dyDescent="0.45">
      <c r="A262" s="37"/>
      <c r="B262" s="28"/>
      <c r="C262" s="30" t="str">
        <f>IFERROR(VLOOKUP(B262,KRX종목마스터!$A:$B,2,FALSE),"")</f>
        <v/>
      </c>
      <c r="D262" s="29"/>
      <c r="E262" s="42"/>
      <c r="F262" s="44"/>
      <c r="G262" s="31" t="str">
        <f t="shared" si="8"/>
        <v/>
      </c>
      <c r="H262" s="31" t="str">
        <f t="shared" si="9"/>
        <v/>
      </c>
      <c r="I262" s="39"/>
    </row>
    <row r="263" spans="1:9" ht="18" customHeight="1" x14ac:dyDescent="0.45">
      <c r="A263" s="37"/>
      <c r="B263" s="28"/>
      <c r="C263" s="30" t="str">
        <f>IFERROR(VLOOKUP(B263,KRX종목마스터!$A:$B,2,FALSE),"")</f>
        <v/>
      </c>
      <c r="D263" s="29"/>
      <c r="E263" s="42"/>
      <c r="F263" s="44"/>
      <c r="G263" s="31" t="str">
        <f t="shared" si="8"/>
        <v/>
      </c>
      <c r="H263" s="31" t="str">
        <f t="shared" si="9"/>
        <v/>
      </c>
      <c r="I263" s="39"/>
    </row>
    <row r="264" spans="1:9" ht="18" customHeight="1" x14ac:dyDescent="0.45">
      <c r="A264" s="37"/>
      <c r="B264" s="28"/>
      <c r="C264" s="30" t="str">
        <f>IFERROR(VLOOKUP(B264,KRX종목마스터!$A:$B,2,FALSE),"")</f>
        <v/>
      </c>
      <c r="D264" s="29"/>
      <c r="E264" s="42"/>
      <c r="F264" s="44"/>
      <c r="G264" s="31" t="str">
        <f t="shared" si="8"/>
        <v/>
      </c>
      <c r="H264" s="31" t="str">
        <f t="shared" si="9"/>
        <v/>
      </c>
      <c r="I264" s="39"/>
    </row>
    <row r="265" spans="1:9" ht="18" customHeight="1" x14ac:dyDescent="0.45">
      <c r="A265" s="37"/>
      <c r="B265" s="28"/>
      <c r="C265" s="30" t="str">
        <f>IFERROR(VLOOKUP(B265,KRX종목마스터!$A:$B,2,FALSE),"")</f>
        <v/>
      </c>
      <c r="D265" s="29"/>
      <c r="E265" s="42"/>
      <c r="F265" s="44"/>
      <c r="G265" s="31" t="str">
        <f t="shared" si="8"/>
        <v/>
      </c>
      <c r="H265" s="31" t="str">
        <f t="shared" si="9"/>
        <v/>
      </c>
      <c r="I265" s="39"/>
    </row>
    <row r="266" spans="1:9" ht="18" customHeight="1" x14ac:dyDescent="0.45">
      <c r="A266" s="37"/>
      <c r="B266" s="28"/>
      <c r="C266" s="30" t="str">
        <f>IFERROR(VLOOKUP(B266,KRX종목마스터!$A:$B,2,FALSE),"")</f>
        <v/>
      </c>
      <c r="D266" s="29"/>
      <c r="E266" s="42"/>
      <c r="F266" s="44"/>
      <c r="G266" s="31" t="str">
        <f t="shared" si="8"/>
        <v/>
      </c>
      <c r="H266" s="31" t="str">
        <f t="shared" si="9"/>
        <v/>
      </c>
      <c r="I266" s="39"/>
    </row>
    <row r="267" spans="1:9" ht="18" customHeight="1" x14ac:dyDescent="0.45">
      <c r="A267" s="37"/>
      <c r="B267" s="28"/>
      <c r="C267" s="30" t="str">
        <f>IFERROR(VLOOKUP(B267,KRX종목마스터!$A:$B,2,FALSE),"")</f>
        <v/>
      </c>
      <c r="D267" s="29"/>
      <c r="E267" s="42"/>
      <c r="F267" s="44"/>
      <c r="G267" s="31" t="str">
        <f t="shared" si="8"/>
        <v/>
      </c>
      <c r="H267" s="31" t="str">
        <f t="shared" si="9"/>
        <v/>
      </c>
      <c r="I267" s="39"/>
    </row>
    <row r="268" spans="1:9" ht="18" customHeight="1" x14ac:dyDescent="0.45">
      <c r="A268" s="37"/>
      <c r="B268" s="28"/>
      <c r="C268" s="30" t="str">
        <f>IFERROR(VLOOKUP(B268,KRX종목마스터!$A:$B,2,FALSE),"")</f>
        <v/>
      </c>
      <c r="D268" s="29"/>
      <c r="E268" s="42"/>
      <c r="F268" s="44"/>
      <c r="G268" s="31" t="str">
        <f t="shared" si="8"/>
        <v/>
      </c>
      <c r="H268" s="31" t="str">
        <f t="shared" si="9"/>
        <v/>
      </c>
      <c r="I268" s="39"/>
    </row>
    <row r="269" spans="1:9" ht="18" customHeight="1" x14ac:dyDescent="0.45">
      <c r="A269" s="37"/>
      <c r="B269" s="28"/>
      <c r="C269" s="30" t="str">
        <f>IFERROR(VLOOKUP(B269,KRX종목마스터!$A:$B,2,FALSE),"")</f>
        <v/>
      </c>
      <c r="D269" s="29"/>
      <c r="E269" s="42"/>
      <c r="F269" s="44"/>
      <c r="G269" s="31" t="str">
        <f t="shared" si="8"/>
        <v/>
      </c>
      <c r="H269" s="31" t="str">
        <f t="shared" si="9"/>
        <v/>
      </c>
      <c r="I269" s="39"/>
    </row>
    <row r="270" spans="1:9" ht="18" customHeight="1" x14ac:dyDescent="0.45">
      <c r="A270" s="37"/>
      <c r="B270" s="28"/>
      <c r="C270" s="30" t="str">
        <f>IFERROR(VLOOKUP(B270,KRX종목마스터!$A:$B,2,FALSE),"")</f>
        <v/>
      </c>
      <c r="D270" s="29"/>
      <c r="E270" s="42"/>
      <c r="F270" s="44"/>
      <c r="G270" s="31" t="str">
        <f t="shared" si="8"/>
        <v/>
      </c>
      <c r="H270" s="31" t="str">
        <f t="shared" si="9"/>
        <v/>
      </c>
      <c r="I270" s="39"/>
    </row>
    <row r="271" spans="1:9" ht="18" customHeight="1" x14ac:dyDescent="0.45">
      <c r="A271" s="37"/>
      <c r="B271" s="28"/>
      <c r="C271" s="30" t="str">
        <f>IFERROR(VLOOKUP(B271,KRX종목마스터!$A:$B,2,FALSE),"")</f>
        <v/>
      </c>
      <c r="D271" s="29"/>
      <c r="E271" s="42"/>
      <c r="F271" s="44"/>
      <c r="G271" s="31" t="str">
        <f t="shared" si="8"/>
        <v/>
      </c>
      <c r="H271" s="31" t="str">
        <f t="shared" si="9"/>
        <v/>
      </c>
      <c r="I271" s="39"/>
    </row>
    <row r="272" spans="1:9" ht="18" customHeight="1" x14ac:dyDescent="0.45">
      <c r="A272" s="37"/>
      <c r="B272" s="28"/>
      <c r="C272" s="30" t="str">
        <f>IFERROR(VLOOKUP(B272,KRX종목마스터!$A:$B,2,FALSE),"")</f>
        <v/>
      </c>
      <c r="D272" s="29"/>
      <c r="E272" s="42"/>
      <c r="F272" s="44"/>
      <c r="G272" s="31" t="str">
        <f t="shared" si="8"/>
        <v/>
      </c>
      <c r="H272" s="31" t="str">
        <f t="shared" si="9"/>
        <v/>
      </c>
      <c r="I272" s="39"/>
    </row>
    <row r="273" spans="1:9" ht="18" customHeight="1" x14ac:dyDescent="0.45">
      <c r="A273" s="37"/>
      <c r="B273" s="28"/>
      <c r="C273" s="30" t="str">
        <f>IFERROR(VLOOKUP(B273,KRX종목마스터!$A:$B,2,FALSE),"")</f>
        <v/>
      </c>
      <c r="D273" s="29"/>
      <c r="E273" s="42"/>
      <c r="F273" s="44"/>
      <c r="G273" s="31" t="str">
        <f t="shared" si="8"/>
        <v/>
      </c>
      <c r="H273" s="31" t="str">
        <f t="shared" si="9"/>
        <v/>
      </c>
      <c r="I273" s="39"/>
    </row>
    <row r="274" spans="1:9" ht="18" customHeight="1" x14ac:dyDescent="0.45">
      <c r="A274" s="37"/>
      <c r="B274" s="28"/>
      <c r="C274" s="30" t="str">
        <f>IFERROR(VLOOKUP(B274,KRX종목마스터!$A:$B,2,FALSE),"")</f>
        <v/>
      </c>
      <c r="D274" s="29"/>
      <c r="E274" s="42"/>
      <c r="F274" s="44"/>
      <c r="G274" s="31" t="str">
        <f t="shared" si="8"/>
        <v/>
      </c>
      <c r="H274" s="31" t="str">
        <f t="shared" si="9"/>
        <v/>
      </c>
      <c r="I274" s="39"/>
    </row>
    <row r="275" spans="1:9" ht="18" customHeight="1" x14ac:dyDescent="0.45">
      <c r="A275" s="37"/>
      <c r="B275" s="28"/>
      <c r="C275" s="30" t="str">
        <f>IFERROR(VLOOKUP(B275,KRX종목마스터!$A:$B,2,FALSE),"")</f>
        <v/>
      </c>
      <c r="D275" s="29"/>
      <c r="E275" s="42"/>
      <c r="F275" s="44"/>
      <c r="G275" s="31" t="str">
        <f t="shared" si="8"/>
        <v/>
      </c>
      <c r="H275" s="31" t="str">
        <f t="shared" si="9"/>
        <v/>
      </c>
      <c r="I275" s="39"/>
    </row>
    <row r="276" spans="1:9" ht="18" customHeight="1" x14ac:dyDescent="0.45">
      <c r="A276" s="37"/>
      <c r="B276" s="28"/>
      <c r="C276" s="30" t="str">
        <f>IFERROR(VLOOKUP(B276,KRX종목마스터!$A:$B,2,FALSE),"")</f>
        <v/>
      </c>
      <c r="D276" s="29"/>
      <c r="E276" s="42"/>
      <c r="F276" s="44"/>
      <c r="G276" s="31" t="str">
        <f t="shared" si="8"/>
        <v/>
      </c>
      <c r="H276" s="31" t="str">
        <f t="shared" si="9"/>
        <v/>
      </c>
      <c r="I276" s="39"/>
    </row>
    <row r="277" spans="1:9" ht="18" customHeight="1" x14ac:dyDescent="0.45">
      <c r="A277" s="37"/>
      <c r="B277" s="28"/>
      <c r="C277" s="30" t="str">
        <f>IFERROR(VLOOKUP(B277,KRX종목마스터!$A:$B,2,FALSE),"")</f>
        <v/>
      </c>
      <c r="D277" s="29"/>
      <c r="E277" s="42"/>
      <c r="F277" s="44"/>
      <c r="G277" s="31" t="str">
        <f t="shared" si="8"/>
        <v/>
      </c>
      <c r="H277" s="31" t="str">
        <f t="shared" si="9"/>
        <v/>
      </c>
      <c r="I277" s="39"/>
    </row>
    <row r="278" spans="1:9" ht="18" customHeight="1" x14ac:dyDescent="0.45">
      <c r="A278" s="37"/>
      <c r="B278" s="28"/>
      <c r="C278" s="30" t="str">
        <f>IFERROR(VLOOKUP(B278,KRX종목마스터!$A:$B,2,FALSE),"")</f>
        <v/>
      </c>
      <c r="D278" s="29"/>
      <c r="E278" s="42"/>
      <c r="F278" s="44"/>
      <c r="G278" s="31" t="str">
        <f t="shared" si="8"/>
        <v/>
      </c>
      <c r="H278" s="31" t="str">
        <f t="shared" si="9"/>
        <v/>
      </c>
      <c r="I278" s="39"/>
    </row>
    <row r="279" spans="1:9" ht="18" customHeight="1" x14ac:dyDescent="0.45">
      <c r="A279" s="37"/>
      <c r="B279" s="28"/>
      <c r="C279" s="30" t="str">
        <f>IFERROR(VLOOKUP(B279,KRX종목마스터!$A:$B,2,FALSE),"")</f>
        <v/>
      </c>
      <c r="D279" s="29"/>
      <c r="E279" s="42"/>
      <c r="F279" s="44"/>
      <c r="G279" s="31" t="str">
        <f t="shared" si="8"/>
        <v/>
      </c>
      <c r="H279" s="31" t="str">
        <f t="shared" si="9"/>
        <v/>
      </c>
      <c r="I279" s="39"/>
    </row>
    <row r="280" spans="1:9" ht="18" customHeight="1" x14ac:dyDescent="0.45">
      <c r="A280" s="37"/>
      <c r="B280" s="28"/>
      <c r="C280" s="30" t="str">
        <f>IFERROR(VLOOKUP(B280,KRX종목마스터!$A:$B,2,FALSE),"")</f>
        <v/>
      </c>
      <c r="D280" s="29"/>
      <c r="E280" s="42"/>
      <c r="F280" s="44"/>
      <c r="G280" s="31" t="str">
        <f t="shared" si="8"/>
        <v/>
      </c>
      <c r="H280" s="31" t="str">
        <f t="shared" si="9"/>
        <v/>
      </c>
      <c r="I280" s="39"/>
    </row>
    <row r="281" spans="1:9" ht="18" customHeight="1" x14ac:dyDescent="0.45">
      <c r="A281" s="37"/>
      <c r="B281" s="28"/>
      <c r="C281" s="30" t="str">
        <f>IFERROR(VLOOKUP(B281,KRX종목마스터!$A:$B,2,FALSE),"")</f>
        <v/>
      </c>
      <c r="D281" s="29"/>
      <c r="E281" s="42"/>
      <c r="F281" s="44"/>
      <c r="G281" s="31" t="str">
        <f t="shared" si="8"/>
        <v/>
      </c>
      <c r="H281" s="31" t="str">
        <f t="shared" si="9"/>
        <v/>
      </c>
      <c r="I281" s="39"/>
    </row>
    <row r="282" spans="1:9" ht="18" customHeight="1" x14ac:dyDescent="0.45">
      <c r="A282" s="37"/>
      <c r="B282" s="28"/>
      <c r="C282" s="30" t="str">
        <f>IFERROR(VLOOKUP(B282,KRX종목마스터!$A:$B,2,FALSE),"")</f>
        <v/>
      </c>
      <c r="D282" s="29"/>
      <c r="E282" s="42"/>
      <c r="F282" s="44"/>
      <c r="G282" s="31" t="str">
        <f t="shared" si="8"/>
        <v/>
      </c>
      <c r="H282" s="31" t="str">
        <f t="shared" si="9"/>
        <v/>
      </c>
      <c r="I282" s="39"/>
    </row>
    <row r="283" spans="1:9" ht="18" customHeight="1" x14ac:dyDescent="0.45">
      <c r="A283" s="37"/>
      <c r="B283" s="28"/>
      <c r="C283" s="30" t="str">
        <f>IFERROR(VLOOKUP(B283,KRX종목마스터!$A:$B,2,FALSE),"")</f>
        <v/>
      </c>
      <c r="D283" s="29"/>
      <c r="E283" s="42"/>
      <c r="F283" s="44"/>
      <c r="G283" s="31" t="str">
        <f t="shared" si="8"/>
        <v/>
      </c>
      <c r="H283" s="31" t="str">
        <f t="shared" si="9"/>
        <v/>
      </c>
      <c r="I283" s="39"/>
    </row>
    <row r="284" spans="1:9" ht="18" customHeight="1" x14ac:dyDescent="0.45">
      <c r="A284" s="37"/>
      <c r="B284" s="28"/>
      <c r="C284" s="30" t="str">
        <f>IFERROR(VLOOKUP(B284,KRX종목마스터!$A:$B,2,FALSE),"")</f>
        <v/>
      </c>
      <c r="D284" s="29"/>
      <c r="E284" s="42"/>
      <c r="F284" s="44"/>
      <c r="G284" s="31" t="str">
        <f t="shared" si="8"/>
        <v/>
      </c>
      <c r="H284" s="31" t="str">
        <f t="shared" si="9"/>
        <v/>
      </c>
      <c r="I284" s="39"/>
    </row>
    <row r="285" spans="1:9" ht="18" customHeight="1" x14ac:dyDescent="0.45">
      <c r="A285" s="37"/>
      <c r="B285" s="28"/>
      <c r="C285" s="30" t="str">
        <f>IFERROR(VLOOKUP(B285,KRX종목마스터!$A:$B,2,FALSE),"")</f>
        <v/>
      </c>
      <c r="D285" s="29"/>
      <c r="E285" s="42"/>
      <c r="F285" s="44"/>
      <c r="G285" s="31" t="str">
        <f t="shared" si="8"/>
        <v/>
      </c>
      <c r="H285" s="31" t="str">
        <f t="shared" si="9"/>
        <v/>
      </c>
      <c r="I285" s="39"/>
    </row>
    <row r="286" spans="1:9" ht="18" customHeight="1" x14ac:dyDescent="0.45">
      <c r="A286" s="37"/>
      <c r="B286" s="28"/>
      <c r="C286" s="30" t="str">
        <f>IFERROR(VLOOKUP(B286,KRX종목마스터!$A:$B,2,FALSE),"")</f>
        <v/>
      </c>
      <c r="D286" s="29"/>
      <c r="E286" s="42"/>
      <c r="F286" s="44"/>
      <c r="G286" s="31" t="str">
        <f t="shared" si="8"/>
        <v/>
      </c>
      <c r="H286" s="31" t="str">
        <f t="shared" si="9"/>
        <v/>
      </c>
      <c r="I286" s="39"/>
    </row>
    <row r="287" spans="1:9" ht="18" customHeight="1" x14ac:dyDescent="0.45">
      <c r="A287" s="37"/>
      <c r="B287" s="28"/>
      <c r="C287" s="30" t="str">
        <f>IFERROR(VLOOKUP(B287,KRX종목마스터!$A:$B,2,FALSE),"")</f>
        <v/>
      </c>
      <c r="D287" s="29"/>
      <c r="E287" s="42"/>
      <c r="F287" s="44"/>
      <c r="G287" s="31" t="str">
        <f t="shared" si="8"/>
        <v/>
      </c>
      <c r="H287" s="31" t="str">
        <f t="shared" si="9"/>
        <v/>
      </c>
      <c r="I287" s="39"/>
    </row>
    <row r="288" spans="1:9" ht="18" customHeight="1" x14ac:dyDescent="0.45">
      <c r="A288" s="37"/>
      <c r="B288" s="28"/>
      <c r="C288" s="30" t="str">
        <f>IFERROR(VLOOKUP(B288,KRX종목마스터!$A:$B,2,FALSE),"")</f>
        <v/>
      </c>
      <c r="D288" s="29"/>
      <c r="E288" s="42"/>
      <c r="F288" s="44"/>
      <c r="G288" s="31" t="str">
        <f t="shared" si="8"/>
        <v/>
      </c>
      <c r="H288" s="31" t="str">
        <f t="shared" si="9"/>
        <v/>
      </c>
      <c r="I288" s="39"/>
    </row>
    <row r="289" spans="1:9" ht="18" customHeight="1" x14ac:dyDescent="0.45">
      <c r="A289" s="37"/>
      <c r="B289" s="28"/>
      <c r="C289" s="30" t="str">
        <f>IFERROR(VLOOKUP(B289,KRX종목마스터!$A:$B,2,FALSE),"")</f>
        <v/>
      </c>
      <c r="D289" s="29"/>
      <c r="E289" s="42"/>
      <c r="F289" s="44"/>
      <c r="G289" s="31" t="str">
        <f t="shared" si="8"/>
        <v/>
      </c>
      <c r="H289" s="31" t="str">
        <f t="shared" si="9"/>
        <v/>
      </c>
      <c r="I289" s="39"/>
    </row>
    <row r="290" spans="1:9" ht="18" customHeight="1" x14ac:dyDescent="0.45">
      <c r="A290" s="37"/>
      <c r="B290" s="28"/>
      <c r="C290" s="30" t="str">
        <f>IFERROR(VLOOKUP(B290,KRX종목마스터!$A:$B,2,FALSE),"")</f>
        <v/>
      </c>
      <c r="D290" s="29"/>
      <c r="E290" s="42"/>
      <c r="F290" s="44"/>
      <c r="G290" s="31" t="str">
        <f t="shared" si="8"/>
        <v/>
      </c>
      <c r="H290" s="31" t="str">
        <f t="shared" si="9"/>
        <v/>
      </c>
      <c r="I290" s="39"/>
    </row>
    <row r="291" spans="1:9" ht="18" customHeight="1" x14ac:dyDescent="0.45">
      <c r="A291" s="37"/>
      <c r="B291" s="28"/>
      <c r="C291" s="30" t="str">
        <f>IFERROR(VLOOKUP(B291,KRX종목마스터!$A:$B,2,FALSE),"")</f>
        <v/>
      </c>
      <c r="D291" s="29"/>
      <c r="E291" s="42"/>
      <c r="F291" s="44"/>
      <c r="G291" s="31" t="str">
        <f t="shared" si="8"/>
        <v/>
      </c>
      <c r="H291" s="31" t="str">
        <f t="shared" si="9"/>
        <v/>
      </c>
      <c r="I291" s="39"/>
    </row>
    <row r="292" spans="1:9" ht="18" customHeight="1" x14ac:dyDescent="0.45">
      <c r="A292" s="37"/>
      <c r="B292" s="28"/>
      <c r="C292" s="30" t="str">
        <f>IFERROR(VLOOKUP(B292,KRX종목마스터!$A:$B,2,FALSE),"")</f>
        <v/>
      </c>
      <c r="D292" s="29"/>
      <c r="E292" s="42"/>
      <c r="F292" s="44"/>
      <c r="G292" s="31" t="str">
        <f t="shared" si="8"/>
        <v/>
      </c>
      <c r="H292" s="31" t="str">
        <f t="shared" si="9"/>
        <v/>
      </c>
      <c r="I292" s="39"/>
    </row>
    <row r="293" spans="1:9" ht="18" customHeight="1" x14ac:dyDescent="0.45">
      <c r="A293" s="37"/>
      <c r="B293" s="28"/>
      <c r="C293" s="30" t="str">
        <f>IFERROR(VLOOKUP(B293,KRX종목마스터!$A:$B,2,FALSE),"")</f>
        <v/>
      </c>
      <c r="D293" s="29"/>
      <c r="E293" s="42"/>
      <c r="F293" s="44"/>
      <c r="G293" s="31" t="str">
        <f t="shared" si="8"/>
        <v/>
      </c>
      <c r="H293" s="31" t="str">
        <f t="shared" si="9"/>
        <v/>
      </c>
      <c r="I293" s="39"/>
    </row>
    <row r="294" spans="1:9" ht="18" customHeight="1" x14ac:dyDescent="0.45">
      <c r="A294" s="37"/>
      <c r="B294" s="28"/>
      <c r="C294" s="30" t="str">
        <f>IFERROR(VLOOKUP(B294,KRX종목마스터!$A:$B,2,FALSE),"")</f>
        <v/>
      </c>
      <c r="D294" s="29"/>
      <c r="E294" s="42"/>
      <c r="F294" s="44"/>
      <c r="G294" s="31" t="str">
        <f t="shared" si="8"/>
        <v/>
      </c>
      <c r="H294" s="31" t="str">
        <f t="shared" si="9"/>
        <v/>
      </c>
      <c r="I294" s="39"/>
    </row>
    <row r="295" spans="1:9" ht="18" customHeight="1" x14ac:dyDescent="0.45">
      <c r="A295" s="37"/>
      <c r="B295" s="28"/>
      <c r="C295" s="30" t="str">
        <f>IFERROR(VLOOKUP(B295,KRX종목마스터!$A:$B,2,FALSE),"")</f>
        <v/>
      </c>
      <c r="D295" s="29"/>
      <c r="E295" s="42"/>
      <c r="F295" s="44"/>
      <c r="G295" s="31" t="str">
        <f t="shared" si="8"/>
        <v/>
      </c>
      <c r="H295" s="31" t="str">
        <f t="shared" si="9"/>
        <v/>
      </c>
      <c r="I295" s="39"/>
    </row>
    <row r="296" spans="1:9" ht="18" customHeight="1" x14ac:dyDescent="0.45">
      <c r="A296" s="37"/>
      <c r="B296" s="28"/>
      <c r="C296" s="30" t="str">
        <f>IFERROR(VLOOKUP(B296,KRX종목마스터!$A:$B,2,FALSE),"")</f>
        <v/>
      </c>
      <c r="D296" s="29"/>
      <c r="E296" s="42"/>
      <c r="F296" s="44"/>
      <c r="G296" s="31" t="str">
        <f t="shared" si="8"/>
        <v/>
      </c>
      <c r="H296" s="31" t="str">
        <f t="shared" si="9"/>
        <v/>
      </c>
      <c r="I296" s="39"/>
    </row>
    <row r="297" spans="1:9" ht="18" customHeight="1" x14ac:dyDescent="0.45">
      <c r="A297" s="37"/>
      <c r="B297" s="28"/>
      <c r="C297" s="30" t="str">
        <f>IFERROR(VLOOKUP(B297,KRX종목마스터!$A:$B,2,FALSE),"")</f>
        <v/>
      </c>
      <c r="D297" s="29"/>
      <c r="E297" s="42"/>
      <c r="F297" s="44"/>
      <c r="G297" s="31" t="str">
        <f t="shared" si="8"/>
        <v/>
      </c>
      <c r="H297" s="31" t="str">
        <f t="shared" si="9"/>
        <v/>
      </c>
      <c r="I297" s="39"/>
    </row>
    <row r="298" spans="1:9" ht="18" customHeight="1" x14ac:dyDescent="0.45">
      <c r="A298" s="37"/>
      <c r="B298" s="28"/>
      <c r="C298" s="30" t="str">
        <f>IFERROR(VLOOKUP(B298,KRX종목마스터!$A:$B,2,FALSE),"")</f>
        <v/>
      </c>
      <c r="D298" s="29"/>
      <c r="E298" s="42"/>
      <c r="F298" s="44"/>
      <c r="G298" s="31" t="str">
        <f t="shared" si="8"/>
        <v/>
      </c>
      <c r="H298" s="31" t="str">
        <f t="shared" si="9"/>
        <v/>
      </c>
      <c r="I298" s="39"/>
    </row>
    <row r="299" spans="1:9" ht="18" customHeight="1" x14ac:dyDescent="0.45">
      <c r="A299" s="37"/>
      <c r="B299" s="28"/>
      <c r="C299" s="30" t="str">
        <f>IFERROR(VLOOKUP(B299,KRX종목마스터!$A:$B,2,FALSE),"")</f>
        <v/>
      </c>
      <c r="D299" s="29"/>
      <c r="E299" s="42"/>
      <c r="F299" s="44"/>
      <c r="G299" s="31" t="str">
        <f t="shared" si="8"/>
        <v/>
      </c>
      <c r="H299" s="31" t="str">
        <f t="shared" si="9"/>
        <v/>
      </c>
      <c r="I299" s="39"/>
    </row>
    <row r="300" spans="1:9" ht="18" customHeight="1" x14ac:dyDescent="0.45">
      <c r="A300" s="37"/>
      <c r="B300" s="28"/>
      <c r="C300" s="30" t="str">
        <f>IFERROR(VLOOKUP(B300,KRX종목마스터!$A:$B,2,FALSE),"")</f>
        <v/>
      </c>
      <c r="D300" s="29"/>
      <c r="E300" s="42"/>
      <c r="F300" s="44"/>
      <c r="G300" s="31" t="str">
        <f t="shared" si="8"/>
        <v/>
      </c>
      <c r="H300" s="31" t="str">
        <f t="shared" si="9"/>
        <v/>
      </c>
      <c r="I300" s="39"/>
    </row>
    <row r="301" spans="1:9" ht="18" customHeight="1" x14ac:dyDescent="0.45">
      <c r="A301" s="37"/>
      <c r="B301" s="28"/>
      <c r="C301" s="30" t="str">
        <f>IFERROR(VLOOKUP(B301,KRX종목마스터!$A:$B,2,FALSE),"")</f>
        <v/>
      </c>
      <c r="D301" s="29"/>
      <c r="E301" s="42"/>
      <c r="F301" s="44"/>
      <c r="G301" s="31" t="str">
        <f t="shared" si="8"/>
        <v/>
      </c>
      <c r="H301" s="31" t="str">
        <f t="shared" si="9"/>
        <v/>
      </c>
      <c r="I301" s="39"/>
    </row>
    <row r="302" spans="1:9" ht="18" customHeight="1" x14ac:dyDescent="0.45">
      <c r="A302" s="37"/>
      <c r="B302" s="28"/>
      <c r="C302" s="30" t="str">
        <f>IFERROR(VLOOKUP(B302,KRX종목마스터!$A:$B,2,FALSE),"")</f>
        <v/>
      </c>
      <c r="D302" s="29"/>
      <c r="E302" s="42"/>
      <c r="F302" s="44"/>
      <c r="G302" s="31" t="str">
        <f t="shared" si="8"/>
        <v/>
      </c>
      <c r="H302" s="31" t="str">
        <f t="shared" si="9"/>
        <v/>
      </c>
      <c r="I302" s="39"/>
    </row>
    <row r="303" spans="1:9" ht="18" customHeight="1" x14ac:dyDescent="0.45">
      <c r="A303" s="37"/>
      <c r="B303" s="28"/>
      <c r="C303" s="30" t="str">
        <f>IFERROR(VLOOKUP(B303,KRX종목마스터!$A:$B,2,FALSE),"")</f>
        <v/>
      </c>
      <c r="D303" s="29"/>
      <c r="E303" s="42"/>
      <c r="F303" s="44"/>
      <c r="G303" s="31" t="str">
        <f t="shared" si="8"/>
        <v/>
      </c>
      <c r="H303" s="31" t="str">
        <f t="shared" si="9"/>
        <v/>
      </c>
      <c r="I303" s="39"/>
    </row>
    <row r="304" spans="1:9" ht="18" customHeight="1" x14ac:dyDescent="0.45">
      <c r="A304" s="37"/>
      <c r="B304" s="28"/>
      <c r="C304" s="30" t="str">
        <f>IFERROR(VLOOKUP(B304,KRX종목마스터!$A:$B,2,FALSE),"")</f>
        <v/>
      </c>
      <c r="D304" s="29"/>
      <c r="E304" s="42"/>
      <c r="F304" s="44"/>
      <c r="G304" s="31" t="str">
        <f t="shared" si="8"/>
        <v/>
      </c>
      <c r="H304" s="31" t="str">
        <f t="shared" si="9"/>
        <v/>
      </c>
      <c r="I304" s="39"/>
    </row>
    <row r="305" spans="1:9" ht="18" customHeight="1" x14ac:dyDescent="0.45">
      <c r="A305" s="37"/>
      <c r="B305" s="28"/>
      <c r="C305" s="30" t="str">
        <f>IFERROR(VLOOKUP(B305,KRX종목마스터!$A:$B,2,FALSE),"")</f>
        <v/>
      </c>
      <c r="D305" s="29"/>
      <c r="E305" s="42"/>
      <c r="F305" s="44"/>
      <c r="G305" s="31" t="str">
        <f t="shared" si="8"/>
        <v/>
      </c>
      <c r="H305" s="31" t="str">
        <f t="shared" si="9"/>
        <v/>
      </c>
      <c r="I305" s="39"/>
    </row>
    <row r="306" spans="1:9" ht="18" customHeight="1" x14ac:dyDescent="0.45">
      <c r="A306" s="37"/>
      <c r="B306" s="28"/>
      <c r="C306" s="30" t="str">
        <f>IFERROR(VLOOKUP(B306,KRX종목마스터!$A:$B,2,FALSE),"")</f>
        <v/>
      </c>
      <c r="D306" s="29"/>
      <c r="E306" s="42"/>
      <c r="F306" s="44"/>
      <c r="G306" s="31" t="str">
        <f t="shared" si="8"/>
        <v/>
      </c>
      <c r="H306" s="31" t="str">
        <f t="shared" si="9"/>
        <v/>
      </c>
      <c r="I306" s="39"/>
    </row>
    <row r="307" spans="1:9" ht="18" customHeight="1" x14ac:dyDescent="0.45">
      <c r="A307" s="37"/>
      <c r="B307" s="28"/>
      <c r="C307" s="30" t="str">
        <f>IFERROR(VLOOKUP(B307,KRX종목마스터!$A:$B,2,FALSE),"")</f>
        <v/>
      </c>
      <c r="D307" s="29"/>
      <c r="E307" s="42"/>
      <c r="F307" s="44"/>
      <c r="G307" s="31" t="str">
        <f t="shared" si="8"/>
        <v/>
      </c>
      <c r="H307" s="31" t="str">
        <f t="shared" si="9"/>
        <v/>
      </c>
      <c r="I307" s="39"/>
    </row>
    <row r="308" spans="1:9" ht="18" customHeight="1" x14ac:dyDescent="0.45">
      <c r="A308" s="37"/>
      <c r="B308" s="28"/>
      <c r="C308" s="30" t="str">
        <f>IFERROR(VLOOKUP(B308,KRX종목마스터!$A:$B,2,FALSE),"")</f>
        <v/>
      </c>
      <c r="D308" s="29"/>
      <c r="E308" s="42"/>
      <c r="F308" s="44"/>
      <c r="G308" s="31" t="str">
        <f t="shared" si="8"/>
        <v/>
      </c>
      <c r="H308" s="31" t="str">
        <f t="shared" si="9"/>
        <v/>
      </c>
      <c r="I308" s="39"/>
    </row>
    <row r="309" spans="1:9" ht="18" customHeight="1" x14ac:dyDescent="0.45">
      <c r="A309" s="37"/>
      <c r="B309" s="28"/>
      <c r="C309" s="30" t="str">
        <f>IFERROR(VLOOKUP(B309,KRX종목마스터!$A:$B,2,FALSE),"")</f>
        <v/>
      </c>
      <c r="D309" s="29"/>
      <c r="E309" s="42"/>
      <c r="F309" s="44"/>
      <c r="G309" s="31" t="str">
        <f t="shared" si="8"/>
        <v/>
      </c>
      <c r="H309" s="31" t="str">
        <f t="shared" si="9"/>
        <v/>
      </c>
      <c r="I309" s="39"/>
    </row>
    <row r="310" spans="1:9" ht="18" customHeight="1" x14ac:dyDescent="0.45">
      <c r="A310" s="37"/>
      <c r="B310" s="28"/>
      <c r="C310" s="30" t="str">
        <f>IFERROR(VLOOKUP(B310,KRX종목마스터!$A:$B,2,FALSE),"")</f>
        <v/>
      </c>
      <c r="D310" s="29"/>
      <c r="E310" s="42"/>
      <c r="F310" s="44"/>
      <c r="G310" s="31" t="str">
        <f t="shared" si="8"/>
        <v/>
      </c>
      <c r="H310" s="31" t="str">
        <f t="shared" si="9"/>
        <v/>
      </c>
      <c r="I310" s="39"/>
    </row>
    <row r="311" spans="1:9" ht="18" customHeight="1" x14ac:dyDescent="0.45">
      <c r="A311" s="37"/>
      <c r="B311" s="28"/>
      <c r="C311" s="30" t="str">
        <f>IFERROR(VLOOKUP(B311,KRX종목마스터!$A:$B,2,FALSE),"")</f>
        <v/>
      </c>
      <c r="D311" s="29"/>
      <c r="E311" s="42"/>
      <c r="F311" s="44"/>
      <c r="G311" s="31" t="str">
        <f t="shared" si="8"/>
        <v/>
      </c>
      <c r="H311" s="31" t="str">
        <f t="shared" si="9"/>
        <v/>
      </c>
      <c r="I311" s="39"/>
    </row>
    <row r="312" spans="1:9" ht="18" customHeight="1" x14ac:dyDescent="0.45">
      <c r="A312" s="37"/>
      <c r="B312" s="28"/>
      <c r="C312" s="30" t="str">
        <f>IFERROR(VLOOKUP(B312,KRX종목마스터!$A:$B,2,FALSE),"")</f>
        <v/>
      </c>
      <c r="D312" s="29"/>
      <c r="E312" s="42"/>
      <c r="F312" s="44"/>
      <c r="G312" s="31" t="str">
        <f t="shared" si="8"/>
        <v/>
      </c>
      <c r="H312" s="31" t="str">
        <f t="shared" si="9"/>
        <v/>
      </c>
      <c r="I312" s="39"/>
    </row>
    <row r="313" spans="1:9" ht="18" customHeight="1" x14ac:dyDescent="0.45">
      <c r="A313" s="37"/>
      <c r="B313" s="28"/>
      <c r="C313" s="30" t="str">
        <f>IFERROR(VLOOKUP(B313,KRX종목마스터!$A:$B,2,FALSE),"")</f>
        <v/>
      </c>
      <c r="D313" s="29"/>
      <c r="E313" s="42"/>
      <c r="F313" s="44"/>
      <c r="G313" s="31" t="str">
        <f t="shared" si="8"/>
        <v/>
      </c>
      <c r="H313" s="31" t="str">
        <f t="shared" si="9"/>
        <v/>
      </c>
      <c r="I313" s="39"/>
    </row>
    <row r="314" spans="1:9" ht="18" customHeight="1" x14ac:dyDescent="0.45">
      <c r="A314" s="37"/>
      <c r="B314" s="28"/>
      <c r="C314" s="30" t="str">
        <f>IFERROR(VLOOKUP(B314,KRX종목마스터!$A:$B,2,FALSE),"")</f>
        <v/>
      </c>
      <c r="D314" s="29"/>
      <c r="E314" s="42"/>
      <c r="F314" s="44"/>
      <c r="G314" s="31" t="str">
        <f t="shared" si="8"/>
        <v/>
      </c>
      <c r="H314" s="31" t="str">
        <f t="shared" si="9"/>
        <v/>
      </c>
      <c r="I314" s="39"/>
    </row>
    <row r="315" spans="1:9" ht="18" customHeight="1" x14ac:dyDescent="0.45">
      <c r="A315" s="37"/>
      <c r="B315" s="28"/>
      <c r="C315" s="30" t="str">
        <f>IFERROR(VLOOKUP(B315,KRX종목마스터!$A:$B,2,FALSE),"")</f>
        <v/>
      </c>
      <c r="D315" s="29"/>
      <c r="E315" s="42"/>
      <c r="F315" s="44"/>
      <c r="G315" s="31" t="str">
        <f t="shared" si="8"/>
        <v/>
      </c>
      <c r="H315" s="31" t="str">
        <f t="shared" si="9"/>
        <v/>
      </c>
      <c r="I315" s="39"/>
    </row>
    <row r="316" spans="1:9" ht="18" customHeight="1" x14ac:dyDescent="0.45">
      <c r="A316" s="37"/>
      <c r="B316" s="28"/>
      <c r="C316" s="30" t="str">
        <f>IFERROR(VLOOKUP(B316,KRX종목마스터!$A:$B,2,FALSE),"")</f>
        <v/>
      </c>
      <c r="D316" s="29"/>
      <c r="E316" s="42"/>
      <c r="F316" s="44"/>
      <c r="G316" s="31" t="str">
        <f t="shared" si="8"/>
        <v/>
      </c>
      <c r="H316" s="31" t="str">
        <f t="shared" si="9"/>
        <v/>
      </c>
      <c r="I316" s="39"/>
    </row>
    <row r="317" spans="1:9" ht="18" customHeight="1" x14ac:dyDescent="0.45">
      <c r="A317" s="37"/>
      <c r="B317" s="28"/>
      <c r="C317" s="30" t="str">
        <f>IFERROR(VLOOKUP(B317,KRX종목마스터!$A:$B,2,FALSE),"")</f>
        <v/>
      </c>
      <c r="D317" s="29"/>
      <c r="E317" s="42"/>
      <c r="F317" s="44"/>
      <c r="G317" s="31" t="str">
        <f t="shared" si="8"/>
        <v/>
      </c>
      <c r="H317" s="31" t="str">
        <f t="shared" si="9"/>
        <v/>
      </c>
      <c r="I317" s="39"/>
    </row>
    <row r="318" spans="1:9" ht="18" customHeight="1" x14ac:dyDescent="0.45">
      <c r="A318" s="37"/>
      <c r="B318" s="28"/>
      <c r="C318" s="30" t="str">
        <f>IFERROR(VLOOKUP(B318,KRX종목마스터!$A:$B,2,FALSE),"")</f>
        <v/>
      </c>
      <c r="D318" s="29"/>
      <c r="E318" s="42"/>
      <c r="F318" s="44"/>
      <c r="G318" s="31" t="str">
        <f t="shared" si="8"/>
        <v/>
      </c>
      <c r="H318" s="31" t="str">
        <f t="shared" si="9"/>
        <v/>
      </c>
      <c r="I318" s="39"/>
    </row>
    <row r="319" spans="1:9" ht="18" customHeight="1" x14ac:dyDescent="0.45">
      <c r="A319" s="37"/>
      <c r="B319" s="28"/>
      <c r="C319" s="30" t="str">
        <f>IFERROR(VLOOKUP(B319,KRX종목마스터!$A:$B,2,FALSE),"")</f>
        <v/>
      </c>
      <c r="D319" s="29"/>
      <c r="E319" s="42"/>
      <c r="F319" s="44"/>
      <c r="G319" s="31" t="str">
        <f t="shared" si="8"/>
        <v/>
      </c>
      <c r="H319" s="31" t="str">
        <f t="shared" si="9"/>
        <v/>
      </c>
      <c r="I319" s="39"/>
    </row>
    <row r="320" spans="1:9" ht="18" customHeight="1" x14ac:dyDescent="0.45">
      <c r="A320" s="37"/>
      <c r="B320" s="28"/>
      <c r="C320" s="30" t="str">
        <f>IFERROR(VLOOKUP(B320,KRX종목마스터!$A:$B,2,FALSE),"")</f>
        <v/>
      </c>
      <c r="D320" s="29"/>
      <c r="E320" s="42"/>
      <c r="F320" s="44"/>
      <c r="G320" s="31" t="str">
        <f t="shared" si="8"/>
        <v/>
      </c>
      <c r="H320" s="31" t="str">
        <f t="shared" si="9"/>
        <v/>
      </c>
      <c r="I320" s="39"/>
    </row>
    <row r="321" spans="1:9" ht="18" customHeight="1" x14ac:dyDescent="0.45">
      <c r="A321" s="37"/>
      <c r="B321" s="28"/>
      <c r="C321" s="30" t="str">
        <f>IFERROR(VLOOKUP(B321,KRX종목마스터!$A:$B,2,FALSE),"")</f>
        <v/>
      </c>
      <c r="D321" s="29"/>
      <c r="E321" s="42"/>
      <c r="F321" s="44"/>
      <c r="G321" s="31" t="str">
        <f t="shared" si="8"/>
        <v/>
      </c>
      <c r="H321" s="31" t="str">
        <f t="shared" si="9"/>
        <v/>
      </c>
      <c r="I321" s="39"/>
    </row>
    <row r="322" spans="1:9" ht="18" customHeight="1" x14ac:dyDescent="0.45">
      <c r="A322" s="37"/>
      <c r="B322" s="28"/>
      <c r="C322" s="30" t="str">
        <f>IFERROR(VLOOKUP(B322,KRX종목마스터!$A:$B,2,FALSE),"")</f>
        <v/>
      </c>
      <c r="D322" s="29"/>
      <c r="E322" s="42"/>
      <c r="F322" s="44"/>
      <c r="G322" s="31" t="str">
        <f t="shared" si="8"/>
        <v/>
      </c>
      <c r="H322" s="31" t="str">
        <f t="shared" si="9"/>
        <v/>
      </c>
      <c r="I322" s="39"/>
    </row>
    <row r="323" spans="1:9" ht="18" customHeight="1" x14ac:dyDescent="0.45">
      <c r="A323" s="37"/>
      <c r="B323" s="28"/>
      <c r="C323" s="30" t="str">
        <f>IFERROR(VLOOKUP(B323,KRX종목마스터!$A:$B,2,FALSE),"")</f>
        <v/>
      </c>
      <c r="D323" s="29"/>
      <c r="E323" s="42"/>
      <c r="F323" s="44"/>
      <c r="G323" s="31" t="str">
        <f t="shared" si="8"/>
        <v/>
      </c>
      <c r="H323" s="31" t="str">
        <f t="shared" si="9"/>
        <v/>
      </c>
      <c r="I323" s="39"/>
    </row>
    <row r="324" spans="1:9" ht="18" customHeight="1" x14ac:dyDescent="0.45">
      <c r="A324" s="37"/>
      <c r="B324" s="28"/>
      <c r="C324" s="30" t="str">
        <f>IFERROR(VLOOKUP(B324,KRX종목마스터!$A:$B,2,FALSE),"")</f>
        <v/>
      </c>
      <c r="D324" s="29"/>
      <c r="E324" s="42"/>
      <c r="F324" s="44"/>
      <c r="G324" s="31" t="str">
        <f t="shared" si="8"/>
        <v/>
      </c>
      <c r="H324" s="31" t="str">
        <f t="shared" si="9"/>
        <v/>
      </c>
      <c r="I324" s="39"/>
    </row>
    <row r="325" spans="1:9" ht="18" customHeight="1" x14ac:dyDescent="0.45">
      <c r="A325" s="37"/>
      <c r="B325" s="28"/>
      <c r="C325" s="30" t="str">
        <f>IFERROR(VLOOKUP(B325,KRX종목마스터!$A:$B,2,FALSE),"")</f>
        <v/>
      </c>
      <c r="D325" s="29"/>
      <c r="E325" s="42"/>
      <c r="F325" s="44"/>
      <c r="G325" s="31" t="str">
        <f t="shared" ref="G325:G388" si="10">IF(OR(E325="",F325=""),"",ROUND(E325*F325/100,0))</f>
        <v/>
      </c>
      <c r="H325" s="31" t="str">
        <f t="shared" ref="H325:H388" si="11">IF(E325="","",E325-IF(G325="",0,G325))</f>
        <v/>
      </c>
      <c r="I325" s="39"/>
    </row>
    <row r="326" spans="1:9" ht="18" customHeight="1" x14ac:dyDescent="0.45">
      <c r="A326" s="37"/>
      <c r="B326" s="28"/>
      <c r="C326" s="30" t="str">
        <f>IFERROR(VLOOKUP(B326,KRX종목마스터!$A:$B,2,FALSE),"")</f>
        <v/>
      </c>
      <c r="D326" s="29"/>
      <c r="E326" s="42"/>
      <c r="F326" s="44"/>
      <c r="G326" s="31" t="str">
        <f t="shared" si="10"/>
        <v/>
      </c>
      <c r="H326" s="31" t="str">
        <f t="shared" si="11"/>
        <v/>
      </c>
      <c r="I326" s="39"/>
    </row>
    <row r="327" spans="1:9" ht="18" customHeight="1" x14ac:dyDescent="0.45">
      <c r="A327" s="37"/>
      <c r="B327" s="28"/>
      <c r="C327" s="30" t="str">
        <f>IFERROR(VLOOKUP(B327,KRX종목마스터!$A:$B,2,FALSE),"")</f>
        <v/>
      </c>
      <c r="D327" s="29"/>
      <c r="E327" s="42"/>
      <c r="F327" s="44"/>
      <c r="G327" s="31" t="str">
        <f t="shared" si="10"/>
        <v/>
      </c>
      <c r="H327" s="31" t="str">
        <f t="shared" si="11"/>
        <v/>
      </c>
      <c r="I327" s="39"/>
    </row>
    <row r="328" spans="1:9" ht="18" customHeight="1" x14ac:dyDescent="0.45">
      <c r="A328" s="37"/>
      <c r="B328" s="28"/>
      <c r="C328" s="30" t="str">
        <f>IFERROR(VLOOKUP(B328,KRX종목마스터!$A:$B,2,FALSE),"")</f>
        <v/>
      </c>
      <c r="D328" s="29"/>
      <c r="E328" s="42"/>
      <c r="F328" s="44"/>
      <c r="G328" s="31" t="str">
        <f t="shared" si="10"/>
        <v/>
      </c>
      <c r="H328" s="31" t="str">
        <f t="shared" si="11"/>
        <v/>
      </c>
      <c r="I328" s="39"/>
    </row>
    <row r="329" spans="1:9" ht="18" customHeight="1" x14ac:dyDescent="0.45">
      <c r="A329" s="37"/>
      <c r="B329" s="28"/>
      <c r="C329" s="30" t="str">
        <f>IFERROR(VLOOKUP(B329,KRX종목마스터!$A:$B,2,FALSE),"")</f>
        <v/>
      </c>
      <c r="D329" s="29"/>
      <c r="E329" s="42"/>
      <c r="F329" s="44"/>
      <c r="G329" s="31" t="str">
        <f t="shared" si="10"/>
        <v/>
      </c>
      <c r="H329" s="31" t="str">
        <f t="shared" si="11"/>
        <v/>
      </c>
      <c r="I329" s="39"/>
    </row>
    <row r="330" spans="1:9" ht="18" customHeight="1" x14ac:dyDescent="0.45">
      <c r="A330" s="37"/>
      <c r="B330" s="28"/>
      <c r="C330" s="30" t="str">
        <f>IFERROR(VLOOKUP(B330,KRX종목마스터!$A:$B,2,FALSE),"")</f>
        <v/>
      </c>
      <c r="D330" s="29"/>
      <c r="E330" s="42"/>
      <c r="F330" s="44"/>
      <c r="G330" s="31" t="str">
        <f t="shared" si="10"/>
        <v/>
      </c>
      <c r="H330" s="31" t="str">
        <f t="shared" si="11"/>
        <v/>
      </c>
      <c r="I330" s="39"/>
    </row>
    <row r="331" spans="1:9" ht="18" customHeight="1" x14ac:dyDescent="0.45">
      <c r="A331" s="37"/>
      <c r="B331" s="28"/>
      <c r="C331" s="30" t="str">
        <f>IFERROR(VLOOKUP(B331,KRX종목마스터!$A:$B,2,FALSE),"")</f>
        <v/>
      </c>
      <c r="D331" s="29"/>
      <c r="E331" s="42"/>
      <c r="F331" s="44"/>
      <c r="G331" s="31" t="str">
        <f t="shared" si="10"/>
        <v/>
      </c>
      <c r="H331" s="31" t="str">
        <f t="shared" si="11"/>
        <v/>
      </c>
      <c r="I331" s="39"/>
    </row>
    <row r="332" spans="1:9" ht="18" customHeight="1" x14ac:dyDescent="0.45">
      <c r="A332" s="37"/>
      <c r="B332" s="28"/>
      <c r="C332" s="30" t="str">
        <f>IFERROR(VLOOKUP(B332,KRX종목마스터!$A:$B,2,FALSE),"")</f>
        <v/>
      </c>
      <c r="D332" s="29"/>
      <c r="E332" s="42"/>
      <c r="F332" s="44"/>
      <c r="G332" s="31" t="str">
        <f t="shared" si="10"/>
        <v/>
      </c>
      <c r="H332" s="31" t="str">
        <f t="shared" si="11"/>
        <v/>
      </c>
      <c r="I332" s="39"/>
    </row>
    <row r="333" spans="1:9" ht="18" customHeight="1" x14ac:dyDescent="0.45">
      <c r="A333" s="37"/>
      <c r="B333" s="28"/>
      <c r="C333" s="30" t="str">
        <f>IFERROR(VLOOKUP(B333,KRX종목마스터!$A:$B,2,FALSE),"")</f>
        <v/>
      </c>
      <c r="D333" s="29"/>
      <c r="E333" s="42"/>
      <c r="F333" s="44"/>
      <c r="G333" s="31" t="str">
        <f t="shared" si="10"/>
        <v/>
      </c>
      <c r="H333" s="31" t="str">
        <f t="shared" si="11"/>
        <v/>
      </c>
      <c r="I333" s="39"/>
    </row>
    <row r="334" spans="1:9" ht="18" customHeight="1" x14ac:dyDescent="0.45">
      <c r="A334" s="37"/>
      <c r="B334" s="28"/>
      <c r="C334" s="30" t="str">
        <f>IFERROR(VLOOKUP(B334,KRX종목마스터!$A:$B,2,FALSE),"")</f>
        <v/>
      </c>
      <c r="D334" s="29"/>
      <c r="E334" s="42"/>
      <c r="F334" s="44"/>
      <c r="G334" s="31" t="str">
        <f t="shared" si="10"/>
        <v/>
      </c>
      <c r="H334" s="31" t="str">
        <f t="shared" si="11"/>
        <v/>
      </c>
      <c r="I334" s="39"/>
    </row>
    <row r="335" spans="1:9" ht="18" customHeight="1" x14ac:dyDescent="0.45">
      <c r="A335" s="37"/>
      <c r="B335" s="28"/>
      <c r="C335" s="30" t="str">
        <f>IFERROR(VLOOKUP(B335,KRX종목마스터!$A:$B,2,FALSE),"")</f>
        <v/>
      </c>
      <c r="D335" s="29"/>
      <c r="E335" s="42"/>
      <c r="F335" s="44"/>
      <c r="G335" s="31" t="str">
        <f t="shared" si="10"/>
        <v/>
      </c>
      <c r="H335" s="31" t="str">
        <f t="shared" si="11"/>
        <v/>
      </c>
      <c r="I335" s="39"/>
    </row>
    <row r="336" spans="1:9" ht="18" customHeight="1" x14ac:dyDescent="0.45">
      <c r="A336" s="37"/>
      <c r="B336" s="28"/>
      <c r="C336" s="30" t="str">
        <f>IFERROR(VLOOKUP(B336,KRX종목마스터!$A:$B,2,FALSE),"")</f>
        <v/>
      </c>
      <c r="D336" s="29"/>
      <c r="E336" s="42"/>
      <c r="F336" s="44"/>
      <c r="G336" s="31" t="str">
        <f t="shared" si="10"/>
        <v/>
      </c>
      <c r="H336" s="31" t="str">
        <f t="shared" si="11"/>
        <v/>
      </c>
      <c r="I336" s="39"/>
    </row>
    <row r="337" spans="1:9" ht="18" customHeight="1" x14ac:dyDescent="0.45">
      <c r="A337" s="37"/>
      <c r="B337" s="28"/>
      <c r="C337" s="30" t="str">
        <f>IFERROR(VLOOKUP(B337,KRX종목마스터!$A:$B,2,FALSE),"")</f>
        <v/>
      </c>
      <c r="D337" s="29"/>
      <c r="E337" s="42"/>
      <c r="F337" s="44"/>
      <c r="G337" s="31" t="str">
        <f t="shared" si="10"/>
        <v/>
      </c>
      <c r="H337" s="31" t="str">
        <f t="shared" si="11"/>
        <v/>
      </c>
      <c r="I337" s="39"/>
    </row>
    <row r="338" spans="1:9" ht="18" customHeight="1" x14ac:dyDescent="0.45">
      <c r="A338" s="37"/>
      <c r="B338" s="28"/>
      <c r="C338" s="30" t="str">
        <f>IFERROR(VLOOKUP(B338,KRX종목마스터!$A:$B,2,FALSE),"")</f>
        <v/>
      </c>
      <c r="D338" s="29"/>
      <c r="E338" s="42"/>
      <c r="F338" s="44"/>
      <c r="G338" s="31" t="str">
        <f t="shared" si="10"/>
        <v/>
      </c>
      <c r="H338" s="31" t="str">
        <f t="shared" si="11"/>
        <v/>
      </c>
      <c r="I338" s="39"/>
    </row>
    <row r="339" spans="1:9" ht="18" customHeight="1" x14ac:dyDescent="0.45">
      <c r="A339" s="37"/>
      <c r="B339" s="28"/>
      <c r="C339" s="30" t="str">
        <f>IFERROR(VLOOKUP(B339,KRX종목마스터!$A:$B,2,FALSE),"")</f>
        <v/>
      </c>
      <c r="D339" s="29"/>
      <c r="E339" s="42"/>
      <c r="F339" s="44"/>
      <c r="G339" s="31" t="str">
        <f t="shared" si="10"/>
        <v/>
      </c>
      <c r="H339" s="31" t="str">
        <f t="shared" si="11"/>
        <v/>
      </c>
      <c r="I339" s="39"/>
    </row>
    <row r="340" spans="1:9" ht="18" customHeight="1" x14ac:dyDescent="0.45">
      <c r="A340" s="37"/>
      <c r="B340" s="28"/>
      <c r="C340" s="30" t="str">
        <f>IFERROR(VLOOKUP(B340,KRX종목마스터!$A:$B,2,FALSE),"")</f>
        <v/>
      </c>
      <c r="D340" s="29"/>
      <c r="E340" s="42"/>
      <c r="F340" s="44"/>
      <c r="G340" s="31" t="str">
        <f t="shared" si="10"/>
        <v/>
      </c>
      <c r="H340" s="31" t="str">
        <f t="shared" si="11"/>
        <v/>
      </c>
      <c r="I340" s="39"/>
    </row>
    <row r="341" spans="1:9" ht="18" customHeight="1" x14ac:dyDescent="0.45">
      <c r="A341" s="37"/>
      <c r="B341" s="28"/>
      <c r="C341" s="30" t="str">
        <f>IFERROR(VLOOKUP(B341,KRX종목마스터!$A:$B,2,FALSE),"")</f>
        <v/>
      </c>
      <c r="D341" s="29"/>
      <c r="E341" s="42"/>
      <c r="F341" s="44"/>
      <c r="G341" s="31" t="str">
        <f t="shared" si="10"/>
        <v/>
      </c>
      <c r="H341" s="31" t="str">
        <f t="shared" si="11"/>
        <v/>
      </c>
      <c r="I341" s="39"/>
    </row>
    <row r="342" spans="1:9" ht="18" customHeight="1" x14ac:dyDescent="0.45">
      <c r="A342" s="37"/>
      <c r="B342" s="28"/>
      <c r="C342" s="30" t="str">
        <f>IFERROR(VLOOKUP(B342,KRX종목마스터!$A:$B,2,FALSE),"")</f>
        <v/>
      </c>
      <c r="D342" s="29"/>
      <c r="E342" s="42"/>
      <c r="F342" s="44"/>
      <c r="G342" s="31" t="str">
        <f t="shared" si="10"/>
        <v/>
      </c>
      <c r="H342" s="31" t="str">
        <f t="shared" si="11"/>
        <v/>
      </c>
      <c r="I342" s="39"/>
    </row>
    <row r="343" spans="1:9" ht="18" customHeight="1" x14ac:dyDescent="0.45">
      <c r="A343" s="37"/>
      <c r="B343" s="28"/>
      <c r="C343" s="30" t="str">
        <f>IFERROR(VLOOKUP(B343,KRX종목마스터!$A:$B,2,FALSE),"")</f>
        <v/>
      </c>
      <c r="D343" s="29"/>
      <c r="E343" s="42"/>
      <c r="F343" s="44"/>
      <c r="G343" s="31" t="str">
        <f t="shared" si="10"/>
        <v/>
      </c>
      <c r="H343" s="31" t="str">
        <f t="shared" si="11"/>
        <v/>
      </c>
      <c r="I343" s="39"/>
    </row>
    <row r="344" spans="1:9" ht="18" customHeight="1" x14ac:dyDescent="0.45">
      <c r="A344" s="37"/>
      <c r="B344" s="28"/>
      <c r="C344" s="30" t="str">
        <f>IFERROR(VLOOKUP(B344,KRX종목마스터!$A:$B,2,FALSE),"")</f>
        <v/>
      </c>
      <c r="D344" s="29"/>
      <c r="E344" s="42"/>
      <c r="F344" s="44"/>
      <c r="G344" s="31" t="str">
        <f t="shared" si="10"/>
        <v/>
      </c>
      <c r="H344" s="31" t="str">
        <f t="shared" si="11"/>
        <v/>
      </c>
      <c r="I344" s="39"/>
    </row>
    <row r="345" spans="1:9" ht="18" customHeight="1" x14ac:dyDescent="0.45">
      <c r="A345" s="37"/>
      <c r="B345" s="28"/>
      <c r="C345" s="30" t="str">
        <f>IFERROR(VLOOKUP(B345,KRX종목마스터!$A:$B,2,FALSE),"")</f>
        <v/>
      </c>
      <c r="D345" s="29"/>
      <c r="E345" s="42"/>
      <c r="F345" s="44"/>
      <c r="G345" s="31" t="str">
        <f t="shared" si="10"/>
        <v/>
      </c>
      <c r="H345" s="31" t="str">
        <f t="shared" si="11"/>
        <v/>
      </c>
      <c r="I345" s="39"/>
    </row>
    <row r="346" spans="1:9" ht="18" customHeight="1" x14ac:dyDescent="0.45">
      <c r="A346" s="37"/>
      <c r="B346" s="28"/>
      <c r="C346" s="30" t="str">
        <f>IFERROR(VLOOKUP(B346,KRX종목마스터!$A:$B,2,FALSE),"")</f>
        <v/>
      </c>
      <c r="D346" s="29"/>
      <c r="E346" s="42"/>
      <c r="F346" s="44"/>
      <c r="G346" s="31" t="str">
        <f t="shared" si="10"/>
        <v/>
      </c>
      <c r="H346" s="31" t="str">
        <f t="shared" si="11"/>
        <v/>
      </c>
      <c r="I346" s="39"/>
    </row>
    <row r="347" spans="1:9" ht="18" customHeight="1" x14ac:dyDescent="0.45">
      <c r="A347" s="37"/>
      <c r="B347" s="28"/>
      <c r="C347" s="30" t="str">
        <f>IFERROR(VLOOKUP(B347,KRX종목마스터!$A:$B,2,FALSE),"")</f>
        <v/>
      </c>
      <c r="D347" s="29"/>
      <c r="E347" s="42"/>
      <c r="F347" s="44"/>
      <c r="G347" s="31" t="str">
        <f t="shared" si="10"/>
        <v/>
      </c>
      <c r="H347" s="31" t="str">
        <f t="shared" si="11"/>
        <v/>
      </c>
      <c r="I347" s="39"/>
    </row>
    <row r="348" spans="1:9" ht="18" customHeight="1" x14ac:dyDescent="0.45">
      <c r="A348" s="37"/>
      <c r="B348" s="28"/>
      <c r="C348" s="30" t="str">
        <f>IFERROR(VLOOKUP(B348,KRX종목마스터!$A:$B,2,FALSE),"")</f>
        <v/>
      </c>
      <c r="D348" s="29"/>
      <c r="E348" s="42"/>
      <c r="F348" s="44"/>
      <c r="G348" s="31" t="str">
        <f t="shared" si="10"/>
        <v/>
      </c>
      <c r="H348" s="31" t="str">
        <f t="shared" si="11"/>
        <v/>
      </c>
      <c r="I348" s="39"/>
    </row>
    <row r="349" spans="1:9" ht="18" customHeight="1" x14ac:dyDescent="0.45">
      <c r="A349" s="37"/>
      <c r="B349" s="28"/>
      <c r="C349" s="30" t="str">
        <f>IFERROR(VLOOKUP(B349,KRX종목마스터!$A:$B,2,FALSE),"")</f>
        <v/>
      </c>
      <c r="D349" s="29"/>
      <c r="E349" s="42"/>
      <c r="F349" s="44"/>
      <c r="G349" s="31" t="str">
        <f t="shared" si="10"/>
        <v/>
      </c>
      <c r="H349" s="31" t="str">
        <f t="shared" si="11"/>
        <v/>
      </c>
      <c r="I349" s="39"/>
    </row>
    <row r="350" spans="1:9" ht="18" customHeight="1" x14ac:dyDescent="0.45">
      <c r="A350" s="37"/>
      <c r="B350" s="28"/>
      <c r="C350" s="30" t="str">
        <f>IFERROR(VLOOKUP(B350,KRX종목마스터!$A:$B,2,FALSE),"")</f>
        <v/>
      </c>
      <c r="D350" s="29"/>
      <c r="E350" s="42"/>
      <c r="F350" s="44"/>
      <c r="G350" s="31" t="str">
        <f t="shared" si="10"/>
        <v/>
      </c>
      <c r="H350" s="31" t="str">
        <f t="shared" si="11"/>
        <v/>
      </c>
      <c r="I350" s="39"/>
    </row>
    <row r="351" spans="1:9" ht="18" customHeight="1" x14ac:dyDescent="0.45">
      <c r="A351" s="37"/>
      <c r="B351" s="28"/>
      <c r="C351" s="30" t="str">
        <f>IFERROR(VLOOKUP(B351,KRX종목마스터!$A:$B,2,FALSE),"")</f>
        <v/>
      </c>
      <c r="D351" s="29"/>
      <c r="E351" s="42"/>
      <c r="F351" s="44"/>
      <c r="G351" s="31" t="str">
        <f t="shared" si="10"/>
        <v/>
      </c>
      <c r="H351" s="31" t="str">
        <f t="shared" si="11"/>
        <v/>
      </c>
      <c r="I351" s="39"/>
    </row>
    <row r="352" spans="1:9" ht="18" customHeight="1" x14ac:dyDescent="0.45">
      <c r="A352" s="37"/>
      <c r="B352" s="28"/>
      <c r="C352" s="30" t="str">
        <f>IFERROR(VLOOKUP(B352,KRX종목마스터!$A:$B,2,FALSE),"")</f>
        <v/>
      </c>
      <c r="D352" s="29"/>
      <c r="E352" s="42"/>
      <c r="F352" s="44"/>
      <c r="G352" s="31" t="str">
        <f t="shared" si="10"/>
        <v/>
      </c>
      <c r="H352" s="31" t="str">
        <f t="shared" si="11"/>
        <v/>
      </c>
      <c r="I352" s="39"/>
    </row>
    <row r="353" spans="1:9" ht="18" customHeight="1" x14ac:dyDescent="0.45">
      <c r="A353" s="37"/>
      <c r="B353" s="28"/>
      <c r="C353" s="30" t="str">
        <f>IFERROR(VLOOKUP(B353,KRX종목마스터!$A:$B,2,FALSE),"")</f>
        <v/>
      </c>
      <c r="D353" s="29"/>
      <c r="E353" s="42"/>
      <c r="F353" s="44"/>
      <c r="G353" s="31" t="str">
        <f t="shared" si="10"/>
        <v/>
      </c>
      <c r="H353" s="31" t="str">
        <f t="shared" si="11"/>
        <v/>
      </c>
      <c r="I353" s="39"/>
    </row>
    <row r="354" spans="1:9" ht="18" customHeight="1" x14ac:dyDescent="0.45">
      <c r="A354" s="37"/>
      <c r="B354" s="28"/>
      <c r="C354" s="30" t="str">
        <f>IFERROR(VLOOKUP(B354,KRX종목마스터!$A:$B,2,FALSE),"")</f>
        <v/>
      </c>
      <c r="D354" s="29"/>
      <c r="E354" s="42"/>
      <c r="F354" s="44"/>
      <c r="G354" s="31" t="str">
        <f t="shared" si="10"/>
        <v/>
      </c>
      <c r="H354" s="31" t="str">
        <f t="shared" si="11"/>
        <v/>
      </c>
      <c r="I354" s="39"/>
    </row>
    <row r="355" spans="1:9" ht="18" customHeight="1" x14ac:dyDescent="0.45">
      <c r="A355" s="37"/>
      <c r="B355" s="28"/>
      <c r="C355" s="30" t="str">
        <f>IFERROR(VLOOKUP(B355,KRX종목마스터!$A:$B,2,FALSE),"")</f>
        <v/>
      </c>
      <c r="D355" s="29"/>
      <c r="E355" s="42"/>
      <c r="F355" s="44"/>
      <c r="G355" s="31" t="str">
        <f t="shared" si="10"/>
        <v/>
      </c>
      <c r="H355" s="31" t="str">
        <f t="shared" si="11"/>
        <v/>
      </c>
      <c r="I355" s="39"/>
    </row>
    <row r="356" spans="1:9" ht="18" customHeight="1" x14ac:dyDescent="0.45">
      <c r="A356" s="37"/>
      <c r="B356" s="28"/>
      <c r="C356" s="30" t="str">
        <f>IFERROR(VLOOKUP(B356,KRX종목마스터!$A:$B,2,FALSE),"")</f>
        <v/>
      </c>
      <c r="D356" s="29"/>
      <c r="E356" s="42"/>
      <c r="F356" s="44"/>
      <c r="G356" s="31" t="str">
        <f t="shared" si="10"/>
        <v/>
      </c>
      <c r="H356" s="31" t="str">
        <f t="shared" si="11"/>
        <v/>
      </c>
      <c r="I356" s="39"/>
    </row>
    <row r="357" spans="1:9" ht="18" customHeight="1" x14ac:dyDescent="0.45">
      <c r="A357" s="37"/>
      <c r="B357" s="28"/>
      <c r="C357" s="30" t="str">
        <f>IFERROR(VLOOKUP(B357,KRX종목마스터!$A:$B,2,FALSE),"")</f>
        <v/>
      </c>
      <c r="D357" s="29"/>
      <c r="E357" s="42"/>
      <c r="F357" s="44"/>
      <c r="G357" s="31" t="str">
        <f t="shared" si="10"/>
        <v/>
      </c>
      <c r="H357" s="31" t="str">
        <f t="shared" si="11"/>
        <v/>
      </c>
      <c r="I357" s="39"/>
    </row>
    <row r="358" spans="1:9" ht="18" customHeight="1" x14ac:dyDescent="0.45">
      <c r="A358" s="37"/>
      <c r="B358" s="28"/>
      <c r="C358" s="30" t="str">
        <f>IFERROR(VLOOKUP(B358,KRX종목마스터!$A:$B,2,FALSE),"")</f>
        <v/>
      </c>
      <c r="D358" s="29"/>
      <c r="E358" s="42"/>
      <c r="F358" s="44"/>
      <c r="G358" s="31" t="str">
        <f t="shared" si="10"/>
        <v/>
      </c>
      <c r="H358" s="31" t="str">
        <f t="shared" si="11"/>
        <v/>
      </c>
      <c r="I358" s="39"/>
    </row>
    <row r="359" spans="1:9" ht="18" customHeight="1" x14ac:dyDescent="0.45">
      <c r="A359" s="37"/>
      <c r="B359" s="28"/>
      <c r="C359" s="30" t="str">
        <f>IFERROR(VLOOKUP(B359,KRX종목마스터!$A:$B,2,FALSE),"")</f>
        <v/>
      </c>
      <c r="D359" s="29"/>
      <c r="E359" s="42"/>
      <c r="F359" s="44"/>
      <c r="G359" s="31" t="str">
        <f t="shared" si="10"/>
        <v/>
      </c>
      <c r="H359" s="31" t="str">
        <f t="shared" si="11"/>
        <v/>
      </c>
      <c r="I359" s="39"/>
    </row>
    <row r="360" spans="1:9" ht="18" customHeight="1" x14ac:dyDescent="0.45">
      <c r="A360" s="37"/>
      <c r="B360" s="28"/>
      <c r="C360" s="30" t="str">
        <f>IFERROR(VLOOKUP(B360,KRX종목마스터!$A:$B,2,FALSE),"")</f>
        <v/>
      </c>
      <c r="D360" s="29"/>
      <c r="E360" s="42"/>
      <c r="F360" s="44"/>
      <c r="G360" s="31" t="str">
        <f t="shared" si="10"/>
        <v/>
      </c>
      <c r="H360" s="31" t="str">
        <f t="shared" si="11"/>
        <v/>
      </c>
      <c r="I360" s="39"/>
    </row>
    <row r="361" spans="1:9" ht="18" customHeight="1" x14ac:dyDescent="0.45">
      <c r="A361" s="37"/>
      <c r="B361" s="28"/>
      <c r="C361" s="30" t="str">
        <f>IFERROR(VLOOKUP(B361,KRX종목마스터!$A:$B,2,FALSE),"")</f>
        <v/>
      </c>
      <c r="D361" s="29"/>
      <c r="E361" s="42"/>
      <c r="F361" s="44"/>
      <c r="G361" s="31" t="str">
        <f t="shared" si="10"/>
        <v/>
      </c>
      <c r="H361" s="31" t="str">
        <f t="shared" si="11"/>
        <v/>
      </c>
      <c r="I361" s="39"/>
    </row>
    <row r="362" spans="1:9" ht="18" customHeight="1" x14ac:dyDescent="0.45">
      <c r="A362" s="37"/>
      <c r="B362" s="28"/>
      <c r="C362" s="30" t="str">
        <f>IFERROR(VLOOKUP(B362,KRX종목마스터!$A:$B,2,FALSE),"")</f>
        <v/>
      </c>
      <c r="D362" s="29"/>
      <c r="E362" s="42"/>
      <c r="F362" s="44"/>
      <c r="G362" s="31" t="str">
        <f t="shared" si="10"/>
        <v/>
      </c>
      <c r="H362" s="31" t="str">
        <f t="shared" si="11"/>
        <v/>
      </c>
      <c r="I362" s="39"/>
    </row>
    <row r="363" spans="1:9" ht="18" customHeight="1" x14ac:dyDescent="0.45">
      <c r="A363" s="37"/>
      <c r="B363" s="28"/>
      <c r="C363" s="30" t="str">
        <f>IFERROR(VLOOKUP(B363,KRX종목마스터!$A:$B,2,FALSE),"")</f>
        <v/>
      </c>
      <c r="D363" s="29"/>
      <c r="E363" s="42"/>
      <c r="F363" s="44"/>
      <c r="G363" s="31" t="str">
        <f t="shared" si="10"/>
        <v/>
      </c>
      <c r="H363" s="31" t="str">
        <f t="shared" si="11"/>
        <v/>
      </c>
      <c r="I363" s="39"/>
    </row>
    <row r="364" spans="1:9" ht="18" customHeight="1" x14ac:dyDescent="0.45">
      <c r="A364" s="37"/>
      <c r="B364" s="28"/>
      <c r="C364" s="30" t="str">
        <f>IFERROR(VLOOKUP(B364,KRX종목마스터!$A:$B,2,FALSE),"")</f>
        <v/>
      </c>
      <c r="D364" s="29"/>
      <c r="E364" s="42"/>
      <c r="F364" s="44"/>
      <c r="G364" s="31" t="str">
        <f t="shared" si="10"/>
        <v/>
      </c>
      <c r="H364" s="31" t="str">
        <f t="shared" si="11"/>
        <v/>
      </c>
      <c r="I364" s="39"/>
    </row>
    <row r="365" spans="1:9" ht="18" customHeight="1" x14ac:dyDescent="0.45">
      <c r="A365" s="37"/>
      <c r="B365" s="28"/>
      <c r="C365" s="30" t="str">
        <f>IFERROR(VLOOKUP(B365,KRX종목마스터!$A:$B,2,FALSE),"")</f>
        <v/>
      </c>
      <c r="D365" s="29"/>
      <c r="E365" s="42"/>
      <c r="F365" s="44"/>
      <c r="G365" s="31" t="str">
        <f t="shared" si="10"/>
        <v/>
      </c>
      <c r="H365" s="31" t="str">
        <f t="shared" si="11"/>
        <v/>
      </c>
      <c r="I365" s="39"/>
    </row>
    <row r="366" spans="1:9" ht="18" customHeight="1" x14ac:dyDescent="0.45">
      <c r="A366" s="37"/>
      <c r="B366" s="28"/>
      <c r="C366" s="30" t="str">
        <f>IFERROR(VLOOKUP(B366,KRX종목마스터!$A:$B,2,FALSE),"")</f>
        <v/>
      </c>
      <c r="D366" s="29"/>
      <c r="E366" s="42"/>
      <c r="F366" s="44"/>
      <c r="G366" s="31" t="str">
        <f t="shared" si="10"/>
        <v/>
      </c>
      <c r="H366" s="31" t="str">
        <f t="shared" si="11"/>
        <v/>
      </c>
      <c r="I366" s="39"/>
    </row>
    <row r="367" spans="1:9" ht="18" customHeight="1" x14ac:dyDescent="0.45">
      <c r="A367" s="37"/>
      <c r="B367" s="28"/>
      <c r="C367" s="30" t="str">
        <f>IFERROR(VLOOKUP(B367,KRX종목마스터!$A:$B,2,FALSE),"")</f>
        <v/>
      </c>
      <c r="D367" s="29"/>
      <c r="E367" s="42"/>
      <c r="F367" s="44"/>
      <c r="G367" s="31" t="str">
        <f t="shared" si="10"/>
        <v/>
      </c>
      <c r="H367" s="31" t="str">
        <f t="shared" si="11"/>
        <v/>
      </c>
      <c r="I367" s="39"/>
    </row>
    <row r="368" spans="1:9" ht="18" customHeight="1" x14ac:dyDescent="0.45">
      <c r="A368" s="37"/>
      <c r="B368" s="28"/>
      <c r="C368" s="30" t="str">
        <f>IFERROR(VLOOKUP(B368,KRX종목마스터!$A:$B,2,FALSE),"")</f>
        <v/>
      </c>
      <c r="D368" s="29"/>
      <c r="E368" s="42"/>
      <c r="F368" s="44"/>
      <c r="G368" s="31" t="str">
        <f t="shared" si="10"/>
        <v/>
      </c>
      <c r="H368" s="31" t="str">
        <f t="shared" si="11"/>
        <v/>
      </c>
      <c r="I368" s="39"/>
    </row>
    <row r="369" spans="1:9" ht="18" customHeight="1" x14ac:dyDescent="0.45">
      <c r="A369" s="37"/>
      <c r="B369" s="28"/>
      <c r="C369" s="30" t="str">
        <f>IFERROR(VLOOKUP(B369,KRX종목마스터!$A:$B,2,FALSE),"")</f>
        <v/>
      </c>
      <c r="D369" s="29"/>
      <c r="E369" s="42"/>
      <c r="F369" s="44"/>
      <c r="G369" s="31" t="str">
        <f t="shared" si="10"/>
        <v/>
      </c>
      <c r="H369" s="31" t="str">
        <f t="shared" si="11"/>
        <v/>
      </c>
      <c r="I369" s="39"/>
    </row>
    <row r="370" spans="1:9" ht="18" customHeight="1" x14ac:dyDescent="0.45">
      <c r="A370" s="37"/>
      <c r="B370" s="28"/>
      <c r="C370" s="30" t="str">
        <f>IFERROR(VLOOKUP(B370,KRX종목마스터!$A:$B,2,FALSE),"")</f>
        <v/>
      </c>
      <c r="D370" s="29"/>
      <c r="E370" s="42"/>
      <c r="F370" s="44"/>
      <c r="G370" s="31" t="str">
        <f t="shared" si="10"/>
        <v/>
      </c>
      <c r="H370" s="31" t="str">
        <f t="shared" si="11"/>
        <v/>
      </c>
      <c r="I370" s="39"/>
    </row>
    <row r="371" spans="1:9" ht="18" customHeight="1" x14ac:dyDescent="0.45">
      <c r="A371" s="37"/>
      <c r="B371" s="28"/>
      <c r="C371" s="30" t="str">
        <f>IFERROR(VLOOKUP(B371,KRX종목마스터!$A:$B,2,FALSE),"")</f>
        <v/>
      </c>
      <c r="D371" s="29"/>
      <c r="E371" s="42"/>
      <c r="F371" s="44"/>
      <c r="G371" s="31" t="str">
        <f t="shared" si="10"/>
        <v/>
      </c>
      <c r="H371" s="31" t="str">
        <f t="shared" si="11"/>
        <v/>
      </c>
      <c r="I371" s="39"/>
    </row>
    <row r="372" spans="1:9" ht="18" customHeight="1" x14ac:dyDescent="0.45">
      <c r="A372" s="37"/>
      <c r="B372" s="28"/>
      <c r="C372" s="30" t="str">
        <f>IFERROR(VLOOKUP(B372,KRX종목마스터!$A:$B,2,FALSE),"")</f>
        <v/>
      </c>
      <c r="D372" s="29"/>
      <c r="E372" s="42"/>
      <c r="F372" s="44"/>
      <c r="G372" s="31" t="str">
        <f t="shared" si="10"/>
        <v/>
      </c>
      <c r="H372" s="31" t="str">
        <f t="shared" si="11"/>
        <v/>
      </c>
      <c r="I372" s="39"/>
    </row>
    <row r="373" spans="1:9" ht="18" customHeight="1" x14ac:dyDescent="0.45">
      <c r="A373" s="37"/>
      <c r="B373" s="28"/>
      <c r="C373" s="30" t="str">
        <f>IFERROR(VLOOKUP(B373,KRX종목마스터!$A:$B,2,FALSE),"")</f>
        <v/>
      </c>
      <c r="D373" s="29"/>
      <c r="E373" s="42"/>
      <c r="F373" s="44"/>
      <c r="G373" s="31" t="str">
        <f t="shared" si="10"/>
        <v/>
      </c>
      <c r="H373" s="31" t="str">
        <f t="shared" si="11"/>
        <v/>
      </c>
      <c r="I373" s="39"/>
    </row>
    <row r="374" spans="1:9" ht="18" customHeight="1" x14ac:dyDescent="0.45">
      <c r="A374" s="37"/>
      <c r="B374" s="28"/>
      <c r="C374" s="30" t="str">
        <f>IFERROR(VLOOKUP(B374,KRX종목마스터!$A:$B,2,FALSE),"")</f>
        <v/>
      </c>
      <c r="D374" s="29"/>
      <c r="E374" s="42"/>
      <c r="F374" s="44"/>
      <c r="G374" s="31" t="str">
        <f t="shared" si="10"/>
        <v/>
      </c>
      <c r="H374" s="31" t="str">
        <f t="shared" si="11"/>
        <v/>
      </c>
      <c r="I374" s="39"/>
    </row>
    <row r="375" spans="1:9" ht="18" customHeight="1" x14ac:dyDescent="0.45">
      <c r="A375" s="37"/>
      <c r="B375" s="28"/>
      <c r="C375" s="30" t="str">
        <f>IFERROR(VLOOKUP(B375,KRX종목마스터!$A:$B,2,FALSE),"")</f>
        <v/>
      </c>
      <c r="D375" s="29"/>
      <c r="E375" s="42"/>
      <c r="F375" s="44"/>
      <c r="G375" s="31" t="str">
        <f t="shared" si="10"/>
        <v/>
      </c>
      <c r="H375" s="31" t="str">
        <f t="shared" si="11"/>
        <v/>
      </c>
      <c r="I375" s="39"/>
    </row>
    <row r="376" spans="1:9" ht="18" customHeight="1" x14ac:dyDescent="0.45">
      <c r="A376" s="37"/>
      <c r="B376" s="28"/>
      <c r="C376" s="30" t="str">
        <f>IFERROR(VLOOKUP(B376,KRX종목마스터!$A:$B,2,FALSE),"")</f>
        <v/>
      </c>
      <c r="D376" s="29"/>
      <c r="E376" s="42"/>
      <c r="F376" s="44"/>
      <c r="G376" s="31" t="str">
        <f t="shared" si="10"/>
        <v/>
      </c>
      <c r="H376" s="31" t="str">
        <f t="shared" si="11"/>
        <v/>
      </c>
      <c r="I376" s="39"/>
    </row>
    <row r="377" spans="1:9" ht="18" customHeight="1" x14ac:dyDescent="0.45">
      <c r="A377" s="37"/>
      <c r="B377" s="28"/>
      <c r="C377" s="30" t="str">
        <f>IFERROR(VLOOKUP(B377,KRX종목마스터!$A:$B,2,FALSE),"")</f>
        <v/>
      </c>
      <c r="D377" s="29"/>
      <c r="E377" s="42"/>
      <c r="F377" s="44"/>
      <c r="G377" s="31" t="str">
        <f t="shared" si="10"/>
        <v/>
      </c>
      <c r="H377" s="31" t="str">
        <f t="shared" si="11"/>
        <v/>
      </c>
      <c r="I377" s="39"/>
    </row>
    <row r="378" spans="1:9" ht="18" customHeight="1" x14ac:dyDescent="0.45">
      <c r="A378" s="37"/>
      <c r="B378" s="28"/>
      <c r="C378" s="30" t="str">
        <f>IFERROR(VLOOKUP(B378,KRX종목마스터!$A:$B,2,FALSE),"")</f>
        <v/>
      </c>
      <c r="D378" s="29"/>
      <c r="E378" s="42"/>
      <c r="F378" s="44"/>
      <c r="G378" s="31" t="str">
        <f t="shared" si="10"/>
        <v/>
      </c>
      <c r="H378" s="31" t="str">
        <f t="shared" si="11"/>
        <v/>
      </c>
      <c r="I378" s="39"/>
    </row>
    <row r="379" spans="1:9" ht="18" customHeight="1" x14ac:dyDescent="0.45">
      <c r="A379" s="37"/>
      <c r="B379" s="28"/>
      <c r="C379" s="30" t="str">
        <f>IFERROR(VLOOKUP(B379,KRX종목마스터!$A:$B,2,FALSE),"")</f>
        <v/>
      </c>
      <c r="D379" s="29"/>
      <c r="E379" s="42"/>
      <c r="F379" s="44"/>
      <c r="G379" s="31" t="str">
        <f t="shared" si="10"/>
        <v/>
      </c>
      <c r="H379" s="31" t="str">
        <f t="shared" si="11"/>
        <v/>
      </c>
      <c r="I379" s="39"/>
    </row>
    <row r="380" spans="1:9" ht="18" customHeight="1" x14ac:dyDescent="0.45">
      <c r="A380" s="37"/>
      <c r="B380" s="28"/>
      <c r="C380" s="30" t="str">
        <f>IFERROR(VLOOKUP(B380,KRX종목마스터!$A:$B,2,FALSE),"")</f>
        <v/>
      </c>
      <c r="D380" s="29"/>
      <c r="E380" s="42"/>
      <c r="F380" s="44"/>
      <c r="G380" s="31" t="str">
        <f t="shared" si="10"/>
        <v/>
      </c>
      <c r="H380" s="31" t="str">
        <f t="shared" si="11"/>
        <v/>
      </c>
      <c r="I380" s="39"/>
    </row>
    <row r="381" spans="1:9" ht="18" customHeight="1" x14ac:dyDescent="0.45">
      <c r="A381" s="37"/>
      <c r="B381" s="28"/>
      <c r="C381" s="30" t="str">
        <f>IFERROR(VLOOKUP(B381,KRX종목마스터!$A:$B,2,FALSE),"")</f>
        <v/>
      </c>
      <c r="D381" s="29"/>
      <c r="E381" s="42"/>
      <c r="F381" s="44"/>
      <c r="G381" s="31" t="str">
        <f t="shared" si="10"/>
        <v/>
      </c>
      <c r="H381" s="31" t="str">
        <f t="shared" si="11"/>
        <v/>
      </c>
      <c r="I381" s="39"/>
    </row>
    <row r="382" spans="1:9" ht="18" customHeight="1" x14ac:dyDescent="0.45">
      <c r="A382" s="37"/>
      <c r="B382" s="28"/>
      <c r="C382" s="30" t="str">
        <f>IFERROR(VLOOKUP(B382,KRX종목마스터!$A:$B,2,FALSE),"")</f>
        <v/>
      </c>
      <c r="D382" s="29"/>
      <c r="E382" s="42"/>
      <c r="F382" s="44"/>
      <c r="G382" s="31" t="str">
        <f t="shared" si="10"/>
        <v/>
      </c>
      <c r="H382" s="31" t="str">
        <f t="shared" si="11"/>
        <v/>
      </c>
      <c r="I382" s="39"/>
    </row>
    <row r="383" spans="1:9" ht="18" customHeight="1" x14ac:dyDescent="0.45">
      <c r="A383" s="37"/>
      <c r="B383" s="28"/>
      <c r="C383" s="30" t="str">
        <f>IFERROR(VLOOKUP(B383,KRX종목마스터!$A:$B,2,FALSE),"")</f>
        <v/>
      </c>
      <c r="D383" s="29"/>
      <c r="E383" s="42"/>
      <c r="F383" s="44"/>
      <c r="G383" s="31" t="str">
        <f t="shared" si="10"/>
        <v/>
      </c>
      <c r="H383" s="31" t="str">
        <f t="shared" si="11"/>
        <v/>
      </c>
      <c r="I383" s="39"/>
    </row>
    <row r="384" spans="1:9" ht="18" customHeight="1" x14ac:dyDescent="0.45">
      <c r="A384" s="37"/>
      <c r="B384" s="28"/>
      <c r="C384" s="30" t="str">
        <f>IFERROR(VLOOKUP(B384,KRX종목마스터!$A:$B,2,FALSE),"")</f>
        <v/>
      </c>
      <c r="D384" s="29"/>
      <c r="E384" s="42"/>
      <c r="F384" s="44"/>
      <c r="G384" s="31" t="str">
        <f t="shared" si="10"/>
        <v/>
      </c>
      <c r="H384" s="31" t="str">
        <f t="shared" si="11"/>
        <v/>
      </c>
      <c r="I384" s="39"/>
    </row>
    <row r="385" spans="1:9" ht="18" customHeight="1" x14ac:dyDescent="0.45">
      <c r="A385" s="37"/>
      <c r="B385" s="28"/>
      <c r="C385" s="30" t="str">
        <f>IFERROR(VLOOKUP(B385,KRX종목마스터!$A:$B,2,FALSE),"")</f>
        <v/>
      </c>
      <c r="D385" s="29"/>
      <c r="E385" s="42"/>
      <c r="F385" s="44"/>
      <c r="G385" s="31" t="str">
        <f t="shared" si="10"/>
        <v/>
      </c>
      <c r="H385" s="31" t="str">
        <f t="shared" si="11"/>
        <v/>
      </c>
      <c r="I385" s="39"/>
    </row>
    <row r="386" spans="1:9" ht="18" customHeight="1" x14ac:dyDescent="0.45">
      <c r="A386" s="37"/>
      <c r="B386" s="28"/>
      <c r="C386" s="30" t="str">
        <f>IFERROR(VLOOKUP(B386,KRX종목마스터!$A:$B,2,FALSE),"")</f>
        <v/>
      </c>
      <c r="D386" s="29"/>
      <c r="E386" s="42"/>
      <c r="F386" s="44"/>
      <c r="G386" s="31" t="str">
        <f t="shared" si="10"/>
        <v/>
      </c>
      <c r="H386" s="31" t="str">
        <f t="shared" si="11"/>
        <v/>
      </c>
      <c r="I386" s="39"/>
    </row>
    <row r="387" spans="1:9" ht="18" customHeight="1" x14ac:dyDescent="0.45">
      <c r="A387" s="37"/>
      <c r="B387" s="28"/>
      <c r="C387" s="30" t="str">
        <f>IFERROR(VLOOKUP(B387,KRX종목마스터!$A:$B,2,FALSE),"")</f>
        <v/>
      </c>
      <c r="D387" s="29"/>
      <c r="E387" s="42"/>
      <c r="F387" s="44"/>
      <c r="G387" s="31" t="str">
        <f t="shared" si="10"/>
        <v/>
      </c>
      <c r="H387" s="31" t="str">
        <f t="shared" si="11"/>
        <v/>
      </c>
      <c r="I387" s="39"/>
    </row>
    <row r="388" spans="1:9" ht="18" customHeight="1" x14ac:dyDescent="0.45">
      <c r="A388" s="37"/>
      <c r="B388" s="28"/>
      <c r="C388" s="30" t="str">
        <f>IFERROR(VLOOKUP(B388,KRX종목마스터!$A:$B,2,FALSE),"")</f>
        <v/>
      </c>
      <c r="D388" s="29"/>
      <c r="E388" s="42"/>
      <c r="F388" s="44"/>
      <c r="G388" s="31" t="str">
        <f t="shared" si="10"/>
        <v/>
      </c>
      <c r="H388" s="31" t="str">
        <f t="shared" si="11"/>
        <v/>
      </c>
      <c r="I388" s="39"/>
    </row>
    <row r="389" spans="1:9" ht="18" customHeight="1" x14ac:dyDescent="0.45">
      <c r="A389" s="37"/>
      <c r="B389" s="28"/>
      <c r="C389" s="30" t="str">
        <f>IFERROR(VLOOKUP(B389,KRX종목마스터!$A:$B,2,FALSE),"")</f>
        <v/>
      </c>
      <c r="D389" s="29"/>
      <c r="E389" s="42"/>
      <c r="F389" s="44"/>
      <c r="G389" s="31" t="str">
        <f t="shared" ref="G389:G452" si="12">IF(OR(E389="",F389=""),"",ROUND(E389*F389/100,0))</f>
        <v/>
      </c>
      <c r="H389" s="31" t="str">
        <f t="shared" ref="H389:H452" si="13">IF(E389="","",E389-IF(G389="",0,G389))</f>
        <v/>
      </c>
      <c r="I389" s="39"/>
    </row>
    <row r="390" spans="1:9" ht="18" customHeight="1" x14ac:dyDescent="0.45">
      <c r="A390" s="37"/>
      <c r="B390" s="28"/>
      <c r="C390" s="30" t="str">
        <f>IFERROR(VLOOKUP(B390,KRX종목마스터!$A:$B,2,FALSE),"")</f>
        <v/>
      </c>
      <c r="D390" s="29"/>
      <c r="E390" s="42"/>
      <c r="F390" s="44"/>
      <c r="G390" s="31" t="str">
        <f t="shared" si="12"/>
        <v/>
      </c>
      <c r="H390" s="31" t="str">
        <f t="shared" si="13"/>
        <v/>
      </c>
      <c r="I390" s="39"/>
    </row>
    <row r="391" spans="1:9" ht="18" customHeight="1" x14ac:dyDescent="0.45">
      <c r="A391" s="37"/>
      <c r="B391" s="28"/>
      <c r="C391" s="30" t="str">
        <f>IFERROR(VLOOKUP(B391,KRX종목마스터!$A:$B,2,FALSE),"")</f>
        <v/>
      </c>
      <c r="D391" s="29"/>
      <c r="E391" s="42"/>
      <c r="F391" s="44"/>
      <c r="G391" s="31" t="str">
        <f t="shared" si="12"/>
        <v/>
      </c>
      <c r="H391" s="31" t="str">
        <f t="shared" si="13"/>
        <v/>
      </c>
      <c r="I391" s="39"/>
    </row>
    <row r="392" spans="1:9" ht="18" customHeight="1" x14ac:dyDescent="0.45">
      <c r="A392" s="37"/>
      <c r="B392" s="28"/>
      <c r="C392" s="30" t="str">
        <f>IFERROR(VLOOKUP(B392,KRX종목마스터!$A:$B,2,FALSE),"")</f>
        <v/>
      </c>
      <c r="D392" s="29"/>
      <c r="E392" s="42"/>
      <c r="F392" s="44"/>
      <c r="G392" s="31" t="str">
        <f t="shared" si="12"/>
        <v/>
      </c>
      <c r="H392" s="31" t="str">
        <f t="shared" si="13"/>
        <v/>
      </c>
      <c r="I392" s="39"/>
    </row>
    <row r="393" spans="1:9" ht="18" customHeight="1" x14ac:dyDescent="0.45">
      <c r="A393" s="37"/>
      <c r="B393" s="28"/>
      <c r="C393" s="30" t="str">
        <f>IFERROR(VLOOKUP(B393,KRX종목마스터!$A:$B,2,FALSE),"")</f>
        <v/>
      </c>
      <c r="D393" s="29"/>
      <c r="E393" s="42"/>
      <c r="F393" s="44"/>
      <c r="G393" s="31" t="str">
        <f t="shared" si="12"/>
        <v/>
      </c>
      <c r="H393" s="31" t="str">
        <f t="shared" si="13"/>
        <v/>
      </c>
      <c r="I393" s="39"/>
    </row>
    <row r="394" spans="1:9" ht="18" customHeight="1" x14ac:dyDescent="0.45">
      <c r="A394" s="37"/>
      <c r="B394" s="28"/>
      <c r="C394" s="30" t="str">
        <f>IFERROR(VLOOKUP(B394,KRX종목마스터!$A:$B,2,FALSE),"")</f>
        <v/>
      </c>
      <c r="D394" s="29"/>
      <c r="E394" s="42"/>
      <c r="F394" s="44"/>
      <c r="G394" s="31" t="str">
        <f t="shared" si="12"/>
        <v/>
      </c>
      <c r="H394" s="31" t="str">
        <f t="shared" si="13"/>
        <v/>
      </c>
      <c r="I394" s="39"/>
    </row>
    <row r="395" spans="1:9" ht="18" customHeight="1" x14ac:dyDescent="0.45">
      <c r="A395" s="37"/>
      <c r="B395" s="28"/>
      <c r="C395" s="30" t="str">
        <f>IFERROR(VLOOKUP(B395,KRX종목마스터!$A:$B,2,FALSE),"")</f>
        <v/>
      </c>
      <c r="D395" s="29"/>
      <c r="E395" s="42"/>
      <c r="F395" s="44"/>
      <c r="G395" s="31" t="str">
        <f t="shared" si="12"/>
        <v/>
      </c>
      <c r="H395" s="31" t="str">
        <f t="shared" si="13"/>
        <v/>
      </c>
      <c r="I395" s="39"/>
    </row>
    <row r="396" spans="1:9" ht="18" customHeight="1" x14ac:dyDescent="0.45">
      <c r="A396" s="37"/>
      <c r="B396" s="28"/>
      <c r="C396" s="30" t="str">
        <f>IFERROR(VLOOKUP(B396,KRX종목마스터!$A:$B,2,FALSE),"")</f>
        <v/>
      </c>
      <c r="D396" s="29"/>
      <c r="E396" s="42"/>
      <c r="F396" s="44"/>
      <c r="G396" s="31" t="str">
        <f t="shared" si="12"/>
        <v/>
      </c>
      <c r="H396" s="31" t="str">
        <f t="shared" si="13"/>
        <v/>
      </c>
      <c r="I396" s="39"/>
    </row>
    <row r="397" spans="1:9" ht="18" customHeight="1" x14ac:dyDescent="0.45">
      <c r="A397" s="37"/>
      <c r="B397" s="28"/>
      <c r="C397" s="30" t="str">
        <f>IFERROR(VLOOKUP(B397,KRX종목마스터!$A:$B,2,FALSE),"")</f>
        <v/>
      </c>
      <c r="D397" s="29"/>
      <c r="E397" s="42"/>
      <c r="F397" s="44"/>
      <c r="G397" s="31" t="str">
        <f t="shared" si="12"/>
        <v/>
      </c>
      <c r="H397" s="31" t="str">
        <f t="shared" si="13"/>
        <v/>
      </c>
      <c r="I397" s="39"/>
    </row>
    <row r="398" spans="1:9" ht="18" customHeight="1" x14ac:dyDescent="0.45">
      <c r="A398" s="37"/>
      <c r="B398" s="28"/>
      <c r="C398" s="30" t="str">
        <f>IFERROR(VLOOKUP(B398,KRX종목마스터!$A:$B,2,FALSE),"")</f>
        <v/>
      </c>
      <c r="D398" s="29"/>
      <c r="E398" s="42"/>
      <c r="F398" s="44"/>
      <c r="G398" s="31" t="str">
        <f t="shared" si="12"/>
        <v/>
      </c>
      <c r="H398" s="31" t="str">
        <f t="shared" si="13"/>
        <v/>
      </c>
      <c r="I398" s="39"/>
    </row>
    <row r="399" spans="1:9" ht="18" customHeight="1" x14ac:dyDescent="0.45">
      <c r="A399" s="37"/>
      <c r="B399" s="28"/>
      <c r="C399" s="30" t="str">
        <f>IFERROR(VLOOKUP(B399,KRX종목마스터!$A:$B,2,FALSE),"")</f>
        <v/>
      </c>
      <c r="D399" s="29"/>
      <c r="E399" s="42"/>
      <c r="F399" s="44"/>
      <c r="G399" s="31" t="str">
        <f t="shared" si="12"/>
        <v/>
      </c>
      <c r="H399" s="31" t="str">
        <f t="shared" si="13"/>
        <v/>
      </c>
      <c r="I399" s="39"/>
    </row>
    <row r="400" spans="1:9" ht="18" customHeight="1" x14ac:dyDescent="0.45">
      <c r="A400" s="37"/>
      <c r="B400" s="28"/>
      <c r="C400" s="30" t="str">
        <f>IFERROR(VLOOKUP(B400,KRX종목마스터!$A:$B,2,FALSE),"")</f>
        <v/>
      </c>
      <c r="D400" s="29"/>
      <c r="E400" s="42"/>
      <c r="F400" s="44"/>
      <c r="G400" s="31" t="str">
        <f t="shared" si="12"/>
        <v/>
      </c>
      <c r="H400" s="31" t="str">
        <f t="shared" si="13"/>
        <v/>
      </c>
      <c r="I400" s="39"/>
    </row>
    <row r="401" spans="1:9" ht="18" customHeight="1" x14ac:dyDescent="0.45">
      <c r="A401" s="37"/>
      <c r="B401" s="28"/>
      <c r="C401" s="30" t="str">
        <f>IFERROR(VLOOKUP(B401,KRX종목마스터!$A:$B,2,FALSE),"")</f>
        <v/>
      </c>
      <c r="D401" s="29"/>
      <c r="E401" s="42"/>
      <c r="F401" s="44"/>
      <c r="G401" s="31" t="str">
        <f t="shared" si="12"/>
        <v/>
      </c>
      <c r="H401" s="31" t="str">
        <f t="shared" si="13"/>
        <v/>
      </c>
      <c r="I401" s="39"/>
    </row>
    <row r="402" spans="1:9" ht="18" customHeight="1" x14ac:dyDescent="0.45">
      <c r="A402" s="37"/>
      <c r="B402" s="28"/>
      <c r="C402" s="30" t="str">
        <f>IFERROR(VLOOKUP(B402,KRX종목마스터!$A:$B,2,FALSE),"")</f>
        <v/>
      </c>
      <c r="D402" s="29"/>
      <c r="E402" s="42"/>
      <c r="F402" s="44"/>
      <c r="G402" s="31" t="str">
        <f t="shared" si="12"/>
        <v/>
      </c>
      <c r="H402" s="31" t="str">
        <f t="shared" si="13"/>
        <v/>
      </c>
      <c r="I402" s="39"/>
    </row>
    <row r="403" spans="1:9" ht="18" customHeight="1" x14ac:dyDescent="0.45">
      <c r="A403" s="37"/>
      <c r="B403" s="28"/>
      <c r="C403" s="30" t="str">
        <f>IFERROR(VLOOKUP(B403,KRX종목마스터!$A:$B,2,FALSE),"")</f>
        <v/>
      </c>
      <c r="D403" s="29"/>
      <c r="E403" s="42"/>
      <c r="F403" s="44"/>
      <c r="G403" s="31" t="str">
        <f t="shared" si="12"/>
        <v/>
      </c>
      <c r="H403" s="31" t="str">
        <f t="shared" si="13"/>
        <v/>
      </c>
      <c r="I403" s="39"/>
    </row>
    <row r="404" spans="1:9" ht="18" customHeight="1" x14ac:dyDescent="0.45">
      <c r="A404" s="37"/>
      <c r="B404" s="28"/>
      <c r="C404" s="30" t="str">
        <f>IFERROR(VLOOKUP(B404,KRX종목마스터!$A:$B,2,FALSE),"")</f>
        <v/>
      </c>
      <c r="D404" s="29"/>
      <c r="E404" s="42"/>
      <c r="F404" s="44"/>
      <c r="G404" s="31" t="str">
        <f t="shared" si="12"/>
        <v/>
      </c>
      <c r="H404" s="31" t="str">
        <f t="shared" si="13"/>
        <v/>
      </c>
      <c r="I404" s="39"/>
    </row>
    <row r="405" spans="1:9" ht="18" customHeight="1" x14ac:dyDescent="0.45">
      <c r="A405" s="37"/>
      <c r="B405" s="28"/>
      <c r="C405" s="30" t="str">
        <f>IFERROR(VLOOKUP(B405,KRX종목마스터!$A:$B,2,FALSE),"")</f>
        <v/>
      </c>
      <c r="D405" s="29"/>
      <c r="E405" s="42"/>
      <c r="F405" s="44"/>
      <c r="G405" s="31" t="str">
        <f t="shared" si="12"/>
        <v/>
      </c>
      <c r="H405" s="31" t="str">
        <f t="shared" si="13"/>
        <v/>
      </c>
      <c r="I405" s="39"/>
    </row>
    <row r="406" spans="1:9" ht="18" customHeight="1" x14ac:dyDescent="0.45">
      <c r="A406" s="37"/>
      <c r="B406" s="28"/>
      <c r="C406" s="30" t="str">
        <f>IFERROR(VLOOKUP(B406,KRX종목마스터!$A:$B,2,FALSE),"")</f>
        <v/>
      </c>
      <c r="D406" s="29"/>
      <c r="E406" s="42"/>
      <c r="F406" s="44"/>
      <c r="G406" s="31" t="str">
        <f t="shared" si="12"/>
        <v/>
      </c>
      <c r="H406" s="31" t="str">
        <f t="shared" si="13"/>
        <v/>
      </c>
      <c r="I406" s="39"/>
    </row>
    <row r="407" spans="1:9" ht="18" customHeight="1" x14ac:dyDescent="0.45">
      <c r="A407" s="37"/>
      <c r="B407" s="28"/>
      <c r="C407" s="30" t="str">
        <f>IFERROR(VLOOKUP(B407,KRX종목마스터!$A:$B,2,FALSE),"")</f>
        <v/>
      </c>
      <c r="D407" s="29"/>
      <c r="E407" s="42"/>
      <c r="F407" s="44"/>
      <c r="G407" s="31" t="str">
        <f t="shared" si="12"/>
        <v/>
      </c>
      <c r="H407" s="31" t="str">
        <f t="shared" si="13"/>
        <v/>
      </c>
      <c r="I407" s="39"/>
    </row>
    <row r="408" spans="1:9" ht="18" customHeight="1" x14ac:dyDescent="0.45">
      <c r="A408" s="37"/>
      <c r="B408" s="28"/>
      <c r="C408" s="30" t="str">
        <f>IFERROR(VLOOKUP(B408,KRX종목마스터!$A:$B,2,FALSE),"")</f>
        <v/>
      </c>
      <c r="D408" s="29"/>
      <c r="E408" s="42"/>
      <c r="F408" s="44"/>
      <c r="G408" s="31" t="str">
        <f t="shared" si="12"/>
        <v/>
      </c>
      <c r="H408" s="31" t="str">
        <f t="shared" si="13"/>
        <v/>
      </c>
      <c r="I408" s="39"/>
    </row>
    <row r="409" spans="1:9" ht="18" customHeight="1" x14ac:dyDescent="0.45">
      <c r="A409" s="37"/>
      <c r="B409" s="28"/>
      <c r="C409" s="30" t="str">
        <f>IFERROR(VLOOKUP(B409,KRX종목마스터!$A:$B,2,FALSE),"")</f>
        <v/>
      </c>
      <c r="D409" s="29"/>
      <c r="E409" s="42"/>
      <c r="F409" s="44"/>
      <c r="G409" s="31" t="str">
        <f t="shared" si="12"/>
        <v/>
      </c>
      <c r="H409" s="31" t="str">
        <f t="shared" si="13"/>
        <v/>
      </c>
      <c r="I409" s="39"/>
    </row>
    <row r="410" spans="1:9" ht="18" customHeight="1" x14ac:dyDescent="0.45">
      <c r="A410" s="37"/>
      <c r="B410" s="28"/>
      <c r="C410" s="30" t="str">
        <f>IFERROR(VLOOKUP(B410,KRX종목마스터!$A:$B,2,FALSE),"")</f>
        <v/>
      </c>
      <c r="D410" s="29"/>
      <c r="E410" s="42"/>
      <c r="F410" s="44"/>
      <c r="G410" s="31" t="str">
        <f t="shared" si="12"/>
        <v/>
      </c>
      <c r="H410" s="31" t="str">
        <f t="shared" si="13"/>
        <v/>
      </c>
      <c r="I410" s="39"/>
    </row>
    <row r="411" spans="1:9" ht="18" customHeight="1" x14ac:dyDescent="0.45">
      <c r="A411" s="37"/>
      <c r="B411" s="28"/>
      <c r="C411" s="30" t="str">
        <f>IFERROR(VLOOKUP(B411,KRX종목마스터!$A:$B,2,FALSE),"")</f>
        <v/>
      </c>
      <c r="D411" s="29"/>
      <c r="E411" s="42"/>
      <c r="F411" s="44"/>
      <c r="G411" s="31" t="str">
        <f t="shared" si="12"/>
        <v/>
      </c>
      <c r="H411" s="31" t="str">
        <f t="shared" si="13"/>
        <v/>
      </c>
      <c r="I411" s="39"/>
    </row>
    <row r="412" spans="1:9" ht="18" customHeight="1" x14ac:dyDescent="0.45">
      <c r="A412" s="37"/>
      <c r="B412" s="28"/>
      <c r="C412" s="30" t="str">
        <f>IFERROR(VLOOKUP(B412,KRX종목마스터!$A:$B,2,FALSE),"")</f>
        <v/>
      </c>
      <c r="D412" s="29"/>
      <c r="E412" s="42"/>
      <c r="F412" s="44"/>
      <c r="G412" s="31" t="str">
        <f t="shared" si="12"/>
        <v/>
      </c>
      <c r="H412" s="31" t="str">
        <f t="shared" si="13"/>
        <v/>
      </c>
      <c r="I412" s="39"/>
    </row>
    <row r="413" spans="1:9" ht="18" customHeight="1" x14ac:dyDescent="0.45">
      <c r="A413" s="37"/>
      <c r="B413" s="28"/>
      <c r="C413" s="30" t="str">
        <f>IFERROR(VLOOKUP(B413,KRX종목마스터!$A:$B,2,FALSE),"")</f>
        <v/>
      </c>
      <c r="D413" s="29"/>
      <c r="E413" s="42"/>
      <c r="F413" s="44"/>
      <c r="G413" s="31" t="str">
        <f t="shared" si="12"/>
        <v/>
      </c>
      <c r="H413" s="31" t="str">
        <f t="shared" si="13"/>
        <v/>
      </c>
      <c r="I413" s="39"/>
    </row>
    <row r="414" spans="1:9" ht="18" customHeight="1" x14ac:dyDescent="0.45">
      <c r="A414" s="37"/>
      <c r="B414" s="28"/>
      <c r="C414" s="30" t="str">
        <f>IFERROR(VLOOKUP(B414,KRX종목마스터!$A:$B,2,FALSE),"")</f>
        <v/>
      </c>
      <c r="D414" s="29"/>
      <c r="E414" s="42"/>
      <c r="F414" s="44"/>
      <c r="G414" s="31" t="str">
        <f t="shared" si="12"/>
        <v/>
      </c>
      <c r="H414" s="31" t="str">
        <f t="shared" si="13"/>
        <v/>
      </c>
      <c r="I414" s="39"/>
    </row>
    <row r="415" spans="1:9" ht="18" customHeight="1" x14ac:dyDescent="0.45">
      <c r="A415" s="37"/>
      <c r="B415" s="28"/>
      <c r="C415" s="30" t="str">
        <f>IFERROR(VLOOKUP(B415,KRX종목마스터!$A:$B,2,FALSE),"")</f>
        <v/>
      </c>
      <c r="D415" s="29"/>
      <c r="E415" s="42"/>
      <c r="F415" s="44"/>
      <c r="G415" s="31" t="str">
        <f t="shared" si="12"/>
        <v/>
      </c>
      <c r="H415" s="31" t="str">
        <f t="shared" si="13"/>
        <v/>
      </c>
      <c r="I415" s="39"/>
    </row>
    <row r="416" spans="1:9" ht="18" customHeight="1" x14ac:dyDescent="0.45">
      <c r="A416" s="37"/>
      <c r="B416" s="28"/>
      <c r="C416" s="30" t="str">
        <f>IFERROR(VLOOKUP(B416,KRX종목마스터!$A:$B,2,FALSE),"")</f>
        <v/>
      </c>
      <c r="D416" s="29"/>
      <c r="E416" s="42"/>
      <c r="F416" s="44"/>
      <c r="G416" s="31" t="str">
        <f t="shared" si="12"/>
        <v/>
      </c>
      <c r="H416" s="31" t="str">
        <f t="shared" si="13"/>
        <v/>
      </c>
      <c r="I416" s="39"/>
    </row>
    <row r="417" spans="1:9" ht="18" customHeight="1" x14ac:dyDescent="0.45">
      <c r="A417" s="37"/>
      <c r="B417" s="28"/>
      <c r="C417" s="30" t="str">
        <f>IFERROR(VLOOKUP(B417,KRX종목마스터!$A:$B,2,FALSE),"")</f>
        <v/>
      </c>
      <c r="D417" s="29"/>
      <c r="E417" s="42"/>
      <c r="F417" s="44"/>
      <c r="G417" s="31" t="str">
        <f t="shared" si="12"/>
        <v/>
      </c>
      <c r="H417" s="31" t="str">
        <f t="shared" si="13"/>
        <v/>
      </c>
      <c r="I417" s="39"/>
    </row>
    <row r="418" spans="1:9" ht="18" customHeight="1" x14ac:dyDescent="0.45">
      <c r="A418" s="37"/>
      <c r="B418" s="28"/>
      <c r="C418" s="30" t="str">
        <f>IFERROR(VLOOKUP(B418,KRX종목마스터!$A:$B,2,FALSE),"")</f>
        <v/>
      </c>
      <c r="D418" s="29"/>
      <c r="E418" s="42"/>
      <c r="F418" s="44"/>
      <c r="G418" s="31" t="str">
        <f t="shared" si="12"/>
        <v/>
      </c>
      <c r="H418" s="31" t="str">
        <f t="shared" si="13"/>
        <v/>
      </c>
      <c r="I418" s="39"/>
    </row>
    <row r="419" spans="1:9" ht="18" customHeight="1" x14ac:dyDescent="0.45">
      <c r="A419" s="37"/>
      <c r="B419" s="28"/>
      <c r="C419" s="30" t="str">
        <f>IFERROR(VLOOKUP(B419,KRX종목마스터!$A:$B,2,FALSE),"")</f>
        <v/>
      </c>
      <c r="D419" s="29"/>
      <c r="E419" s="42"/>
      <c r="F419" s="44"/>
      <c r="G419" s="31" t="str">
        <f t="shared" si="12"/>
        <v/>
      </c>
      <c r="H419" s="31" t="str">
        <f t="shared" si="13"/>
        <v/>
      </c>
      <c r="I419" s="39"/>
    </row>
    <row r="420" spans="1:9" ht="18" customHeight="1" x14ac:dyDescent="0.45">
      <c r="A420" s="37"/>
      <c r="B420" s="28"/>
      <c r="C420" s="30" t="str">
        <f>IFERROR(VLOOKUP(B420,KRX종목마스터!$A:$B,2,FALSE),"")</f>
        <v/>
      </c>
      <c r="D420" s="29"/>
      <c r="E420" s="42"/>
      <c r="F420" s="44"/>
      <c r="G420" s="31" t="str">
        <f t="shared" si="12"/>
        <v/>
      </c>
      <c r="H420" s="31" t="str">
        <f t="shared" si="13"/>
        <v/>
      </c>
      <c r="I420" s="39"/>
    </row>
    <row r="421" spans="1:9" ht="18" customHeight="1" x14ac:dyDescent="0.45">
      <c r="A421" s="37"/>
      <c r="B421" s="28"/>
      <c r="C421" s="30" t="str">
        <f>IFERROR(VLOOKUP(B421,KRX종목마스터!$A:$B,2,FALSE),"")</f>
        <v/>
      </c>
      <c r="D421" s="29"/>
      <c r="E421" s="42"/>
      <c r="F421" s="44"/>
      <c r="G421" s="31" t="str">
        <f t="shared" si="12"/>
        <v/>
      </c>
      <c r="H421" s="31" t="str">
        <f t="shared" si="13"/>
        <v/>
      </c>
      <c r="I421" s="39"/>
    </row>
    <row r="422" spans="1:9" ht="18" customHeight="1" x14ac:dyDescent="0.45">
      <c r="A422" s="37"/>
      <c r="B422" s="28"/>
      <c r="C422" s="30" t="str">
        <f>IFERROR(VLOOKUP(B422,KRX종목마스터!$A:$B,2,FALSE),"")</f>
        <v/>
      </c>
      <c r="D422" s="29"/>
      <c r="E422" s="42"/>
      <c r="F422" s="44"/>
      <c r="G422" s="31" t="str">
        <f t="shared" si="12"/>
        <v/>
      </c>
      <c r="H422" s="31" t="str">
        <f t="shared" si="13"/>
        <v/>
      </c>
      <c r="I422" s="39"/>
    </row>
    <row r="423" spans="1:9" ht="18" customHeight="1" x14ac:dyDescent="0.45">
      <c r="A423" s="37"/>
      <c r="B423" s="28"/>
      <c r="C423" s="30" t="str">
        <f>IFERROR(VLOOKUP(B423,KRX종목마스터!$A:$B,2,FALSE),"")</f>
        <v/>
      </c>
      <c r="D423" s="29"/>
      <c r="E423" s="42"/>
      <c r="F423" s="44"/>
      <c r="G423" s="31" t="str">
        <f t="shared" si="12"/>
        <v/>
      </c>
      <c r="H423" s="31" t="str">
        <f t="shared" si="13"/>
        <v/>
      </c>
      <c r="I423" s="39"/>
    </row>
    <row r="424" spans="1:9" ht="18" customHeight="1" x14ac:dyDescent="0.45">
      <c r="A424" s="37"/>
      <c r="B424" s="28"/>
      <c r="C424" s="30" t="str">
        <f>IFERROR(VLOOKUP(B424,KRX종목마스터!$A:$B,2,FALSE),"")</f>
        <v/>
      </c>
      <c r="D424" s="29"/>
      <c r="E424" s="42"/>
      <c r="F424" s="44"/>
      <c r="G424" s="31" t="str">
        <f t="shared" si="12"/>
        <v/>
      </c>
      <c r="H424" s="31" t="str">
        <f t="shared" si="13"/>
        <v/>
      </c>
      <c r="I424" s="39"/>
    </row>
    <row r="425" spans="1:9" ht="18" customHeight="1" x14ac:dyDescent="0.45">
      <c r="A425" s="37"/>
      <c r="B425" s="28"/>
      <c r="C425" s="30" t="str">
        <f>IFERROR(VLOOKUP(B425,KRX종목마스터!$A:$B,2,FALSE),"")</f>
        <v/>
      </c>
      <c r="D425" s="29"/>
      <c r="E425" s="42"/>
      <c r="F425" s="44"/>
      <c r="G425" s="31" t="str">
        <f t="shared" si="12"/>
        <v/>
      </c>
      <c r="H425" s="31" t="str">
        <f t="shared" si="13"/>
        <v/>
      </c>
      <c r="I425" s="39"/>
    </row>
    <row r="426" spans="1:9" ht="18" customHeight="1" x14ac:dyDescent="0.45">
      <c r="A426" s="37"/>
      <c r="B426" s="28"/>
      <c r="C426" s="30" t="str">
        <f>IFERROR(VLOOKUP(B426,KRX종목마스터!$A:$B,2,FALSE),"")</f>
        <v/>
      </c>
      <c r="D426" s="29"/>
      <c r="E426" s="42"/>
      <c r="F426" s="44"/>
      <c r="G426" s="31" t="str">
        <f t="shared" si="12"/>
        <v/>
      </c>
      <c r="H426" s="31" t="str">
        <f t="shared" si="13"/>
        <v/>
      </c>
      <c r="I426" s="39"/>
    </row>
    <row r="427" spans="1:9" ht="18" customHeight="1" x14ac:dyDescent="0.45">
      <c r="A427" s="37"/>
      <c r="B427" s="28"/>
      <c r="C427" s="30" t="str">
        <f>IFERROR(VLOOKUP(B427,KRX종목마스터!$A:$B,2,FALSE),"")</f>
        <v/>
      </c>
      <c r="D427" s="29"/>
      <c r="E427" s="42"/>
      <c r="F427" s="44"/>
      <c r="G427" s="31" t="str">
        <f t="shared" si="12"/>
        <v/>
      </c>
      <c r="H427" s="31" t="str">
        <f t="shared" si="13"/>
        <v/>
      </c>
      <c r="I427" s="39"/>
    </row>
    <row r="428" spans="1:9" ht="18" customHeight="1" x14ac:dyDescent="0.45">
      <c r="A428" s="37"/>
      <c r="B428" s="28"/>
      <c r="C428" s="30" t="str">
        <f>IFERROR(VLOOKUP(B428,KRX종목마스터!$A:$B,2,FALSE),"")</f>
        <v/>
      </c>
      <c r="D428" s="29"/>
      <c r="E428" s="42"/>
      <c r="F428" s="44"/>
      <c r="G428" s="31" t="str">
        <f t="shared" si="12"/>
        <v/>
      </c>
      <c r="H428" s="31" t="str">
        <f t="shared" si="13"/>
        <v/>
      </c>
      <c r="I428" s="39"/>
    </row>
    <row r="429" spans="1:9" ht="18" customHeight="1" x14ac:dyDescent="0.45">
      <c r="A429" s="37"/>
      <c r="B429" s="28"/>
      <c r="C429" s="30" t="str">
        <f>IFERROR(VLOOKUP(B429,KRX종목마스터!$A:$B,2,FALSE),"")</f>
        <v/>
      </c>
      <c r="D429" s="29"/>
      <c r="E429" s="42"/>
      <c r="F429" s="44"/>
      <c r="G429" s="31" t="str">
        <f t="shared" si="12"/>
        <v/>
      </c>
      <c r="H429" s="31" t="str">
        <f t="shared" si="13"/>
        <v/>
      </c>
      <c r="I429" s="39"/>
    </row>
    <row r="430" spans="1:9" ht="18" customHeight="1" x14ac:dyDescent="0.45">
      <c r="A430" s="37"/>
      <c r="B430" s="28"/>
      <c r="C430" s="30" t="str">
        <f>IFERROR(VLOOKUP(B430,KRX종목마스터!$A:$B,2,FALSE),"")</f>
        <v/>
      </c>
      <c r="D430" s="29"/>
      <c r="E430" s="42"/>
      <c r="F430" s="44"/>
      <c r="G430" s="31" t="str">
        <f t="shared" si="12"/>
        <v/>
      </c>
      <c r="H430" s="31" t="str">
        <f t="shared" si="13"/>
        <v/>
      </c>
      <c r="I430" s="39"/>
    </row>
    <row r="431" spans="1:9" ht="18" customHeight="1" x14ac:dyDescent="0.45">
      <c r="A431" s="37"/>
      <c r="B431" s="28"/>
      <c r="C431" s="30" t="str">
        <f>IFERROR(VLOOKUP(B431,KRX종목마스터!$A:$B,2,FALSE),"")</f>
        <v/>
      </c>
      <c r="D431" s="29"/>
      <c r="E431" s="42"/>
      <c r="F431" s="44"/>
      <c r="G431" s="31" t="str">
        <f t="shared" si="12"/>
        <v/>
      </c>
      <c r="H431" s="31" t="str">
        <f t="shared" si="13"/>
        <v/>
      </c>
      <c r="I431" s="39"/>
    </row>
    <row r="432" spans="1:9" ht="18" customHeight="1" x14ac:dyDescent="0.45">
      <c r="A432" s="37"/>
      <c r="B432" s="28"/>
      <c r="C432" s="30" t="str">
        <f>IFERROR(VLOOKUP(B432,KRX종목마스터!$A:$B,2,FALSE),"")</f>
        <v/>
      </c>
      <c r="D432" s="29"/>
      <c r="E432" s="42"/>
      <c r="F432" s="44"/>
      <c r="G432" s="31" t="str">
        <f t="shared" si="12"/>
        <v/>
      </c>
      <c r="H432" s="31" t="str">
        <f t="shared" si="13"/>
        <v/>
      </c>
      <c r="I432" s="39"/>
    </row>
    <row r="433" spans="1:9" ht="18" customHeight="1" x14ac:dyDescent="0.45">
      <c r="A433" s="37"/>
      <c r="B433" s="28"/>
      <c r="C433" s="30" t="str">
        <f>IFERROR(VLOOKUP(B433,KRX종목마스터!$A:$B,2,FALSE),"")</f>
        <v/>
      </c>
      <c r="D433" s="29"/>
      <c r="E433" s="42"/>
      <c r="F433" s="44"/>
      <c r="G433" s="31" t="str">
        <f t="shared" si="12"/>
        <v/>
      </c>
      <c r="H433" s="31" t="str">
        <f t="shared" si="13"/>
        <v/>
      </c>
      <c r="I433" s="39"/>
    </row>
    <row r="434" spans="1:9" ht="18" customHeight="1" x14ac:dyDescent="0.45">
      <c r="A434" s="37"/>
      <c r="B434" s="28"/>
      <c r="C434" s="30" t="str">
        <f>IFERROR(VLOOKUP(B434,KRX종목마스터!$A:$B,2,FALSE),"")</f>
        <v/>
      </c>
      <c r="D434" s="29"/>
      <c r="E434" s="42"/>
      <c r="F434" s="44"/>
      <c r="G434" s="31" t="str">
        <f t="shared" si="12"/>
        <v/>
      </c>
      <c r="H434" s="31" t="str">
        <f t="shared" si="13"/>
        <v/>
      </c>
      <c r="I434" s="39"/>
    </row>
    <row r="435" spans="1:9" ht="18" customHeight="1" x14ac:dyDescent="0.45">
      <c r="A435" s="37"/>
      <c r="B435" s="28"/>
      <c r="C435" s="30" t="str">
        <f>IFERROR(VLOOKUP(B435,KRX종목마스터!$A:$B,2,FALSE),"")</f>
        <v/>
      </c>
      <c r="D435" s="29"/>
      <c r="E435" s="42"/>
      <c r="F435" s="44"/>
      <c r="G435" s="31" t="str">
        <f t="shared" si="12"/>
        <v/>
      </c>
      <c r="H435" s="31" t="str">
        <f t="shared" si="13"/>
        <v/>
      </c>
      <c r="I435" s="39"/>
    </row>
    <row r="436" spans="1:9" ht="18" customHeight="1" x14ac:dyDescent="0.45">
      <c r="A436" s="37"/>
      <c r="B436" s="28"/>
      <c r="C436" s="30" t="str">
        <f>IFERROR(VLOOKUP(B436,KRX종목마스터!$A:$B,2,FALSE),"")</f>
        <v/>
      </c>
      <c r="D436" s="29"/>
      <c r="E436" s="42"/>
      <c r="F436" s="44"/>
      <c r="G436" s="31" t="str">
        <f t="shared" si="12"/>
        <v/>
      </c>
      <c r="H436" s="31" t="str">
        <f t="shared" si="13"/>
        <v/>
      </c>
      <c r="I436" s="39"/>
    </row>
    <row r="437" spans="1:9" ht="18" customHeight="1" x14ac:dyDescent="0.45">
      <c r="A437" s="37"/>
      <c r="B437" s="28"/>
      <c r="C437" s="30" t="str">
        <f>IFERROR(VLOOKUP(B437,KRX종목마스터!$A:$B,2,FALSE),"")</f>
        <v/>
      </c>
      <c r="D437" s="29"/>
      <c r="E437" s="42"/>
      <c r="F437" s="44"/>
      <c r="G437" s="31" t="str">
        <f t="shared" si="12"/>
        <v/>
      </c>
      <c r="H437" s="31" t="str">
        <f t="shared" si="13"/>
        <v/>
      </c>
      <c r="I437" s="39"/>
    </row>
    <row r="438" spans="1:9" ht="18" customHeight="1" x14ac:dyDescent="0.45">
      <c r="A438" s="37"/>
      <c r="B438" s="28"/>
      <c r="C438" s="30" t="str">
        <f>IFERROR(VLOOKUP(B438,KRX종목마스터!$A:$B,2,FALSE),"")</f>
        <v/>
      </c>
      <c r="D438" s="29"/>
      <c r="E438" s="42"/>
      <c r="F438" s="44"/>
      <c r="G438" s="31" t="str">
        <f t="shared" si="12"/>
        <v/>
      </c>
      <c r="H438" s="31" t="str">
        <f t="shared" si="13"/>
        <v/>
      </c>
      <c r="I438" s="39"/>
    </row>
    <row r="439" spans="1:9" ht="18" customHeight="1" x14ac:dyDescent="0.45">
      <c r="A439" s="37"/>
      <c r="B439" s="28"/>
      <c r="C439" s="30" t="str">
        <f>IFERROR(VLOOKUP(B439,KRX종목마스터!$A:$B,2,FALSE),"")</f>
        <v/>
      </c>
      <c r="D439" s="29"/>
      <c r="E439" s="42"/>
      <c r="F439" s="44"/>
      <c r="G439" s="31" t="str">
        <f t="shared" si="12"/>
        <v/>
      </c>
      <c r="H439" s="31" t="str">
        <f t="shared" si="13"/>
        <v/>
      </c>
      <c r="I439" s="39"/>
    </row>
    <row r="440" spans="1:9" ht="18" customHeight="1" x14ac:dyDescent="0.45">
      <c r="A440" s="37"/>
      <c r="B440" s="28"/>
      <c r="C440" s="30" t="str">
        <f>IFERROR(VLOOKUP(B440,KRX종목마스터!$A:$B,2,FALSE),"")</f>
        <v/>
      </c>
      <c r="D440" s="29"/>
      <c r="E440" s="42"/>
      <c r="F440" s="44"/>
      <c r="G440" s="31" t="str">
        <f t="shared" si="12"/>
        <v/>
      </c>
      <c r="H440" s="31" t="str">
        <f t="shared" si="13"/>
        <v/>
      </c>
      <c r="I440" s="39"/>
    </row>
    <row r="441" spans="1:9" ht="18" customHeight="1" x14ac:dyDescent="0.45">
      <c r="A441" s="37"/>
      <c r="B441" s="28"/>
      <c r="C441" s="30" t="str">
        <f>IFERROR(VLOOKUP(B441,KRX종목마스터!$A:$B,2,FALSE),"")</f>
        <v/>
      </c>
      <c r="D441" s="29"/>
      <c r="E441" s="42"/>
      <c r="F441" s="44"/>
      <c r="G441" s="31" t="str">
        <f t="shared" si="12"/>
        <v/>
      </c>
      <c r="H441" s="31" t="str">
        <f t="shared" si="13"/>
        <v/>
      </c>
      <c r="I441" s="39"/>
    </row>
    <row r="442" spans="1:9" ht="18" customHeight="1" x14ac:dyDescent="0.45">
      <c r="A442" s="37"/>
      <c r="B442" s="28"/>
      <c r="C442" s="30" t="str">
        <f>IFERROR(VLOOKUP(B442,KRX종목마스터!$A:$B,2,FALSE),"")</f>
        <v/>
      </c>
      <c r="D442" s="29"/>
      <c r="E442" s="42"/>
      <c r="F442" s="44"/>
      <c r="G442" s="31" t="str">
        <f t="shared" si="12"/>
        <v/>
      </c>
      <c r="H442" s="31" t="str">
        <f t="shared" si="13"/>
        <v/>
      </c>
      <c r="I442" s="39"/>
    </row>
    <row r="443" spans="1:9" ht="18" customHeight="1" x14ac:dyDescent="0.45">
      <c r="A443" s="37"/>
      <c r="B443" s="28"/>
      <c r="C443" s="30" t="str">
        <f>IFERROR(VLOOKUP(B443,KRX종목마스터!$A:$B,2,FALSE),"")</f>
        <v/>
      </c>
      <c r="D443" s="29"/>
      <c r="E443" s="42"/>
      <c r="F443" s="44"/>
      <c r="G443" s="31" t="str">
        <f t="shared" si="12"/>
        <v/>
      </c>
      <c r="H443" s="31" t="str">
        <f t="shared" si="13"/>
        <v/>
      </c>
      <c r="I443" s="39"/>
    </row>
    <row r="444" spans="1:9" ht="18" customHeight="1" x14ac:dyDescent="0.45">
      <c r="A444" s="37"/>
      <c r="B444" s="28"/>
      <c r="C444" s="30" t="str">
        <f>IFERROR(VLOOKUP(B444,KRX종목마스터!$A:$B,2,FALSE),"")</f>
        <v/>
      </c>
      <c r="D444" s="29"/>
      <c r="E444" s="42"/>
      <c r="F444" s="44"/>
      <c r="G444" s="31" t="str">
        <f t="shared" si="12"/>
        <v/>
      </c>
      <c r="H444" s="31" t="str">
        <f t="shared" si="13"/>
        <v/>
      </c>
      <c r="I444" s="39"/>
    </row>
    <row r="445" spans="1:9" ht="18" customHeight="1" x14ac:dyDescent="0.45">
      <c r="A445" s="37"/>
      <c r="B445" s="28"/>
      <c r="C445" s="30" t="str">
        <f>IFERROR(VLOOKUP(B445,KRX종목마스터!$A:$B,2,FALSE),"")</f>
        <v/>
      </c>
      <c r="D445" s="29"/>
      <c r="E445" s="42"/>
      <c r="F445" s="44"/>
      <c r="G445" s="31" t="str">
        <f t="shared" si="12"/>
        <v/>
      </c>
      <c r="H445" s="31" t="str">
        <f t="shared" si="13"/>
        <v/>
      </c>
      <c r="I445" s="39"/>
    </row>
    <row r="446" spans="1:9" ht="18" customHeight="1" x14ac:dyDescent="0.45">
      <c r="A446" s="37"/>
      <c r="B446" s="28"/>
      <c r="C446" s="30" t="str">
        <f>IFERROR(VLOOKUP(B446,KRX종목마스터!$A:$B,2,FALSE),"")</f>
        <v/>
      </c>
      <c r="D446" s="29"/>
      <c r="E446" s="42"/>
      <c r="F446" s="44"/>
      <c r="G446" s="31" t="str">
        <f t="shared" si="12"/>
        <v/>
      </c>
      <c r="H446" s="31" t="str">
        <f t="shared" si="13"/>
        <v/>
      </c>
      <c r="I446" s="39"/>
    </row>
    <row r="447" spans="1:9" ht="18" customHeight="1" x14ac:dyDescent="0.45">
      <c r="A447" s="37"/>
      <c r="B447" s="28"/>
      <c r="C447" s="30" t="str">
        <f>IFERROR(VLOOKUP(B447,KRX종목마스터!$A:$B,2,FALSE),"")</f>
        <v/>
      </c>
      <c r="D447" s="29"/>
      <c r="E447" s="42"/>
      <c r="F447" s="44"/>
      <c r="G447" s="31" t="str">
        <f t="shared" si="12"/>
        <v/>
      </c>
      <c r="H447" s="31" t="str">
        <f t="shared" si="13"/>
        <v/>
      </c>
      <c r="I447" s="39"/>
    </row>
    <row r="448" spans="1:9" ht="18" customHeight="1" x14ac:dyDescent="0.45">
      <c r="A448" s="37"/>
      <c r="B448" s="28"/>
      <c r="C448" s="30" t="str">
        <f>IFERROR(VLOOKUP(B448,KRX종목마스터!$A:$B,2,FALSE),"")</f>
        <v/>
      </c>
      <c r="D448" s="29"/>
      <c r="E448" s="42"/>
      <c r="F448" s="44"/>
      <c r="G448" s="31" t="str">
        <f t="shared" si="12"/>
        <v/>
      </c>
      <c r="H448" s="31" t="str">
        <f t="shared" si="13"/>
        <v/>
      </c>
      <c r="I448" s="39"/>
    </row>
    <row r="449" spans="1:9" ht="18" customHeight="1" x14ac:dyDescent="0.45">
      <c r="A449" s="37"/>
      <c r="B449" s="28"/>
      <c r="C449" s="30" t="str">
        <f>IFERROR(VLOOKUP(B449,KRX종목마스터!$A:$B,2,FALSE),"")</f>
        <v/>
      </c>
      <c r="D449" s="29"/>
      <c r="E449" s="42"/>
      <c r="F449" s="44"/>
      <c r="G449" s="31" t="str">
        <f t="shared" si="12"/>
        <v/>
      </c>
      <c r="H449" s="31" t="str">
        <f t="shared" si="13"/>
        <v/>
      </c>
      <c r="I449" s="39"/>
    </row>
    <row r="450" spans="1:9" ht="18" customHeight="1" x14ac:dyDescent="0.45">
      <c r="A450" s="37"/>
      <c r="B450" s="28"/>
      <c r="C450" s="30" t="str">
        <f>IFERROR(VLOOKUP(B450,KRX종목마스터!$A:$B,2,FALSE),"")</f>
        <v/>
      </c>
      <c r="D450" s="29"/>
      <c r="E450" s="42"/>
      <c r="F450" s="44"/>
      <c r="G450" s="31" t="str">
        <f t="shared" si="12"/>
        <v/>
      </c>
      <c r="H450" s="31" t="str">
        <f t="shared" si="13"/>
        <v/>
      </c>
      <c r="I450" s="39"/>
    </row>
    <row r="451" spans="1:9" ht="18" customHeight="1" x14ac:dyDescent="0.45">
      <c r="A451" s="37"/>
      <c r="B451" s="28"/>
      <c r="C451" s="30" t="str">
        <f>IFERROR(VLOOKUP(B451,KRX종목마스터!$A:$B,2,FALSE),"")</f>
        <v/>
      </c>
      <c r="D451" s="29"/>
      <c r="E451" s="42"/>
      <c r="F451" s="44"/>
      <c r="G451" s="31" t="str">
        <f t="shared" si="12"/>
        <v/>
      </c>
      <c r="H451" s="31" t="str">
        <f t="shared" si="13"/>
        <v/>
      </c>
      <c r="I451" s="39"/>
    </row>
    <row r="452" spans="1:9" ht="18" customHeight="1" x14ac:dyDescent="0.45">
      <c r="A452" s="37"/>
      <c r="B452" s="28"/>
      <c r="C452" s="30" t="str">
        <f>IFERROR(VLOOKUP(B452,KRX종목마스터!$A:$B,2,FALSE),"")</f>
        <v/>
      </c>
      <c r="D452" s="29"/>
      <c r="E452" s="42"/>
      <c r="F452" s="44"/>
      <c r="G452" s="31" t="str">
        <f t="shared" si="12"/>
        <v/>
      </c>
      <c r="H452" s="31" t="str">
        <f t="shared" si="13"/>
        <v/>
      </c>
      <c r="I452" s="39"/>
    </row>
    <row r="453" spans="1:9" ht="18" customHeight="1" x14ac:dyDescent="0.45">
      <c r="A453" s="37"/>
      <c r="B453" s="28"/>
      <c r="C453" s="30" t="str">
        <f>IFERROR(VLOOKUP(B453,KRX종목마스터!$A:$B,2,FALSE),"")</f>
        <v/>
      </c>
      <c r="D453" s="29"/>
      <c r="E453" s="42"/>
      <c r="F453" s="44"/>
      <c r="G453" s="31" t="str">
        <f t="shared" ref="G453:G516" si="14">IF(OR(E453="",F453=""),"",ROUND(E453*F453/100,0))</f>
        <v/>
      </c>
      <c r="H453" s="31" t="str">
        <f t="shared" ref="H453:H516" si="15">IF(E453="","",E453-IF(G453="",0,G453))</f>
        <v/>
      </c>
      <c r="I453" s="39"/>
    </row>
    <row r="454" spans="1:9" ht="18" customHeight="1" x14ac:dyDescent="0.45">
      <c r="A454" s="37"/>
      <c r="B454" s="28"/>
      <c r="C454" s="30" t="str">
        <f>IFERROR(VLOOKUP(B454,KRX종목마스터!$A:$B,2,FALSE),"")</f>
        <v/>
      </c>
      <c r="D454" s="29"/>
      <c r="E454" s="42"/>
      <c r="F454" s="44"/>
      <c r="G454" s="31" t="str">
        <f t="shared" si="14"/>
        <v/>
      </c>
      <c r="H454" s="31" t="str">
        <f t="shared" si="15"/>
        <v/>
      </c>
      <c r="I454" s="39"/>
    </row>
    <row r="455" spans="1:9" ht="18" customHeight="1" x14ac:dyDescent="0.45">
      <c r="A455" s="37"/>
      <c r="B455" s="28"/>
      <c r="C455" s="30" t="str">
        <f>IFERROR(VLOOKUP(B455,KRX종목마스터!$A:$B,2,FALSE),"")</f>
        <v/>
      </c>
      <c r="D455" s="29"/>
      <c r="E455" s="42"/>
      <c r="F455" s="44"/>
      <c r="G455" s="31" t="str">
        <f t="shared" si="14"/>
        <v/>
      </c>
      <c r="H455" s="31" t="str">
        <f t="shared" si="15"/>
        <v/>
      </c>
      <c r="I455" s="39"/>
    </row>
    <row r="456" spans="1:9" ht="18" customHeight="1" x14ac:dyDescent="0.45">
      <c r="A456" s="37"/>
      <c r="B456" s="28"/>
      <c r="C456" s="30" t="str">
        <f>IFERROR(VLOOKUP(B456,KRX종목마스터!$A:$B,2,FALSE),"")</f>
        <v/>
      </c>
      <c r="D456" s="29"/>
      <c r="E456" s="42"/>
      <c r="F456" s="44"/>
      <c r="G456" s="31" t="str">
        <f t="shared" si="14"/>
        <v/>
      </c>
      <c r="H456" s="31" t="str">
        <f t="shared" si="15"/>
        <v/>
      </c>
      <c r="I456" s="39"/>
    </row>
    <row r="457" spans="1:9" ht="18" customHeight="1" x14ac:dyDescent="0.45">
      <c r="A457" s="37"/>
      <c r="B457" s="28"/>
      <c r="C457" s="30" t="str">
        <f>IFERROR(VLOOKUP(B457,KRX종목마스터!$A:$B,2,FALSE),"")</f>
        <v/>
      </c>
      <c r="D457" s="29"/>
      <c r="E457" s="42"/>
      <c r="F457" s="44"/>
      <c r="G457" s="31" t="str">
        <f t="shared" si="14"/>
        <v/>
      </c>
      <c r="H457" s="31" t="str">
        <f t="shared" si="15"/>
        <v/>
      </c>
      <c r="I457" s="39"/>
    </row>
    <row r="458" spans="1:9" ht="18" customHeight="1" x14ac:dyDescent="0.45">
      <c r="A458" s="37"/>
      <c r="B458" s="28"/>
      <c r="C458" s="30" t="str">
        <f>IFERROR(VLOOKUP(B458,KRX종목마스터!$A:$B,2,FALSE),"")</f>
        <v/>
      </c>
      <c r="D458" s="29"/>
      <c r="E458" s="42"/>
      <c r="F458" s="44"/>
      <c r="G458" s="31" t="str">
        <f t="shared" si="14"/>
        <v/>
      </c>
      <c r="H458" s="31" t="str">
        <f t="shared" si="15"/>
        <v/>
      </c>
      <c r="I458" s="39"/>
    </row>
    <row r="459" spans="1:9" ht="18" customHeight="1" x14ac:dyDescent="0.45">
      <c r="A459" s="37"/>
      <c r="B459" s="28"/>
      <c r="C459" s="30" t="str">
        <f>IFERROR(VLOOKUP(B459,KRX종목마스터!$A:$B,2,FALSE),"")</f>
        <v/>
      </c>
      <c r="D459" s="29"/>
      <c r="E459" s="42"/>
      <c r="F459" s="44"/>
      <c r="G459" s="31" t="str">
        <f t="shared" si="14"/>
        <v/>
      </c>
      <c r="H459" s="31" t="str">
        <f t="shared" si="15"/>
        <v/>
      </c>
      <c r="I459" s="39"/>
    </row>
    <row r="460" spans="1:9" ht="18" customHeight="1" x14ac:dyDescent="0.45">
      <c r="A460" s="37"/>
      <c r="B460" s="28"/>
      <c r="C460" s="30" t="str">
        <f>IFERROR(VLOOKUP(B460,KRX종목마스터!$A:$B,2,FALSE),"")</f>
        <v/>
      </c>
      <c r="D460" s="29"/>
      <c r="E460" s="42"/>
      <c r="F460" s="44"/>
      <c r="G460" s="31" t="str">
        <f t="shared" si="14"/>
        <v/>
      </c>
      <c r="H460" s="31" t="str">
        <f t="shared" si="15"/>
        <v/>
      </c>
      <c r="I460" s="39"/>
    </row>
    <row r="461" spans="1:9" ht="18" customHeight="1" x14ac:dyDescent="0.45">
      <c r="A461" s="37"/>
      <c r="B461" s="28"/>
      <c r="C461" s="30" t="str">
        <f>IFERROR(VLOOKUP(B461,KRX종목마스터!$A:$B,2,FALSE),"")</f>
        <v/>
      </c>
      <c r="D461" s="29"/>
      <c r="E461" s="42"/>
      <c r="F461" s="44"/>
      <c r="G461" s="31" t="str">
        <f t="shared" si="14"/>
        <v/>
      </c>
      <c r="H461" s="31" t="str">
        <f t="shared" si="15"/>
        <v/>
      </c>
      <c r="I461" s="39"/>
    </row>
    <row r="462" spans="1:9" ht="18" customHeight="1" x14ac:dyDescent="0.45">
      <c r="A462" s="37"/>
      <c r="B462" s="28"/>
      <c r="C462" s="30" t="str">
        <f>IFERROR(VLOOKUP(B462,KRX종목마스터!$A:$B,2,FALSE),"")</f>
        <v/>
      </c>
      <c r="D462" s="29"/>
      <c r="E462" s="42"/>
      <c r="F462" s="44"/>
      <c r="G462" s="31" t="str">
        <f t="shared" si="14"/>
        <v/>
      </c>
      <c r="H462" s="31" t="str">
        <f t="shared" si="15"/>
        <v/>
      </c>
      <c r="I462" s="39"/>
    </row>
    <row r="463" spans="1:9" ht="18" customHeight="1" x14ac:dyDescent="0.45">
      <c r="A463" s="37"/>
      <c r="B463" s="28"/>
      <c r="C463" s="30" t="str">
        <f>IFERROR(VLOOKUP(B463,KRX종목마스터!$A:$B,2,FALSE),"")</f>
        <v/>
      </c>
      <c r="D463" s="29"/>
      <c r="E463" s="42"/>
      <c r="F463" s="44"/>
      <c r="G463" s="31" t="str">
        <f t="shared" si="14"/>
        <v/>
      </c>
      <c r="H463" s="31" t="str">
        <f t="shared" si="15"/>
        <v/>
      </c>
      <c r="I463" s="39"/>
    </row>
    <row r="464" spans="1:9" ht="18" customHeight="1" x14ac:dyDescent="0.45">
      <c r="A464" s="37"/>
      <c r="B464" s="28"/>
      <c r="C464" s="30" t="str">
        <f>IFERROR(VLOOKUP(B464,KRX종목마스터!$A:$B,2,FALSE),"")</f>
        <v/>
      </c>
      <c r="D464" s="29"/>
      <c r="E464" s="42"/>
      <c r="F464" s="44"/>
      <c r="G464" s="31" t="str">
        <f t="shared" si="14"/>
        <v/>
      </c>
      <c r="H464" s="31" t="str">
        <f t="shared" si="15"/>
        <v/>
      </c>
      <c r="I464" s="39"/>
    </row>
    <row r="465" spans="1:9" ht="18" customHeight="1" x14ac:dyDescent="0.45">
      <c r="A465" s="37"/>
      <c r="B465" s="28"/>
      <c r="C465" s="30" t="str">
        <f>IFERROR(VLOOKUP(B465,KRX종목마스터!$A:$B,2,FALSE),"")</f>
        <v/>
      </c>
      <c r="D465" s="29"/>
      <c r="E465" s="42"/>
      <c r="F465" s="44"/>
      <c r="G465" s="31" t="str">
        <f t="shared" si="14"/>
        <v/>
      </c>
      <c r="H465" s="31" t="str">
        <f t="shared" si="15"/>
        <v/>
      </c>
      <c r="I465" s="39"/>
    </row>
    <row r="466" spans="1:9" ht="18" customHeight="1" x14ac:dyDescent="0.45">
      <c r="A466" s="37"/>
      <c r="B466" s="28"/>
      <c r="C466" s="30" t="str">
        <f>IFERROR(VLOOKUP(B466,KRX종목마스터!$A:$B,2,FALSE),"")</f>
        <v/>
      </c>
      <c r="D466" s="29"/>
      <c r="E466" s="42"/>
      <c r="F466" s="44"/>
      <c r="G466" s="31" t="str">
        <f t="shared" si="14"/>
        <v/>
      </c>
      <c r="H466" s="31" t="str">
        <f t="shared" si="15"/>
        <v/>
      </c>
      <c r="I466" s="39"/>
    </row>
    <row r="467" spans="1:9" ht="18" customHeight="1" x14ac:dyDescent="0.45">
      <c r="A467" s="37"/>
      <c r="B467" s="28"/>
      <c r="C467" s="30" t="str">
        <f>IFERROR(VLOOKUP(B467,KRX종목마스터!$A:$B,2,FALSE),"")</f>
        <v/>
      </c>
      <c r="D467" s="29"/>
      <c r="E467" s="42"/>
      <c r="F467" s="44"/>
      <c r="G467" s="31" t="str">
        <f t="shared" si="14"/>
        <v/>
      </c>
      <c r="H467" s="31" t="str">
        <f t="shared" si="15"/>
        <v/>
      </c>
      <c r="I467" s="39"/>
    </row>
    <row r="468" spans="1:9" ht="18" customHeight="1" x14ac:dyDescent="0.45">
      <c r="A468" s="37"/>
      <c r="B468" s="28"/>
      <c r="C468" s="30" t="str">
        <f>IFERROR(VLOOKUP(B468,KRX종목마스터!$A:$B,2,FALSE),"")</f>
        <v/>
      </c>
      <c r="D468" s="29"/>
      <c r="E468" s="42"/>
      <c r="F468" s="44"/>
      <c r="G468" s="31" t="str">
        <f t="shared" si="14"/>
        <v/>
      </c>
      <c r="H468" s="31" t="str">
        <f t="shared" si="15"/>
        <v/>
      </c>
      <c r="I468" s="39"/>
    </row>
    <row r="469" spans="1:9" ht="18" customHeight="1" x14ac:dyDescent="0.45">
      <c r="A469" s="37"/>
      <c r="B469" s="28"/>
      <c r="C469" s="30" t="str">
        <f>IFERROR(VLOOKUP(B469,KRX종목마스터!$A:$B,2,FALSE),"")</f>
        <v/>
      </c>
      <c r="D469" s="29"/>
      <c r="E469" s="42"/>
      <c r="F469" s="44"/>
      <c r="G469" s="31" t="str">
        <f t="shared" si="14"/>
        <v/>
      </c>
      <c r="H469" s="31" t="str">
        <f t="shared" si="15"/>
        <v/>
      </c>
      <c r="I469" s="39"/>
    </row>
    <row r="470" spans="1:9" ht="18" customHeight="1" x14ac:dyDescent="0.45">
      <c r="A470" s="37"/>
      <c r="B470" s="28"/>
      <c r="C470" s="30" t="str">
        <f>IFERROR(VLOOKUP(B470,KRX종목마스터!$A:$B,2,FALSE),"")</f>
        <v/>
      </c>
      <c r="D470" s="29"/>
      <c r="E470" s="42"/>
      <c r="F470" s="44"/>
      <c r="G470" s="31" t="str">
        <f t="shared" si="14"/>
        <v/>
      </c>
      <c r="H470" s="31" t="str">
        <f t="shared" si="15"/>
        <v/>
      </c>
      <c r="I470" s="39"/>
    </row>
    <row r="471" spans="1:9" ht="18" customHeight="1" x14ac:dyDescent="0.45">
      <c r="A471" s="37"/>
      <c r="B471" s="28"/>
      <c r="C471" s="30" t="str">
        <f>IFERROR(VLOOKUP(B471,KRX종목마스터!$A:$B,2,FALSE),"")</f>
        <v/>
      </c>
      <c r="D471" s="29"/>
      <c r="E471" s="42"/>
      <c r="F471" s="44"/>
      <c r="G471" s="31" t="str">
        <f t="shared" si="14"/>
        <v/>
      </c>
      <c r="H471" s="31" t="str">
        <f t="shared" si="15"/>
        <v/>
      </c>
      <c r="I471" s="39"/>
    </row>
    <row r="472" spans="1:9" ht="18" customHeight="1" x14ac:dyDescent="0.45">
      <c r="A472" s="37"/>
      <c r="B472" s="28"/>
      <c r="C472" s="30" t="str">
        <f>IFERROR(VLOOKUP(B472,KRX종목마스터!$A:$B,2,FALSE),"")</f>
        <v/>
      </c>
      <c r="D472" s="29"/>
      <c r="E472" s="42"/>
      <c r="F472" s="44"/>
      <c r="G472" s="31" t="str">
        <f t="shared" si="14"/>
        <v/>
      </c>
      <c r="H472" s="31" t="str">
        <f t="shared" si="15"/>
        <v/>
      </c>
      <c r="I472" s="39"/>
    </row>
    <row r="473" spans="1:9" ht="18" customHeight="1" x14ac:dyDescent="0.45">
      <c r="A473" s="37"/>
      <c r="B473" s="28"/>
      <c r="C473" s="30" t="str">
        <f>IFERROR(VLOOKUP(B473,KRX종목마스터!$A:$B,2,FALSE),"")</f>
        <v/>
      </c>
      <c r="D473" s="29"/>
      <c r="E473" s="42"/>
      <c r="F473" s="44"/>
      <c r="G473" s="31" t="str">
        <f t="shared" si="14"/>
        <v/>
      </c>
      <c r="H473" s="31" t="str">
        <f t="shared" si="15"/>
        <v/>
      </c>
      <c r="I473" s="39"/>
    </row>
    <row r="474" spans="1:9" ht="18" customHeight="1" x14ac:dyDescent="0.45">
      <c r="A474" s="37"/>
      <c r="B474" s="28"/>
      <c r="C474" s="30" t="str">
        <f>IFERROR(VLOOKUP(B474,KRX종목마스터!$A:$B,2,FALSE),"")</f>
        <v/>
      </c>
      <c r="D474" s="29"/>
      <c r="E474" s="42"/>
      <c r="F474" s="44"/>
      <c r="G474" s="31" t="str">
        <f t="shared" si="14"/>
        <v/>
      </c>
      <c r="H474" s="31" t="str">
        <f t="shared" si="15"/>
        <v/>
      </c>
      <c r="I474" s="39"/>
    </row>
    <row r="475" spans="1:9" ht="18" customHeight="1" x14ac:dyDescent="0.45">
      <c r="A475" s="37"/>
      <c r="B475" s="28"/>
      <c r="C475" s="30" t="str">
        <f>IFERROR(VLOOKUP(B475,KRX종목마스터!$A:$B,2,FALSE),"")</f>
        <v/>
      </c>
      <c r="D475" s="29"/>
      <c r="E475" s="42"/>
      <c r="F475" s="44"/>
      <c r="G475" s="31" t="str">
        <f t="shared" si="14"/>
        <v/>
      </c>
      <c r="H475" s="31" t="str">
        <f t="shared" si="15"/>
        <v/>
      </c>
      <c r="I475" s="39"/>
    </row>
    <row r="476" spans="1:9" ht="18" customHeight="1" x14ac:dyDescent="0.45">
      <c r="A476" s="37"/>
      <c r="B476" s="28"/>
      <c r="C476" s="30" t="str">
        <f>IFERROR(VLOOKUP(B476,KRX종목마스터!$A:$B,2,FALSE),"")</f>
        <v/>
      </c>
      <c r="D476" s="29"/>
      <c r="E476" s="42"/>
      <c r="F476" s="44"/>
      <c r="G476" s="31" t="str">
        <f t="shared" si="14"/>
        <v/>
      </c>
      <c r="H476" s="31" t="str">
        <f t="shared" si="15"/>
        <v/>
      </c>
      <c r="I476" s="39"/>
    </row>
    <row r="477" spans="1:9" ht="18" customHeight="1" x14ac:dyDescent="0.45">
      <c r="A477" s="37"/>
      <c r="B477" s="28"/>
      <c r="C477" s="30" t="str">
        <f>IFERROR(VLOOKUP(B477,KRX종목마스터!$A:$B,2,FALSE),"")</f>
        <v/>
      </c>
      <c r="D477" s="29"/>
      <c r="E477" s="42"/>
      <c r="F477" s="44"/>
      <c r="G477" s="31" t="str">
        <f t="shared" si="14"/>
        <v/>
      </c>
      <c r="H477" s="31" t="str">
        <f t="shared" si="15"/>
        <v/>
      </c>
      <c r="I477" s="39"/>
    </row>
    <row r="478" spans="1:9" ht="18" customHeight="1" x14ac:dyDescent="0.45">
      <c r="A478" s="37"/>
      <c r="B478" s="28"/>
      <c r="C478" s="30" t="str">
        <f>IFERROR(VLOOKUP(B478,KRX종목마스터!$A:$B,2,FALSE),"")</f>
        <v/>
      </c>
      <c r="D478" s="29"/>
      <c r="E478" s="42"/>
      <c r="F478" s="44"/>
      <c r="G478" s="31" t="str">
        <f t="shared" si="14"/>
        <v/>
      </c>
      <c r="H478" s="31" t="str">
        <f t="shared" si="15"/>
        <v/>
      </c>
      <c r="I478" s="39"/>
    </row>
    <row r="479" spans="1:9" ht="18" customHeight="1" x14ac:dyDescent="0.45">
      <c r="A479" s="37"/>
      <c r="B479" s="28"/>
      <c r="C479" s="30" t="str">
        <f>IFERROR(VLOOKUP(B479,KRX종목마스터!$A:$B,2,FALSE),"")</f>
        <v/>
      </c>
      <c r="D479" s="29"/>
      <c r="E479" s="42"/>
      <c r="F479" s="44"/>
      <c r="G479" s="31" t="str">
        <f t="shared" si="14"/>
        <v/>
      </c>
      <c r="H479" s="31" t="str">
        <f t="shared" si="15"/>
        <v/>
      </c>
      <c r="I479" s="39"/>
    </row>
    <row r="480" spans="1:9" ht="18" customHeight="1" x14ac:dyDescent="0.45">
      <c r="A480" s="37"/>
      <c r="B480" s="28"/>
      <c r="C480" s="30" t="str">
        <f>IFERROR(VLOOKUP(B480,KRX종목마스터!$A:$B,2,FALSE),"")</f>
        <v/>
      </c>
      <c r="D480" s="29"/>
      <c r="E480" s="42"/>
      <c r="F480" s="44"/>
      <c r="G480" s="31" t="str">
        <f t="shared" si="14"/>
        <v/>
      </c>
      <c r="H480" s="31" t="str">
        <f t="shared" si="15"/>
        <v/>
      </c>
      <c r="I480" s="39"/>
    </row>
    <row r="481" spans="1:9" ht="18" customHeight="1" x14ac:dyDescent="0.45">
      <c r="A481" s="37"/>
      <c r="B481" s="28"/>
      <c r="C481" s="30" t="str">
        <f>IFERROR(VLOOKUP(B481,KRX종목마스터!$A:$B,2,FALSE),"")</f>
        <v/>
      </c>
      <c r="D481" s="29"/>
      <c r="E481" s="42"/>
      <c r="F481" s="44"/>
      <c r="G481" s="31" t="str">
        <f t="shared" si="14"/>
        <v/>
      </c>
      <c r="H481" s="31" t="str">
        <f t="shared" si="15"/>
        <v/>
      </c>
      <c r="I481" s="39"/>
    </row>
    <row r="482" spans="1:9" ht="18" customHeight="1" x14ac:dyDescent="0.45">
      <c r="A482" s="37"/>
      <c r="B482" s="28"/>
      <c r="C482" s="30" t="str">
        <f>IFERROR(VLOOKUP(B482,KRX종목마스터!$A:$B,2,FALSE),"")</f>
        <v/>
      </c>
      <c r="D482" s="29"/>
      <c r="E482" s="42"/>
      <c r="F482" s="44"/>
      <c r="G482" s="31" t="str">
        <f t="shared" si="14"/>
        <v/>
      </c>
      <c r="H482" s="31" t="str">
        <f t="shared" si="15"/>
        <v/>
      </c>
      <c r="I482" s="39"/>
    </row>
    <row r="483" spans="1:9" ht="18" customHeight="1" x14ac:dyDescent="0.45">
      <c r="A483" s="37"/>
      <c r="B483" s="28"/>
      <c r="C483" s="30" t="str">
        <f>IFERROR(VLOOKUP(B483,KRX종목마스터!$A:$B,2,FALSE),"")</f>
        <v/>
      </c>
      <c r="D483" s="29"/>
      <c r="E483" s="42"/>
      <c r="F483" s="44"/>
      <c r="G483" s="31" t="str">
        <f t="shared" si="14"/>
        <v/>
      </c>
      <c r="H483" s="31" t="str">
        <f t="shared" si="15"/>
        <v/>
      </c>
      <c r="I483" s="39"/>
    </row>
    <row r="484" spans="1:9" ht="18" customHeight="1" x14ac:dyDescent="0.45">
      <c r="A484" s="37"/>
      <c r="B484" s="28"/>
      <c r="C484" s="30" t="str">
        <f>IFERROR(VLOOKUP(B484,KRX종목마스터!$A:$B,2,FALSE),"")</f>
        <v/>
      </c>
      <c r="D484" s="29"/>
      <c r="E484" s="42"/>
      <c r="F484" s="44"/>
      <c r="G484" s="31" t="str">
        <f t="shared" si="14"/>
        <v/>
      </c>
      <c r="H484" s="31" t="str">
        <f t="shared" si="15"/>
        <v/>
      </c>
      <c r="I484" s="39"/>
    </row>
    <row r="485" spans="1:9" ht="18" customHeight="1" x14ac:dyDescent="0.45">
      <c r="A485" s="37"/>
      <c r="B485" s="28"/>
      <c r="C485" s="30" t="str">
        <f>IFERROR(VLOOKUP(B485,KRX종목마스터!$A:$B,2,FALSE),"")</f>
        <v/>
      </c>
      <c r="D485" s="29"/>
      <c r="E485" s="42"/>
      <c r="F485" s="44"/>
      <c r="G485" s="31" t="str">
        <f t="shared" si="14"/>
        <v/>
      </c>
      <c r="H485" s="31" t="str">
        <f t="shared" si="15"/>
        <v/>
      </c>
      <c r="I485" s="39"/>
    </row>
    <row r="486" spans="1:9" ht="18" customHeight="1" x14ac:dyDescent="0.45">
      <c r="A486" s="37"/>
      <c r="B486" s="28"/>
      <c r="C486" s="30" t="str">
        <f>IFERROR(VLOOKUP(B486,KRX종목마스터!$A:$B,2,FALSE),"")</f>
        <v/>
      </c>
      <c r="D486" s="29"/>
      <c r="E486" s="42"/>
      <c r="F486" s="44"/>
      <c r="G486" s="31" t="str">
        <f t="shared" si="14"/>
        <v/>
      </c>
      <c r="H486" s="31" t="str">
        <f t="shared" si="15"/>
        <v/>
      </c>
      <c r="I486" s="39"/>
    </row>
    <row r="487" spans="1:9" ht="18" customHeight="1" x14ac:dyDescent="0.45">
      <c r="A487" s="37"/>
      <c r="B487" s="28"/>
      <c r="C487" s="30" t="str">
        <f>IFERROR(VLOOKUP(B487,KRX종목마스터!$A:$B,2,FALSE),"")</f>
        <v/>
      </c>
      <c r="D487" s="29"/>
      <c r="E487" s="42"/>
      <c r="F487" s="44"/>
      <c r="G487" s="31" t="str">
        <f t="shared" si="14"/>
        <v/>
      </c>
      <c r="H487" s="31" t="str">
        <f t="shared" si="15"/>
        <v/>
      </c>
      <c r="I487" s="39"/>
    </row>
    <row r="488" spans="1:9" ht="18" customHeight="1" x14ac:dyDescent="0.45">
      <c r="A488" s="37"/>
      <c r="B488" s="28"/>
      <c r="C488" s="30" t="str">
        <f>IFERROR(VLOOKUP(B488,KRX종목마스터!$A:$B,2,FALSE),"")</f>
        <v/>
      </c>
      <c r="D488" s="29"/>
      <c r="E488" s="42"/>
      <c r="F488" s="44"/>
      <c r="G488" s="31" t="str">
        <f t="shared" si="14"/>
        <v/>
      </c>
      <c r="H488" s="31" t="str">
        <f t="shared" si="15"/>
        <v/>
      </c>
      <c r="I488" s="39"/>
    </row>
    <row r="489" spans="1:9" ht="18" customHeight="1" x14ac:dyDescent="0.45">
      <c r="A489" s="37"/>
      <c r="B489" s="28"/>
      <c r="C489" s="30" t="str">
        <f>IFERROR(VLOOKUP(B489,KRX종목마스터!$A:$B,2,FALSE),"")</f>
        <v/>
      </c>
      <c r="D489" s="29"/>
      <c r="E489" s="42"/>
      <c r="F489" s="44"/>
      <c r="G489" s="31" t="str">
        <f t="shared" si="14"/>
        <v/>
      </c>
      <c r="H489" s="31" t="str">
        <f t="shared" si="15"/>
        <v/>
      </c>
      <c r="I489" s="39"/>
    </row>
    <row r="490" spans="1:9" ht="18" customHeight="1" x14ac:dyDescent="0.45">
      <c r="A490" s="37"/>
      <c r="B490" s="28"/>
      <c r="C490" s="30" t="str">
        <f>IFERROR(VLOOKUP(B490,KRX종목마스터!$A:$B,2,FALSE),"")</f>
        <v/>
      </c>
      <c r="D490" s="29"/>
      <c r="E490" s="42"/>
      <c r="F490" s="44"/>
      <c r="G490" s="31" t="str">
        <f t="shared" si="14"/>
        <v/>
      </c>
      <c r="H490" s="31" t="str">
        <f t="shared" si="15"/>
        <v/>
      </c>
      <c r="I490" s="39"/>
    </row>
    <row r="491" spans="1:9" ht="18" customHeight="1" x14ac:dyDescent="0.45">
      <c r="A491" s="37"/>
      <c r="B491" s="28"/>
      <c r="C491" s="30" t="str">
        <f>IFERROR(VLOOKUP(B491,KRX종목마스터!$A:$B,2,FALSE),"")</f>
        <v/>
      </c>
      <c r="D491" s="29"/>
      <c r="E491" s="42"/>
      <c r="F491" s="44"/>
      <c r="G491" s="31" t="str">
        <f t="shared" si="14"/>
        <v/>
      </c>
      <c r="H491" s="31" t="str">
        <f t="shared" si="15"/>
        <v/>
      </c>
      <c r="I491" s="39"/>
    </row>
    <row r="492" spans="1:9" ht="18" customHeight="1" x14ac:dyDescent="0.45">
      <c r="A492" s="37"/>
      <c r="B492" s="28"/>
      <c r="C492" s="30" t="str">
        <f>IFERROR(VLOOKUP(B492,KRX종목마스터!$A:$B,2,FALSE),"")</f>
        <v/>
      </c>
      <c r="D492" s="29"/>
      <c r="E492" s="42"/>
      <c r="F492" s="44"/>
      <c r="G492" s="31" t="str">
        <f t="shared" si="14"/>
        <v/>
      </c>
      <c r="H492" s="31" t="str">
        <f t="shared" si="15"/>
        <v/>
      </c>
      <c r="I492" s="39"/>
    </row>
    <row r="493" spans="1:9" ht="18" customHeight="1" x14ac:dyDescent="0.45">
      <c r="A493" s="37"/>
      <c r="B493" s="28"/>
      <c r="C493" s="30" t="str">
        <f>IFERROR(VLOOKUP(B493,KRX종목마스터!$A:$B,2,FALSE),"")</f>
        <v/>
      </c>
      <c r="D493" s="29"/>
      <c r="E493" s="42"/>
      <c r="F493" s="44"/>
      <c r="G493" s="31" t="str">
        <f t="shared" si="14"/>
        <v/>
      </c>
      <c r="H493" s="31" t="str">
        <f t="shared" si="15"/>
        <v/>
      </c>
      <c r="I493" s="39"/>
    </row>
    <row r="494" spans="1:9" ht="18" customHeight="1" x14ac:dyDescent="0.45">
      <c r="A494" s="37"/>
      <c r="B494" s="28"/>
      <c r="C494" s="30" t="str">
        <f>IFERROR(VLOOKUP(B494,KRX종목마스터!$A:$B,2,FALSE),"")</f>
        <v/>
      </c>
      <c r="D494" s="29"/>
      <c r="E494" s="42"/>
      <c r="F494" s="44"/>
      <c r="G494" s="31" t="str">
        <f t="shared" si="14"/>
        <v/>
      </c>
      <c r="H494" s="31" t="str">
        <f t="shared" si="15"/>
        <v/>
      </c>
      <c r="I494" s="39"/>
    </row>
    <row r="495" spans="1:9" ht="18" customHeight="1" x14ac:dyDescent="0.45">
      <c r="A495" s="37"/>
      <c r="B495" s="28"/>
      <c r="C495" s="30" t="str">
        <f>IFERROR(VLOOKUP(B495,KRX종목마스터!$A:$B,2,FALSE),"")</f>
        <v/>
      </c>
      <c r="D495" s="29"/>
      <c r="E495" s="42"/>
      <c r="F495" s="44"/>
      <c r="G495" s="31" t="str">
        <f t="shared" si="14"/>
        <v/>
      </c>
      <c r="H495" s="31" t="str">
        <f t="shared" si="15"/>
        <v/>
      </c>
      <c r="I495" s="39"/>
    </row>
    <row r="496" spans="1:9" ht="18" customHeight="1" x14ac:dyDescent="0.45">
      <c r="A496" s="37"/>
      <c r="B496" s="28"/>
      <c r="C496" s="30" t="str">
        <f>IFERROR(VLOOKUP(B496,KRX종목마스터!$A:$B,2,FALSE),"")</f>
        <v/>
      </c>
      <c r="D496" s="29"/>
      <c r="E496" s="42"/>
      <c r="F496" s="44"/>
      <c r="G496" s="31" t="str">
        <f t="shared" si="14"/>
        <v/>
      </c>
      <c r="H496" s="31" t="str">
        <f t="shared" si="15"/>
        <v/>
      </c>
      <c r="I496" s="39"/>
    </row>
    <row r="497" spans="1:9" ht="18" customHeight="1" x14ac:dyDescent="0.45">
      <c r="A497" s="37"/>
      <c r="B497" s="28"/>
      <c r="C497" s="30" t="str">
        <f>IFERROR(VLOOKUP(B497,KRX종목마스터!$A:$B,2,FALSE),"")</f>
        <v/>
      </c>
      <c r="D497" s="29"/>
      <c r="E497" s="42"/>
      <c r="F497" s="44"/>
      <c r="G497" s="31" t="str">
        <f t="shared" si="14"/>
        <v/>
      </c>
      <c r="H497" s="31" t="str">
        <f t="shared" si="15"/>
        <v/>
      </c>
      <c r="I497" s="39"/>
    </row>
    <row r="498" spans="1:9" ht="18" customHeight="1" x14ac:dyDescent="0.45">
      <c r="A498" s="37"/>
      <c r="B498" s="28"/>
      <c r="C498" s="30" t="str">
        <f>IFERROR(VLOOKUP(B498,KRX종목마스터!$A:$B,2,FALSE),"")</f>
        <v/>
      </c>
      <c r="D498" s="29"/>
      <c r="E498" s="42"/>
      <c r="F498" s="44"/>
      <c r="G498" s="31" t="str">
        <f t="shared" si="14"/>
        <v/>
      </c>
      <c r="H498" s="31" t="str">
        <f t="shared" si="15"/>
        <v/>
      </c>
      <c r="I498" s="39"/>
    </row>
    <row r="499" spans="1:9" ht="18" customHeight="1" x14ac:dyDescent="0.45">
      <c r="A499" s="37"/>
      <c r="B499" s="28"/>
      <c r="C499" s="30" t="str">
        <f>IFERROR(VLOOKUP(B499,KRX종목마스터!$A:$B,2,FALSE),"")</f>
        <v/>
      </c>
      <c r="D499" s="29"/>
      <c r="E499" s="42"/>
      <c r="F499" s="44"/>
      <c r="G499" s="31" t="str">
        <f t="shared" si="14"/>
        <v/>
      </c>
      <c r="H499" s="31" t="str">
        <f t="shared" si="15"/>
        <v/>
      </c>
      <c r="I499" s="39"/>
    </row>
    <row r="500" spans="1:9" ht="18" customHeight="1" x14ac:dyDescent="0.45">
      <c r="A500" s="37"/>
      <c r="B500" s="28"/>
      <c r="C500" s="30" t="str">
        <f>IFERROR(VLOOKUP(B500,KRX종목마스터!$A:$B,2,FALSE),"")</f>
        <v/>
      </c>
      <c r="D500" s="29"/>
      <c r="E500" s="42"/>
      <c r="F500" s="44"/>
      <c r="G500" s="31" t="str">
        <f t="shared" si="14"/>
        <v/>
      </c>
      <c r="H500" s="31" t="str">
        <f t="shared" si="15"/>
        <v/>
      </c>
      <c r="I500" s="39"/>
    </row>
    <row r="501" spans="1:9" ht="18" customHeight="1" x14ac:dyDescent="0.45">
      <c r="A501" s="37"/>
      <c r="B501" s="28"/>
      <c r="C501" s="30" t="str">
        <f>IFERROR(VLOOKUP(B501,KRX종목마스터!$A:$B,2,FALSE),"")</f>
        <v/>
      </c>
      <c r="D501" s="29"/>
      <c r="E501" s="42"/>
      <c r="F501" s="44"/>
      <c r="G501" s="31" t="str">
        <f t="shared" si="14"/>
        <v/>
      </c>
      <c r="H501" s="31" t="str">
        <f t="shared" si="15"/>
        <v/>
      </c>
      <c r="I501" s="39"/>
    </row>
    <row r="502" spans="1:9" ht="18" customHeight="1" x14ac:dyDescent="0.45">
      <c r="A502" s="37"/>
      <c r="B502" s="28"/>
      <c r="C502" s="30" t="str">
        <f>IFERROR(VLOOKUP(B502,KRX종목마스터!$A:$B,2,FALSE),"")</f>
        <v/>
      </c>
      <c r="D502" s="29"/>
      <c r="E502" s="42"/>
      <c r="F502" s="44"/>
      <c r="G502" s="31" t="str">
        <f t="shared" si="14"/>
        <v/>
      </c>
      <c r="H502" s="31" t="str">
        <f t="shared" si="15"/>
        <v/>
      </c>
      <c r="I502" s="39"/>
    </row>
    <row r="503" spans="1:9" ht="18" customHeight="1" x14ac:dyDescent="0.45">
      <c r="A503" s="37"/>
      <c r="B503" s="28"/>
      <c r="C503" s="30" t="str">
        <f>IFERROR(VLOOKUP(B503,KRX종목마스터!$A:$B,2,FALSE),"")</f>
        <v/>
      </c>
      <c r="D503" s="29"/>
      <c r="E503" s="42"/>
      <c r="F503" s="44"/>
      <c r="G503" s="31" t="str">
        <f t="shared" si="14"/>
        <v/>
      </c>
      <c r="H503" s="31" t="str">
        <f t="shared" si="15"/>
        <v/>
      </c>
      <c r="I503" s="39"/>
    </row>
    <row r="504" spans="1:9" ht="18" customHeight="1" x14ac:dyDescent="0.45">
      <c r="A504" s="37"/>
      <c r="B504" s="28"/>
      <c r="C504" s="30" t="str">
        <f>IFERROR(VLOOKUP(B504,KRX종목마스터!$A:$B,2,FALSE),"")</f>
        <v/>
      </c>
      <c r="D504" s="29"/>
      <c r="E504" s="42"/>
      <c r="F504" s="44"/>
      <c r="G504" s="31" t="str">
        <f t="shared" si="14"/>
        <v/>
      </c>
      <c r="H504" s="31" t="str">
        <f t="shared" si="15"/>
        <v/>
      </c>
      <c r="I504" s="39"/>
    </row>
  </sheetData>
  <autoFilter ref="A3:I3" xr:uid="{00000000-0009-0000-0000-000001000000}"/>
  <mergeCells count="1">
    <mergeCell ref="A1:I1"/>
  </mergeCells>
  <phoneticPr fontId="10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참고!$A$4:$A$25</xm:f>
          </x14:formula1>
          <xm:sqref>D5:D504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0"/>
  <sheetViews>
    <sheetView workbookViewId="0">
      <pane ySplit="3" topLeftCell="A13" activePane="bottomLeft" state="frozen"/>
      <selection pane="bottomLeft" activeCell="E31" sqref="E31"/>
    </sheetView>
  </sheetViews>
  <sheetFormatPr defaultRowHeight="17" x14ac:dyDescent="0.45"/>
  <cols>
    <col min="1" max="1" width="20" customWidth="1"/>
    <col min="2" max="4" width="14" customWidth="1"/>
    <col min="5" max="5" width="30" customWidth="1"/>
  </cols>
  <sheetData>
    <row r="1" spans="1:6" ht="26" customHeight="1" x14ac:dyDescent="0.45">
      <c r="A1" s="60" t="s">
        <v>22</v>
      </c>
      <c r="B1" s="59"/>
      <c r="C1" s="59"/>
      <c r="D1" s="59"/>
      <c r="E1" s="59"/>
      <c r="F1" s="59"/>
    </row>
    <row r="2" spans="1:6" x14ac:dyDescent="0.45">
      <c r="A2" s="25" t="s">
        <v>23</v>
      </c>
    </row>
    <row r="3" spans="1:6" x14ac:dyDescent="0.45">
      <c r="A3" s="34" t="s">
        <v>24</v>
      </c>
    </row>
    <row r="4" spans="1:6" ht="18" customHeight="1" x14ac:dyDescent="0.45">
      <c r="A4" s="29" t="s">
        <v>25</v>
      </c>
    </row>
    <row r="5" spans="1:6" ht="18" customHeight="1" x14ac:dyDescent="0.45">
      <c r="A5" s="29" t="s">
        <v>26</v>
      </c>
    </row>
    <row r="6" spans="1:6" ht="18" customHeight="1" x14ac:dyDescent="0.45">
      <c r="A6" s="29" t="s">
        <v>27</v>
      </c>
    </row>
    <row r="7" spans="1:6" ht="18" customHeight="1" x14ac:dyDescent="0.45">
      <c r="A7" s="29" t="s">
        <v>28</v>
      </c>
    </row>
    <row r="8" spans="1:6" ht="18" customHeight="1" x14ac:dyDescent="0.45">
      <c r="A8" s="29" t="s">
        <v>29</v>
      </c>
    </row>
    <row r="9" spans="1:6" ht="18" customHeight="1" x14ac:dyDescent="0.45">
      <c r="A9" s="29" t="s">
        <v>30</v>
      </c>
    </row>
    <row r="10" spans="1:6" ht="18" customHeight="1" x14ac:dyDescent="0.45">
      <c r="A10" s="29" t="s">
        <v>31</v>
      </c>
    </row>
    <row r="11" spans="1:6" ht="18" customHeight="1" x14ac:dyDescent="0.45">
      <c r="A11" s="29" t="s">
        <v>32</v>
      </c>
    </row>
    <row r="12" spans="1:6" ht="18" customHeight="1" x14ac:dyDescent="0.45">
      <c r="A12" s="29" t="s">
        <v>33</v>
      </c>
    </row>
    <row r="13" spans="1:6" ht="18" customHeight="1" x14ac:dyDescent="0.45">
      <c r="A13" s="29" t="s">
        <v>34</v>
      </c>
    </row>
    <row r="14" spans="1:6" ht="18" customHeight="1" x14ac:dyDescent="0.45">
      <c r="A14" s="29" t="s">
        <v>35</v>
      </c>
    </row>
    <row r="15" spans="1:6" ht="18" customHeight="1" x14ac:dyDescent="0.45">
      <c r="A15" s="29" t="s">
        <v>36</v>
      </c>
    </row>
    <row r="16" spans="1:6" x14ac:dyDescent="0.45">
      <c r="A16" s="35"/>
    </row>
    <row r="17" spans="1:5" x14ac:dyDescent="0.45">
      <c r="A17" s="35"/>
    </row>
    <row r="18" spans="1:5" x14ac:dyDescent="0.45">
      <c r="A18" s="35"/>
    </row>
    <row r="19" spans="1:5" x14ac:dyDescent="0.45">
      <c r="A19" s="35"/>
    </row>
    <row r="20" spans="1:5" x14ac:dyDescent="0.45">
      <c r="A20" s="35"/>
    </row>
    <row r="21" spans="1:5" x14ac:dyDescent="0.45">
      <c r="A21" s="35"/>
    </row>
    <row r="22" spans="1:5" x14ac:dyDescent="0.45">
      <c r="A22" s="35"/>
    </row>
    <row r="23" spans="1:5" x14ac:dyDescent="0.45">
      <c r="A23" s="35"/>
    </row>
    <row r="24" spans="1:5" x14ac:dyDescent="0.45">
      <c r="A24" s="35"/>
    </row>
    <row r="25" spans="1:5" x14ac:dyDescent="0.45">
      <c r="A25" s="35"/>
    </row>
    <row r="29" spans="1:5" x14ac:dyDescent="0.45">
      <c r="A29" s="25" t="s">
        <v>37</v>
      </c>
    </row>
    <row r="30" spans="1:5" x14ac:dyDescent="0.45">
      <c r="A30" s="36" t="s">
        <v>5</v>
      </c>
      <c r="B30" s="36" t="s">
        <v>38</v>
      </c>
      <c r="C30" s="36" t="s">
        <v>39</v>
      </c>
      <c r="D30" s="36" t="s">
        <v>40</v>
      </c>
      <c r="E30" s="36" t="s">
        <v>41</v>
      </c>
    </row>
    <row r="31" spans="1:5" ht="18" customHeight="1" x14ac:dyDescent="0.45">
      <c r="A31" s="29" t="s">
        <v>25</v>
      </c>
      <c r="B31" s="37" t="s">
        <v>42</v>
      </c>
      <c r="C31" s="38">
        <v>1.4999999999999999E-2</v>
      </c>
      <c r="D31" s="38">
        <v>0.2</v>
      </c>
      <c r="E31" s="39" t="s">
        <v>43</v>
      </c>
    </row>
    <row r="32" spans="1:5" ht="18" customHeight="1" x14ac:dyDescent="0.45">
      <c r="A32" s="29" t="s">
        <v>26</v>
      </c>
      <c r="B32" s="37" t="s">
        <v>42</v>
      </c>
      <c r="C32" s="38">
        <v>0.25</v>
      </c>
      <c r="D32" s="38">
        <v>0</v>
      </c>
      <c r="E32" s="39" t="s">
        <v>43</v>
      </c>
    </row>
    <row r="33" spans="1:5" ht="18" customHeight="1" x14ac:dyDescent="0.45">
      <c r="A33" s="29" t="s">
        <v>27</v>
      </c>
      <c r="B33" s="37" t="s">
        <v>42</v>
      </c>
      <c r="C33" s="38">
        <v>1.4999999999999999E-2</v>
      </c>
      <c r="D33" s="38">
        <v>0.2</v>
      </c>
      <c r="E33" s="39" t="s">
        <v>43</v>
      </c>
    </row>
    <row r="34" spans="1:5" ht="18" customHeight="1" x14ac:dyDescent="0.45">
      <c r="A34" s="29" t="s">
        <v>28</v>
      </c>
      <c r="B34" s="37" t="s">
        <v>42</v>
      </c>
      <c r="C34" s="38">
        <v>0.25</v>
      </c>
      <c r="D34" s="38">
        <v>0</v>
      </c>
      <c r="E34" s="39" t="s">
        <v>43</v>
      </c>
    </row>
    <row r="35" spans="1:5" ht="18" customHeight="1" x14ac:dyDescent="0.45">
      <c r="A35" s="29" t="s">
        <v>29</v>
      </c>
      <c r="B35" s="37" t="s">
        <v>42</v>
      </c>
      <c r="C35" s="38">
        <v>1.4999999999999999E-2</v>
      </c>
      <c r="D35" s="38">
        <v>0</v>
      </c>
      <c r="E35" s="39" t="s">
        <v>43</v>
      </c>
    </row>
    <row r="36" spans="1:5" ht="18" customHeight="1" x14ac:dyDescent="0.45">
      <c r="A36" s="29" t="s">
        <v>30</v>
      </c>
      <c r="B36" s="37" t="s">
        <v>42</v>
      </c>
      <c r="C36" s="38">
        <v>1.4E-2</v>
      </c>
      <c r="D36" s="38">
        <v>0</v>
      </c>
      <c r="E36" s="39" t="s">
        <v>43</v>
      </c>
    </row>
    <row r="37" spans="1:5" ht="18" customHeight="1" x14ac:dyDescent="0.45">
      <c r="A37" s="29" t="s">
        <v>31</v>
      </c>
      <c r="B37" s="37" t="s">
        <v>42</v>
      </c>
      <c r="C37" s="38">
        <v>1.4999999999999999E-2</v>
      </c>
      <c r="D37" s="38">
        <v>0</v>
      </c>
      <c r="E37" s="39" t="s">
        <v>43</v>
      </c>
    </row>
    <row r="38" spans="1:5" ht="18" customHeight="1" x14ac:dyDescent="0.45">
      <c r="A38" s="29" t="s">
        <v>32</v>
      </c>
      <c r="B38" s="37" t="s">
        <v>42</v>
      </c>
      <c r="C38" s="38">
        <v>1.4E-2</v>
      </c>
      <c r="D38" s="38">
        <v>0.2</v>
      </c>
      <c r="E38" s="39" t="s">
        <v>43</v>
      </c>
    </row>
    <row r="39" spans="1:5" ht="18" customHeight="1" x14ac:dyDescent="0.45">
      <c r="A39" s="29" t="s">
        <v>33</v>
      </c>
      <c r="B39" s="37" t="s">
        <v>42</v>
      </c>
      <c r="C39" s="38">
        <v>1.4999999999999999E-2</v>
      </c>
      <c r="D39" s="38">
        <v>0.2</v>
      </c>
      <c r="E39" s="39" t="s">
        <v>43</v>
      </c>
    </row>
    <row r="40" spans="1:5" ht="18" customHeight="1" x14ac:dyDescent="0.45">
      <c r="A40" s="29" t="s">
        <v>34</v>
      </c>
      <c r="B40" s="37" t="s">
        <v>42</v>
      </c>
      <c r="C40" s="38">
        <v>0.3</v>
      </c>
      <c r="D40" s="38">
        <v>0</v>
      </c>
      <c r="E40" s="39" t="s">
        <v>43</v>
      </c>
    </row>
    <row r="41" spans="1:5" ht="18" customHeight="1" x14ac:dyDescent="0.45">
      <c r="A41" s="29" t="s">
        <v>35</v>
      </c>
      <c r="B41" s="37" t="s">
        <v>42</v>
      </c>
      <c r="C41" s="38">
        <v>1.4999999999999999E-2</v>
      </c>
      <c r="D41" s="38">
        <v>0.2</v>
      </c>
      <c r="E41" s="39" t="s">
        <v>43</v>
      </c>
    </row>
    <row r="42" spans="1:5" ht="18" customHeight="1" x14ac:dyDescent="0.45">
      <c r="A42" s="29" t="s">
        <v>36</v>
      </c>
      <c r="B42" s="37" t="s">
        <v>42</v>
      </c>
      <c r="C42" s="38">
        <v>1.4999999999999999E-2</v>
      </c>
      <c r="D42" s="38">
        <v>0.2</v>
      </c>
      <c r="E42" s="39" t="s">
        <v>43</v>
      </c>
    </row>
    <row r="43" spans="1:5" x14ac:dyDescent="0.45">
      <c r="A43" s="35"/>
      <c r="B43" s="35"/>
      <c r="C43" s="35"/>
      <c r="D43" s="35"/>
      <c r="E43" s="35"/>
    </row>
    <row r="44" spans="1:5" x14ac:dyDescent="0.45">
      <c r="A44" s="35"/>
      <c r="B44" s="35"/>
      <c r="C44" s="35"/>
      <c r="D44" s="35"/>
      <c r="E44" s="35"/>
    </row>
    <row r="45" spans="1:5" x14ac:dyDescent="0.45">
      <c r="A45" s="35"/>
      <c r="B45" s="35"/>
      <c r="C45" s="35"/>
      <c r="D45" s="35"/>
      <c r="E45" s="35"/>
    </row>
    <row r="46" spans="1:5" x14ac:dyDescent="0.45">
      <c r="A46" s="35"/>
      <c r="B46" s="35"/>
      <c r="C46" s="35"/>
      <c r="D46" s="35"/>
      <c r="E46" s="35"/>
    </row>
    <row r="47" spans="1:5" x14ac:dyDescent="0.45">
      <c r="A47" s="35"/>
      <c r="B47" s="35"/>
      <c r="C47" s="35"/>
      <c r="D47" s="35"/>
      <c r="E47" s="35"/>
    </row>
    <row r="48" spans="1:5" x14ac:dyDescent="0.45">
      <c r="A48" s="35"/>
      <c r="B48" s="35"/>
      <c r="C48" s="35"/>
      <c r="D48" s="35"/>
      <c r="E48" s="35"/>
    </row>
    <row r="49" spans="1:5" x14ac:dyDescent="0.45">
      <c r="A49" s="35"/>
      <c r="B49" s="35"/>
      <c r="C49" s="35"/>
      <c r="D49" s="35"/>
      <c r="E49" s="35"/>
    </row>
    <row r="50" spans="1:5" x14ac:dyDescent="0.45">
      <c r="A50" s="35"/>
      <c r="B50" s="35"/>
      <c r="C50" s="35"/>
      <c r="D50" s="35"/>
      <c r="E50" s="35"/>
    </row>
    <row r="51" spans="1:5" x14ac:dyDescent="0.45">
      <c r="A51" s="35"/>
      <c r="B51" s="35"/>
      <c r="C51" s="35"/>
      <c r="D51" s="35"/>
      <c r="E51" s="35"/>
    </row>
    <row r="52" spans="1:5" x14ac:dyDescent="0.45">
      <c r="A52" s="35"/>
      <c r="B52" s="35"/>
      <c r="C52" s="35"/>
      <c r="D52" s="35"/>
      <c r="E52" s="35"/>
    </row>
    <row r="53" spans="1:5" x14ac:dyDescent="0.45">
      <c r="A53" s="35"/>
      <c r="B53" s="35"/>
      <c r="C53" s="35"/>
      <c r="D53" s="35"/>
      <c r="E53" s="35"/>
    </row>
    <row r="54" spans="1:5" x14ac:dyDescent="0.45">
      <c r="A54" s="35"/>
      <c r="B54" s="35"/>
      <c r="C54" s="35"/>
      <c r="D54" s="35"/>
      <c r="E54" s="35"/>
    </row>
    <row r="55" spans="1:5" x14ac:dyDescent="0.45">
      <c r="A55" s="35"/>
      <c r="B55" s="35"/>
      <c r="C55" s="35"/>
      <c r="D55" s="35"/>
      <c r="E55" s="35"/>
    </row>
    <row r="56" spans="1:5" x14ac:dyDescent="0.45">
      <c r="A56" s="35"/>
      <c r="B56" s="35"/>
      <c r="C56" s="35"/>
      <c r="D56" s="35"/>
      <c r="E56" s="35"/>
    </row>
    <row r="57" spans="1:5" x14ac:dyDescent="0.45">
      <c r="A57" s="35"/>
      <c r="B57" s="35"/>
      <c r="C57" s="35"/>
      <c r="D57" s="35"/>
      <c r="E57" s="35"/>
    </row>
    <row r="58" spans="1:5" x14ac:dyDescent="0.45">
      <c r="A58" s="35"/>
      <c r="B58" s="35"/>
      <c r="C58" s="35"/>
      <c r="D58" s="35"/>
      <c r="E58" s="35"/>
    </row>
    <row r="59" spans="1:5" x14ac:dyDescent="0.45">
      <c r="A59" s="35"/>
      <c r="B59" s="35"/>
      <c r="C59" s="35"/>
      <c r="D59" s="35"/>
      <c r="E59" s="35"/>
    </row>
    <row r="60" spans="1:5" x14ac:dyDescent="0.45">
      <c r="A60" s="35"/>
      <c r="B60" s="35"/>
      <c r="C60" s="35"/>
      <c r="D60" s="35"/>
      <c r="E60" s="35"/>
    </row>
    <row r="61" spans="1:5" x14ac:dyDescent="0.45">
      <c r="A61" s="35"/>
      <c r="B61" s="35"/>
      <c r="C61" s="35"/>
      <c r="D61" s="35"/>
      <c r="E61" s="35"/>
    </row>
    <row r="62" spans="1:5" x14ac:dyDescent="0.45">
      <c r="A62" s="35"/>
      <c r="B62" s="35"/>
      <c r="C62" s="35"/>
      <c r="D62" s="35"/>
      <c r="E62" s="35"/>
    </row>
    <row r="63" spans="1:5" x14ac:dyDescent="0.45">
      <c r="A63" s="35"/>
      <c r="B63" s="35"/>
      <c r="C63" s="35"/>
      <c r="D63" s="35"/>
      <c r="E63" s="35"/>
    </row>
    <row r="64" spans="1:5" x14ac:dyDescent="0.45">
      <c r="A64" s="35"/>
      <c r="B64" s="35"/>
      <c r="C64" s="35"/>
      <c r="D64" s="35"/>
      <c r="E64" s="35"/>
    </row>
    <row r="65" spans="1:5" x14ac:dyDescent="0.45">
      <c r="A65" s="35"/>
      <c r="B65" s="35"/>
      <c r="C65" s="35"/>
      <c r="D65" s="35"/>
      <c r="E65" s="35"/>
    </row>
    <row r="66" spans="1:5" x14ac:dyDescent="0.45">
      <c r="A66" s="35"/>
      <c r="B66" s="35"/>
      <c r="C66" s="35"/>
      <c r="D66" s="35"/>
      <c r="E66" s="35"/>
    </row>
    <row r="67" spans="1:5" x14ac:dyDescent="0.45">
      <c r="A67" s="35"/>
      <c r="B67" s="35"/>
      <c r="C67" s="35"/>
      <c r="D67" s="35"/>
      <c r="E67" s="35"/>
    </row>
    <row r="68" spans="1:5" x14ac:dyDescent="0.45">
      <c r="A68" s="35"/>
      <c r="B68" s="35"/>
      <c r="C68" s="35"/>
      <c r="D68" s="35"/>
      <c r="E68" s="35"/>
    </row>
    <row r="69" spans="1:5" x14ac:dyDescent="0.45">
      <c r="A69" s="35"/>
      <c r="B69" s="35"/>
      <c r="C69" s="35"/>
      <c r="D69" s="35"/>
      <c r="E69" s="35"/>
    </row>
    <row r="70" spans="1:5" x14ac:dyDescent="0.45">
      <c r="A70" s="35"/>
      <c r="B70" s="35"/>
      <c r="C70" s="35"/>
      <c r="D70" s="35"/>
      <c r="E70" s="35"/>
    </row>
    <row r="71" spans="1:5" x14ac:dyDescent="0.45">
      <c r="A71" s="35"/>
      <c r="B71" s="35"/>
      <c r="C71" s="35"/>
      <c r="D71" s="35"/>
      <c r="E71" s="35"/>
    </row>
    <row r="72" spans="1:5" x14ac:dyDescent="0.45">
      <c r="A72" s="35"/>
      <c r="B72" s="35"/>
      <c r="C72" s="35"/>
      <c r="D72" s="35"/>
      <c r="E72" s="35"/>
    </row>
    <row r="73" spans="1:5" x14ac:dyDescent="0.45">
      <c r="A73" s="35"/>
      <c r="B73" s="35"/>
      <c r="C73" s="35"/>
      <c r="D73" s="35"/>
      <c r="E73" s="35"/>
    </row>
    <row r="74" spans="1:5" x14ac:dyDescent="0.45">
      <c r="A74" s="35"/>
      <c r="B74" s="35"/>
      <c r="C74" s="35"/>
      <c r="D74" s="35"/>
      <c r="E74" s="35"/>
    </row>
    <row r="75" spans="1:5" x14ac:dyDescent="0.45">
      <c r="A75" s="35"/>
      <c r="B75" s="35"/>
      <c r="C75" s="35"/>
      <c r="D75" s="35"/>
      <c r="E75" s="35"/>
    </row>
    <row r="76" spans="1:5" x14ac:dyDescent="0.45">
      <c r="A76" s="35"/>
      <c r="B76" s="35"/>
      <c r="C76" s="35"/>
      <c r="D76" s="35"/>
      <c r="E76" s="35"/>
    </row>
    <row r="77" spans="1:5" x14ac:dyDescent="0.45">
      <c r="A77" s="35"/>
      <c r="B77" s="35"/>
      <c r="C77" s="35"/>
      <c r="D77" s="35"/>
      <c r="E77" s="35"/>
    </row>
    <row r="78" spans="1:5" x14ac:dyDescent="0.45">
      <c r="A78" s="35"/>
      <c r="B78" s="35"/>
      <c r="C78" s="35"/>
      <c r="D78" s="35"/>
      <c r="E78" s="35"/>
    </row>
    <row r="79" spans="1:5" x14ac:dyDescent="0.45">
      <c r="A79" s="35"/>
      <c r="B79" s="35"/>
      <c r="C79" s="35"/>
      <c r="D79" s="35"/>
      <c r="E79" s="35"/>
    </row>
    <row r="80" spans="1:5" x14ac:dyDescent="0.45">
      <c r="A80" s="35"/>
      <c r="B80" s="35"/>
      <c r="C80" s="35"/>
      <c r="D80" s="35"/>
      <c r="E80" s="35"/>
    </row>
    <row r="81" spans="1:5" x14ac:dyDescent="0.45">
      <c r="A81" s="35"/>
      <c r="B81" s="35"/>
      <c r="C81" s="35"/>
      <c r="D81" s="35"/>
      <c r="E81" s="35"/>
    </row>
    <row r="82" spans="1:5" x14ac:dyDescent="0.45">
      <c r="A82" s="35"/>
      <c r="B82" s="35"/>
      <c r="C82" s="35"/>
      <c r="D82" s="35"/>
      <c r="E82" s="35"/>
    </row>
    <row r="83" spans="1:5" x14ac:dyDescent="0.45">
      <c r="A83" s="35"/>
      <c r="B83" s="35"/>
      <c r="C83" s="35"/>
      <c r="D83" s="35"/>
      <c r="E83" s="35"/>
    </row>
    <row r="84" spans="1:5" x14ac:dyDescent="0.45">
      <c r="A84" s="35"/>
      <c r="B84" s="35"/>
      <c r="C84" s="35"/>
      <c r="D84" s="35"/>
      <c r="E84" s="35"/>
    </row>
    <row r="85" spans="1:5" x14ac:dyDescent="0.45">
      <c r="A85" s="35"/>
      <c r="B85" s="35"/>
      <c r="C85" s="35"/>
      <c r="D85" s="35"/>
      <c r="E85" s="35"/>
    </row>
    <row r="86" spans="1:5" x14ac:dyDescent="0.45">
      <c r="A86" s="35"/>
      <c r="B86" s="35"/>
      <c r="C86" s="35"/>
      <c r="D86" s="35"/>
      <c r="E86" s="35"/>
    </row>
    <row r="87" spans="1:5" x14ac:dyDescent="0.45">
      <c r="A87" s="35"/>
      <c r="B87" s="35"/>
      <c r="C87" s="35"/>
      <c r="D87" s="35"/>
      <c r="E87" s="35"/>
    </row>
    <row r="88" spans="1:5" x14ac:dyDescent="0.45">
      <c r="A88" s="35"/>
      <c r="B88" s="35"/>
      <c r="C88" s="35"/>
      <c r="D88" s="35"/>
      <c r="E88" s="35"/>
    </row>
    <row r="89" spans="1:5" x14ac:dyDescent="0.45">
      <c r="A89" s="35"/>
      <c r="B89" s="35"/>
      <c r="C89" s="35"/>
      <c r="D89" s="35"/>
      <c r="E89" s="35"/>
    </row>
    <row r="90" spans="1:5" x14ac:dyDescent="0.45">
      <c r="A90" s="35"/>
      <c r="B90" s="35"/>
      <c r="C90" s="35"/>
      <c r="D90" s="35"/>
      <c r="E90" s="35"/>
    </row>
    <row r="91" spans="1:5" x14ac:dyDescent="0.45">
      <c r="A91" s="35"/>
      <c r="B91" s="35"/>
      <c r="C91" s="35"/>
      <c r="D91" s="35"/>
      <c r="E91" s="35"/>
    </row>
    <row r="92" spans="1:5" x14ac:dyDescent="0.45">
      <c r="A92" s="35"/>
      <c r="B92" s="35"/>
      <c r="C92" s="35"/>
      <c r="D92" s="35"/>
      <c r="E92" s="35"/>
    </row>
    <row r="93" spans="1:5" x14ac:dyDescent="0.45">
      <c r="A93" s="35"/>
      <c r="B93" s="35"/>
      <c r="C93" s="35"/>
      <c r="D93" s="35"/>
      <c r="E93" s="35"/>
    </row>
    <row r="94" spans="1:5" x14ac:dyDescent="0.45">
      <c r="A94" s="35"/>
      <c r="B94" s="35"/>
      <c r="C94" s="35"/>
      <c r="D94" s="35"/>
      <c r="E94" s="35"/>
    </row>
    <row r="95" spans="1:5" x14ac:dyDescent="0.45">
      <c r="A95" s="35"/>
      <c r="B95" s="35"/>
      <c r="C95" s="35"/>
      <c r="D95" s="35"/>
      <c r="E95" s="35"/>
    </row>
    <row r="96" spans="1:5" x14ac:dyDescent="0.45">
      <c r="A96" s="35"/>
      <c r="B96" s="35"/>
      <c r="C96" s="35"/>
      <c r="D96" s="35"/>
      <c r="E96" s="35"/>
    </row>
    <row r="97" spans="1:5" x14ac:dyDescent="0.45">
      <c r="A97" s="35"/>
      <c r="B97" s="35"/>
      <c r="C97" s="35"/>
      <c r="D97" s="35"/>
      <c r="E97" s="35"/>
    </row>
    <row r="98" spans="1:5" x14ac:dyDescent="0.45">
      <c r="A98" s="35"/>
      <c r="B98" s="35"/>
      <c r="C98" s="35"/>
      <c r="D98" s="35"/>
      <c r="E98" s="35"/>
    </row>
    <row r="99" spans="1:5" x14ac:dyDescent="0.45">
      <c r="A99" s="35"/>
      <c r="B99" s="35"/>
      <c r="C99" s="35"/>
      <c r="D99" s="35"/>
      <c r="E99" s="35"/>
    </row>
    <row r="100" spans="1:5" x14ac:dyDescent="0.45">
      <c r="A100" s="35"/>
      <c r="B100" s="35"/>
      <c r="C100" s="35"/>
      <c r="D100" s="35"/>
      <c r="E100" s="35"/>
    </row>
    <row r="101" spans="1:5" x14ac:dyDescent="0.45">
      <c r="A101" s="35"/>
      <c r="B101" s="35"/>
      <c r="C101" s="35"/>
      <c r="D101" s="35"/>
      <c r="E101" s="35"/>
    </row>
    <row r="102" spans="1:5" x14ac:dyDescent="0.45">
      <c r="A102" s="35"/>
      <c r="B102" s="35"/>
      <c r="C102" s="35"/>
      <c r="D102" s="35"/>
      <c r="E102" s="35"/>
    </row>
    <row r="103" spans="1:5" x14ac:dyDescent="0.45">
      <c r="A103" s="35"/>
      <c r="B103" s="35"/>
      <c r="C103" s="35"/>
      <c r="D103" s="35"/>
      <c r="E103" s="35"/>
    </row>
    <row r="104" spans="1:5" x14ac:dyDescent="0.45">
      <c r="A104" s="35"/>
      <c r="B104" s="35"/>
      <c r="C104" s="35"/>
      <c r="D104" s="35"/>
      <c r="E104" s="35"/>
    </row>
    <row r="105" spans="1:5" x14ac:dyDescent="0.45">
      <c r="A105" s="35"/>
      <c r="B105" s="35"/>
      <c r="C105" s="35"/>
      <c r="D105" s="35"/>
      <c r="E105" s="35"/>
    </row>
    <row r="106" spans="1:5" x14ac:dyDescent="0.45">
      <c r="A106" s="35"/>
      <c r="B106" s="35"/>
      <c r="C106" s="35"/>
      <c r="D106" s="35"/>
      <c r="E106" s="35"/>
    </row>
    <row r="107" spans="1:5" x14ac:dyDescent="0.45">
      <c r="A107" s="35"/>
      <c r="B107" s="35"/>
      <c r="C107" s="35"/>
      <c r="D107" s="35"/>
      <c r="E107" s="35"/>
    </row>
    <row r="108" spans="1:5" x14ac:dyDescent="0.45">
      <c r="A108" s="35"/>
      <c r="B108" s="35"/>
      <c r="C108" s="35"/>
      <c r="D108" s="35"/>
      <c r="E108" s="35"/>
    </row>
    <row r="109" spans="1:5" x14ac:dyDescent="0.45">
      <c r="A109" s="35"/>
      <c r="B109" s="35"/>
      <c r="C109" s="35"/>
      <c r="D109" s="35"/>
      <c r="E109" s="35"/>
    </row>
    <row r="110" spans="1:5" x14ac:dyDescent="0.45">
      <c r="A110" s="35"/>
      <c r="B110" s="35"/>
      <c r="C110" s="35"/>
      <c r="D110" s="35"/>
      <c r="E110" s="35"/>
    </row>
    <row r="111" spans="1:5" x14ac:dyDescent="0.45">
      <c r="A111" s="35"/>
      <c r="B111" s="35"/>
      <c r="C111" s="35"/>
      <c r="D111" s="35"/>
      <c r="E111" s="35"/>
    </row>
    <row r="112" spans="1:5" x14ac:dyDescent="0.45">
      <c r="A112" s="35"/>
      <c r="B112" s="35"/>
      <c r="C112" s="35"/>
      <c r="D112" s="35"/>
      <c r="E112" s="35"/>
    </row>
    <row r="113" spans="1:5" x14ac:dyDescent="0.45">
      <c r="A113" s="35"/>
      <c r="B113" s="35"/>
      <c r="C113" s="35"/>
      <c r="D113" s="35"/>
      <c r="E113" s="35"/>
    </row>
    <row r="114" spans="1:5" x14ac:dyDescent="0.45">
      <c r="A114" s="35"/>
      <c r="B114" s="35"/>
      <c r="C114" s="35"/>
      <c r="D114" s="35"/>
      <c r="E114" s="35"/>
    </row>
    <row r="115" spans="1:5" x14ac:dyDescent="0.45">
      <c r="A115" s="35"/>
      <c r="B115" s="35"/>
      <c r="C115" s="35"/>
      <c r="D115" s="35"/>
      <c r="E115" s="35"/>
    </row>
    <row r="116" spans="1:5" x14ac:dyDescent="0.45">
      <c r="A116" s="35"/>
      <c r="B116" s="35"/>
      <c r="C116" s="35"/>
      <c r="D116" s="35"/>
      <c r="E116" s="35"/>
    </row>
    <row r="117" spans="1:5" x14ac:dyDescent="0.45">
      <c r="A117" s="35"/>
      <c r="B117" s="35"/>
      <c r="C117" s="35"/>
      <c r="D117" s="35"/>
      <c r="E117" s="35"/>
    </row>
    <row r="118" spans="1:5" x14ac:dyDescent="0.45">
      <c r="A118" s="35"/>
      <c r="B118" s="35"/>
      <c r="C118" s="35"/>
      <c r="D118" s="35"/>
      <c r="E118" s="35"/>
    </row>
    <row r="119" spans="1:5" x14ac:dyDescent="0.45">
      <c r="A119" s="35"/>
      <c r="B119" s="35"/>
      <c r="C119" s="35"/>
      <c r="D119" s="35"/>
      <c r="E119" s="35"/>
    </row>
    <row r="120" spans="1:5" x14ac:dyDescent="0.45">
      <c r="A120" s="35"/>
      <c r="B120" s="35"/>
      <c r="C120" s="35"/>
      <c r="D120" s="35"/>
      <c r="E120" s="35"/>
    </row>
    <row r="121" spans="1:5" x14ac:dyDescent="0.45">
      <c r="A121" s="35"/>
      <c r="B121" s="35"/>
      <c r="C121" s="35"/>
      <c r="D121" s="35"/>
      <c r="E121" s="35"/>
    </row>
    <row r="122" spans="1:5" x14ac:dyDescent="0.45">
      <c r="A122" s="35"/>
      <c r="B122" s="35"/>
      <c r="C122" s="35"/>
      <c r="D122" s="35"/>
      <c r="E122" s="35"/>
    </row>
    <row r="123" spans="1:5" x14ac:dyDescent="0.45">
      <c r="A123" s="35"/>
      <c r="B123" s="35"/>
      <c r="C123" s="35"/>
      <c r="D123" s="35"/>
      <c r="E123" s="35"/>
    </row>
    <row r="124" spans="1:5" x14ac:dyDescent="0.45">
      <c r="A124" s="35"/>
      <c r="B124" s="35"/>
      <c r="C124" s="35"/>
      <c r="D124" s="35"/>
      <c r="E124" s="35"/>
    </row>
    <row r="125" spans="1:5" x14ac:dyDescent="0.45">
      <c r="A125" s="35"/>
      <c r="B125" s="35"/>
      <c r="C125" s="35"/>
      <c r="D125" s="35"/>
      <c r="E125" s="35"/>
    </row>
    <row r="126" spans="1:5" x14ac:dyDescent="0.45">
      <c r="A126" s="35"/>
      <c r="B126" s="35"/>
      <c r="C126" s="35"/>
      <c r="D126" s="35"/>
      <c r="E126" s="35"/>
    </row>
    <row r="127" spans="1:5" x14ac:dyDescent="0.45">
      <c r="A127" s="35"/>
      <c r="B127" s="35"/>
      <c r="C127" s="35"/>
      <c r="D127" s="35"/>
      <c r="E127" s="35"/>
    </row>
    <row r="128" spans="1:5" x14ac:dyDescent="0.45">
      <c r="A128" s="35"/>
      <c r="B128" s="35"/>
      <c r="C128" s="35"/>
      <c r="D128" s="35"/>
      <c r="E128" s="35"/>
    </row>
    <row r="129" spans="1:5" x14ac:dyDescent="0.45">
      <c r="A129" s="35"/>
      <c r="B129" s="35"/>
      <c r="C129" s="35"/>
      <c r="D129" s="35"/>
      <c r="E129" s="35"/>
    </row>
    <row r="130" spans="1:5" x14ac:dyDescent="0.45">
      <c r="A130" s="35"/>
      <c r="B130" s="35"/>
      <c r="C130" s="35"/>
      <c r="D130" s="35"/>
      <c r="E130" s="35"/>
    </row>
  </sheetData>
  <mergeCells count="1">
    <mergeCell ref="A1:F1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4"/>
  <sheetViews>
    <sheetView workbookViewId="0">
      <pane xSplit="2" ySplit="3" topLeftCell="C4" activePane="bottomRight" state="frozen"/>
      <selection pane="topRight"/>
      <selection pane="bottomLeft"/>
      <selection pane="bottomRight" sqref="A1:W1"/>
    </sheetView>
  </sheetViews>
  <sheetFormatPr defaultRowHeight="17" x14ac:dyDescent="0.45"/>
  <cols>
    <col min="1" max="1" width="11" customWidth="1"/>
    <col min="2" max="2" width="10" customWidth="1"/>
    <col min="3" max="3" width="20" customWidth="1"/>
    <col min="4" max="4" width="14" customWidth="1"/>
    <col min="5" max="5" width="10" customWidth="1"/>
    <col min="6" max="6" width="12" customWidth="1"/>
    <col min="7" max="7" width="14" customWidth="1"/>
    <col min="8" max="8" width="12" customWidth="1"/>
    <col min="9" max="9" width="11" customWidth="1"/>
    <col min="10" max="10" width="10" customWidth="1"/>
    <col min="11" max="11" width="12" customWidth="1"/>
    <col min="12" max="12" width="14" customWidth="1"/>
    <col min="13" max="13" width="12" customWidth="1"/>
    <col min="14" max="16" width="10" customWidth="1"/>
    <col min="17" max="17" width="14" customWidth="1"/>
    <col min="18" max="18" width="12" customWidth="1"/>
    <col min="19" max="20" width="14" customWidth="1"/>
    <col min="21" max="22" width="10" customWidth="1"/>
    <col min="23" max="23" width="11" customWidth="1"/>
  </cols>
  <sheetData>
    <row r="1" spans="1:23" ht="26" customHeight="1" x14ac:dyDescent="0.45">
      <c r="A1" s="58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 spans="1:23" x14ac:dyDescent="0.45">
      <c r="A2" s="25" t="s">
        <v>45</v>
      </c>
      <c r="L2" s="25" t="s">
        <v>46</v>
      </c>
    </row>
    <row r="3" spans="1:23" ht="32" customHeight="1" x14ac:dyDescent="0.45">
      <c r="A3" s="26" t="s">
        <v>47</v>
      </c>
      <c r="B3" s="26" t="s">
        <v>6</v>
      </c>
      <c r="C3" s="27" t="s">
        <v>7</v>
      </c>
      <c r="D3" s="26" t="s">
        <v>5</v>
      </c>
      <c r="E3" s="26" t="s">
        <v>48</v>
      </c>
      <c r="F3" s="26" t="s">
        <v>49</v>
      </c>
      <c r="G3" s="26" t="s">
        <v>50</v>
      </c>
      <c r="H3" s="26" t="s">
        <v>51</v>
      </c>
      <c r="I3" s="26" t="s">
        <v>52</v>
      </c>
      <c r="J3" s="26" t="s">
        <v>53</v>
      </c>
      <c r="K3" s="26" t="s">
        <v>54</v>
      </c>
      <c r="L3" s="26" t="s">
        <v>55</v>
      </c>
      <c r="M3" s="26" t="s">
        <v>56</v>
      </c>
      <c r="N3" s="26" t="s">
        <v>57</v>
      </c>
      <c r="O3" s="27" t="s">
        <v>58</v>
      </c>
      <c r="P3" s="26" t="s">
        <v>59</v>
      </c>
      <c r="Q3" s="27" t="s">
        <v>60</v>
      </c>
      <c r="R3" s="27" t="s">
        <v>61</v>
      </c>
      <c r="S3" s="27" t="s">
        <v>62</v>
      </c>
      <c r="T3" s="27" t="s">
        <v>63</v>
      </c>
      <c r="U3" s="27" t="s">
        <v>64</v>
      </c>
      <c r="V3" s="27" t="s">
        <v>65</v>
      </c>
      <c r="W3" s="27" t="s">
        <v>66</v>
      </c>
    </row>
    <row r="5" spans="1:23" ht="18" customHeight="1" x14ac:dyDescent="0.45">
      <c r="A5" s="52">
        <v>46027</v>
      </c>
      <c r="B5" s="53" t="s">
        <v>67</v>
      </c>
      <c r="C5" s="30" t="str">
        <f>IFERROR(VLOOKUP(B5,KRX종목마스터!$A:$B,2,FALSE),"")</f>
        <v>삼성전자</v>
      </c>
      <c r="D5" s="54" t="s">
        <v>25</v>
      </c>
      <c r="E5" s="55">
        <v>1</v>
      </c>
      <c r="F5" s="55">
        <v>70000</v>
      </c>
      <c r="G5" s="55">
        <v>70000</v>
      </c>
      <c r="H5" s="55">
        <v>0</v>
      </c>
      <c r="I5" s="52">
        <v>46056</v>
      </c>
      <c r="J5" s="55">
        <v>1</v>
      </c>
      <c r="K5" s="55">
        <v>75000</v>
      </c>
      <c r="L5" s="55">
        <v>75000</v>
      </c>
      <c r="M5" s="55"/>
      <c r="N5" s="55"/>
      <c r="O5" s="31">
        <f>E5-IF(J5="",0,J5)</f>
        <v>0</v>
      </c>
      <c r="P5" s="56" t="s">
        <v>68</v>
      </c>
      <c r="Q5" s="32">
        <f>IF(J5&gt;0,L5-G5-H5-IF(M5="",0,M5)-IF(N5="",0,N5),0)</f>
        <v>5000</v>
      </c>
      <c r="R5" s="31">
        <f>IFERROR(VLOOKUP(B5,KRX종목마스터!$A:$C,3,FALSE),"")</f>
        <v>267750</v>
      </c>
      <c r="S5" s="32">
        <f>IF(O5&gt;0,O5*R5-G5-H5,0)</f>
        <v>0</v>
      </c>
      <c r="T5" s="32">
        <f>Q5+S5</f>
        <v>5000</v>
      </c>
      <c r="U5" s="33">
        <f>IF(G5&gt;0,T5/G5,"")</f>
        <v>7.1428571428571425E-2</v>
      </c>
      <c r="V5" s="31">
        <f ca="1">IF(A5="","",IF(O5&gt;0,TODAY()-A5,IF(I5="","",I5-A5)))</f>
        <v>29</v>
      </c>
      <c r="W5" s="31" t="e">
        <f>SUMPRODUCT((배당금!$B$5:$B$504=B5)*(배당금!$D$5:$D$504=D5)*배당금!$H$5:$H$504)</f>
        <v>#VALUE!</v>
      </c>
    </row>
    <row r="6" spans="1:23" ht="18" customHeight="1" x14ac:dyDescent="0.45">
      <c r="A6" s="52">
        <v>46032</v>
      </c>
      <c r="B6" s="53" t="s">
        <v>67</v>
      </c>
      <c r="C6" s="30" t="str">
        <f>IFERROR(VLOOKUP(B6,KRX종목마스터!$A:$B,2,FALSE),"")</f>
        <v>삼성전자</v>
      </c>
      <c r="D6" s="54" t="s">
        <v>25</v>
      </c>
      <c r="E6" s="55">
        <v>3</v>
      </c>
      <c r="F6" s="55">
        <v>68000</v>
      </c>
      <c r="G6" s="55">
        <v>204000</v>
      </c>
      <c r="H6" s="55">
        <v>0</v>
      </c>
      <c r="I6" s="52">
        <v>46056</v>
      </c>
      <c r="J6" s="55">
        <v>3</v>
      </c>
      <c r="K6" s="55">
        <v>75000</v>
      </c>
      <c r="L6" s="55">
        <v>225000</v>
      </c>
      <c r="M6" s="55"/>
      <c r="N6" s="55"/>
      <c r="O6" s="31">
        <f>E6-IF(J6="",0,J6)</f>
        <v>0</v>
      </c>
      <c r="P6" s="56" t="s">
        <v>68</v>
      </c>
      <c r="Q6" s="32">
        <f>IF(J6&gt;0,L6-G6-H6-IF(M6="",0,M6)-IF(N6="",0,N6),0)</f>
        <v>21000</v>
      </c>
      <c r="R6" s="31">
        <f>IFERROR(VLOOKUP(B6,KRX종목마스터!$A:$C,3,FALSE),"")</f>
        <v>267750</v>
      </c>
      <c r="S6" s="32">
        <f>IF(O6&gt;0,O6*R6-G6-H6,0)</f>
        <v>0</v>
      </c>
      <c r="T6" s="32">
        <f>Q6+S6</f>
        <v>21000</v>
      </c>
      <c r="U6" s="33">
        <f>IF(G6&gt;0,T6/G6,"")</f>
        <v>0.10294117647058823</v>
      </c>
      <c r="V6" s="31">
        <f ca="1">IF(A6="","",IF(O6&gt;0,TODAY()-A6,IF(I6="","",I6-A6)))</f>
        <v>24</v>
      </c>
      <c r="W6" s="31" t="e">
        <f>SUMPRODUCT((배당금!$B$5:$B$504=B6)*(배당금!$D$5:$D$504=D6)*배당금!$H$5:$H$504)</f>
        <v>#VALUE!</v>
      </c>
    </row>
    <row r="7" spans="1:23" ht="18" customHeight="1" x14ac:dyDescent="0.45">
      <c r="A7" s="52">
        <v>46032</v>
      </c>
      <c r="B7" s="53" t="s">
        <v>67</v>
      </c>
      <c r="C7" s="30" t="str">
        <f>IFERROR(VLOOKUP(B7,KRX종목마스터!$A:$B,2,FALSE),"")</f>
        <v>삼성전자</v>
      </c>
      <c r="D7" s="54" t="s">
        <v>25</v>
      </c>
      <c r="E7" s="55">
        <v>2</v>
      </c>
      <c r="F7" s="55">
        <v>68000</v>
      </c>
      <c r="G7" s="55">
        <v>136000</v>
      </c>
      <c r="H7" s="55">
        <v>0</v>
      </c>
      <c r="I7" s="45"/>
      <c r="J7" s="55"/>
      <c r="K7" s="55"/>
      <c r="L7" s="55"/>
      <c r="M7" s="55"/>
      <c r="N7" s="55"/>
      <c r="O7" s="31">
        <f>E7-IF(J7="",0,J7)</f>
        <v>2</v>
      </c>
      <c r="P7" s="57" t="s">
        <v>69</v>
      </c>
      <c r="Q7" s="32">
        <f>IF(J7&gt;0,L7-G7-H7-IF(M7="",0,M7)-IF(N7="",0,N7),0)</f>
        <v>0</v>
      </c>
      <c r="R7" s="31">
        <f>IFERROR(VLOOKUP(B7,KRX종목마스터!$A:$C,3,FALSE),"")</f>
        <v>267750</v>
      </c>
      <c r="S7" s="32">
        <f>IF(O7&gt;0,O7*R7-G7-H7,0)</f>
        <v>399500</v>
      </c>
      <c r="T7" s="32">
        <f>Q7+S7</f>
        <v>399500</v>
      </c>
      <c r="U7" s="33">
        <f>IF(G7&gt;0,T7/G7,"")</f>
        <v>2.9375</v>
      </c>
      <c r="V7" s="31">
        <f ca="1">IF(A7="","",IF(O7&gt;0,TODAY()-A7,IF(I7="","",I7-A7)))</f>
        <v>144</v>
      </c>
      <c r="W7" s="31" t="e">
        <f>SUMPRODUCT((배당금!$B$5:$B$504=B7)*(배당금!$D$5:$D$504=D7)*배당금!$H$5:$H$504)</f>
        <v>#VALUE!</v>
      </c>
    </row>
    <row r="8" spans="1:23" ht="18" customHeight="1" x14ac:dyDescent="0.45">
      <c r="A8" s="45"/>
      <c r="B8" s="46"/>
      <c r="C8" s="47"/>
      <c r="D8" s="48"/>
      <c r="E8" s="49"/>
      <c r="F8" s="49"/>
      <c r="G8" s="49"/>
      <c r="H8" s="49"/>
      <c r="I8" s="45"/>
      <c r="J8" s="49"/>
      <c r="K8" s="49"/>
      <c r="L8" s="49"/>
      <c r="M8" s="49"/>
      <c r="N8" s="49"/>
      <c r="O8" s="49"/>
      <c r="P8" s="48"/>
      <c r="Q8" s="50"/>
      <c r="R8" s="49"/>
      <c r="S8" s="50"/>
      <c r="T8" s="50"/>
      <c r="U8" s="51"/>
      <c r="V8" s="49"/>
      <c r="W8" s="49"/>
    </row>
    <row r="9" spans="1:23" ht="18" customHeight="1" x14ac:dyDescent="0.45">
      <c r="A9" s="45"/>
      <c r="B9" s="46"/>
      <c r="C9" s="47"/>
      <c r="D9" s="48"/>
      <c r="E9" s="49"/>
      <c r="F9" s="49"/>
      <c r="G9" s="49"/>
      <c r="H9" s="49"/>
      <c r="I9" s="45"/>
      <c r="J9" s="49"/>
      <c r="K9" s="49"/>
      <c r="L9" s="49"/>
      <c r="M9" s="49"/>
      <c r="N9" s="49"/>
      <c r="O9" s="49"/>
      <c r="P9" s="48"/>
      <c r="Q9" s="50"/>
      <c r="R9" s="49"/>
      <c r="S9" s="50"/>
      <c r="T9" s="50"/>
      <c r="U9" s="51"/>
      <c r="V9" s="49"/>
      <c r="W9" s="49"/>
    </row>
    <row r="10" spans="1:23" ht="18" customHeight="1" x14ac:dyDescent="0.45">
      <c r="A10" s="45"/>
      <c r="B10" s="46"/>
      <c r="C10" s="47"/>
      <c r="D10" s="48"/>
      <c r="E10" s="49"/>
      <c r="F10" s="49"/>
      <c r="G10" s="49"/>
      <c r="H10" s="49"/>
      <c r="I10" s="45"/>
      <c r="J10" s="49"/>
      <c r="K10" s="49"/>
      <c r="L10" s="49"/>
      <c r="M10" s="49"/>
      <c r="N10" s="49"/>
      <c r="O10" s="49"/>
      <c r="P10" s="48"/>
      <c r="Q10" s="50"/>
      <c r="R10" s="49"/>
      <c r="S10" s="50"/>
      <c r="T10" s="50"/>
      <c r="U10" s="51"/>
      <c r="V10" s="49"/>
      <c r="W10" s="49"/>
    </row>
    <row r="11" spans="1:23" ht="18" customHeight="1" x14ac:dyDescent="0.45">
      <c r="A11" s="45"/>
      <c r="B11" s="46"/>
      <c r="C11" s="47"/>
      <c r="D11" s="48"/>
      <c r="E11" s="49"/>
      <c r="F11" s="49"/>
      <c r="G11" s="49"/>
      <c r="H11" s="49"/>
      <c r="I11" s="45"/>
      <c r="J11" s="49"/>
      <c r="K11" s="49"/>
      <c r="L11" s="49"/>
      <c r="M11" s="49"/>
      <c r="N11" s="49"/>
      <c r="O11" s="49"/>
      <c r="P11" s="48"/>
      <c r="Q11" s="50"/>
      <c r="R11" s="49"/>
      <c r="S11" s="50"/>
      <c r="T11" s="50"/>
      <c r="U11" s="51"/>
      <c r="V11" s="49"/>
      <c r="W11" s="49"/>
    </row>
    <row r="12" spans="1:23" ht="18" customHeight="1" x14ac:dyDescent="0.45">
      <c r="A12" s="45"/>
      <c r="B12" s="46"/>
      <c r="C12" s="47"/>
      <c r="D12" s="48"/>
      <c r="E12" s="49"/>
      <c r="F12" s="49"/>
      <c r="G12" s="49"/>
      <c r="H12" s="49"/>
      <c r="I12" s="45"/>
      <c r="J12" s="49"/>
      <c r="K12" s="49"/>
      <c r="L12" s="49"/>
      <c r="M12" s="49"/>
      <c r="N12" s="49"/>
      <c r="O12" s="49"/>
      <c r="P12" s="48"/>
      <c r="Q12" s="50"/>
      <c r="R12" s="49"/>
      <c r="S12" s="50"/>
      <c r="T12" s="50"/>
      <c r="U12" s="51"/>
      <c r="V12" s="49"/>
      <c r="W12" s="49"/>
    </row>
    <row r="13" spans="1:23" ht="18" customHeight="1" x14ac:dyDescent="0.45">
      <c r="A13" s="45"/>
      <c r="B13" s="46"/>
      <c r="C13" s="47"/>
      <c r="D13" s="48"/>
      <c r="E13" s="49"/>
      <c r="F13" s="49"/>
      <c r="G13" s="49"/>
      <c r="H13" s="49"/>
      <c r="I13" s="45"/>
      <c r="J13" s="49"/>
      <c r="K13" s="49"/>
      <c r="L13" s="49"/>
      <c r="M13" s="49"/>
      <c r="N13" s="49"/>
      <c r="O13" s="49"/>
      <c r="P13" s="48"/>
      <c r="Q13" s="50"/>
      <c r="R13" s="49"/>
      <c r="S13" s="50"/>
      <c r="T13" s="50"/>
      <c r="U13" s="51"/>
      <c r="V13" s="49"/>
      <c r="W13" s="49"/>
    </row>
    <row r="14" spans="1:23" ht="18" customHeight="1" x14ac:dyDescent="0.45">
      <c r="A14" s="45"/>
      <c r="B14" s="46"/>
      <c r="C14" s="47"/>
      <c r="D14" s="48"/>
      <c r="E14" s="49"/>
      <c r="F14" s="49"/>
      <c r="G14" s="49"/>
      <c r="H14" s="49"/>
      <c r="I14" s="45"/>
      <c r="J14" s="49"/>
      <c r="K14" s="49"/>
      <c r="L14" s="49"/>
      <c r="M14" s="49"/>
      <c r="N14" s="49"/>
      <c r="O14" s="49"/>
      <c r="P14" s="48"/>
      <c r="Q14" s="50"/>
      <c r="R14" s="49"/>
      <c r="S14" s="50"/>
      <c r="T14" s="50"/>
      <c r="U14" s="51"/>
      <c r="V14" s="49"/>
      <c r="W14" s="49"/>
    </row>
    <row r="15" spans="1:23" ht="18" customHeight="1" x14ac:dyDescent="0.45">
      <c r="A15" s="45"/>
      <c r="B15" s="46"/>
      <c r="C15" s="47"/>
      <c r="D15" s="48"/>
      <c r="E15" s="49"/>
      <c r="F15" s="49"/>
      <c r="G15" s="49"/>
      <c r="H15" s="49"/>
      <c r="I15" s="45"/>
      <c r="J15" s="49"/>
      <c r="K15" s="49"/>
      <c r="L15" s="49"/>
      <c r="M15" s="49"/>
      <c r="N15" s="49"/>
      <c r="O15" s="49"/>
      <c r="P15" s="48"/>
      <c r="Q15" s="50"/>
      <c r="R15" s="49"/>
      <c r="S15" s="50"/>
      <c r="T15" s="50"/>
      <c r="U15" s="51"/>
      <c r="V15" s="49"/>
      <c r="W15" s="49"/>
    </row>
    <row r="16" spans="1:23" ht="18" customHeight="1" x14ac:dyDescent="0.45">
      <c r="A16" s="45"/>
      <c r="B16" s="46"/>
      <c r="C16" s="47"/>
      <c r="D16" s="48"/>
      <c r="E16" s="49"/>
      <c r="F16" s="49"/>
      <c r="G16" s="49"/>
      <c r="H16" s="49"/>
      <c r="I16" s="45"/>
      <c r="J16" s="49"/>
      <c r="K16" s="49"/>
      <c r="L16" s="49"/>
      <c r="M16" s="49"/>
      <c r="N16" s="49"/>
      <c r="O16" s="49"/>
      <c r="P16" s="48"/>
      <c r="Q16" s="50"/>
      <c r="R16" s="49"/>
      <c r="S16" s="50"/>
      <c r="T16" s="50"/>
      <c r="U16" s="51"/>
      <c r="V16" s="49"/>
      <c r="W16" s="49"/>
    </row>
    <row r="17" spans="1:23" ht="18" customHeight="1" x14ac:dyDescent="0.45">
      <c r="A17" s="45"/>
      <c r="B17" s="46"/>
      <c r="C17" s="47"/>
      <c r="D17" s="48"/>
      <c r="E17" s="49"/>
      <c r="F17" s="49"/>
      <c r="G17" s="49"/>
      <c r="H17" s="49"/>
      <c r="I17" s="45"/>
      <c r="J17" s="49"/>
      <c r="K17" s="49"/>
      <c r="L17" s="49"/>
      <c r="M17" s="49"/>
      <c r="N17" s="49"/>
      <c r="O17" s="49"/>
      <c r="P17" s="48"/>
      <c r="Q17" s="50"/>
      <c r="R17" s="49"/>
      <c r="S17" s="50"/>
      <c r="T17" s="50"/>
      <c r="U17" s="51"/>
      <c r="V17" s="49"/>
      <c r="W17" s="49"/>
    </row>
    <row r="18" spans="1:23" ht="18" customHeight="1" x14ac:dyDescent="0.45">
      <c r="A18" s="45"/>
      <c r="B18" s="46"/>
      <c r="C18" s="47"/>
      <c r="D18" s="48"/>
      <c r="E18" s="49"/>
      <c r="F18" s="49"/>
      <c r="G18" s="49"/>
      <c r="H18" s="49"/>
      <c r="I18" s="45"/>
      <c r="J18" s="49"/>
      <c r="K18" s="49"/>
      <c r="L18" s="49"/>
      <c r="M18" s="49"/>
      <c r="N18" s="49"/>
      <c r="O18" s="49"/>
      <c r="P18" s="48"/>
      <c r="Q18" s="50"/>
      <c r="R18" s="49"/>
      <c r="S18" s="50"/>
      <c r="T18" s="50"/>
      <c r="U18" s="51"/>
      <c r="V18" s="49"/>
      <c r="W18" s="49"/>
    </row>
    <row r="19" spans="1:23" ht="18" customHeight="1" x14ac:dyDescent="0.45">
      <c r="A19" s="45"/>
      <c r="B19" s="46"/>
      <c r="C19" s="47"/>
      <c r="D19" s="48"/>
      <c r="E19" s="49"/>
      <c r="F19" s="49"/>
      <c r="G19" s="49"/>
      <c r="H19" s="49"/>
      <c r="I19" s="45"/>
      <c r="J19" s="49"/>
      <c r="K19" s="49"/>
      <c r="L19" s="49"/>
      <c r="M19" s="49"/>
      <c r="N19" s="49"/>
      <c r="O19" s="49"/>
      <c r="P19" s="48"/>
      <c r="Q19" s="50"/>
      <c r="R19" s="49"/>
      <c r="S19" s="50"/>
      <c r="T19" s="50"/>
      <c r="U19" s="51"/>
      <c r="V19" s="49"/>
      <c r="W19" s="49"/>
    </row>
    <row r="20" spans="1:23" ht="18" customHeight="1" x14ac:dyDescent="0.45">
      <c r="A20" s="45"/>
      <c r="B20" s="46"/>
      <c r="C20" s="47"/>
      <c r="D20" s="48"/>
      <c r="E20" s="49"/>
      <c r="F20" s="49"/>
      <c r="G20" s="49"/>
      <c r="H20" s="49"/>
      <c r="I20" s="45"/>
      <c r="J20" s="49"/>
      <c r="K20" s="49"/>
      <c r="L20" s="49"/>
      <c r="M20" s="49"/>
      <c r="N20" s="49"/>
      <c r="O20" s="49"/>
      <c r="P20" s="48"/>
      <c r="Q20" s="50"/>
      <c r="R20" s="49"/>
      <c r="S20" s="50"/>
      <c r="T20" s="50"/>
      <c r="U20" s="51"/>
      <c r="V20" s="49"/>
      <c r="W20" s="49"/>
    </row>
    <row r="21" spans="1:23" ht="18" customHeight="1" x14ac:dyDescent="0.45">
      <c r="A21" s="45"/>
      <c r="B21" s="46"/>
      <c r="C21" s="47"/>
      <c r="D21" s="48"/>
      <c r="E21" s="49"/>
      <c r="F21" s="49"/>
      <c r="G21" s="49"/>
      <c r="H21" s="49"/>
      <c r="I21" s="45"/>
      <c r="J21" s="49"/>
      <c r="K21" s="49"/>
      <c r="L21" s="49"/>
      <c r="M21" s="49"/>
      <c r="N21" s="49"/>
      <c r="O21" s="49"/>
      <c r="P21" s="48"/>
      <c r="Q21" s="50"/>
      <c r="R21" s="49"/>
      <c r="S21" s="50"/>
      <c r="T21" s="50"/>
      <c r="U21" s="51"/>
      <c r="V21" s="49"/>
      <c r="W21" s="49"/>
    </row>
    <row r="22" spans="1:23" ht="18" customHeight="1" x14ac:dyDescent="0.45">
      <c r="A22" s="45"/>
      <c r="B22" s="46"/>
      <c r="C22" s="47"/>
      <c r="D22" s="48"/>
      <c r="E22" s="49"/>
      <c r="F22" s="49"/>
      <c r="G22" s="49"/>
      <c r="H22" s="49"/>
      <c r="I22" s="45"/>
      <c r="J22" s="49"/>
      <c r="K22" s="49"/>
      <c r="L22" s="49"/>
      <c r="M22" s="49"/>
      <c r="N22" s="49"/>
      <c r="O22" s="49"/>
      <c r="P22" s="48"/>
      <c r="Q22" s="50"/>
      <c r="R22" s="49"/>
      <c r="S22" s="50"/>
      <c r="T22" s="50"/>
      <c r="U22" s="51"/>
      <c r="V22" s="49"/>
      <c r="W22" s="49"/>
    </row>
    <row r="23" spans="1:23" ht="18" customHeight="1" x14ac:dyDescent="0.45">
      <c r="A23" s="45"/>
      <c r="B23" s="46"/>
      <c r="C23" s="47"/>
      <c r="D23" s="48"/>
      <c r="E23" s="49"/>
      <c r="F23" s="49"/>
      <c r="G23" s="49"/>
      <c r="H23" s="49"/>
      <c r="I23" s="45"/>
      <c r="J23" s="49"/>
      <c r="K23" s="49"/>
      <c r="L23" s="49"/>
      <c r="M23" s="49"/>
      <c r="N23" s="49"/>
      <c r="O23" s="49"/>
      <c r="P23" s="48"/>
      <c r="Q23" s="50"/>
      <c r="R23" s="49"/>
      <c r="S23" s="50"/>
      <c r="T23" s="50"/>
      <c r="U23" s="51"/>
      <c r="V23" s="49"/>
      <c r="W23" s="49"/>
    </row>
    <row r="24" spans="1:23" ht="18" customHeight="1" x14ac:dyDescent="0.45">
      <c r="A24" s="45"/>
      <c r="B24" s="46"/>
      <c r="C24" s="47"/>
      <c r="D24" s="48"/>
      <c r="E24" s="49"/>
      <c r="F24" s="49"/>
      <c r="G24" s="49"/>
      <c r="H24" s="49"/>
      <c r="I24" s="45"/>
      <c r="J24" s="49"/>
      <c r="K24" s="49"/>
      <c r="L24" s="49"/>
      <c r="M24" s="49"/>
      <c r="N24" s="49"/>
      <c r="O24" s="49"/>
      <c r="P24" s="48"/>
      <c r="Q24" s="50"/>
      <c r="R24" s="49"/>
      <c r="S24" s="50"/>
      <c r="T24" s="50"/>
      <c r="U24" s="51"/>
      <c r="V24" s="49"/>
      <c r="W24" s="49"/>
    </row>
    <row r="25" spans="1:23" ht="18" customHeight="1" x14ac:dyDescent="0.45">
      <c r="A25" s="45"/>
      <c r="B25" s="46"/>
      <c r="C25" s="47"/>
      <c r="D25" s="48"/>
      <c r="E25" s="49"/>
      <c r="F25" s="49"/>
      <c r="G25" s="49"/>
      <c r="H25" s="49"/>
      <c r="I25" s="45"/>
      <c r="J25" s="49"/>
      <c r="K25" s="49"/>
      <c r="L25" s="49"/>
      <c r="M25" s="49"/>
      <c r="N25" s="49"/>
      <c r="O25" s="49"/>
      <c r="P25" s="48"/>
      <c r="Q25" s="50"/>
      <c r="R25" s="49"/>
      <c r="S25" s="50"/>
      <c r="T25" s="50"/>
      <c r="U25" s="51"/>
      <c r="V25" s="49"/>
      <c r="W25" s="49"/>
    </row>
    <row r="26" spans="1:23" ht="18" customHeight="1" x14ac:dyDescent="0.45">
      <c r="A26" s="45"/>
      <c r="B26" s="46"/>
      <c r="C26" s="47"/>
      <c r="D26" s="48"/>
      <c r="E26" s="49"/>
      <c r="F26" s="49"/>
      <c r="G26" s="49"/>
      <c r="H26" s="49"/>
      <c r="I26" s="45"/>
      <c r="J26" s="49"/>
      <c r="K26" s="49"/>
      <c r="L26" s="49"/>
      <c r="M26" s="49"/>
      <c r="N26" s="49"/>
      <c r="O26" s="49"/>
      <c r="P26" s="48"/>
      <c r="Q26" s="50"/>
      <c r="R26" s="49"/>
      <c r="S26" s="50"/>
      <c r="T26" s="50"/>
      <c r="U26" s="51"/>
      <c r="V26" s="49"/>
      <c r="W26" s="49"/>
    </row>
    <row r="27" spans="1:23" ht="18" customHeight="1" x14ac:dyDescent="0.45">
      <c r="A27" s="45"/>
      <c r="B27" s="46"/>
      <c r="C27" s="47"/>
      <c r="D27" s="48"/>
      <c r="E27" s="49"/>
      <c r="F27" s="49"/>
      <c r="G27" s="49"/>
      <c r="H27" s="49"/>
      <c r="I27" s="45"/>
      <c r="J27" s="49"/>
      <c r="K27" s="49"/>
      <c r="L27" s="49"/>
      <c r="M27" s="49"/>
      <c r="N27" s="49"/>
      <c r="O27" s="49"/>
      <c r="P27" s="48"/>
      <c r="Q27" s="50"/>
      <c r="R27" s="49"/>
      <c r="S27" s="50"/>
      <c r="T27" s="50"/>
      <c r="U27" s="51"/>
      <c r="V27" s="49"/>
      <c r="W27" s="49"/>
    </row>
    <row r="28" spans="1:23" ht="18" customHeight="1" x14ac:dyDescent="0.45">
      <c r="A28" s="45"/>
      <c r="B28" s="46"/>
      <c r="C28" s="47"/>
      <c r="D28" s="48"/>
      <c r="E28" s="49"/>
      <c r="F28" s="49"/>
      <c r="G28" s="49"/>
      <c r="H28" s="49"/>
      <c r="I28" s="45"/>
      <c r="J28" s="49"/>
      <c r="K28" s="49"/>
      <c r="L28" s="49"/>
      <c r="M28" s="49"/>
      <c r="N28" s="49"/>
      <c r="O28" s="49"/>
      <c r="P28" s="48"/>
      <c r="Q28" s="50"/>
      <c r="R28" s="49"/>
      <c r="S28" s="50"/>
      <c r="T28" s="50"/>
      <c r="U28" s="51"/>
      <c r="V28" s="49"/>
      <c r="W28" s="49"/>
    </row>
    <row r="29" spans="1:23" ht="18" customHeight="1" x14ac:dyDescent="0.45">
      <c r="A29" s="45"/>
      <c r="B29" s="46"/>
      <c r="C29" s="47"/>
      <c r="D29" s="48"/>
      <c r="E29" s="49"/>
      <c r="F29" s="49"/>
      <c r="G29" s="49"/>
      <c r="H29" s="49"/>
      <c r="I29" s="45"/>
      <c r="J29" s="49"/>
      <c r="K29" s="49"/>
      <c r="L29" s="49"/>
      <c r="M29" s="49"/>
      <c r="N29" s="49"/>
      <c r="O29" s="49"/>
      <c r="P29" s="48"/>
      <c r="Q29" s="50"/>
      <c r="R29" s="49"/>
      <c r="S29" s="50"/>
      <c r="T29" s="50"/>
      <c r="U29" s="51"/>
      <c r="V29" s="49"/>
      <c r="W29" s="49"/>
    </row>
    <row r="30" spans="1:23" ht="18" customHeight="1" x14ac:dyDescent="0.45">
      <c r="A30" s="45"/>
      <c r="B30" s="46"/>
      <c r="C30" s="47"/>
      <c r="D30" s="48"/>
      <c r="E30" s="49"/>
      <c r="F30" s="49"/>
      <c r="G30" s="49"/>
      <c r="H30" s="49"/>
      <c r="I30" s="45"/>
      <c r="J30" s="49"/>
      <c r="K30" s="49"/>
      <c r="L30" s="49"/>
      <c r="M30" s="49"/>
      <c r="N30" s="49"/>
      <c r="O30" s="49"/>
      <c r="P30" s="48"/>
      <c r="Q30" s="50"/>
      <c r="R30" s="49"/>
      <c r="S30" s="50"/>
      <c r="T30" s="50"/>
      <c r="U30" s="51"/>
      <c r="V30" s="49"/>
      <c r="W30" s="49"/>
    </row>
    <row r="31" spans="1:23" ht="18" customHeight="1" x14ac:dyDescent="0.45">
      <c r="A31" s="45"/>
      <c r="B31" s="46"/>
      <c r="C31" s="47"/>
      <c r="D31" s="48"/>
      <c r="E31" s="49"/>
      <c r="F31" s="49"/>
      <c r="G31" s="49"/>
      <c r="H31" s="49"/>
      <c r="I31" s="45"/>
      <c r="J31" s="49"/>
      <c r="K31" s="49"/>
      <c r="L31" s="49"/>
      <c r="M31" s="49"/>
      <c r="N31" s="49"/>
      <c r="O31" s="49"/>
      <c r="P31" s="48"/>
      <c r="Q31" s="50"/>
      <c r="R31" s="49"/>
      <c r="S31" s="50"/>
      <c r="T31" s="50"/>
      <c r="U31" s="51"/>
      <c r="V31" s="49"/>
      <c r="W31" s="49"/>
    </row>
    <row r="32" spans="1:23" ht="18" customHeight="1" x14ac:dyDescent="0.45">
      <c r="A32" s="45"/>
      <c r="B32" s="46"/>
      <c r="C32" s="47"/>
      <c r="D32" s="48"/>
      <c r="E32" s="49"/>
      <c r="F32" s="49"/>
      <c r="G32" s="49"/>
      <c r="H32" s="49"/>
      <c r="I32" s="45"/>
      <c r="J32" s="49"/>
      <c r="K32" s="49"/>
      <c r="L32" s="49"/>
      <c r="M32" s="49"/>
      <c r="N32" s="49"/>
      <c r="O32" s="49"/>
      <c r="P32" s="48"/>
      <c r="Q32" s="50"/>
      <c r="R32" s="49"/>
      <c r="S32" s="50"/>
      <c r="T32" s="50"/>
      <c r="U32" s="51"/>
      <c r="V32" s="49"/>
      <c r="W32" s="49"/>
    </row>
    <row r="33" spans="1:23" ht="18" customHeight="1" x14ac:dyDescent="0.45">
      <c r="A33" s="45"/>
      <c r="B33" s="46"/>
      <c r="C33" s="47"/>
      <c r="D33" s="48"/>
      <c r="E33" s="49"/>
      <c r="F33" s="49"/>
      <c r="G33" s="49"/>
      <c r="H33" s="49"/>
      <c r="I33" s="45"/>
      <c r="J33" s="49"/>
      <c r="K33" s="49"/>
      <c r="L33" s="49"/>
      <c r="M33" s="49"/>
      <c r="N33" s="49"/>
      <c r="O33" s="49"/>
      <c r="P33" s="48"/>
      <c r="Q33" s="50"/>
      <c r="R33" s="49"/>
      <c r="S33" s="50"/>
      <c r="T33" s="50"/>
      <c r="U33" s="51"/>
      <c r="V33" s="49"/>
      <c r="W33" s="49"/>
    </row>
    <row r="34" spans="1:23" ht="18" customHeight="1" x14ac:dyDescent="0.45">
      <c r="A34" s="45"/>
      <c r="B34" s="46"/>
      <c r="C34" s="47"/>
      <c r="D34" s="48"/>
      <c r="E34" s="49"/>
      <c r="F34" s="49"/>
      <c r="G34" s="49"/>
      <c r="H34" s="49"/>
      <c r="I34" s="45"/>
      <c r="J34" s="49"/>
      <c r="K34" s="49"/>
      <c r="L34" s="49"/>
      <c r="M34" s="49"/>
      <c r="N34" s="49"/>
      <c r="O34" s="49"/>
      <c r="P34" s="48"/>
      <c r="Q34" s="50"/>
      <c r="R34" s="49"/>
      <c r="S34" s="50"/>
      <c r="T34" s="50"/>
      <c r="U34" s="51"/>
      <c r="V34" s="49"/>
      <c r="W34" s="49"/>
    </row>
    <row r="35" spans="1:23" ht="18" customHeight="1" x14ac:dyDescent="0.45">
      <c r="A35" s="45"/>
      <c r="B35" s="46"/>
      <c r="C35" s="47"/>
      <c r="D35" s="48"/>
      <c r="E35" s="49"/>
      <c r="F35" s="49"/>
      <c r="G35" s="49"/>
      <c r="H35" s="49"/>
      <c r="I35" s="45"/>
      <c r="J35" s="49"/>
      <c r="K35" s="49"/>
      <c r="L35" s="49"/>
      <c r="M35" s="49"/>
      <c r="N35" s="49"/>
      <c r="O35" s="49"/>
      <c r="P35" s="48"/>
      <c r="Q35" s="50"/>
      <c r="R35" s="49"/>
      <c r="S35" s="50"/>
      <c r="T35" s="50"/>
      <c r="U35" s="51"/>
      <c r="V35" s="49"/>
      <c r="W35" s="49"/>
    </row>
    <row r="36" spans="1:23" ht="18" customHeight="1" x14ac:dyDescent="0.45">
      <c r="A36" s="45"/>
      <c r="B36" s="46"/>
      <c r="C36" s="47"/>
      <c r="D36" s="48"/>
      <c r="E36" s="49"/>
      <c r="F36" s="49"/>
      <c r="G36" s="49"/>
      <c r="H36" s="49"/>
      <c r="I36" s="45"/>
      <c r="J36" s="49"/>
      <c r="K36" s="49"/>
      <c r="L36" s="49"/>
      <c r="M36" s="49"/>
      <c r="N36" s="49"/>
      <c r="O36" s="49"/>
      <c r="P36" s="48"/>
      <c r="Q36" s="50"/>
      <c r="R36" s="49"/>
      <c r="S36" s="50"/>
      <c r="T36" s="50"/>
      <c r="U36" s="51"/>
      <c r="V36" s="49"/>
      <c r="W36" s="49"/>
    </row>
    <row r="37" spans="1:23" ht="18" customHeight="1" x14ac:dyDescent="0.45">
      <c r="A37" s="45"/>
      <c r="B37" s="46"/>
      <c r="C37" s="47"/>
      <c r="D37" s="48"/>
      <c r="E37" s="49"/>
      <c r="F37" s="49"/>
      <c r="G37" s="49"/>
      <c r="H37" s="49"/>
      <c r="I37" s="45"/>
      <c r="J37" s="49"/>
      <c r="K37" s="49"/>
      <c r="L37" s="49"/>
      <c r="M37" s="49"/>
      <c r="N37" s="49"/>
      <c r="O37" s="49"/>
      <c r="P37" s="48"/>
      <c r="Q37" s="50"/>
      <c r="R37" s="49"/>
      <c r="S37" s="50"/>
      <c r="T37" s="50"/>
      <c r="U37" s="51"/>
      <c r="V37" s="49"/>
      <c r="W37" s="49"/>
    </row>
    <row r="38" spans="1:23" ht="18" customHeight="1" x14ac:dyDescent="0.45">
      <c r="A38" s="45"/>
      <c r="B38" s="46"/>
      <c r="C38" s="47"/>
      <c r="D38" s="48"/>
      <c r="E38" s="49"/>
      <c r="F38" s="49"/>
      <c r="G38" s="49"/>
      <c r="H38" s="49"/>
      <c r="I38" s="45"/>
      <c r="J38" s="49"/>
      <c r="K38" s="49"/>
      <c r="L38" s="49"/>
      <c r="M38" s="49"/>
      <c r="N38" s="49"/>
      <c r="O38" s="49"/>
      <c r="P38" s="48"/>
      <c r="Q38" s="50"/>
      <c r="R38" s="49"/>
      <c r="S38" s="50"/>
      <c r="T38" s="50"/>
      <c r="U38" s="51"/>
      <c r="V38" s="49"/>
      <c r="W38" s="49"/>
    </row>
    <row r="39" spans="1:23" ht="18" customHeight="1" x14ac:dyDescent="0.45">
      <c r="A39" s="45"/>
      <c r="B39" s="46"/>
      <c r="C39" s="47"/>
      <c r="D39" s="48"/>
      <c r="E39" s="49"/>
      <c r="F39" s="49"/>
      <c r="G39" s="49"/>
      <c r="H39" s="49"/>
      <c r="I39" s="45"/>
      <c r="J39" s="49"/>
      <c r="K39" s="49"/>
      <c r="L39" s="49"/>
      <c r="M39" s="49"/>
      <c r="N39" s="49"/>
      <c r="O39" s="49"/>
      <c r="P39" s="48"/>
      <c r="Q39" s="50"/>
      <c r="R39" s="49"/>
      <c r="S39" s="50"/>
      <c r="T39" s="50"/>
      <c r="U39" s="51"/>
      <c r="V39" s="49"/>
      <c r="W39" s="49"/>
    </row>
    <row r="40" spans="1:23" ht="18" customHeight="1" x14ac:dyDescent="0.45">
      <c r="A40" s="45"/>
      <c r="B40" s="46"/>
      <c r="C40" s="47"/>
      <c r="D40" s="48"/>
      <c r="E40" s="49"/>
      <c r="F40" s="49"/>
      <c r="G40" s="49"/>
      <c r="H40" s="49"/>
      <c r="I40" s="45"/>
      <c r="J40" s="49"/>
      <c r="K40" s="49"/>
      <c r="L40" s="49"/>
      <c r="M40" s="49"/>
      <c r="N40" s="49"/>
      <c r="O40" s="49"/>
      <c r="P40" s="48"/>
      <c r="Q40" s="50"/>
      <c r="R40" s="49"/>
      <c r="S40" s="50"/>
      <c r="T40" s="50"/>
      <c r="U40" s="51"/>
      <c r="V40" s="49"/>
      <c r="W40" s="49"/>
    </row>
    <row r="41" spans="1:23" ht="18" customHeight="1" x14ac:dyDescent="0.45">
      <c r="A41" s="45"/>
      <c r="B41" s="46"/>
      <c r="C41" s="47"/>
      <c r="D41" s="48"/>
      <c r="E41" s="49"/>
      <c r="F41" s="49"/>
      <c r="G41" s="49"/>
      <c r="H41" s="49"/>
      <c r="I41" s="45"/>
      <c r="J41" s="49"/>
      <c r="K41" s="49"/>
      <c r="L41" s="49"/>
      <c r="M41" s="49"/>
      <c r="N41" s="49"/>
      <c r="O41" s="49"/>
      <c r="P41" s="48"/>
      <c r="Q41" s="50"/>
      <c r="R41" s="49"/>
      <c r="S41" s="50"/>
      <c r="T41" s="50"/>
      <c r="U41" s="51"/>
      <c r="V41" s="49"/>
      <c r="W41" s="49"/>
    </row>
    <row r="42" spans="1:23" ht="18" customHeight="1" x14ac:dyDescent="0.45">
      <c r="A42" s="45"/>
      <c r="B42" s="46"/>
      <c r="C42" s="47"/>
      <c r="D42" s="48"/>
      <c r="E42" s="49"/>
      <c r="F42" s="49"/>
      <c r="G42" s="49"/>
      <c r="H42" s="49"/>
      <c r="I42" s="45"/>
      <c r="J42" s="49"/>
      <c r="K42" s="49"/>
      <c r="L42" s="49"/>
      <c r="M42" s="49"/>
      <c r="N42" s="49"/>
      <c r="O42" s="49"/>
      <c r="P42" s="48"/>
      <c r="Q42" s="50"/>
      <c r="R42" s="49"/>
      <c r="S42" s="50"/>
      <c r="T42" s="50"/>
      <c r="U42" s="51"/>
      <c r="V42" s="49"/>
      <c r="W42" s="49"/>
    </row>
    <row r="43" spans="1:23" ht="18" customHeight="1" x14ac:dyDescent="0.45">
      <c r="A43" s="45"/>
      <c r="B43" s="46"/>
      <c r="C43" s="47"/>
      <c r="D43" s="48"/>
      <c r="E43" s="49"/>
      <c r="F43" s="49"/>
      <c r="G43" s="49"/>
      <c r="H43" s="49"/>
      <c r="I43" s="45"/>
      <c r="J43" s="49"/>
      <c r="K43" s="49"/>
      <c r="L43" s="49"/>
      <c r="M43" s="49"/>
      <c r="N43" s="49"/>
      <c r="O43" s="49"/>
      <c r="P43" s="48"/>
      <c r="Q43" s="50"/>
      <c r="R43" s="49"/>
      <c r="S43" s="50"/>
      <c r="T43" s="50"/>
      <c r="U43" s="51"/>
      <c r="V43" s="49"/>
      <c r="W43" s="49"/>
    </row>
    <row r="44" spans="1:23" ht="18" customHeight="1" x14ac:dyDescent="0.45">
      <c r="A44" s="45"/>
      <c r="B44" s="46"/>
      <c r="C44" s="47"/>
      <c r="D44" s="48"/>
      <c r="E44" s="49"/>
      <c r="F44" s="49"/>
      <c r="G44" s="49"/>
      <c r="H44" s="49"/>
      <c r="I44" s="45"/>
      <c r="J44" s="49"/>
      <c r="K44" s="49"/>
      <c r="L44" s="49"/>
      <c r="M44" s="49"/>
      <c r="N44" s="49"/>
      <c r="O44" s="49"/>
      <c r="P44" s="48"/>
      <c r="Q44" s="50"/>
      <c r="R44" s="49"/>
      <c r="S44" s="50"/>
      <c r="T44" s="50"/>
      <c r="U44" s="51"/>
      <c r="V44" s="49"/>
      <c r="W44" s="49"/>
    </row>
    <row r="45" spans="1:23" ht="18" customHeight="1" x14ac:dyDescent="0.45">
      <c r="A45" s="45"/>
      <c r="B45" s="46"/>
      <c r="C45" s="47"/>
      <c r="D45" s="48"/>
      <c r="E45" s="49"/>
      <c r="F45" s="49"/>
      <c r="G45" s="49"/>
      <c r="H45" s="49"/>
      <c r="I45" s="45"/>
      <c r="J45" s="49"/>
      <c r="K45" s="49"/>
      <c r="L45" s="49"/>
      <c r="M45" s="49"/>
      <c r="N45" s="49"/>
      <c r="O45" s="49"/>
      <c r="P45" s="48"/>
      <c r="Q45" s="50"/>
      <c r="R45" s="49"/>
      <c r="S45" s="50"/>
      <c r="T45" s="50"/>
      <c r="U45" s="51"/>
      <c r="V45" s="49"/>
      <c r="W45" s="49"/>
    </row>
    <row r="46" spans="1:23" ht="18" customHeight="1" x14ac:dyDescent="0.45">
      <c r="A46" s="45"/>
      <c r="B46" s="46"/>
      <c r="C46" s="47"/>
      <c r="D46" s="48"/>
      <c r="E46" s="49"/>
      <c r="F46" s="49"/>
      <c r="G46" s="49"/>
      <c r="H46" s="49"/>
      <c r="I46" s="45"/>
      <c r="J46" s="49"/>
      <c r="K46" s="49"/>
      <c r="L46" s="49"/>
      <c r="M46" s="49"/>
      <c r="N46" s="49"/>
      <c r="O46" s="49"/>
      <c r="P46" s="48"/>
      <c r="Q46" s="50"/>
      <c r="R46" s="49"/>
      <c r="S46" s="50"/>
      <c r="T46" s="50"/>
      <c r="U46" s="51"/>
      <c r="V46" s="49"/>
      <c r="W46" s="49"/>
    </row>
    <row r="47" spans="1:23" ht="18" customHeight="1" x14ac:dyDescent="0.45">
      <c r="A47" s="45"/>
      <c r="B47" s="46"/>
      <c r="C47" s="47"/>
      <c r="D47" s="48"/>
      <c r="E47" s="49"/>
      <c r="F47" s="49"/>
      <c r="G47" s="49"/>
      <c r="H47" s="49"/>
      <c r="I47" s="45"/>
      <c r="J47" s="49"/>
      <c r="K47" s="49"/>
      <c r="L47" s="49"/>
      <c r="M47" s="49"/>
      <c r="N47" s="49"/>
      <c r="O47" s="49"/>
      <c r="P47" s="48"/>
      <c r="Q47" s="50"/>
      <c r="R47" s="49"/>
      <c r="S47" s="50"/>
      <c r="T47" s="50"/>
      <c r="U47" s="51"/>
      <c r="V47" s="49"/>
      <c r="W47" s="49"/>
    </row>
    <row r="48" spans="1:23" ht="18" customHeight="1" x14ac:dyDescent="0.45">
      <c r="A48" s="45"/>
      <c r="B48" s="46"/>
      <c r="C48" s="47"/>
      <c r="D48" s="48"/>
      <c r="E48" s="49"/>
      <c r="F48" s="49"/>
      <c r="G48" s="49"/>
      <c r="H48" s="49"/>
      <c r="I48" s="45"/>
      <c r="J48" s="49"/>
      <c r="K48" s="49"/>
      <c r="L48" s="49"/>
      <c r="M48" s="49"/>
      <c r="N48" s="49"/>
      <c r="O48" s="49"/>
      <c r="P48" s="48"/>
      <c r="Q48" s="50"/>
      <c r="R48" s="49"/>
      <c r="S48" s="50"/>
      <c r="T48" s="50"/>
      <c r="U48" s="51"/>
      <c r="V48" s="49"/>
      <c r="W48" s="49"/>
    </row>
    <row r="49" spans="1:23" ht="18" customHeight="1" x14ac:dyDescent="0.45">
      <c r="A49" s="45"/>
      <c r="B49" s="46"/>
      <c r="C49" s="47"/>
      <c r="D49" s="48"/>
      <c r="E49" s="49"/>
      <c r="F49" s="49"/>
      <c r="G49" s="49"/>
      <c r="H49" s="49"/>
      <c r="I49" s="45"/>
      <c r="J49" s="49"/>
      <c r="K49" s="49"/>
      <c r="L49" s="49"/>
      <c r="M49" s="49"/>
      <c r="N49" s="49"/>
      <c r="O49" s="49"/>
      <c r="P49" s="48"/>
      <c r="Q49" s="50"/>
      <c r="R49" s="49"/>
      <c r="S49" s="50"/>
      <c r="T49" s="50"/>
      <c r="U49" s="51"/>
      <c r="V49" s="49"/>
      <c r="W49" s="49"/>
    </row>
    <row r="50" spans="1:23" ht="18" customHeight="1" x14ac:dyDescent="0.45">
      <c r="A50" s="45"/>
      <c r="B50" s="46"/>
      <c r="C50" s="47"/>
      <c r="D50" s="48"/>
      <c r="E50" s="49"/>
      <c r="F50" s="49"/>
      <c r="G50" s="49"/>
      <c r="H50" s="49"/>
      <c r="I50" s="45"/>
      <c r="J50" s="49"/>
      <c r="K50" s="49"/>
      <c r="L50" s="49"/>
      <c r="M50" s="49"/>
      <c r="N50" s="49"/>
      <c r="O50" s="49"/>
      <c r="P50" s="48"/>
      <c r="Q50" s="50"/>
      <c r="R50" s="49"/>
      <c r="S50" s="50"/>
      <c r="T50" s="50"/>
      <c r="U50" s="51"/>
      <c r="V50" s="49"/>
      <c r="W50" s="49"/>
    </row>
    <row r="51" spans="1:23" ht="18" customHeight="1" x14ac:dyDescent="0.45">
      <c r="A51" s="45"/>
      <c r="B51" s="46"/>
      <c r="C51" s="47"/>
      <c r="D51" s="48"/>
      <c r="E51" s="49"/>
      <c r="F51" s="49"/>
      <c r="G51" s="49"/>
      <c r="H51" s="49"/>
      <c r="I51" s="45"/>
      <c r="J51" s="49"/>
      <c r="K51" s="49"/>
      <c r="L51" s="49"/>
      <c r="M51" s="49"/>
      <c r="N51" s="49"/>
      <c r="O51" s="49"/>
      <c r="P51" s="48"/>
      <c r="Q51" s="50"/>
      <c r="R51" s="49"/>
      <c r="S51" s="50"/>
      <c r="T51" s="50"/>
      <c r="U51" s="51"/>
      <c r="V51" s="49"/>
      <c r="W51" s="49"/>
    </row>
    <row r="52" spans="1:23" ht="18" customHeight="1" x14ac:dyDescent="0.45">
      <c r="A52" s="45"/>
      <c r="B52" s="46"/>
      <c r="C52" s="47"/>
      <c r="D52" s="48"/>
      <c r="E52" s="49"/>
      <c r="F52" s="49"/>
      <c r="G52" s="49"/>
      <c r="H52" s="49"/>
      <c r="I52" s="45"/>
      <c r="J52" s="49"/>
      <c r="K52" s="49"/>
      <c r="L52" s="49"/>
      <c r="M52" s="49"/>
      <c r="N52" s="49"/>
      <c r="O52" s="49"/>
      <c r="P52" s="48"/>
      <c r="Q52" s="50"/>
      <c r="R52" s="49"/>
      <c r="S52" s="50"/>
      <c r="T52" s="50"/>
      <c r="U52" s="51"/>
      <c r="V52" s="49"/>
      <c r="W52" s="49"/>
    </row>
    <row r="53" spans="1:23" ht="18" customHeight="1" x14ac:dyDescent="0.45">
      <c r="A53" s="45"/>
      <c r="B53" s="46"/>
      <c r="C53" s="47"/>
      <c r="D53" s="48"/>
      <c r="E53" s="49"/>
      <c r="F53" s="49"/>
      <c r="G53" s="49"/>
      <c r="H53" s="49"/>
      <c r="I53" s="45"/>
      <c r="J53" s="49"/>
      <c r="K53" s="49"/>
      <c r="L53" s="49"/>
      <c r="M53" s="49"/>
      <c r="N53" s="49"/>
      <c r="O53" s="49"/>
      <c r="P53" s="48"/>
      <c r="Q53" s="50"/>
      <c r="R53" s="49"/>
      <c r="S53" s="50"/>
      <c r="T53" s="50"/>
      <c r="U53" s="51"/>
      <c r="V53" s="49"/>
      <c r="W53" s="49"/>
    </row>
    <row r="54" spans="1:23" ht="18" customHeight="1" x14ac:dyDescent="0.45">
      <c r="A54" s="45"/>
      <c r="B54" s="46"/>
      <c r="C54" s="47"/>
      <c r="D54" s="48"/>
      <c r="E54" s="49"/>
      <c r="F54" s="49"/>
      <c r="G54" s="49"/>
      <c r="H54" s="49"/>
      <c r="I54" s="45"/>
      <c r="J54" s="49"/>
      <c r="K54" s="49"/>
      <c r="L54" s="49"/>
      <c r="M54" s="49"/>
      <c r="N54" s="49"/>
      <c r="O54" s="49"/>
      <c r="P54" s="48"/>
      <c r="Q54" s="50"/>
      <c r="R54" s="49"/>
      <c r="S54" s="50"/>
      <c r="T54" s="50"/>
      <c r="U54" s="51"/>
      <c r="V54" s="49"/>
      <c r="W54" s="49"/>
    </row>
    <row r="55" spans="1:23" ht="18" customHeight="1" x14ac:dyDescent="0.45">
      <c r="A55" s="45"/>
      <c r="B55" s="46"/>
      <c r="C55" s="47"/>
      <c r="D55" s="48"/>
      <c r="E55" s="49"/>
      <c r="F55" s="49"/>
      <c r="G55" s="49"/>
      <c r="H55" s="49"/>
      <c r="I55" s="45"/>
      <c r="J55" s="49"/>
      <c r="K55" s="49"/>
      <c r="L55" s="49"/>
      <c r="M55" s="49"/>
      <c r="N55" s="49"/>
      <c r="O55" s="49"/>
      <c r="P55" s="48"/>
      <c r="Q55" s="50"/>
      <c r="R55" s="49"/>
      <c r="S55" s="50"/>
      <c r="T55" s="50"/>
      <c r="U55" s="51"/>
      <c r="V55" s="49"/>
      <c r="W55" s="49"/>
    </row>
    <row r="56" spans="1:23" ht="18" customHeight="1" x14ac:dyDescent="0.45">
      <c r="A56" s="45"/>
      <c r="B56" s="46"/>
      <c r="C56" s="47"/>
      <c r="D56" s="48"/>
      <c r="E56" s="49"/>
      <c r="F56" s="49"/>
      <c r="G56" s="49"/>
      <c r="H56" s="49"/>
      <c r="I56" s="45"/>
      <c r="J56" s="49"/>
      <c r="K56" s="49"/>
      <c r="L56" s="49"/>
      <c r="M56" s="49"/>
      <c r="N56" s="49"/>
      <c r="O56" s="49"/>
      <c r="P56" s="48"/>
      <c r="Q56" s="50"/>
      <c r="R56" s="49"/>
      <c r="S56" s="50"/>
      <c r="T56" s="50"/>
      <c r="U56" s="51"/>
      <c r="V56" s="49"/>
      <c r="W56" s="49"/>
    </row>
    <row r="57" spans="1:23" ht="18" customHeight="1" x14ac:dyDescent="0.45">
      <c r="A57" s="45"/>
      <c r="B57" s="46"/>
      <c r="C57" s="47"/>
      <c r="D57" s="48"/>
      <c r="E57" s="49"/>
      <c r="F57" s="49"/>
      <c r="G57" s="49"/>
      <c r="H57" s="49"/>
      <c r="I57" s="45"/>
      <c r="J57" s="49"/>
      <c r="K57" s="49"/>
      <c r="L57" s="49"/>
      <c r="M57" s="49"/>
      <c r="N57" s="49"/>
      <c r="O57" s="49"/>
      <c r="P57" s="48"/>
      <c r="Q57" s="50"/>
      <c r="R57" s="49"/>
      <c r="S57" s="50"/>
      <c r="T57" s="50"/>
      <c r="U57" s="51"/>
      <c r="V57" s="49"/>
      <c r="W57" s="49"/>
    </row>
    <row r="58" spans="1:23" ht="18" customHeight="1" x14ac:dyDescent="0.45">
      <c r="A58" s="45"/>
      <c r="B58" s="46"/>
      <c r="C58" s="47"/>
      <c r="D58" s="48"/>
      <c r="E58" s="49"/>
      <c r="F58" s="49"/>
      <c r="G58" s="49"/>
      <c r="H58" s="49"/>
      <c r="I58" s="45"/>
      <c r="J58" s="49"/>
      <c r="K58" s="49"/>
      <c r="L58" s="49"/>
      <c r="M58" s="49"/>
      <c r="N58" s="49"/>
      <c r="O58" s="49"/>
      <c r="P58" s="48"/>
      <c r="Q58" s="50"/>
      <c r="R58" s="49"/>
      <c r="S58" s="50"/>
      <c r="T58" s="50"/>
      <c r="U58" s="51"/>
      <c r="V58" s="49"/>
      <c r="W58" s="49"/>
    </row>
    <row r="59" spans="1:23" ht="18" customHeight="1" x14ac:dyDescent="0.45">
      <c r="A59" s="45"/>
      <c r="B59" s="46"/>
      <c r="C59" s="47"/>
      <c r="D59" s="48"/>
      <c r="E59" s="49"/>
      <c r="F59" s="49"/>
      <c r="G59" s="49"/>
      <c r="H59" s="49"/>
      <c r="I59" s="45"/>
      <c r="J59" s="49"/>
      <c r="K59" s="49"/>
      <c r="L59" s="49"/>
      <c r="M59" s="49"/>
      <c r="N59" s="49"/>
      <c r="O59" s="49"/>
      <c r="P59" s="48"/>
      <c r="Q59" s="50"/>
      <c r="R59" s="49"/>
      <c r="S59" s="50"/>
      <c r="T59" s="50"/>
      <c r="U59" s="51"/>
      <c r="V59" s="49"/>
      <c r="W59" s="49"/>
    </row>
    <row r="60" spans="1:23" ht="18" customHeight="1" x14ac:dyDescent="0.45">
      <c r="A60" s="45"/>
      <c r="B60" s="46"/>
      <c r="C60" s="47"/>
      <c r="D60" s="48"/>
      <c r="E60" s="49"/>
      <c r="F60" s="49"/>
      <c r="G60" s="49"/>
      <c r="H60" s="49"/>
      <c r="I60" s="45"/>
      <c r="J60" s="49"/>
      <c r="K60" s="49"/>
      <c r="L60" s="49"/>
      <c r="M60" s="49"/>
      <c r="N60" s="49"/>
      <c r="O60" s="49"/>
      <c r="P60" s="48"/>
      <c r="Q60" s="50"/>
      <c r="R60" s="49"/>
      <c r="S60" s="50"/>
      <c r="T60" s="50"/>
      <c r="U60" s="51"/>
      <c r="V60" s="49"/>
      <c r="W60" s="49"/>
    </row>
    <row r="61" spans="1:23" ht="18" customHeight="1" x14ac:dyDescent="0.45">
      <c r="A61" s="45"/>
      <c r="B61" s="46"/>
      <c r="C61" s="47"/>
      <c r="D61" s="48"/>
      <c r="E61" s="49"/>
      <c r="F61" s="49"/>
      <c r="G61" s="49"/>
      <c r="H61" s="49"/>
      <c r="I61" s="45"/>
      <c r="J61" s="49"/>
      <c r="K61" s="49"/>
      <c r="L61" s="49"/>
      <c r="M61" s="49"/>
      <c r="N61" s="49"/>
      <c r="O61" s="49"/>
      <c r="P61" s="48"/>
      <c r="Q61" s="50"/>
      <c r="R61" s="49"/>
      <c r="S61" s="50"/>
      <c r="T61" s="50"/>
      <c r="U61" s="51"/>
      <c r="V61" s="49"/>
      <c r="W61" s="49"/>
    </row>
    <row r="62" spans="1:23" ht="18" customHeight="1" x14ac:dyDescent="0.45">
      <c r="A62" s="45"/>
      <c r="B62" s="46"/>
      <c r="C62" s="47"/>
      <c r="D62" s="48"/>
      <c r="E62" s="49"/>
      <c r="F62" s="49"/>
      <c r="G62" s="49"/>
      <c r="H62" s="49"/>
      <c r="I62" s="45"/>
      <c r="J62" s="49"/>
      <c r="K62" s="49"/>
      <c r="L62" s="49"/>
      <c r="M62" s="49"/>
      <c r="N62" s="49"/>
      <c r="O62" s="49"/>
      <c r="P62" s="48"/>
      <c r="Q62" s="50"/>
      <c r="R62" s="49"/>
      <c r="S62" s="50"/>
      <c r="T62" s="50"/>
      <c r="U62" s="51"/>
      <c r="V62" s="49"/>
      <c r="W62" s="49"/>
    </row>
    <row r="63" spans="1:23" ht="18" customHeight="1" x14ac:dyDescent="0.45">
      <c r="A63" s="45"/>
      <c r="B63" s="46"/>
      <c r="C63" s="47"/>
      <c r="D63" s="48"/>
      <c r="E63" s="49"/>
      <c r="F63" s="49"/>
      <c r="G63" s="49"/>
      <c r="H63" s="49"/>
      <c r="I63" s="45"/>
      <c r="J63" s="49"/>
      <c r="K63" s="49"/>
      <c r="L63" s="49"/>
      <c r="M63" s="49"/>
      <c r="N63" s="49"/>
      <c r="O63" s="49"/>
      <c r="P63" s="48"/>
      <c r="Q63" s="50"/>
      <c r="R63" s="49"/>
      <c r="S63" s="50"/>
      <c r="T63" s="50"/>
      <c r="U63" s="51"/>
      <c r="V63" s="49"/>
      <c r="W63" s="49"/>
    </row>
    <row r="64" spans="1:23" ht="18" customHeight="1" x14ac:dyDescent="0.45">
      <c r="A64" s="45"/>
      <c r="B64" s="46"/>
      <c r="C64" s="47"/>
      <c r="D64" s="48"/>
      <c r="E64" s="49"/>
      <c r="F64" s="49"/>
      <c r="G64" s="49"/>
      <c r="H64" s="49"/>
      <c r="I64" s="45"/>
      <c r="J64" s="49"/>
      <c r="K64" s="49"/>
      <c r="L64" s="49"/>
      <c r="M64" s="49"/>
      <c r="N64" s="49"/>
      <c r="O64" s="49"/>
      <c r="P64" s="48"/>
      <c r="Q64" s="50"/>
      <c r="R64" s="49"/>
      <c r="S64" s="50"/>
      <c r="T64" s="50"/>
      <c r="U64" s="51"/>
      <c r="V64" s="49"/>
      <c r="W64" s="49"/>
    </row>
    <row r="65" spans="1:23" ht="18" customHeight="1" x14ac:dyDescent="0.45">
      <c r="A65" s="45"/>
      <c r="B65" s="46"/>
      <c r="C65" s="47"/>
      <c r="D65" s="48"/>
      <c r="E65" s="49"/>
      <c r="F65" s="49"/>
      <c r="G65" s="49"/>
      <c r="H65" s="49"/>
      <c r="I65" s="45"/>
      <c r="J65" s="49"/>
      <c r="K65" s="49"/>
      <c r="L65" s="49"/>
      <c r="M65" s="49"/>
      <c r="N65" s="49"/>
      <c r="O65" s="49"/>
      <c r="P65" s="48"/>
      <c r="Q65" s="50"/>
      <c r="R65" s="49"/>
      <c r="S65" s="50"/>
      <c r="T65" s="50"/>
      <c r="U65" s="51"/>
      <c r="V65" s="49"/>
      <c r="W65" s="49"/>
    </row>
    <row r="66" spans="1:23" ht="18" customHeight="1" x14ac:dyDescent="0.45">
      <c r="A66" s="45"/>
      <c r="B66" s="46"/>
      <c r="C66" s="47"/>
      <c r="D66" s="48"/>
      <c r="E66" s="49"/>
      <c r="F66" s="49"/>
      <c r="G66" s="49"/>
      <c r="H66" s="49"/>
      <c r="I66" s="45"/>
      <c r="J66" s="49"/>
      <c r="K66" s="49"/>
      <c r="L66" s="49"/>
      <c r="M66" s="49"/>
      <c r="N66" s="49"/>
      <c r="O66" s="49"/>
      <c r="P66" s="48"/>
      <c r="Q66" s="50"/>
      <c r="R66" s="49"/>
      <c r="S66" s="50"/>
      <c r="T66" s="50"/>
      <c r="U66" s="51"/>
      <c r="V66" s="49"/>
      <c r="W66" s="49"/>
    </row>
    <row r="67" spans="1:23" ht="18" customHeight="1" x14ac:dyDescent="0.45">
      <c r="A67" s="45"/>
      <c r="B67" s="46"/>
      <c r="C67" s="47"/>
      <c r="D67" s="48"/>
      <c r="E67" s="49"/>
      <c r="F67" s="49"/>
      <c r="G67" s="49"/>
      <c r="H67" s="49"/>
      <c r="I67" s="45"/>
      <c r="J67" s="49"/>
      <c r="K67" s="49"/>
      <c r="L67" s="49"/>
      <c r="M67" s="49"/>
      <c r="N67" s="49"/>
      <c r="O67" s="49"/>
      <c r="P67" s="48"/>
      <c r="Q67" s="50"/>
      <c r="R67" s="49"/>
      <c r="S67" s="50"/>
      <c r="T67" s="50"/>
      <c r="U67" s="51"/>
      <c r="V67" s="49"/>
      <c r="W67" s="49"/>
    </row>
    <row r="68" spans="1:23" ht="18" customHeight="1" x14ac:dyDescent="0.45">
      <c r="A68" s="45"/>
      <c r="B68" s="46"/>
      <c r="C68" s="47"/>
      <c r="D68" s="48"/>
      <c r="E68" s="49"/>
      <c r="F68" s="49"/>
      <c r="G68" s="49"/>
      <c r="H68" s="49"/>
      <c r="I68" s="45"/>
      <c r="J68" s="49"/>
      <c r="K68" s="49"/>
      <c r="L68" s="49"/>
      <c r="M68" s="49"/>
      <c r="N68" s="49"/>
      <c r="O68" s="49"/>
      <c r="P68" s="48"/>
      <c r="Q68" s="50"/>
      <c r="R68" s="49"/>
      <c r="S68" s="50"/>
      <c r="T68" s="50"/>
      <c r="U68" s="51"/>
      <c r="V68" s="49"/>
      <c r="W68" s="49"/>
    </row>
    <row r="69" spans="1:23" ht="18" customHeight="1" x14ac:dyDescent="0.45">
      <c r="A69" s="45"/>
      <c r="B69" s="46"/>
      <c r="C69" s="47"/>
      <c r="D69" s="48"/>
      <c r="E69" s="49"/>
      <c r="F69" s="49"/>
      <c r="G69" s="49"/>
      <c r="H69" s="49"/>
      <c r="I69" s="45"/>
      <c r="J69" s="49"/>
      <c r="K69" s="49"/>
      <c r="L69" s="49"/>
      <c r="M69" s="49"/>
      <c r="N69" s="49"/>
      <c r="O69" s="49"/>
      <c r="P69" s="48"/>
      <c r="Q69" s="50"/>
      <c r="R69" s="49"/>
      <c r="S69" s="50"/>
      <c r="T69" s="50"/>
      <c r="U69" s="51"/>
      <c r="V69" s="49"/>
      <c r="W69" s="49"/>
    </row>
    <row r="70" spans="1:23" ht="18" customHeight="1" x14ac:dyDescent="0.45">
      <c r="A70" s="45"/>
      <c r="B70" s="46"/>
      <c r="C70" s="47"/>
      <c r="D70" s="48"/>
      <c r="E70" s="49"/>
      <c r="F70" s="49"/>
      <c r="G70" s="49"/>
      <c r="H70" s="49"/>
      <c r="I70" s="45"/>
      <c r="J70" s="49"/>
      <c r="K70" s="49"/>
      <c r="L70" s="49"/>
      <c r="M70" s="49"/>
      <c r="N70" s="49"/>
      <c r="O70" s="49"/>
      <c r="P70" s="48"/>
      <c r="Q70" s="50"/>
      <c r="R70" s="49"/>
      <c r="S70" s="50"/>
      <c r="T70" s="50"/>
      <c r="U70" s="51"/>
      <c r="V70" s="49"/>
      <c r="W70" s="49"/>
    </row>
    <row r="71" spans="1:23" ht="18" customHeight="1" x14ac:dyDescent="0.45">
      <c r="A71" s="45"/>
      <c r="B71" s="46"/>
      <c r="C71" s="47"/>
      <c r="D71" s="48"/>
      <c r="E71" s="49"/>
      <c r="F71" s="49"/>
      <c r="G71" s="49"/>
      <c r="H71" s="49"/>
      <c r="I71" s="45"/>
      <c r="J71" s="49"/>
      <c r="K71" s="49"/>
      <c r="L71" s="49"/>
      <c r="M71" s="49"/>
      <c r="N71" s="49"/>
      <c r="O71" s="49"/>
      <c r="P71" s="48"/>
      <c r="Q71" s="50"/>
      <c r="R71" s="49"/>
      <c r="S71" s="50"/>
      <c r="T71" s="50"/>
      <c r="U71" s="51"/>
      <c r="V71" s="49"/>
      <c r="W71" s="49"/>
    </row>
    <row r="72" spans="1:23" ht="18" customHeight="1" x14ac:dyDescent="0.45">
      <c r="A72" s="45"/>
      <c r="B72" s="46"/>
      <c r="C72" s="47"/>
      <c r="D72" s="48"/>
      <c r="E72" s="49"/>
      <c r="F72" s="49"/>
      <c r="G72" s="49"/>
      <c r="H72" s="49"/>
      <c r="I72" s="45"/>
      <c r="J72" s="49"/>
      <c r="K72" s="49"/>
      <c r="L72" s="49"/>
      <c r="M72" s="49"/>
      <c r="N72" s="49"/>
      <c r="O72" s="49"/>
      <c r="P72" s="48"/>
      <c r="Q72" s="50"/>
      <c r="R72" s="49"/>
      <c r="S72" s="50"/>
      <c r="T72" s="50"/>
      <c r="U72" s="51"/>
      <c r="V72" s="49"/>
      <c r="W72" s="49"/>
    </row>
    <row r="73" spans="1:23" ht="18" customHeight="1" x14ac:dyDescent="0.45">
      <c r="A73" s="45"/>
      <c r="B73" s="46"/>
      <c r="C73" s="47"/>
      <c r="D73" s="48"/>
      <c r="E73" s="49"/>
      <c r="F73" s="49"/>
      <c r="G73" s="49"/>
      <c r="H73" s="49"/>
      <c r="I73" s="45"/>
      <c r="J73" s="49"/>
      <c r="K73" s="49"/>
      <c r="L73" s="49"/>
      <c r="M73" s="49"/>
      <c r="N73" s="49"/>
      <c r="O73" s="49"/>
      <c r="P73" s="48"/>
      <c r="Q73" s="50"/>
      <c r="R73" s="49"/>
      <c r="S73" s="50"/>
      <c r="T73" s="50"/>
      <c r="U73" s="51"/>
      <c r="V73" s="49"/>
      <c r="W73" s="49"/>
    </row>
    <row r="74" spans="1:23" ht="18" customHeight="1" x14ac:dyDescent="0.45">
      <c r="A74" s="45"/>
      <c r="B74" s="46"/>
      <c r="C74" s="47"/>
      <c r="D74" s="48"/>
      <c r="E74" s="49"/>
      <c r="F74" s="49"/>
      <c r="G74" s="49"/>
      <c r="H74" s="49"/>
      <c r="I74" s="45"/>
      <c r="J74" s="49"/>
      <c r="K74" s="49"/>
      <c r="L74" s="49"/>
      <c r="M74" s="49"/>
      <c r="N74" s="49"/>
      <c r="O74" s="49"/>
      <c r="P74" s="48"/>
      <c r="Q74" s="50"/>
      <c r="R74" s="49"/>
      <c r="S74" s="50"/>
      <c r="T74" s="50"/>
      <c r="U74" s="51"/>
      <c r="V74" s="49"/>
      <c r="W74" s="49"/>
    </row>
    <row r="75" spans="1:23" ht="18" customHeight="1" x14ac:dyDescent="0.45">
      <c r="A75" s="45"/>
      <c r="B75" s="46"/>
      <c r="C75" s="47"/>
      <c r="D75" s="48"/>
      <c r="E75" s="49"/>
      <c r="F75" s="49"/>
      <c r="G75" s="49"/>
      <c r="H75" s="49"/>
      <c r="I75" s="45"/>
      <c r="J75" s="49"/>
      <c r="K75" s="49"/>
      <c r="L75" s="49"/>
      <c r="M75" s="49"/>
      <c r="N75" s="49"/>
      <c r="O75" s="49"/>
      <c r="P75" s="48"/>
      <c r="Q75" s="50"/>
      <c r="R75" s="49"/>
      <c r="S75" s="50"/>
      <c r="T75" s="50"/>
      <c r="U75" s="51"/>
      <c r="V75" s="49"/>
      <c r="W75" s="49"/>
    </row>
    <row r="76" spans="1:23" ht="18" customHeight="1" x14ac:dyDescent="0.45">
      <c r="A76" s="45"/>
      <c r="B76" s="46"/>
      <c r="C76" s="47"/>
      <c r="D76" s="48"/>
      <c r="E76" s="49"/>
      <c r="F76" s="49"/>
      <c r="G76" s="49"/>
      <c r="H76" s="49"/>
      <c r="I76" s="45"/>
      <c r="J76" s="49"/>
      <c r="K76" s="49"/>
      <c r="L76" s="49"/>
      <c r="M76" s="49"/>
      <c r="N76" s="49"/>
      <c r="O76" s="49"/>
      <c r="P76" s="48"/>
      <c r="Q76" s="50"/>
      <c r="R76" s="49"/>
      <c r="S76" s="50"/>
      <c r="T76" s="50"/>
      <c r="U76" s="51"/>
      <c r="V76" s="49"/>
      <c r="W76" s="49"/>
    </row>
    <row r="77" spans="1:23" ht="18" customHeight="1" x14ac:dyDescent="0.45">
      <c r="A77" s="45"/>
      <c r="B77" s="46"/>
      <c r="C77" s="47"/>
      <c r="D77" s="48"/>
      <c r="E77" s="49"/>
      <c r="F77" s="49"/>
      <c r="G77" s="49"/>
      <c r="H77" s="49"/>
      <c r="I77" s="45"/>
      <c r="J77" s="49"/>
      <c r="K77" s="49"/>
      <c r="L77" s="49"/>
      <c r="M77" s="49"/>
      <c r="N77" s="49"/>
      <c r="O77" s="49"/>
      <c r="P77" s="48"/>
      <c r="Q77" s="50"/>
      <c r="R77" s="49"/>
      <c r="S77" s="50"/>
      <c r="T77" s="50"/>
      <c r="U77" s="51"/>
      <c r="V77" s="49"/>
      <c r="W77" s="49"/>
    </row>
    <row r="78" spans="1:23" ht="18" customHeight="1" x14ac:dyDescent="0.45">
      <c r="A78" s="45"/>
      <c r="B78" s="46"/>
      <c r="C78" s="47"/>
      <c r="D78" s="48"/>
      <c r="E78" s="49"/>
      <c r="F78" s="49"/>
      <c r="G78" s="49"/>
      <c r="H78" s="49"/>
      <c r="I78" s="45"/>
      <c r="J78" s="49"/>
      <c r="K78" s="49"/>
      <c r="L78" s="49"/>
      <c r="M78" s="49"/>
      <c r="N78" s="49"/>
      <c r="O78" s="49"/>
      <c r="P78" s="48"/>
      <c r="Q78" s="50"/>
      <c r="R78" s="49"/>
      <c r="S78" s="50"/>
      <c r="T78" s="50"/>
      <c r="U78" s="51"/>
      <c r="V78" s="49"/>
      <c r="W78" s="49"/>
    </row>
    <row r="79" spans="1:23" ht="18" customHeight="1" x14ac:dyDescent="0.45">
      <c r="A79" s="45"/>
      <c r="B79" s="46"/>
      <c r="C79" s="47"/>
      <c r="D79" s="48"/>
      <c r="E79" s="49"/>
      <c r="F79" s="49"/>
      <c r="G79" s="49"/>
      <c r="H79" s="49"/>
      <c r="I79" s="45"/>
      <c r="J79" s="49"/>
      <c r="K79" s="49"/>
      <c r="L79" s="49"/>
      <c r="M79" s="49"/>
      <c r="N79" s="49"/>
      <c r="O79" s="49"/>
      <c r="P79" s="48"/>
      <c r="Q79" s="50"/>
      <c r="R79" s="49"/>
      <c r="S79" s="50"/>
      <c r="T79" s="50"/>
      <c r="U79" s="51"/>
      <c r="V79" s="49"/>
      <c r="W79" s="49"/>
    </row>
    <row r="80" spans="1:23" ht="18" customHeight="1" x14ac:dyDescent="0.45">
      <c r="A80" s="45"/>
      <c r="B80" s="46"/>
      <c r="C80" s="47"/>
      <c r="D80" s="48"/>
      <c r="E80" s="49"/>
      <c r="F80" s="49"/>
      <c r="G80" s="49"/>
      <c r="H80" s="49"/>
      <c r="I80" s="45"/>
      <c r="J80" s="49"/>
      <c r="K80" s="49"/>
      <c r="L80" s="49"/>
      <c r="M80" s="49"/>
      <c r="N80" s="49"/>
      <c r="O80" s="49"/>
      <c r="P80" s="48"/>
      <c r="Q80" s="50"/>
      <c r="R80" s="49"/>
      <c r="S80" s="50"/>
      <c r="T80" s="50"/>
      <c r="U80" s="51"/>
      <c r="V80" s="49"/>
      <c r="W80" s="49"/>
    </row>
    <row r="81" spans="1:23" ht="18" customHeight="1" x14ac:dyDescent="0.45">
      <c r="A81" s="45"/>
      <c r="B81" s="46"/>
      <c r="C81" s="47"/>
      <c r="D81" s="48"/>
      <c r="E81" s="49"/>
      <c r="F81" s="49"/>
      <c r="G81" s="49"/>
      <c r="H81" s="49"/>
      <c r="I81" s="45"/>
      <c r="J81" s="49"/>
      <c r="K81" s="49"/>
      <c r="L81" s="49"/>
      <c r="M81" s="49"/>
      <c r="N81" s="49"/>
      <c r="O81" s="49"/>
      <c r="P81" s="48"/>
      <c r="Q81" s="50"/>
      <c r="R81" s="49"/>
      <c r="S81" s="50"/>
      <c r="T81" s="50"/>
      <c r="U81" s="51"/>
      <c r="V81" s="49"/>
      <c r="W81" s="49"/>
    </row>
    <row r="82" spans="1:23" ht="18" customHeight="1" x14ac:dyDescent="0.45">
      <c r="A82" s="45"/>
      <c r="B82" s="46"/>
      <c r="C82" s="47"/>
      <c r="D82" s="48"/>
      <c r="E82" s="49"/>
      <c r="F82" s="49"/>
      <c r="G82" s="49"/>
      <c r="H82" s="49"/>
      <c r="I82" s="45"/>
      <c r="J82" s="49"/>
      <c r="K82" s="49"/>
      <c r="L82" s="49"/>
      <c r="M82" s="49"/>
      <c r="N82" s="49"/>
      <c r="O82" s="49"/>
      <c r="P82" s="48"/>
      <c r="Q82" s="50"/>
      <c r="R82" s="49"/>
      <c r="S82" s="50"/>
      <c r="T82" s="50"/>
      <c r="U82" s="51"/>
      <c r="V82" s="49"/>
      <c r="W82" s="49"/>
    </row>
    <row r="83" spans="1:23" ht="18" customHeight="1" x14ac:dyDescent="0.45">
      <c r="A83" s="45"/>
      <c r="B83" s="46"/>
      <c r="C83" s="47"/>
      <c r="D83" s="48"/>
      <c r="E83" s="49"/>
      <c r="F83" s="49"/>
      <c r="G83" s="49"/>
      <c r="H83" s="49"/>
      <c r="I83" s="45"/>
      <c r="J83" s="49"/>
      <c r="K83" s="49"/>
      <c r="L83" s="49"/>
      <c r="M83" s="49"/>
      <c r="N83" s="49"/>
      <c r="O83" s="49"/>
      <c r="P83" s="48"/>
      <c r="Q83" s="50"/>
      <c r="R83" s="49"/>
      <c r="S83" s="50"/>
      <c r="T83" s="50"/>
      <c r="U83" s="51"/>
      <c r="V83" s="49"/>
      <c r="W83" s="49"/>
    </row>
    <row r="84" spans="1:23" ht="18" customHeight="1" x14ac:dyDescent="0.45">
      <c r="A84" s="45"/>
      <c r="B84" s="46"/>
      <c r="C84" s="47"/>
      <c r="D84" s="48"/>
      <c r="E84" s="49"/>
      <c r="F84" s="49"/>
      <c r="G84" s="49"/>
      <c r="H84" s="49"/>
      <c r="I84" s="45"/>
      <c r="J84" s="49"/>
      <c r="K84" s="49"/>
      <c r="L84" s="49"/>
      <c r="M84" s="49"/>
      <c r="N84" s="49"/>
      <c r="O84" s="49"/>
      <c r="P84" s="48"/>
      <c r="Q84" s="50"/>
      <c r="R84" s="49"/>
      <c r="S84" s="50"/>
      <c r="T84" s="50"/>
      <c r="U84" s="51"/>
      <c r="V84" s="49"/>
      <c r="W84" s="49"/>
    </row>
    <row r="85" spans="1:23" ht="18" customHeight="1" x14ac:dyDescent="0.45">
      <c r="A85" s="45"/>
      <c r="B85" s="46"/>
      <c r="C85" s="47"/>
      <c r="D85" s="48"/>
      <c r="E85" s="49"/>
      <c r="F85" s="49"/>
      <c r="G85" s="49"/>
      <c r="H85" s="49"/>
      <c r="I85" s="45"/>
      <c r="J85" s="49"/>
      <c r="K85" s="49"/>
      <c r="L85" s="49"/>
      <c r="M85" s="49"/>
      <c r="N85" s="49"/>
      <c r="O85" s="49"/>
      <c r="P85" s="48"/>
      <c r="Q85" s="50"/>
      <c r="R85" s="49"/>
      <c r="S85" s="50"/>
      <c r="T85" s="50"/>
      <c r="U85" s="51"/>
      <c r="V85" s="49"/>
      <c r="W85" s="49"/>
    </row>
    <row r="86" spans="1:23" ht="18" customHeight="1" x14ac:dyDescent="0.45">
      <c r="A86" s="45"/>
      <c r="B86" s="46"/>
      <c r="C86" s="47"/>
      <c r="D86" s="48"/>
      <c r="E86" s="49"/>
      <c r="F86" s="49"/>
      <c r="G86" s="49"/>
      <c r="H86" s="49"/>
      <c r="I86" s="45"/>
      <c r="J86" s="49"/>
      <c r="K86" s="49"/>
      <c r="L86" s="49"/>
      <c r="M86" s="49"/>
      <c r="N86" s="49"/>
      <c r="O86" s="49"/>
      <c r="P86" s="48"/>
      <c r="Q86" s="50"/>
      <c r="R86" s="49"/>
      <c r="S86" s="50"/>
      <c r="T86" s="50"/>
      <c r="U86" s="51"/>
      <c r="V86" s="49"/>
      <c r="W86" s="49"/>
    </row>
    <row r="87" spans="1:23" ht="18" customHeight="1" x14ac:dyDescent="0.45">
      <c r="A87" s="45"/>
      <c r="B87" s="46"/>
      <c r="C87" s="47"/>
      <c r="D87" s="48"/>
      <c r="E87" s="49"/>
      <c r="F87" s="49"/>
      <c r="G87" s="49"/>
      <c r="H87" s="49"/>
      <c r="I87" s="45"/>
      <c r="J87" s="49"/>
      <c r="K87" s="49"/>
      <c r="L87" s="49"/>
      <c r="M87" s="49"/>
      <c r="N87" s="49"/>
      <c r="O87" s="49"/>
      <c r="P87" s="48"/>
      <c r="Q87" s="50"/>
      <c r="R87" s="49"/>
      <c r="S87" s="50"/>
      <c r="T87" s="50"/>
      <c r="U87" s="51"/>
      <c r="V87" s="49"/>
      <c r="W87" s="49"/>
    </row>
    <row r="88" spans="1:23" ht="18" customHeight="1" x14ac:dyDescent="0.45">
      <c r="A88" s="45"/>
      <c r="B88" s="46"/>
      <c r="C88" s="47"/>
      <c r="D88" s="48"/>
      <c r="E88" s="49"/>
      <c r="F88" s="49"/>
      <c r="G88" s="49"/>
      <c r="H88" s="49"/>
      <c r="I88" s="45"/>
      <c r="J88" s="49"/>
      <c r="K88" s="49"/>
      <c r="L88" s="49"/>
      <c r="M88" s="49"/>
      <c r="N88" s="49"/>
      <c r="O88" s="49"/>
      <c r="P88" s="48"/>
      <c r="Q88" s="50"/>
      <c r="R88" s="49"/>
      <c r="S88" s="50"/>
      <c r="T88" s="50"/>
      <c r="U88" s="51"/>
      <c r="V88" s="49"/>
      <c r="W88" s="49"/>
    </row>
    <row r="89" spans="1:23" ht="18" customHeight="1" x14ac:dyDescent="0.45">
      <c r="A89" s="45"/>
      <c r="B89" s="46"/>
      <c r="C89" s="47"/>
      <c r="D89" s="48"/>
      <c r="E89" s="49"/>
      <c r="F89" s="49"/>
      <c r="G89" s="49"/>
      <c r="H89" s="49"/>
      <c r="I89" s="45"/>
      <c r="J89" s="49"/>
      <c r="K89" s="49"/>
      <c r="L89" s="49"/>
      <c r="M89" s="49"/>
      <c r="N89" s="49"/>
      <c r="O89" s="49"/>
      <c r="P89" s="48"/>
      <c r="Q89" s="50"/>
      <c r="R89" s="49"/>
      <c r="S89" s="50"/>
      <c r="T89" s="50"/>
      <c r="U89" s="51"/>
      <c r="V89" s="49"/>
      <c r="W89" s="49"/>
    </row>
    <row r="90" spans="1:23" ht="18" customHeight="1" x14ac:dyDescent="0.45">
      <c r="A90" s="45"/>
      <c r="B90" s="46"/>
      <c r="C90" s="47"/>
      <c r="D90" s="48"/>
      <c r="E90" s="49"/>
      <c r="F90" s="49"/>
      <c r="G90" s="49"/>
      <c r="H90" s="49"/>
      <c r="I90" s="45"/>
      <c r="J90" s="49"/>
      <c r="K90" s="49"/>
      <c r="L90" s="49"/>
      <c r="M90" s="49"/>
      <c r="N90" s="49"/>
      <c r="O90" s="49"/>
      <c r="P90" s="48"/>
      <c r="Q90" s="50"/>
      <c r="R90" s="49"/>
      <c r="S90" s="50"/>
      <c r="T90" s="50"/>
      <c r="U90" s="51"/>
      <c r="V90" s="49"/>
      <c r="W90" s="49"/>
    </row>
    <row r="91" spans="1:23" ht="18" customHeight="1" x14ac:dyDescent="0.45">
      <c r="A91" s="45"/>
      <c r="B91" s="46"/>
      <c r="C91" s="47"/>
      <c r="D91" s="48"/>
      <c r="E91" s="49"/>
      <c r="F91" s="49"/>
      <c r="G91" s="49"/>
      <c r="H91" s="49"/>
      <c r="I91" s="45"/>
      <c r="J91" s="49"/>
      <c r="K91" s="49"/>
      <c r="L91" s="49"/>
      <c r="M91" s="49"/>
      <c r="N91" s="49"/>
      <c r="O91" s="49"/>
      <c r="P91" s="48"/>
      <c r="Q91" s="50"/>
      <c r="R91" s="49"/>
      <c r="S91" s="50"/>
      <c r="T91" s="50"/>
      <c r="U91" s="51"/>
      <c r="V91" s="49"/>
      <c r="W91" s="49"/>
    </row>
    <row r="92" spans="1:23" ht="18" customHeight="1" x14ac:dyDescent="0.45">
      <c r="A92" s="45"/>
      <c r="B92" s="46"/>
      <c r="C92" s="47"/>
      <c r="D92" s="48"/>
      <c r="E92" s="49"/>
      <c r="F92" s="49"/>
      <c r="G92" s="49"/>
      <c r="H92" s="49"/>
      <c r="I92" s="45"/>
      <c r="J92" s="49"/>
      <c r="K92" s="49"/>
      <c r="L92" s="49"/>
      <c r="M92" s="49"/>
      <c r="N92" s="49"/>
      <c r="O92" s="49"/>
      <c r="P92" s="48"/>
      <c r="Q92" s="50"/>
      <c r="R92" s="49"/>
      <c r="S92" s="50"/>
      <c r="T92" s="50"/>
      <c r="U92" s="51"/>
      <c r="V92" s="49"/>
      <c r="W92" s="49"/>
    </row>
    <row r="93" spans="1:23" ht="18" customHeight="1" x14ac:dyDescent="0.45">
      <c r="A93" s="45"/>
      <c r="B93" s="46"/>
      <c r="C93" s="47"/>
      <c r="D93" s="48"/>
      <c r="E93" s="49"/>
      <c r="F93" s="49"/>
      <c r="G93" s="49"/>
      <c r="H93" s="49"/>
      <c r="I93" s="45"/>
      <c r="J93" s="49"/>
      <c r="K93" s="49"/>
      <c r="L93" s="49"/>
      <c r="M93" s="49"/>
      <c r="N93" s="49"/>
      <c r="O93" s="49"/>
      <c r="P93" s="48"/>
      <c r="Q93" s="50"/>
      <c r="R93" s="49"/>
      <c r="S93" s="50"/>
      <c r="T93" s="50"/>
      <c r="U93" s="51"/>
      <c r="V93" s="49"/>
      <c r="W93" s="49"/>
    </row>
    <row r="94" spans="1:23" ht="18" customHeight="1" x14ac:dyDescent="0.45">
      <c r="A94" s="45"/>
      <c r="B94" s="46"/>
      <c r="C94" s="47"/>
      <c r="D94" s="48"/>
      <c r="E94" s="49"/>
      <c r="F94" s="49"/>
      <c r="G94" s="49"/>
      <c r="H94" s="49"/>
      <c r="I94" s="45"/>
      <c r="J94" s="49"/>
      <c r="K94" s="49"/>
      <c r="L94" s="49"/>
      <c r="M94" s="49"/>
      <c r="N94" s="49"/>
      <c r="O94" s="49"/>
      <c r="P94" s="48"/>
      <c r="Q94" s="50"/>
      <c r="R94" s="49"/>
      <c r="S94" s="50"/>
      <c r="T94" s="50"/>
      <c r="U94" s="51"/>
      <c r="V94" s="49"/>
      <c r="W94" s="49"/>
    </row>
    <row r="95" spans="1:23" ht="18" customHeight="1" x14ac:dyDescent="0.45">
      <c r="A95" s="45"/>
      <c r="B95" s="46"/>
      <c r="C95" s="47"/>
      <c r="D95" s="48"/>
      <c r="E95" s="49"/>
      <c r="F95" s="49"/>
      <c r="G95" s="49"/>
      <c r="H95" s="49"/>
      <c r="I95" s="45"/>
      <c r="J95" s="49"/>
      <c r="K95" s="49"/>
      <c r="L95" s="49"/>
      <c r="M95" s="49"/>
      <c r="N95" s="49"/>
      <c r="O95" s="49"/>
      <c r="P95" s="48"/>
      <c r="Q95" s="50"/>
      <c r="R95" s="49"/>
      <c r="S95" s="50"/>
      <c r="T95" s="50"/>
      <c r="U95" s="51"/>
      <c r="V95" s="49"/>
      <c r="W95" s="49"/>
    </row>
    <row r="96" spans="1:23" ht="18" customHeight="1" x14ac:dyDescent="0.45">
      <c r="A96" s="45"/>
      <c r="B96" s="46"/>
      <c r="C96" s="47"/>
      <c r="D96" s="48"/>
      <c r="E96" s="49"/>
      <c r="F96" s="49"/>
      <c r="G96" s="49"/>
      <c r="H96" s="49"/>
      <c r="I96" s="45"/>
      <c r="J96" s="49"/>
      <c r="K96" s="49"/>
      <c r="L96" s="49"/>
      <c r="M96" s="49"/>
      <c r="N96" s="49"/>
      <c r="O96" s="49"/>
      <c r="P96" s="48"/>
      <c r="Q96" s="50"/>
      <c r="R96" s="49"/>
      <c r="S96" s="50"/>
      <c r="T96" s="50"/>
      <c r="U96" s="51"/>
      <c r="V96" s="49"/>
      <c r="W96" s="49"/>
    </row>
    <row r="97" spans="1:23" ht="18" customHeight="1" x14ac:dyDescent="0.45">
      <c r="A97" s="45"/>
      <c r="B97" s="46"/>
      <c r="C97" s="47"/>
      <c r="D97" s="48"/>
      <c r="E97" s="49"/>
      <c r="F97" s="49"/>
      <c r="G97" s="49"/>
      <c r="H97" s="49"/>
      <c r="I97" s="45"/>
      <c r="J97" s="49"/>
      <c r="K97" s="49"/>
      <c r="L97" s="49"/>
      <c r="M97" s="49"/>
      <c r="N97" s="49"/>
      <c r="O97" s="49"/>
      <c r="P97" s="48"/>
      <c r="Q97" s="50"/>
      <c r="R97" s="49"/>
      <c r="S97" s="50"/>
      <c r="T97" s="50"/>
      <c r="U97" s="51"/>
      <c r="V97" s="49"/>
      <c r="W97" s="49"/>
    </row>
    <row r="98" spans="1:23" ht="18" customHeight="1" x14ac:dyDescent="0.45">
      <c r="A98" s="45"/>
      <c r="B98" s="46"/>
      <c r="C98" s="47"/>
      <c r="D98" s="48"/>
      <c r="E98" s="49"/>
      <c r="F98" s="49"/>
      <c r="G98" s="49"/>
      <c r="H98" s="49"/>
      <c r="I98" s="45"/>
      <c r="J98" s="49"/>
      <c r="K98" s="49"/>
      <c r="L98" s="49"/>
      <c r="M98" s="49"/>
      <c r="N98" s="49"/>
      <c r="O98" s="49"/>
      <c r="P98" s="48"/>
      <c r="Q98" s="50"/>
      <c r="R98" s="49"/>
      <c r="S98" s="50"/>
      <c r="T98" s="50"/>
      <c r="U98" s="51"/>
      <c r="V98" s="49"/>
      <c r="W98" s="49"/>
    </row>
    <row r="99" spans="1:23" ht="18" customHeight="1" x14ac:dyDescent="0.45">
      <c r="A99" s="45"/>
      <c r="B99" s="46"/>
      <c r="C99" s="47"/>
      <c r="D99" s="48"/>
      <c r="E99" s="49"/>
      <c r="F99" s="49"/>
      <c r="G99" s="49"/>
      <c r="H99" s="49"/>
      <c r="I99" s="45"/>
      <c r="J99" s="49"/>
      <c r="K99" s="49"/>
      <c r="L99" s="49"/>
      <c r="M99" s="49"/>
      <c r="N99" s="49"/>
      <c r="O99" s="49"/>
      <c r="P99" s="48"/>
      <c r="Q99" s="50"/>
      <c r="R99" s="49"/>
      <c r="S99" s="50"/>
      <c r="T99" s="50"/>
      <c r="U99" s="51"/>
      <c r="V99" s="49"/>
      <c r="W99" s="49"/>
    </row>
    <row r="100" spans="1:23" ht="18" customHeight="1" x14ac:dyDescent="0.45">
      <c r="A100" s="45"/>
      <c r="B100" s="46"/>
      <c r="C100" s="47"/>
      <c r="D100" s="48"/>
      <c r="E100" s="49"/>
      <c r="F100" s="49"/>
      <c r="G100" s="49"/>
      <c r="H100" s="49"/>
      <c r="I100" s="45"/>
      <c r="J100" s="49"/>
      <c r="K100" s="49"/>
      <c r="L100" s="49"/>
      <c r="M100" s="49"/>
      <c r="N100" s="49"/>
      <c r="O100" s="49"/>
      <c r="P100" s="48"/>
      <c r="Q100" s="50"/>
      <c r="R100" s="49"/>
      <c r="S100" s="50"/>
      <c r="T100" s="50"/>
      <c r="U100" s="51"/>
      <c r="V100" s="49"/>
      <c r="W100" s="49"/>
    </row>
    <row r="101" spans="1:23" ht="18" customHeight="1" x14ac:dyDescent="0.45">
      <c r="A101" s="45"/>
      <c r="B101" s="46"/>
      <c r="C101" s="47"/>
      <c r="D101" s="48"/>
      <c r="E101" s="49"/>
      <c r="F101" s="49"/>
      <c r="G101" s="49"/>
      <c r="H101" s="49"/>
      <c r="I101" s="45"/>
      <c r="J101" s="49"/>
      <c r="K101" s="49"/>
      <c r="L101" s="49"/>
      <c r="M101" s="49"/>
      <c r="N101" s="49"/>
      <c r="O101" s="49"/>
      <c r="P101" s="48"/>
      <c r="Q101" s="50"/>
      <c r="R101" s="49"/>
      <c r="S101" s="50"/>
      <c r="T101" s="50"/>
      <c r="U101" s="51"/>
      <c r="V101" s="49"/>
      <c r="W101" s="49"/>
    </row>
    <row r="102" spans="1:23" ht="18" customHeight="1" x14ac:dyDescent="0.45">
      <c r="A102" s="45"/>
      <c r="B102" s="46"/>
      <c r="C102" s="47"/>
      <c r="D102" s="48"/>
      <c r="E102" s="49"/>
      <c r="F102" s="49"/>
      <c r="G102" s="49"/>
      <c r="H102" s="49"/>
      <c r="I102" s="45"/>
      <c r="J102" s="49"/>
      <c r="K102" s="49"/>
      <c r="L102" s="49"/>
      <c r="M102" s="49"/>
      <c r="N102" s="49"/>
      <c r="O102" s="49"/>
      <c r="P102" s="48"/>
      <c r="Q102" s="50"/>
      <c r="R102" s="49"/>
      <c r="S102" s="50"/>
      <c r="T102" s="50"/>
      <c r="U102" s="51"/>
      <c r="V102" s="49"/>
      <c r="W102" s="49"/>
    </row>
    <row r="103" spans="1:23" ht="18" customHeight="1" x14ac:dyDescent="0.45">
      <c r="A103" s="45"/>
      <c r="B103" s="46"/>
      <c r="C103" s="47"/>
      <c r="D103" s="48"/>
      <c r="E103" s="49"/>
      <c r="F103" s="49"/>
      <c r="G103" s="49"/>
      <c r="H103" s="49"/>
      <c r="I103" s="45"/>
      <c r="J103" s="49"/>
      <c r="K103" s="49"/>
      <c r="L103" s="49"/>
      <c r="M103" s="49"/>
      <c r="N103" s="49"/>
      <c r="O103" s="49"/>
      <c r="P103" s="48"/>
      <c r="Q103" s="50"/>
      <c r="R103" s="49"/>
      <c r="S103" s="50"/>
      <c r="T103" s="50"/>
      <c r="U103" s="51"/>
      <c r="V103" s="49"/>
      <c r="W103" s="49"/>
    </row>
    <row r="104" spans="1:23" ht="18" customHeight="1" x14ac:dyDescent="0.45">
      <c r="A104" s="45"/>
      <c r="B104" s="46"/>
      <c r="C104" s="47"/>
      <c r="D104" s="48"/>
      <c r="E104" s="49"/>
      <c r="F104" s="49"/>
      <c r="G104" s="49"/>
      <c r="H104" s="49"/>
      <c r="I104" s="45"/>
      <c r="J104" s="49"/>
      <c r="K104" s="49"/>
      <c r="L104" s="49"/>
      <c r="M104" s="49"/>
      <c r="N104" s="49"/>
      <c r="O104" s="49"/>
      <c r="P104" s="48"/>
      <c r="Q104" s="50"/>
      <c r="R104" s="49"/>
      <c r="S104" s="50"/>
      <c r="T104" s="50"/>
      <c r="U104" s="51"/>
      <c r="V104" s="49"/>
      <c r="W104" s="49"/>
    </row>
    <row r="105" spans="1:23" ht="18" customHeight="1" x14ac:dyDescent="0.45">
      <c r="A105" s="45"/>
      <c r="B105" s="46"/>
      <c r="C105" s="47"/>
      <c r="D105" s="48"/>
      <c r="E105" s="49"/>
      <c r="F105" s="49"/>
      <c r="G105" s="49"/>
      <c r="H105" s="49"/>
      <c r="I105" s="45"/>
      <c r="J105" s="49"/>
      <c r="K105" s="49"/>
      <c r="L105" s="49"/>
      <c r="M105" s="49"/>
      <c r="N105" s="49"/>
      <c r="O105" s="49"/>
      <c r="P105" s="48"/>
      <c r="Q105" s="50"/>
      <c r="R105" s="49"/>
      <c r="S105" s="50"/>
      <c r="T105" s="50"/>
      <c r="U105" s="51"/>
      <c r="V105" s="49"/>
      <c r="W105" s="49"/>
    </row>
    <row r="106" spans="1:23" ht="18" customHeight="1" x14ac:dyDescent="0.45">
      <c r="A106" s="45"/>
      <c r="B106" s="46"/>
      <c r="C106" s="47"/>
      <c r="D106" s="48"/>
      <c r="E106" s="49"/>
      <c r="F106" s="49"/>
      <c r="G106" s="49"/>
      <c r="H106" s="49"/>
      <c r="I106" s="45"/>
      <c r="J106" s="49"/>
      <c r="K106" s="49"/>
      <c r="L106" s="49"/>
      <c r="M106" s="49"/>
      <c r="N106" s="49"/>
      <c r="O106" s="49"/>
      <c r="P106" s="48"/>
      <c r="Q106" s="50"/>
      <c r="R106" s="49"/>
      <c r="S106" s="50"/>
      <c r="T106" s="50"/>
      <c r="U106" s="51"/>
      <c r="V106" s="49"/>
      <c r="W106" s="49"/>
    </row>
    <row r="107" spans="1:23" ht="18" customHeight="1" x14ac:dyDescent="0.45">
      <c r="A107" s="45"/>
      <c r="B107" s="46"/>
      <c r="C107" s="47"/>
      <c r="D107" s="48"/>
      <c r="E107" s="49"/>
      <c r="F107" s="49"/>
      <c r="G107" s="49"/>
      <c r="H107" s="49"/>
      <c r="I107" s="45"/>
      <c r="J107" s="49"/>
      <c r="K107" s="49"/>
      <c r="L107" s="49"/>
      <c r="M107" s="49"/>
      <c r="N107" s="49"/>
      <c r="O107" s="49"/>
      <c r="P107" s="48"/>
      <c r="Q107" s="50"/>
      <c r="R107" s="49"/>
      <c r="S107" s="50"/>
      <c r="T107" s="50"/>
      <c r="U107" s="51"/>
      <c r="V107" s="49"/>
      <c r="W107" s="49"/>
    </row>
    <row r="108" spans="1:23" ht="18" customHeight="1" x14ac:dyDescent="0.45">
      <c r="A108" s="45"/>
      <c r="B108" s="46"/>
      <c r="C108" s="47"/>
      <c r="D108" s="48"/>
      <c r="E108" s="49"/>
      <c r="F108" s="49"/>
      <c r="G108" s="49"/>
      <c r="H108" s="49"/>
      <c r="I108" s="45"/>
      <c r="J108" s="49"/>
      <c r="K108" s="49"/>
      <c r="L108" s="49"/>
      <c r="M108" s="49"/>
      <c r="N108" s="49"/>
      <c r="O108" s="49"/>
      <c r="P108" s="48"/>
      <c r="Q108" s="50"/>
      <c r="R108" s="49"/>
      <c r="S108" s="50"/>
      <c r="T108" s="50"/>
      <c r="U108" s="51"/>
      <c r="V108" s="49"/>
      <c r="W108" s="49"/>
    </row>
    <row r="109" spans="1:23" ht="18" customHeight="1" x14ac:dyDescent="0.45">
      <c r="A109" s="45"/>
      <c r="B109" s="46"/>
      <c r="C109" s="47"/>
      <c r="D109" s="48"/>
      <c r="E109" s="49"/>
      <c r="F109" s="49"/>
      <c r="G109" s="49"/>
      <c r="H109" s="49"/>
      <c r="I109" s="45"/>
      <c r="J109" s="49"/>
      <c r="K109" s="49"/>
      <c r="L109" s="49"/>
      <c r="M109" s="49"/>
      <c r="N109" s="49"/>
      <c r="O109" s="49"/>
      <c r="P109" s="48"/>
      <c r="Q109" s="50"/>
      <c r="R109" s="49"/>
      <c r="S109" s="50"/>
      <c r="T109" s="50"/>
      <c r="U109" s="51"/>
      <c r="V109" s="49"/>
      <c r="W109" s="49"/>
    </row>
    <row r="110" spans="1:23" ht="18" customHeight="1" x14ac:dyDescent="0.45">
      <c r="A110" s="45"/>
      <c r="B110" s="46"/>
      <c r="C110" s="47"/>
      <c r="D110" s="48"/>
      <c r="E110" s="49"/>
      <c r="F110" s="49"/>
      <c r="G110" s="49"/>
      <c r="H110" s="49"/>
      <c r="I110" s="45"/>
      <c r="J110" s="49"/>
      <c r="K110" s="49"/>
      <c r="L110" s="49"/>
      <c r="M110" s="49"/>
      <c r="N110" s="49"/>
      <c r="O110" s="49"/>
      <c r="P110" s="48"/>
      <c r="Q110" s="50"/>
      <c r="R110" s="49"/>
      <c r="S110" s="50"/>
      <c r="T110" s="50"/>
      <c r="U110" s="51"/>
      <c r="V110" s="49"/>
      <c r="W110" s="49"/>
    </row>
    <row r="111" spans="1:23" ht="18" customHeight="1" x14ac:dyDescent="0.45">
      <c r="A111" s="45"/>
      <c r="B111" s="46"/>
      <c r="C111" s="47"/>
      <c r="D111" s="48"/>
      <c r="E111" s="49"/>
      <c r="F111" s="49"/>
      <c r="G111" s="49"/>
      <c r="H111" s="49"/>
      <c r="I111" s="45"/>
      <c r="J111" s="49"/>
      <c r="K111" s="49"/>
      <c r="L111" s="49"/>
      <c r="M111" s="49"/>
      <c r="N111" s="49"/>
      <c r="O111" s="49"/>
      <c r="P111" s="48"/>
      <c r="Q111" s="50"/>
      <c r="R111" s="49"/>
      <c r="S111" s="50"/>
      <c r="T111" s="50"/>
      <c r="U111" s="51"/>
      <c r="V111" s="49"/>
      <c r="W111" s="49"/>
    </row>
    <row r="112" spans="1:23" ht="18" customHeight="1" x14ac:dyDescent="0.45">
      <c r="A112" s="45"/>
      <c r="B112" s="46"/>
      <c r="C112" s="47"/>
      <c r="D112" s="48"/>
      <c r="E112" s="49"/>
      <c r="F112" s="49"/>
      <c r="G112" s="49"/>
      <c r="H112" s="49"/>
      <c r="I112" s="45"/>
      <c r="J112" s="49"/>
      <c r="K112" s="49"/>
      <c r="L112" s="49"/>
      <c r="M112" s="49"/>
      <c r="N112" s="49"/>
      <c r="O112" s="49"/>
      <c r="P112" s="48"/>
      <c r="Q112" s="50"/>
      <c r="R112" s="49"/>
      <c r="S112" s="50"/>
      <c r="T112" s="50"/>
      <c r="U112" s="51"/>
      <c r="V112" s="49"/>
      <c r="W112" s="49"/>
    </row>
    <row r="113" spans="1:23" ht="18" customHeight="1" x14ac:dyDescent="0.45">
      <c r="A113" s="45"/>
      <c r="B113" s="46"/>
      <c r="C113" s="47"/>
      <c r="D113" s="48"/>
      <c r="E113" s="49"/>
      <c r="F113" s="49"/>
      <c r="G113" s="49"/>
      <c r="H113" s="49"/>
      <c r="I113" s="45"/>
      <c r="J113" s="49"/>
      <c r="K113" s="49"/>
      <c r="L113" s="49"/>
      <c r="M113" s="49"/>
      <c r="N113" s="49"/>
      <c r="O113" s="49"/>
      <c r="P113" s="48"/>
      <c r="Q113" s="50"/>
      <c r="R113" s="49"/>
      <c r="S113" s="50"/>
      <c r="T113" s="50"/>
      <c r="U113" s="51"/>
      <c r="V113" s="49"/>
      <c r="W113" s="49"/>
    </row>
    <row r="114" spans="1:23" ht="18" customHeight="1" x14ac:dyDescent="0.45">
      <c r="A114" s="45"/>
      <c r="B114" s="46"/>
      <c r="C114" s="47"/>
      <c r="D114" s="48"/>
      <c r="E114" s="49"/>
      <c r="F114" s="49"/>
      <c r="G114" s="49"/>
      <c r="H114" s="49"/>
      <c r="I114" s="45"/>
      <c r="J114" s="49"/>
      <c r="K114" s="49"/>
      <c r="L114" s="49"/>
      <c r="M114" s="49"/>
      <c r="N114" s="49"/>
      <c r="O114" s="49"/>
      <c r="P114" s="48"/>
      <c r="Q114" s="50"/>
      <c r="R114" s="49"/>
      <c r="S114" s="50"/>
      <c r="T114" s="50"/>
      <c r="U114" s="51"/>
      <c r="V114" s="49"/>
      <c r="W114" s="49"/>
    </row>
    <row r="115" spans="1:23" ht="18" customHeight="1" x14ac:dyDescent="0.45">
      <c r="A115" s="45"/>
      <c r="B115" s="46"/>
      <c r="C115" s="47"/>
      <c r="D115" s="48"/>
      <c r="E115" s="49"/>
      <c r="F115" s="49"/>
      <c r="G115" s="49"/>
      <c r="H115" s="49"/>
      <c r="I115" s="45"/>
      <c r="J115" s="49"/>
      <c r="K115" s="49"/>
      <c r="L115" s="49"/>
      <c r="M115" s="49"/>
      <c r="N115" s="49"/>
      <c r="O115" s="49"/>
      <c r="P115" s="48"/>
      <c r="Q115" s="50"/>
      <c r="R115" s="49"/>
      <c r="S115" s="50"/>
      <c r="T115" s="50"/>
      <c r="U115" s="51"/>
      <c r="V115" s="49"/>
      <c r="W115" s="49"/>
    </row>
    <row r="116" spans="1:23" ht="18" customHeight="1" x14ac:dyDescent="0.45">
      <c r="A116" s="45"/>
      <c r="B116" s="46"/>
      <c r="C116" s="47"/>
      <c r="D116" s="48"/>
      <c r="E116" s="49"/>
      <c r="F116" s="49"/>
      <c r="G116" s="49"/>
      <c r="H116" s="49"/>
      <c r="I116" s="45"/>
      <c r="J116" s="49"/>
      <c r="K116" s="49"/>
      <c r="L116" s="49"/>
      <c r="M116" s="49"/>
      <c r="N116" s="49"/>
      <c r="O116" s="49"/>
      <c r="P116" s="48"/>
      <c r="Q116" s="50"/>
      <c r="R116" s="49"/>
      <c r="S116" s="50"/>
      <c r="T116" s="50"/>
      <c r="U116" s="51"/>
      <c r="V116" s="49"/>
      <c r="W116" s="49"/>
    </row>
    <row r="117" spans="1:23" ht="18" customHeight="1" x14ac:dyDescent="0.45">
      <c r="A117" s="45"/>
      <c r="B117" s="46"/>
      <c r="C117" s="47"/>
      <c r="D117" s="48"/>
      <c r="E117" s="49"/>
      <c r="F117" s="49"/>
      <c r="G117" s="49"/>
      <c r="H117" s="49"/>
      <c r="I117" s="45"/>
      <c r="J117" s="49"/>
      <c r="K117" s="49"/>
      <c r="L117" s="49"/>
      <c r="M117" s="49"/>
      <c r="N117" s="49"/>
      <c r="O117" s="49"/>
      <c r="P117" s="48"/>
      <c r="Q117" s="50"/>
      <c r="R117" s="49"/>
      <c r="S117" s="50"/>
      <c r="T117" s="50"/>
      <c r="U117" s="51"/>
      <c r="V117" s="49"/>
      <c r="W117" s="49"/>
    </row>
    <row r="118" spans="1:23" ht="18" customHeight="1" x14ac:dyDescent="0.45">
      <c r="A118" s="45"/>
      <c r="B118" s="46"/>
      <c r="C118" s="47"/>
      <c r="D118" s="48"/>
      <c r="E118" s="49"/>
      <c r="F118" s="49"/>
      <c r="G118" s="49"/>
      <c r="H118" s="49"/>
      <c r="I118" s="45"/>
      <c r="J118" s="49"/>
      <c r="K118" s="49"/>
      <c r="L118" s="49"/>
      <c r="M118" s="49"/>
      <c r="N118" s="49"/>
      <c r="O118" s="49"/>
      <c r="P118" s="48"/>
      <c r="Q118" s="50"/>
      <c r="R118" s="49"/>
      <c r="S118" s="50"/>
      <c r="T118" s="50"/>
      <c r="U118" s="51"/>
      <c r="V118" s="49"/>
      <c r="W118" s="49"/>
    </row>
    <row r="119" spans="1:23" ht="18" customHeight="1" x14ac:dyDescent="0.45">
      <c r="A119" s="45"/>
      <c r="B119" s="46"/>
      <c r="C119" s="47"/>
      <c r="D119" s="48"/>
      <c r="E119" s="49"/>
      <c r="F119" s="49"/>
      <c r="G119" s="49"/>
      <c r="H119" s="49"/>
      <c r="I119" s="45"/>
      <c r="J119" s="49"/>
      <c r="K119" s="49"/>
      <c r="L119" s="49"/>
      <c r="M119" s="49"/>
      <c r="N119" s="49"/>
      <c r="O119" s="49"/>
      <c r="P119" s="48"/>
      <c r="Q119" s="50"/>
      <c r="R119" s="49"/>
      <c r="S119" s="50"/>
      <c r="T119" s="50"/>
      <c r="U119" s="51"/>
      <c r="V119" s="49"/>
      <c r="W119" s="49"/>
    </row>
    <row r="120" spans="1:23" ht="18" customHeight="1" x14ac:dyDescent="0.45">
      <c r="A120" s="45"/>
      <c r="B120" s="46"/>
      <c r="C120" s="47"/>
      <c r="D120" s="48"/>
      <c r="E120" s="49"/>
      <c r="F120" s="49"/>
      <c r="G120" s="49"/>
      <c r="H120" s="49"/>
      <c r="I120" s="45"/>
      <c r="J120" s="49"/>
      <c r="K120" s="49"/>
      <c r="L120" s="49"/>
      <c r="M120" s="49"/>
      <c r="N120" s="49"/>
      <c r="O120" s="49"/>
      <c r="P120" s="48"/>
      <c r="Q120" s="50"/>
      <c r="R120" s="49"/>
      <c r="S120" s="50"/>
      <c r="T120" s="50"/>
      <c r="U120" s="51"/>
      <c r="V120" s="49"/>
      <c r="W120" s="49"/>
    </row>
    <row r="121" spans="1:23" ht="18" customHeight="1" x14ac:dyDescent="0.45">
      <c r="A121" s="45"/>
      <c r="B121" s="46"/>
      <c r="C121" s="47"/>
      <c r="D121" s="48"/>
      <c r="E121" s="49"/>
      <c r="F121" s="49"/>
      <c r="G121" s="49"/>
      <c r="H121" s="49"/>
      <c r="I121" s="45"/>
      <c r="J121" s="49"/>
      <c r="K121" s="49"/>
      <c r="L121" s="49"/>
      <c r="M121" s="49"/>
      <c r="N121" s="49"/>
      <c r="O121" s="49"/>
      <c r="P121" s="48"/>
      <c r="Q121" s="50"/>
      <c r="R121" s="49"/>
      <c r="S121" s="50"/>
      <c r="T121" s="50"/>
      <c r="U121" s="51"/>
      <c r="V121" s="49"/>
      <c r="W121" s="49"/>
    </row>
    <row r="122" spans="1:23" ht="18" customHeight="1" x14ac:dyDescent="0.45">
      <c r="A122" s="45"/>
      <c r="B122" s="46"/>
      <c r="C122" s="47"/>
      <c r="D122" s="48"/>
      <c r="E122" s="49"/>
      <c r="F122" s="49"/>
      <c r="G122" s="49"/>
      <c r="H122" s="49"/>
      <c r="I122" s="45"/>
      <c r="J122" s="49"/>
      <c r="K122" s="49"/>
      <c r="L122" s="49"/>
      <c r="M122" s="49"/>
      <c r="N122" s="49"/>
      <c r="O122" s="49"/>
      <c r="P122" s="48"/>
      <c r="Q122" s="50"/>
      <c r="R122" s="49"/>
      <c r="S122" s="50"/>
      <c r="T122" s="50"/>
      <c r="U122" s="51"/>
      <c r="V122" s="49"/>
      <c r="W122" s="49"/>
    </row>
    <row r="123" spans="1:23" ht="18" customHeight="1" x14ac:dyDescent="0.45">
      <c r="A123" s="45"/>
      <c r="B123" s="46"/>
      <c r="C123" s="47"/>
      <c r="D123" s="48"/>
      <c r="E123" s="49"/>
      <c r="F123" s="49"/>
      <c r="G123" s="49"/>
      <c r="H123" s="49"/>
      <c r="I123" s="45"/>
      <c r="J123" s="49"/>
      <c r="K123" s="49"/>
      <c r="L123" s="49"/>
      <c r="M123" s="49"/>
      <c r="N123" s="49"/>
      <c r="O123" s="49"/>
      <c r="P123" s="48"/>
      <c r="Q123" s="50"/>
      <c r="R123" s="49"/>
      <c r="S123" s="50"/>
      <c r="T123" s="50"/>
      <c r="U123" s="51"/>
      <c r="V123" s="49"/>
      <c r="W123" s="49"/>
    </row>
    <row r="124" spans="1:23" ht="18" customHeight="1" x14ac:dyDescent="0.45">
      <c r="A124" s="45"/>
      <c r="B124" s="46"/>
      <c r="C124" s="47"/>
      <c r="D124" s="48"/>
      <c r="E124" s="49"/>
      <c r="F124" s="49"/>
      <c r="G124" s="49"/>
      <c r="H124" s="49"/>
      <c r="I124" s="45"/>
      <c r="J124" s="49"/>
      <c r="K124" s="49"/>
      <c r="L124" s="49"/>
      <c r="M124" s="49"/>
      <c r="N124" s="49"/>
      <c r="O124" s="49"/>
      <c r="P124" s="48"/>
      <c r="Q124" s="50"/>
      <c r="R124" s="49"/>
      <c r="S124" s="50"/>
      <c r="T124" s="50"/>
      <c r="U124" s="51"/>
      <c r="V124" s="49"/>
      <c r="W124" s="49"/>
    </row>
    <row r="125" spans="1:23" ht="18" customHeight="1" x14ac:dyDescent="0.45">
      <c r="A125" s="45"/>
      <c r="B125" s="46"/>
      <c r="C125" s="47"/>
      <c r="D125" s="48"/>
      <c r="E125" s="49"/>
      <c r="F125" s="49"/>
      <c r="G125" s="49"/>
      <c r="H125" s="49"/>
      <c r="I125" s="45"/>
      <c r="J125" s="49"/>
      <c r="K125" s="49"/>
      <c r="L125" s="49"/>
      <c r="M125" s="49"/>
      <c r="N125" s="49"/>
      <c r="O125" s="49"/>
      <c r="P125" s="48"/>
      <c r="Q125" s="50"/>
      <c r="R125" s="49"/>
      <c r="S125" s="50"/>
      <c r="T125" s="50"/>
      <c r="U125" s="51"/>
      <c r="V125" s="49"/>
      <c r="W125" s="49"/>
    </row>
    <row r="126" spans="1:23" ht="18" customHeight="1" x14ac:dyDescent="0.45">
      <c r="A126" s="45"/>
      <c r="B126" s="46"/>
      <c r="C126" s="47"/>
      <c r="D126" s="48"/>
      <c r="E126" s="49"/>
      <c r="F126" s="49"/>
      <c r="G126" s="49"/>
      <c r="H126" s="49"/>
      <c r="I126" s="45"/>
      <c r="J126" s="49"/>
      <c r="K126" s="49"/>
      <c r="L126" s="49"/>
      <c r="M126" s="49"/>
      <c r="N126" s="49"/>
      <c r="O126" s="49"/>
      <c r="P126" s="48"/>
      <c r="Q126" s="50"/>
      <c r="R126" s="49"/>
      <c r="S126" s="50"/>
      <c r="T126" s="50"/>
      <c r="U126" s="51"/>
      <c r="V126" s="49"/>
      <c r="W126" s="49"/>
    </row>
    <row r="127" spans="1:23" ht="18" customHeight="1" x14ac:dyDescent="0.45">
      <c r="A127" s="45"/>
      <c r="B127" s="46"/>
      <c r="C127" s="47"/>
      <c r="D127" s="48"/>
      <c r="E127" s="49"/>
      <c r="F127" s="49"/>
      <c r="G127" s="49"/>
      <c r="H127" s="49"/>
      <c r="I127" s="45"/>
      <c r="J127" s="49"/>
      <c r="K127" s="49"/>
      <c r="L127" s="49"/>
      <c r="M127" s="49"/>
      <c r="N127" s="49"/>
      <c r="O127" s="49"/>
      <c r="P127" s="48"/>
      <c r="Q127" s="50"/>
      <c r="R127" s="49"/>
      <c r="S127" s="50"/>
      <c r="T127" s="50"/>
      <c r="U127" s="51"/>
      <c r="V127" s="49"/>
      <c r="W127" s="49"/>
    </row>
    <row r="128" spans="1:23" ht="18" customHeight="1" x14ac:dyDescent="0.45">
      <c r="A128" s="45"/>
      <c r="B128" s="46"/>
      <c r="C128" s="47"/>
      <c r="D128" s="48"/>
      <c r="E128" s="49"/>
      <c r="F128" s="49"/>
      <c r="G128" s="49"/>
      <c r="H128" s="49"/>
      <c r="I128" s="45"/>
      <c r="J128" s="49"/>
      <c r="K128" s="49"/>
      <c r="L128" s="49"/>
      <c r="M128" s="49"/>
      <c r="N128" s="49"/>
      <c r="O128" s="49"/>
      <c r="P128" s="48"/>
      <c r="Q128" s="50"/>
      <c r="R128" s="49"/>
      <c r="S128" s="50"/>
      <c r="T128" s="50"/>
      <c r="U128" s="51"/>
      <c r="V128" s="49"/>
      <c r="W128" s="49"/>
    </row>
    <row r="129" spans="1:23" ht="18" customHeight="1" x14ac:dyDescent="0.45">
      <c r="A129" s="45"/>
      <c r="B129" s="46"/>
      <c r="C129" s="47"/>
      <c r="D129" s="48"/>
      <c r="E129" s="49"/>
      <c r="F129" s="49"/>
      <c r="G129" s="49"/>
      <c r="H129" s="49"/>
      <c r="I129" s="45"/>
      <c r="J129" s="49"/>
      <c r="K129" s="49"/>
      <c r="L129" s="49"/>
      <c r="M129" s="49"/>
      <c r="N129" s="49"/>
      <c r="O129" s="49"/>
      <c r="P129" s="48"/>
      <c r="Q129" s="50"/>
      <c r="R129" s="49"/>
      <c r="S129" s="50"/>
      <c r="T129" s="50"/>
      <c r="U129" s="51"/>
      <c r="V129" s="49"/>
      <c r="W129" s="49"/>
    </row>
    <row r="130" spans="1:23" ht="18" customHeight="1" x14ac:dyDescent="0.45">
      <c r="A130" s="45"/>
      <c r="B130" s="46"/>
      <c r="C130" s="47"/>
      <c r="D130" s="48"/>
      <c r="E130" s="49"/>
      <c r="F130" s="49"/>
      <c r="G130" s="49"/>
      <c r="H130" s="49"/>
      <c r="I130" s="45"/>
      <c r="J130" s="49"/>
      <c r="K130" s="49"/>
      <c r="L130" s="49"/>
      <c r="M130" s="49"/>
      <c r="N130" s="49"/>
      <c r="O130" s="49"/>
      <c r="P130" s="48"/>
      <c r="Q130" s="50"/>
      <c r="R130" s="49"/>
      <c r="S130" s="50"/>
      <c r="T130" s="50"/>
      <c r="U130" s="51"/>
      <c r="V130" s="49"/>
      <c r="W130" s="49"/>
    </row>
    <row r="131" spans="1:23" ht="18" customHeight="1" x14ac:dyDescent="0.45">
      <c r="A131" s="45"/>
      <c r="B131" s="46"/>
      <c r="C131" s="47"/>
      <c r="D131" s="48"/>
      <c r="E131" s="49"/>
      <c r="F131" s="49"/>
      <c r="G131" s="49"/>
      <c r="H131" s="49"/>
      <c r="I131" s="45"/>
      <c r="J131" s="49"/>
      <c r="K131" s="49"/>
      <c r="L131" s="49"/>
      <c r="M131" s="49"/>
      <c r="N131" s="49"/>
      <c r="O131" s="49"/>
      <c r="P131" s="48"/>
      <c r="Q131" s="50"/>
      <c r="R131" s="49"/>
      <c r="S131" s="50"/>
      <c r="T131" s="50"/>
      <c r="U131" s="51"/>
      <c r="V131" s="49"/>
      <c r="W131" s="49"/>
    </row>
    <row r="132" spans="1:23" ht="18" customHeight="1" x14ac:dyDescent="0.45">
      <c r="A132" s="45"/>
      <c r="B132" s="46"/>
      <c r="C132" s="47"/>
      <c r="D132" s="48"/>
      <c r="E132" s="49"/>
      <c r="F132" s="49"/>
      <c r="G132" s="49"/>
      <c r="H132" s="49"/>
      <c r="I132" s="45"/>
      <c r="J132" s="49"/>
      <c r="K132" s="49"/>
      <c r="L132" s="49"/>
      <c r="M132" s="49"/>
      <c r="N132" s="49"/>
      <c r="O132" s="49"/>
      <c r="P132" s="48"/>
      <c r="Q132" s="50"/>
      <c r="R132" s="49"/>
      <c r="S132" s="50"/>
      <c r="T132" s="50"/>
      <c r="U132" s="51"/>
      <c r="V132" s="49"/>
      <c r="W132" s="49"/>
    </row>
    <row r="133" spans="1:23" ht="18" customHeight="1" x14ac:dyDescent="0.45">
      <c r="A133" s="45"/>
      <c r="B133" s="46"/>
      <c r="C133" s="47"/>
      <c r="D133" s="48"/>
      <c r="E133" s="49"/>
      <c r="F133" s="49"/>
      <c r="G133" s="49"/>
      <c r="H133" s="49"/>
      <c r="I133" s="45"/>
      <c r="J133" s="49"/>
      <c r="K133" s="49"/>
      <c r="L133" s="49"/>
      <c r="M133" s="49"/>
      <c r="N133" s="49"/>
      <c r="O133" s="49"/>
      <c r="P133" s="48"/>
      <c r="Q133" s="50"/>
      <c r="R133" s="49"/>
      <c r="S133" s="50"/>
      <c r="T133" s="50"/>
      <c r="U133" s="51"/>
      <c r="V133" s="49"/>
      <c r="W133" s="49"/>
    </row>
    <row r="134" spans="1:23" ht="18" customHeight="1" x14ac:dyDescent="0.45">
      <c r="A134" s="45"/>
      <c r="B134" s="46"/>
      <c r="C134" s="47"/>
      <c r="D134" s="48"/>
      <c r="E134" s="49"/>
      <c r="F134" s="49"/>
      <c r="G134" s="49"/>
      <c r="H134" s="49"/>
      <c r="I134" s="45"/>
      <c r="J134" s="49"/>
      <c r="K134" s="49"/>
      <c r="L134" s="49"/>
      <c r="M134" s="49"/>
      <c r="N134" s="49"/>
      <c r="O134" s="49"/>
      <c r="P134" s="48"/>
      <c r="Q134" s="50"/>
      <c r="R134" s="49"/>
      <c r="S134" s="50"/>
      <c r="T134" s="50"/>
      <c r="U134" s="51"/>
      <c r="V134" s="49"/>
      <c r="W134" s="49"/>
    </row>
    <row r="135" spans="1:23" ht="18" customHeight="1" x14ac:dyDescent="0.45">
      <c r="A135" s="45"/>
      <c r="B135" s="46"/>
      <c r="C135" s="47"/>
      <c r="D135" s="48"/>
      <c r="E135" s="49"/>
      <c r="F135" s="49"/>
      <c r="G135" s="49"/>
      <c r="H135" s="49"/>
      <c r="I135" s="45"/>
      <c r="J135" s="49"/>
      <c r="K135" s="49"/>
      <c r="L135" s="49"/>
      <c r="M135" s="49"/>
      <c r="N135" s="49"/>
      <c r="O135" s="49"/>
      <c r="P135" s="48"/>
      <c r="Q135" s="50"/>
      <c r="R135" s="49"/>
      <c r="S135" s="50"/>
      <c r="T135" s="50"/>
      <c r="U135" s="51"/>
      <c r="V135" s="49"/>
      <c r="W135" s="49"/>
    </row>
    <row r="136" spans="1:23" ht="18" customHeight="1" x14ac:dyDescent="0.45">
      <c r="A136" s="45"/>
      <c r="B136" s="46"/>
      <c r="C136" s="47"/>
      <c r="D136" s="48"/>
      <c r="E136" s="49"/>
      <c r="F136" s="49"/>
      <c r="G136" s="49"/>
      <c r="H136" s="49"/>
      <c r="I136" s="45"/>
      <c r="J136" s="49"/>
      <c r="K136" s="49"/>
      <c r="L136" s="49"/>
      <c r="M136" s="49"/>
      <c r="N136" s="49"/>
      <c r="O136" s="49"/>
      <c r="P136" s="48"/>
      <c r="Q136" s="50"/>
      <c r="R136" s="49"/>
      <c r="S136" s="50"/>
      <c r="T136" s="50"/>
      <c r="U136" s="51"/>
      <c r="V136" s="49"/>
      <c r="W136" s="49"/>
    </row>
    <row r="137" spans="1:23" ht="18" customHeight="1" x14ac:dyDescent="0.45">
      <c r="A137" s="45"/>
      <c r="B137" s="46"/>
      <c r="C137" s="47"/>
      <c r="D137" s="48"/>
      <c r="E137" s="49"/>
      <c r="F137" s="49"/>
      <c r="G137" s="49"/>
      <c r="H137" s="49"/>
      <c r="I137" s="45"/>
      <c r="J137" s="49"/>
      <c r="K137" s="49"/>
      <c r="L137" s="49"/>
      <c r="M137" s="49"/>
      <c r="N137" s="49"/>
      <c r="O137" s="49"/>
      <c r="P137" s="48"/>
      <c r="Q137" s="50"/>
      <c r="R137" s="49"/>
      <c r="S137" s="50"/>
      <c r="T137" s="50"/>
      <c r="U137" s="51"/>
      <c r="V137" s="49"/>
      <c r="W137" s="49"/>
    </row>
    <row r="138" spans="1:23" ht="18" customHeight="1" x14ac:dyDescent="0.45">
      <c r="A138" s="45"/>
      <c r="B138" s="46"/>
      <c r="C138" s="47"/>
      <c r="D138" s="48"/>
      <c r="E138" s="49"/>
      <c r="F138" s="49"/>
      <c r="G138" s="49"/>
      <c r="H138" s="49"/>
      <c r="I138" s="45"/>
      <c r="J138" s="49"/>
      <c r="K138" s="49"/>
      <c r="L138" s="49"/>
      <c r="M138" s="49"/>
      <c r="N138" s="49"/>
      <c r="O138" s="49"/>
      <c r="P138" s="48"/>
      <c r="Q138" s="50"/>
      <c r="R138" s="49"/>
      <c r="S138" s="50"/>
      <c r="T138" s="50"/>
      <c r="U138" s="51"/>
      <c r="V138" s="49"/>
      <c r="W138" s="49"/>
    </row>
    <row r="139" spans="1:23" ht="18" customHeight="1" x14ac:dyDescent="0.45">
      <c r="A139" s="45"/>
      <c r="B139" s="46"/>
      <c r="C139" s="47"/>
      <c r="D139" s="48"/>
      <c r="E139" s="49"/>
      <c r="F139" s="49"/>
      <c r="G139" s="49"/>
      <c r="H139" s="49"/>
      <c r="I139" s="45"/>
      <c r="J139" s="49"/>
      <c r="K139" s="49"/>
      <c r="L139" s="49"/>
      <c r="M139" s="49"/>
      <c r="N139" s="49"/>
      <c r="O139" s="49"/>
      <c r="P139" s="48"/>
      <c r="Q139" s="50"/>
      <c r="R139" s="49"/>
      <c r="S139" s="50"/>
      <c r="T139" s="50"/>
      <c r="U139" s="51"/>
      <c r="V139" s="49"/>
      <c r="W139" s="49"/>
    </row>
    <row r="140" spans="1:23" ht="18" customHeight="1" x14ac:dyDescent="0.45">
      <c r="A140" s="45"/>
      <c r="B140" s="46"/>
      <c r="C140" s="47"/>
      <c r="D140" s="48"/>
      <c r="E140" s="49"/>
      <c r="F140" s="49"/>
      <c r="G140" s="49"/>
      <c r="H140" s="49"/>
      <c r="I140" s="45"/>
      <c r="J140" s="49"/>
      <c r="K140" s="49"/>
      <c r="L140" s="49"/>
      <c r="M140" s="49"/>
      <c r="N140" s="49"/>
      <c r="O140" s="49"/>
      <c r="P140" s="48"/>
      <c r="Q140" s="50"/>
      <c r="R140" s="49"/>
      <c r="S140" s="50"/>
      <c r="T140" s="50"/>
      <c r="U140" s="51"/>
      <c r="V140" s="49"/>
      <c r="W140" s="49"/>
    </row>
    <row r="141" spans="1:23" ht="18" customHeight="1" x14ac:dyDescent="0.45">
      <c r="A141" s="45"/>
      <c r="B141" s="46"/>
      <c r="C141" s="47"/>
      <c r="D141" s="48"/>
      <c r="E141" s="49"/>
      <c r="F141" s="49"/>
      <c r="G141" s="49"/>
      <c r="H141" s="49"/>
      <c r="I141" s="45"/>
      <c r="J141" s="49"/>
      <c r="K141" s="49"/>
      <c r="L141" s="49"/>
      <c r="M141" s="49"/>
      <c r="N141" s="49"/>
      <c r="O141" s="49"/>
      <c r="P141" s="48"/>
      <c r="Q141" s="50"/>
      <c r="R141" s="49"/>
      <c r="S141" s="50"/>
      <c r="T141" s="50"/>
      <c r="U141" s="51"/>
      <c r="V141" s="49"/>
      <c r="W141" s="49"/>
    </row>
    <row r="142" spans="1:23" ht="18" customHeight="1" x14ac:dyDescent="0.45">
      <c r="A142" s="45"/>
      <c r="B142" s="46"/>
      <c r="C142" s="47"/>
      <c r="D142" s="48"/>
      <c r="E142" s="49"/>
      <c r="F142" s="49"/>
      <c r="G142" s="49"/>
      <c r="H142" s="49"/>
      <c r="I142" s="45"/>
      <c r="J142" s="49"/>
      <c r="K142" s="49"/>
      <c r="L142" s="49"/>
      <c r="M142" s="49"/>
      <c r="N142" s="49"/>
      <c r="O142" s="49"/>
      <c r="P142" s="48"/>
      <c r="Q142" s="50"/>
      <c r="R142" s="49"/>
      <c r="S142" s="50"/>
      <c r="T142" s="50"/>
      <c r="U142" s="51"/>
      <c r="V142" s="49"/>
      <c r="W142" s="49"/>
    </row>
    <row r="143" spans="1:23" ht="18" customHeight="1" x14ac:dyDescent="0.45">
      <c r="A143" s="45"/>
      <c r="B143" s="46"/>
      <c r="C143" s="47"/>
      <c r="D143" s="48"/>
      <c r="E143" s="49"/>
      <c r="F143" s="49"/>
      <c r="G143" s="49"/>
      <c r="H143" s="49"/>
      <c r="I143" s="45"/>
      <c r="J143" s="49"/>
      <c r="K143" s="49"/>
      <c r="L143" s="49"/>
      <c r="M143" s="49"/>
      <c r="N143" s="49"/>
      <c r="O143" s="49"/>
      <c r="P143" s="48"/>
      <c r="Q143" s="50"/>
      <c r="R143" s="49"/>
      <c r="S143" s="50"/>
      <c r="T143" s="50"/>
      <c r="U143" s="51"/>
      <c r="V143" s="49"/>
      <c r="W143" s="49"/>
    </row>
    <row r="144" spans="1:23" ht="18" customHeight="1" x14ac:dyDescent="0.45">
      <c r="A144" s="45"/>
      <c r="B144" s="46"/>
      <c r="C144" s="47"/>
      <c r="D144" s="48"/>
      <c r="E144" s="49"/>
      <c r="F144" s="49"/>
      <c r="G144" s="49"/>
      <c r="H144" s="49"/>
      <c r="I144" s="45"/>
      <c r="J144" s="49"/>
      <c r="K144" s="49"/>
      <c r="L144" s="49"/>
      <c r="M144" s="49"/>
      <c r="N144" s="49"/>
      <c r="O144" s="49"/>
      <c r="P144" s="48"/>
      <c r="Q144" s="50"/>
      <c r="R144" s="49"/>
      <c r="S144" s="50"/>
      <c r="T144" s="50"/>
      <c r="U144" s="51"/>
      <c r="V144" s="49"/>
      <c r="W144" s="49"/>
    </row>
    <row r="145" spans="1:23" ht="18" customHeight="1" x14ac:dyDescent="0.45">
      <c r="A145" s="45"/>
      <c r="B145" s="46"/>
      <c r="C145" s="47"/>
      <c r="D145" s="48"/>
      <c r="E145" s="49"/>
      <c r="F145" s="49"/>
      <c r="G145" s="49"/>
      <c r="H145" s="49"/>
      <c r="I145" s="45"/>
      <c r="J145" s="49"/>
      <c r="K145" s="49"/>
      <c r="L145" s="49"/>
      <c r="M145" s="49"/>
      <c r="N145" s="49"/>
      <c r="O145" s="49"/>
      <c r="P145" s="48"/>
      <c r="Q145" s="50"/>
      <c r="R145" s="49"/>
      <c r="S145" s="50"/>
      <c r="T145" s="50"/>
      <c r="U145" s="51"/>
      <c r="V145" s="49"/>
      <c r="W145" s="49"/>
    </row>
    <row r="146" spans="1:23" ht="18" customHeight="1" x14ac:dyDescent="0.45">
      <c r="A146" s="45"/>
      <c r="B146" s="46"/>
      <c r="C146" s="47"/>
      <c r="D146" s="48"/>
      <c r="E146" s="49"/>
      <c r="F146" s="49"/>
      <c r="G146" s="49"/>
      <c r="H146" s="49"/>
      <c r="I146" s="45"/>
      <c r="J146" s="49"/>
      <c r="K146" s="49"/>
      <c r="L146" s="49"/>
      <c r="M146" s="49"/>
      <c r="N146" s="49"/>
      <c r="O146" s="49"/>
      <c r="P146" s="48"/>
      <c r="Q146" s="50"/>
      <c r="R146" s="49"/>
      <c r="S146" s="50"/>
      <c r="T146" s="50"/>
      <c r="U146" s="51"/>
      <c r="V146" s="49"/>
      <c r="W146" s="49"/>
    </row>
    <row r="147" spans="1:23" ht="18" customHeight="1" x14ac:dyDescent="0.45">
      <c r="A147" s="45"/>
      <c r="B147" s="46"/>
      <c r="C147" s="47"/>
      <c r="D147" s="48"/>
      <c r="E147" s="49"/>
      <c r="F147" s="49"/>
      <c r="G147" s="49"/>
      <c r="H147" s="49"/>
      <c r="I147" s="45"/>
      <c r="J147" s="49"/>
      <c r="K147" s="49"/>
      <c r="L147" s="49"/>
      <c r="M147" s="49"/>
      <c r="N147" s="49"/>
      <c r="O147" s="49"/>
      <c r="P147" s="48"/>
      <c r="Q147" s="50"/>
      <c r="R147" s="49"/>
      <c r="S147" s="50"/>
      <c r="T147" s="50"/>
      <c r="U147" s="51"/>
      <c r="V147" s="49"/>
      <c r="W147" s="49"/>
    </row>
    <row r="148" spans="1:23" ht="18" customHeight="1" x14ac:dyDescent="0.45">
      <c r="A148" s="45"/>
      <c r="B148" s="46"/>
      <c r="C148" s="47"/>
      <c r="D148" s="48"/>
      <c r="E148" s="49"/>
      <c r="F148" s="49"/>
      <c r="G148" s="49"/>
      <c r="H148" s="49"/>
      <c r="I148" s="45"/>
      <c r="J148" s="49"/>
      <c r="K148" s="49"/>
      <c r="L148" s="49"/>
      <c r="M148" s="49"/>
      <c r="N148" s="49"/>
      <c r="O148" s="49"/>
      <c r="P148" s="48"/>
      <c r="Q148" s="50"/>
      <c r="R148" s="49"/>
      <c r="S148" s="50"/>
      <c r="T148" s="50"/>
      <c r="U148" s="51"/>
      <c r="V148" s="49"/>
      <c r="W148" s="49"/>
    </row>
    <row r="149" spans="1:23" ht="18" customHeight="1" x14ac:dyDescent="0.45">
      <c r="A149" s="45"/>
      <c r="B149" s="46"/>
      <c r="C149" s="47"/>
      <c r="D149" s="48"/>
      <c r="E149" s="49"/>
      <c r="F149" s="49"/>
      <c r="G149" s="49"/>
      <c r="H149" s="49"/>
      <c r="I149" s="45"/>
      <c r="J149" s="49"/>
      <c r="K149" s="49"/>
      <c r="L149" s="49"/>
      <c r="M149" s="49"/>
      <c r="N149" s="49"/>
      <c r="O149" s="49"/>
      <c r="P149" s="48"/>
      <c r="Q149" s="50"/>
      <c r="R149" s="49"/>
      <c r="S149" s="50"/>
      <c r="T149" s="50"/>
      <c r="U149" s="51"/>
      <c r="V149" s="49"/>
      <c r="W149" s="49"/>
    </row>
    <row r="150" spans="1:23" ht="18" customHeight="1" x14ac:dyDescent="0.45">
      <c r="A150" s="45"/>
      <c r="B150" s="46"/>
      <c r="C150" s="47"/>
      <c r="D150" s="48"/>
      <c r="E150" s="49"/>
      <c r="F150" s="49"/>
      <c r="G150" s="49"/>
      <c r="H150" s="49"/>
      <c r="I150" s="45"/>
      <c r="J150" s="49"/>
      <c r="K150" s="49"/>
      <c r="L150" s="49"/>
      <c r="M150" s="49"/>
      <c r="N150" s="49"/>
      <c r="O150" s="49"/>
      <c r="P150" s="48"/>
      <c r="Q150" s="50"/>
      <c r="R150" s="49"/>
      <c r="S150" s="50"/>
      <c r="T150" s="50"/>
      <c r="U150" s="51"/>
      <c r="V150" s="49"/>
      <c r="W150" s="49"/>
    </row>
    <row r="151" spans="1:23" ht="18" customHeight="1" x14ac:dyDescent="0.45">
      <c r="A151" s="45"/>
      <c r="B151" s="46"/>
      <c r="C151" s="47"/>
      <c r="D151" s="48"/>
      <c r="E151" s="49"/>
      <c r="F151" s="49"/>
      <c r="G151" s="49"/>
      <c r="H151" s="49"/>
      <c r="I151" s="45"/>
      <c r="J151" s="49"/>
      <c r="K151" s="49"/>
      <c r="L151" s="49"/>
      <c r="M151" s="49"/>
      <c r="N151" s="49"/>
      <c r="O151" s="49"/>
      <c r="P151" s="48"/>
      <c r="Q151" s="50"/>
      <c r="R151" s="49"/>
      <c r="S151" s="50"/>
      <c r="T151" s="50"/>
      <c r="U151" s="51"/>
      <c r="V151" s="49"/>
      <c r="W151" s="49"/>
    </row>
    <row r="152" spans="1:23" ht="18" customHeight="1" x14ac:dyDescent="0.45">
      <c r="A152" s="45"/>
      <c r="B152" s="46"/>
      <c r="C152" s="47"/>
      <c r="D152" s="48"/>
      <c r="E152" s="49"/>
      <c r="F152" s="49"/>
      <c r="G152" s="49"/>
      <c r="H152" s="49"/>
      <c r="I152" s="45"/>
      <c r="J152" s="49"/>
      <c r="K152" s="49"/>
      <c r="L152" s="49"/>
      <c r="M152" s="49"/>
      <c r="N152" s="49"/>
      <c r="O152" s="49"/>
      <c r="P152" s="48"/>
      <c r="Q152" s="50"/>
      <c r="R152" s="49"/>
      <c r="S152" s="50"/>
      <c r="T152" s="50"/>
      <c r="U152" s="51"/>
      <c r="V152" s="49"/>
      <c r="W152" s="49"/>
    </row>
    <row r="153" spans="1:23" ht="18" customHeight="1" x14ac:dyDescent="0.45">
      <c r="A153" s="45"/>
      <c r="B153" s="46"/>
      <c r="C153" s="47"/>
      <c r="D153" s="48"/>
      <c r="E153" s="49"/>
      <c r="F153" s="49"/>
      <c r="G153" s="49"/>
      <c r="H153" s="49"/>
      <c r="I153" s="45"/>
      <c r="J153" s="49"/>
      <c r="K153" s="49"/>
      <c r="L153" s="49"/>
      <c r="M153" s="49"/>
      <c r="N153" s="49"/>
      <c r="O153" s="49"/>
      <c r="P153" s="48"/>
      <c r="Q153" s="50"/>
      <c r="R153" s="49"/>
      <c r="S153" s="50"/>
      <c r="T153" s="50"/>
      <c r="U153" s="51"/>
      <c r="V153" s="49"/>
      <c r="W153" s="49"/>
    </row>
    <row r="154" spans="1:23" ht="18" customHeight="1" x14ac:dyDescent="0.45">
      <c r="A154" s="45"/>
      <c r="B154" s="46"/>
      <c r="C154" s="47"/>
      <c r="D154" s="48"/>
      <c r="E154" s="49"/>
      <c r="F154" s="49"/>
      <c r="G154" s="49"/>
      <c r="H154" s="49"/>
      <c r="I154" s="45"/>
      <c r="J154" s="49"/>
      <c r="K154" s="49"/>
      <c r="L154" s="49"/>
      <c r="M154" s="49"/>
      <c r="N154" s="49"/>
      <c r="O154" s="49"/>
      <c r="P154" s="48"/>
      <c r="Q154" s="50"/>
      <c r="R154" s="49"/>
      <c r="S154" s="50"/>
      <c r="T154" s="50"/>
      <c r="U154" s="51"/>
      <c r="V154" s="49"/>
      <c r="W154" s="49"/>
    </row>
    <row r="155" spans="1:23" ht="18" customHeight="1" x14ac:dyDescent="0.45">
      <c r="A155" s="45"/>
      <c r="B155" s="46"/>
      <c r="C155" s="47"/>
      <c r="D155" s="48"/>
      <c r="E155" s="49"/>
      <c r="F155" s="49"/>
      <c r="G155" s="49"/>
      <c r="H155" s="49"/>
      <c r="I155" s="45"/>
      <c r="J155" s="49"/>
      <c r="K155" s="49"/>
      <c r="L155" s="49"/>
      <c r="M155" s="49"/>
      <c r="N155" s="49"/>
      <c r="O155" s="49"/>
      <c r="P155" s="48"/>
      <c r="Q155" s="50"/>
      <c r="R155" s="49"/>
      <c r="S155" s="50"/>
      <c r="T155" s="50"/>
      <c r="U155" s="51"/>
      <c r="V155" s="49"/>
      <c r="W155" s="49"/>
    </row>
    <row r="156" spans="1:23" ht="18" customHeight="1" x14ac:dyDescent="0.45">
      <c r="A156" s="45"/>
      <c r="B156" s="46"/>
      <c r="C156" s="47"/>
      <c r="D156" s="48"/>
      <c r="E156" s="49"/>
      <c r="F156" s="49"/>
      <c r="G156" s="49"/>
      <c r="H156" s="49"/>
      <c r="I156" s="45"/>
      <c r="J156" s="49"/>
      <c r="K156" s="49"/>
      <c r="L156" s="49"/>
      <c r="M156" s="49"/>
      <c r="N156" s="49"/>
      <c r="O156" s="49"/>
      <c r="P156" s="48"/>
      <c r="Q156" s="50"/>
      <c r="R156" s="49"/>
      <c r="S156" s="50"/>
      <c r="T156" s="50"/>
      <c r="U156" s="51"/>
      <c r="V156" s="49"/>
      <c r="W156" s="49"/>
    </row>
    <row r="157" spans="1:23" ht="18" customHeight="1" x14ac:dyDescent="0.45">
      <c r="A157" s="45"/>
      <c r="B157" s="46"/>
      <c r="C157" s="47"/>
      <c r="D157" s="48"/>
      <c r="E157" s="49"/>
      <c r="F157" s="49"/>
      <c r="G157" s="49"/>
      <c r="H157" s="49"/>
      <c r="I157" s="45"/>
      <c r="J157" s="49"/>
      <c r="K157" s="49"/>
      <c r="L157" s="49"/>
      <c r="M157" s="49"/>
      <c r="N157" s="49"/>
      <c r="O157" s="49"/>
      <c r="P157" s="48"/>
      <c r="Q157" s="50"/>
      <c r="R157" s="49"/>
      <c r="S157" s="50"/>
      <c r="T157" s="50"/>
      <c r="U157" s="51"/>
      <c r="V157" s="49"/>
      <c r="W157" s="49"/>
    </row>
    <row r="158" spans="1:23" ht="18" customHeight="1" x14ac:dyDescent="0.45">
      <c r="A158" s="45"/>
      <c r="B158" s="46"/>
      <c r="C158" s="47"/>
      <c r="D158" s="48"/>
      <c r="E158" s="49"/>
      <c r="F158" s="49"/>
      <c r="G158" s="49"/>
      <c r="H158" s="49"/>
      <c r="I158" s="45"/>
      <c r="J158" s="49"/>
      <c r="K158" s="49"/>
      <c r="L158" s="49"/>
      <c r="M158" s="49"/>
      <c r="N158" s="49"/>
      <c r="O158" s="49"/>
      <c r="P158" s="48"/>
      <c r="Q158" s="50"/>
      <c r="R158" s="49"/>
      <c r="S158" s="50"/>
      <c r="T158" s="50"/>
      <c r="U158" s="51"/>
      <c r="V158" s="49"/>
      <c r="W158" s="49"/>
    </row>
    <row r="159" spans="1:23" ht="18" customHeight="1" x14ac:dyDescent="0.45">
      <c r="A159" s="45"/>
      <c r="B159" s="46"/>
      <c r="C159" s="47"/>
      <c r="D159" s="48"/>
      <c r="E159" s="49"/>
      <c r="F159" s="49"/>
      <c r="G159" s="49"/>
      <c r="H159" s="49"/>
      <c r="I159" s="45"/>
      <c r="J159" s="49"/>
      <c r="K159" s="49"/>
      <c r="L159" s="49"/>
      <c r="M159" s="49"/>
      <c r="N159" s="49"/>
      <c r="O159" s="49"/>
      <c r="P159" s="48"/>
      <c r="Q159" s="50"/>
      <c r="R159" s="49"/>
      <c r="S159" s="50"/>
      <c r="T159" s="50"/>
      <c r="U159" s="51"/>
      <c r="V159" s="49"/>
      <c r="W159" s="49"/>
    </row>
    <row r="160" spans="1:23" ht="18" customHeight="1" x14ac:dyDescent="0.45">
      <c r="A160" s="45"/>
      <c r="B160" s="46"/>
      <c r="C160" s="47"/>
      <c r="D160" s="48"/>
      <c r="E160" s="49"/>
      <c r="F160" s="49"/>
      <c r="G160" s="49"/>
      <c r="H160" s="49"/>
      <c r="I160" s="45"/>
      <c r="J160" s="49"/>
      <c r="K160" s="49"/>
      <c r="L160" s="49"/>
      <c r="M160" s="49"/>
      <c r="N160" s="49"/>
      <c r="O160" s="49"/>
      <c r="P160" s="48"/>
      <c r="Q160" s="50"/>
      <c r="R160" s="49"/>
      <c r="S160" s="50"/>
      <c r="T160" s="50"/>
      <c r="U160" s="51"/>
      <c r="V160" s="49"/>
      <c r="W160" s="49"/>
    </row>
    <row r="161" spans="1:23" ht="18" customHeight="1" x14ac:dyDescent="0.45">
      <c r="A161" s="45"/>
      <c r="B161" s="46"/>
      <c r="C161" s="47"/>
      <c r="D161" s="48"/>
      <c r="E161" s="49"/>
      <c r="F161" s="49"/>
      <c r="G161" s="49"/>
      <c r="H161" s="49"/>
      <c r="I161" s="45"/>
      <c r="J161" s="49"/>
      <c r="K161" s="49"/>
      <c r="L161" s="49"/>
      <c r="M161" s="49"/>
      <c r="N161" s="49"/>
      <c r="O161" s="49"/>
      <c r="P161" s="48"/>
      <c r="Q161" s="50"/>
      <c r="R161" s="49"/>
      <c r="S161" s="50"/>
      <c r="T161" s="50"/>
      <c r="U161" s="51"/>
      <c r="V161" s="49"/>
      <c r="W161" s="49"/>
    </row>
    <row r="162" spans="1:23" ht="18" customHeight="1" x14ac:dyDescent="0.45">
      <c r="A162" s="45"/>
      <c r="B162" s="46"/>
      <c r="C162" s="47"/>
      <c r="D162" s="48"/>
      <c r="E162" s="49"/>
      <c r="F162" s="49"/>
      <c r="G162" s="49"/>
      <c r="H162" s="49"/>
      <c r="I162" s="45"/>
      <c r="J162" s="49"/>
      <c r="K162" s="49"/>
      <c r="L162" s="49"/>
      <c r="M162" s="49"/>
      <c r="N162" s="49"/>
      <c r="O162" s="49"/>
      <c r="P162" s="48"/>
      <c r="Q162" s="50"/>
      <c r="R162" s="49"/>
      <c r="S162" s="50"/>
      <c r="T162" s="50"/>
      <c r="U162" s="51"/>
      <c r="V162" s="49"/>
      <c r="W162" s="49"/>
    </row>
    <row r="163" spans="1:23" ht="18" customHeight="1" x14ac:dyDescent="0.45">
      <c r="A163" s="45"/>
      <c r="B163" s="46"/>
      <c r="C163" s="47"/>
      <c r="D163" s="48"/>
      <c r="E163" s="49"/>
      <c r="F163" s="49"/>
      <c r="G163" s="49"/>
      <c r="H163" s="49"/>
      <c r="I163" s="45"/>
      <c r="J163" s="49"/>
      <c r="K163" s="49"/>
      <c r="L163" s="49"/>
      <c r="M163" s="49"/>
      <c r="N163" s="49"/>
      <c r="O163" s="49"/>
      <c r="P163" s="48"/>
      <c r="Q163" s="50"/>
      <c r="R163" s="49"/>
      <c r="S163" s="50"/>
      <c r="T163" s="50"/>
      <c r="U163" s="51"/>
      <c r="V163" s="49"/>
      <c r="W163" s="49"/>
    </row>
    <row r="164" spans="1:23" ht="18" customHeight="1" x14ac:dyDescent="0.45">
      <c r="A164" s="45"/>
      <c r="B164" s="46"/>
      <c r="C164" s="47"/>
      <c r="D164" s="48"/>
      <c r="E164" s="49"/>
      <c r="F164" s="49"/>
      <c r="G164" s="49"/>
      <c r="H164" s="49"/>
      <c r="I164" s="45"/>
      <c r="J164" s="49"/>
      <c r="K164" s="49"/>
      <c r="L164" s="49"/>
      <c r="M164" s="49"/>
      <c r="N164" s="49"/>
      <c r="O164" s="49"/>
      <c r="P164" s="48"/>
      <c r="Q164" s="50"/>
      <c r="R164" s="49"/>
      <c r="S164" s="50"/>
      <c r="T164" s="50"/>
      <c r="U164" s="51"/>
      <c r="V164" s="49"/>
      <c r="W164" s="49"/>
    </row>
    <row r="165" spans="1:23" ht="18" customHeight="1" x14ac:dyDescent="0.45">
      <c r="A165" s="45"/>
      <c r="B165" s="46"/>
      <c r="C165" s="47"/>
      <c r="D165" s="48"/>
      <c r="E165" s="49"/>
      <c r="F165" s="49"/>
      <c r="G165" s="49"/>
      <c r="H165" s="49"/>
      <c r="I165" s="45"/>
      <c r="J165" s="49"/>
      <c r="K165" s="49"/>
      <c r="L165" s="49"/>
      <c r="M165" s="49"/>
      <c r="N165" s="49"/>
      <c r="O165" s="49"/>
      <c r="P165" s="48"/>
      <c r="Q165" s="50"/>
      <c r="R165" s="49"/>
      <c r="S165" s="50"/>
      <c r="T165" s="50"/>
      <c r="U165" s="51"/>
      <c r="V165" s="49"/>
      <c r="W165" s="49"/>
    </row>
    <row r="166" spans="1:23" ht="18" customHeight="1" x14ac:dyDescent="0.45">
      <c r="A166" s="45"/>
      <c r="B166" s="46"/>
      <c r="C166" s="47"/>
      <c r="D166" s="48"/>
      <c r="E166" s="49"/>
      <c r="F166" s="49"/>
      <c r="G166" s="49"/>
      <c r="H166" s="49"/>
      <c r="I166" s="45"/>
      <c r="J166" s="49"/>
      <c r="K166" s="49"/>
      <c r="L166" s="49"/>
      <c r="M166" s="49"/>
      <c r="N166" s="49"/>
      <c r="O166" s="49"/>
      <c r="P166" s="48"/>
      <c r="Q166" s="50"/>
      <c r="R166" s="49"/>
      <c r="S166" s="50"/>
      <c r="T166" s="50"/>
      <c r="U166" s="51"/>
      <c r="V166" s="49"/>
      <c r="W166" s="49"/>
    </row>
    <row r="167" spans="1:23" ht="18" customHeight="1" x14ac:dyDescent="0.45">
      <c r="A167" s="45"/>
      <c r="B167" s="46"/>
      <c r="C167" s="47"/>
      <c r="D167" s="48"/>
      <c r="E167" s="49"/>
      <c r="F167" s="49"/>
      <c r="G167" s="49"/>
      <c r="H167" s="49"/>
      <c r="I167" s="45"/>
      <c r="J167" s="49"/>
      <c r="K167" s="49"/>
      <c r="L167" s="49"/>
      <c r="M167" s="49"/>
      <c r="N167" s="49"/>
      <c r="O167" s="49"/>
      <c r="P167" s="48"/>
      <c r="Q167" s="50"/>
      <c r="R167" s="49"/>
      <c r="S167" s="50"/>
      <c r="T167" s="50"/>
      <c r="U167" s="51"/>
      <c r="V167" s="49"/>
      <c r="W167" s="49"/>
    </row>
    <row r="168" spans="1:23" ht="18" customHeight="1" x14ac:dyDescent="0.45">
      <c r="A168" s="45"/>
      <c r="B168" s="46"/>
      <c r="C168" s="47"/>
      <c r="D168" s="48"/>
      <c r="E168" s="49"/>
      <c r="F168" s="49"/>
      <c r="G168" s="49"/>
      <c r="H168" s="49"/>
      <c r="I168" s="45"/>
      <c r="J168" s="49"/>
      <c r="K168" s="49"/>
      <c r="L168" s="49"/>
      <c r="M168" s="49"/>
      <c r="N168" s="49"/>
      <c r="O168" s="49"/>
      <c r="P168" s="48"/>
      <c r="Q168" s="50"/>
      <c r="R168" s="49"/>
      <c r="S168" s="50"/>
      <c r="T168" s="50"/>
      <c r="U168" s="51"/>
      <c r="V168" s="49"/>
      <c r="W168" s="49"/>
    </row>
    <row r="169" spans="1:23" ht="18" customHeight="1" x14ac:dyDescent="0.45">
      <c r="A169" s="45"/>
      <c r="B169" s="46"/>
      <c r="C169" s="47"/>
      <c r="D169" s="48"/>
      <c r="E169" s="49"/>
      <c r="F169" s="49"/>
      <c r="G169" s="49"/>
      <c r="H169" s="49"/>
      <c r="I169" s="45"/>
      <c r="J169" s="49"/>
      <c r="K169" s="49"/>
      <c r="L169" s="49"/>
      <c r="M169" s="49"/>
      <c r="N169" s="49"/>
      <c r="O169" s="49"/>
      <c r="P169" s="48"/>
      <c r="Q169" s="50"/>
      <c r="R169" s="49"/>
      <c r="S169" s="50"/>
      <c r="T169" s="50"/>
      <c r="U169" s="51"/>
      <c r="V169" s="49"/>
      <c r="W169" s="49"/>
    </row>
    <row r="170" spans="1:23" ht="18" customHeight="1" x14ac:dyDescent="0.45">
      <c r="A170" s="45"/>
      <c r="B170" s="46"/>
      <c r="C170" s="47"/>
      <c r="D170" s="48"/>
      <c r="E170" s="49"/>
      <c r="F170" s="49"/>
      <c r="G170" s="49"/>
      <c r="H170" s="49"/>
      <c r="I170" s="45"/>
      <c r="J170" s="49"/>
      <c r="K170" s="49"/>
      <c r="L170" s="49"/>
      <c r="M170" s="49"/>
      <c r="N170" s="49"/>
      <c r="O170" s="49"/>
      <c r="P170" s="48"/>
      <c r="Q170" s="50"/>
      <c r="R170" s="49"/>
      <c r="S170" s="50"/>
      <c r="T170" s="50"/>
      <c r="U170" s="51"/>
      <c r="V170" s="49"/>
      <c r="W170" s="49"/>
    </row>
    <row r="171" spans="1:23" ht="18" customHeight="1" x14ac:dyDescent="0.45">
      <c r="A171" s="45"/>
      <c r="B171" s="46"/>
      <c r="C171" s="47"/>
      <c r="D171" s="48"/>
      <c r="E171" s="49"/>
      <c r="F171" s="49"/>
      <c r="G171" s="49"/>
      <c r="H171" s="49"/>
      <c r="I171" s="45"/>
      <c r="J171" s="49"/>
      <c r="K171" s="49"/>
      <c r="L171" s="49"/>
      <c r="M171" s="49"/>
      <c r="N171" s="49"/>
      <c r="O171" s="49"/>
      <c r="P171" s="48"/>
      <c r="Q171" s="50"/>
      <c r="R171" s="49"/>
      <c r="S171" s="50"/>
      <c r="T171" s="50"/>
      <c r="U171" s="51"/>
      <c r="V171" s="49"/>
      <c r="W171" s="49"/>
    </row>
    <row r="172" spans="1:23" ht="18" customHeight="1" x14ac:dyDescent="0.45">
      <c r="A172" s="45"/>
      <c r="B172" s="46"/>
      <c r="C172" s="47"/>
      <c r="D172" s="48"/>
      <c r="E172" s="49"/>
      <c r="F172" s="49"/>
      <c r="G172" s="49"/>
      <c r="H172" s="49"/>
      <c r="I172" s="45"/>
      <c r="J172" s="49"/>
      <c r="K172" s="49"/>
      <c r="L172" s="49"/>
      <c r="M172" s="49"/>
      <c r="N172" s="49"/>
      <c r="O172" s="49"/>
      <c r="P172" s="48"/>
      <c r="Q172" s="50"/>
      <c r="R172" s="49"/>
      <c r="S172" s="50"/>
      <c r="T172" s="50"/>
      <c r="U172" s="51"/>
      <c r="V172" s="49"/>
      <c r="W172" s="49"/>
    </row>
    <row r="173" spans="1:23" ht="18" customHeight="1" x14ac:dyDescent="0.45">
      <c r="A173" s="45"/>
      <c r="B173" s="46"/>
      <c r="C173" s="47"/>
      <c r="D173" s="48"/>
      <c r="E173" s="49"/>
      <c r="F173" s="49"/>
      <c r="G173" s="49"/>
      <c r="H173" s="49"/>
      <c r="I173" s="45"/>
      <c r="J173" s="49"/>
      <c r="K173" s="49"/>
      <c r="L173" s="49"/>
      <c r="M173" s="49"/>
      <c r="N173" s="49"/>
      <c r="O173" s="49"/>
      <c r="P173" s="48"/>
      <c r="Q173" s="50"/>
      <c r="R173" s="49"/>
      <c r="S173" s="50"/>
      <c r="T173" s="50"/>
      <c r="U173" s="51"/>
      <c r="V173" s="49"/>
      <c r="W173" s="49"/>
    </row>
    <row r="174" spans="1:23" ht="18" customHeight="1" x14ac:dyDescent="0.45">
      <c r="A174" s="45"/>
      <c r="B174" s="46"/>
      <c r="C174" s="47"/>
      <c r="D174" s="48"/>
      <c r="E174" s="49"/>
      <c r="F174" s="49"/>
      <c r="G174" s="49"/>
      <c r="H174" s="49"/>
      <c r="I174" s="45"/>
      <c r="J174" s="49"/>
      <c r="K174" s="49"/>
      <c r="L174" s="49"/>
      <c r="M174" s="49"/>
      <c r="N174" s="49"/>
      <c r="O174" s="49"/>
      <c r="P174" s="48"/>
      <c r="Q174" s="50"/>
      <c r="R174" s="49"/>
      <c r="S174" s="50"/>
      <c r="T174" s="50"/>
      <c r="U174" s="51"/>
      <c r="V174" s="49"/>
      <c r="W174" s="49"/>
    </row>
    <row r="175" spans="1:23" ht="18" customHeight="1" x14ac:dyDescent="0.45">
      <c r="A175" s="45"/>
      <c r="B175" s="46"/>
      <c r="C175" s="47"/>
      <c r="D175" s="48"/>
      <c r="E175" s="49"/>
      <c r="F175" s="49"/>
      <c r="G175" s="49"/>
      <c r="H175" s="49"/>
      <c r="I175" s="45"/>
      <c r="J175" s="49"/>
      <c r="K175" s="49"/>
      <c r="L175" s="49"/>
      <c r="M175" s="49"/>
      <c r="N175" s="49"/>
      <c r="O175" s="49"/>
      <c r="P175" s="48"/>
      <c r="Q175" s="50"/>
      <c r="R175" s="49"/>
      <c r="S175" s="50"/>
      <c r="T175" s="50"/>
      <c r="U175" s="51"/>
      <c r="V175" s="49"/>
      <c r="W175" s="49"/>
    </row>
    <row r="176" spans="1:23" ht="18" customHeight="1" x14ac:dyDescent="0.45">
      <c r="A176" s="45"/>
      <c r="B176" s="46"/>
      <c r="C176" s="47"/>
      <c r="D176" s="48"/>
      <c r="E176" s="49"/>
      <c r="F176" s="49"/>
      <c r="G176" s="49"/>
      <c r="H176" s="49"/>
      <c r="I176" s="45"/>
      <c r="J176" s="49"/>
      <c r="K176" s="49"/>
      <c r="L176" s="49"/>
      <c r="M176" s="49"/>
      <c r="N176" s="49"/>
      <c r="O176" s="49"/>
      <c r="P176" s="48"/>
      <c r="Q176" s="50"/>
      <c r="R176" s="49"/>
      <c r="S176" s="50"/>
      <c r="T176" s="50"/>
      <c r="U176" s="51"/>
      <c r="V176" s="49"/>
      <c r="W176" s="49"/>
    </row>
    <row r="177" spans="1:23" ht="18" customHeight="1" x14ac:dyDescent="0.45">
      <c r="A177" s="45"/>
      <c r="B177" s="46"/>
      <c r="C177" s="47"/>
      <c r="D177" s="48"/>
      <c r="E177" s="49"/>
      <c r="F177" s="49"/>
      <c r="G177" s="49"/>
      <c r="H177" s="49"/>
      <c r="I177" s="45"/>
      <c r="J177" s="49"/>
      <c r="K177" s="49"/>
      <c r="L177" s="49"/>
      <c r="M177" s="49"/>
      <c r="N177" s="49"/>
      <c r="O177" s="49"/>
      <c r="P177" s="48"/>
      <c r="Q177" s="50"/>
      <c r="R177" s="49"/>
      <c r="S177" s="50"/>
      <c r="T177" s="50"/>
      <c r="U177" s="51"/>
      <c r="V177" s="49"/>
      <c r="W177" s="49"/>
    </row>
    <row r="178" spans="1:23" ht="18" customHeight="1" x14ac:dyDescent="0.45">
      <c r="A178" s="45"/>
      <c r="B178" s="46"/>
      <c r="C178" s="47"/>
      <c r="D178" s="48"/>
      <c r="E178" s="49"/>
      <c r="F178" s="49"/>
      <c r="G178" s="49"/>
      <c r="H178" s="49"/>
      <c r="I178" s="45"/>
      <c r="J178" s="49"/>
      <c r="K178" s="49"/>
      <c r="L178" s="49"/>
      <c r="M178" s="49"/>
      <c r="N178" s="49"/>
      <c r="O178" s="49"/>
      <c r="P178" s="48"/>
      <c r="Q178" s="50"/>
      <c r="R178" s="49"/>
      <c r="S178" s="50"/>
      <c r="T178" s="50"/>
      <c r="U178" s="51"/>
      <c r="V178" s="49"/>
      <c r="W178" s="49"/>
    </row>
    <row r="179" spans="1:23" ht="18" customHeight="1" x14ac:dyDescent="0.45">
      <c r="A179" s="45"/>
      <c r="B179" s="46"/>
      <c r="C179" s="47"/>
      <c r="D179" s="48"/>
      <c r="E179" s="49"/>
      <c r="F179" s="49"/>
      <c r="G179" s="49"/>
      <c r="H179" s="49"/>
      <c r="I179" s="45"/>
      <c r="J179" s="49"/>
      <c r="K179" s="49"/>
      <c r="L179" s="49"/>
      <c r="M179" s="49"/>
      <c r="N179" s="49"/>
      <c r="O179" s="49"/>
      <c r="P179" s="48"/>
      <c r="Q179" s="50"/>
      <c r="R179" s="49"/>
      <c r="S179" s="50"/>
      <c r="T179" s="50"/>
      <c r="U179" s="51"/>
      <c r="V179" s="49"/>
      <c r="W179" s="49"/>
    </row>
    <row r="180" spans="1:23" ht="18" customHeight="1" x14ac:dyDescent="0.45">
      <c r="A180" s="45"/>
      <c r="B180" s="46"/>
      <c r="C180" s="47"/>
      <c r="D180" s="48"/>
      <c r="E180" s="49"/>
      <c r="F180" s="49"/>
      <c r="G180" s="49"/>
      <c r="H180" s="49"/>
      <c r="I180" s="45"/>
      <c r="J180" s="49"/>
      <c r="K180" s="49"/>
      <c r="L180" s="49"/>
      <c r="M180" s="49"/>
      <c r="N180" s="49"/>
      <c r="O180" s="49"/>
      <c r="P180" s="48"/>
      <c r="Q180" s="50"/>
      <c r="R180" s="49"/>
      <c r="S180" s="50"/>
      <c r="T180" s="50"/>
      <c r="U180" s="51"/>
      <c r="V180" s="49"/>
      <c r="W180" s="49"/>
    </row>
    <row r="181" spans="1:23" ht="18" customHeight="1" x14ac:dyDescent="0.45">
      <c r="A181" s="45"/>
      <c r="B181" s="46"/>
      <c r="C181" s="47"/>
      <c r="D181" s="48"/>
      <c r="E181" s="49"/>
      <c r="F181" s="49"/>
      <c r="G181" s="49"/>
      <c r="H181" s="49"/>
      <c r="I181" s="45"/>
      <c r="J181" s="49"/>
      <c r="K181" s="49"/>
      <c r="L181" s="49"/>
      <c r="M181" s="49"/>
      <c r="N181" s="49"/>
      <c r="O181" s="49"/>
      <c r="P181" s="48"/>
      <c r="Q181" s="50"/>
      <c r="R181" s="49"/>
      <c r="S181" s="50"/>
      <c r="T181" s="50"/>
      <c r="U181" s="51"/>
      <c r="V181" s="49"/>
      <c r="W181" s="49"/>
    </row>
    <row r="182" spans="1:23" ht="18" customHeight="1" x14ac:dyDescent="0.45">
      <c r="A182" s="45"/>
      <c r="B182" s="46"/>
      <c r="C182" s="47"/>
      <c r="D182" s="48"/>
      <c r="E182" s="49"/>
      <c r="F182" s="49"/>
      <c r="G182" s="49"/>
      <c r="H182" s="49"/>
      <c r="I182" s="45"/>
      <c r="J182" s="49"/>
      <c r="K182" s="49"/>
      <c r="L182" s="49"/>
      <c r="M182" s="49"/>
      <c r="N182" s="49"/>
      <c r="O182" s="49"/>
      <c r="P182" s="48"/>
      <c r="Q182" s="50"/>
      <c r="R182" s="49"/>
      <c r="S182" s="50"/>
      <c r="T182" s="50"/>
      <c r="U182" s="51"/>
      <c r="V182" s="49"/>
      <c r="W182" s="49"/>
    </row>
    <row r="183" spans="1:23" ht="18" customHeight="1" x14ac:dyDescent="0.45">
      <c r="A183" s="45"/>
      <c r="B183" s="46"/>
      <c r="C183" s="47"/>
      <c r="D183" s="48"/>
      <c r="E183" s="49"/>
      <c r="F183" s="49"/>
      <c r="G183" s="49"/>
      <c r="H183" s="49"/>
      <c r="I183" s="45"/>
      <c r="J183" s="49"/>
      <c r="K183" s="49"/>
      <c r="L183" s="49"/>
      <c r="M183" s="49"/>
      <c r="N183" s="49"/>
      <c r="O183" s="49"/>
      <c r="P183" s="48"/>
      <c r="Q183" s="50"/>
      <c r="R183" s="49"/>
      <c r="S183" s="50"/>
      <c r="T183" s="50"/>
      <c r="U183" s="51"/>
      <c r="V183" s="49"/>
      <c r="W183" s="49"/>
    </row>
    <row r="184" spans="1:23" ht="18" customHeight="1" x14ac:dyDescent="0.45">
      <c r="A184" s="45"/>
      <c r="B184" s="46"/>
      <c r="C184" s="47"/>
      <c r="D184" s="48"/>
      <c r="E184" s="49"/>
      <c r="F184" s="49"/>
      <c r="G184" s="49"/>
      <c r="H184" s="49"/>
      <c r="I184" s="45"/>
      <c r="J184" s="49"/>
      <c r="K184" s="49"/>
      <c r="L184" s="49"/>
      <c r="M184" s="49"/>
      <c r="N184" s="49"/>
      <c r="O184" s="49"/>
      <c r="P184" s="48"/>
      <c r="Q184" s="50"/>
      <c r="R184" s="49"/>
      <c r="S184" s="50"/>
      <c r="T184" s="50"/>
      <c r="U184" s="51"/>
      <c r="V184" s="49"/>
      <c r="W184" s="49"/>
    </row>
    <row r="185" spans="1:23" ht="18" customHeight="1" x14ac:dyDescent="0.45">
      <c r="A185" s="45"/>
      <c r="B185" s="46"/>
      <c r="C185" s="47"/>
      <c r="D185" s="48"/>
      <c r="E185" s="49"/>
      <c r="F185" s="49"/>
      <c r="G185" s="49"/>
      <c r="H185" s="49"/>
      <c r="I185" s="45"/>
      <c r="J185" s="49"/>
      <c r="K185" s="49"/>
      <c r="L185" s="49"/>
      <c r="M185" s="49"/>
      <c r="N185" s="49"/>
      <c r="O185" s="49"/>
      <c r="P185" s="48"/>
      <c r="Q185" s="50"/>
      <c r="R185" s="49"/>
      <c r="S185" s="50"/>
      <c r="T185" s="50"/>
      <c r="U185" s="51"/>
      <c r="V185" s="49"/>
      <c r="W185" s="49"/>
    </row>
    <row r="186" spans="1:23" ht="18" customHeight="1" x14ac:dyDescent="0.45">
      <c r="A186" s="45"/>
      <c r="B186" s="46"/>
      <c r="C186" s="47"/>
      <c r="D186" s="48"/>
      <c r="E186" s="49"/>
      <c r="F186" s="49"/>
      <c r="G186" s="49"/>
      <c r="H186" s="49"/>
      <c r="I186" s="45"/>
      <c r="J186" s="49"/>
      <c r="K186" s="49"/>
      <c r="L186" s="49"/>
      <c r="M186" s="49"/>
      <c r="N186" s="49"/>
      <c r="O186" s="49"/>
      <c r="P186" s="48"/>
      <c r="Q186" s="50"/>
      <c r="R186" s="49"/>
      <c r="S186" s="50"/>
      <c r="T186" s="50"/>
      <c r="U186" s="51"/>
      <c r="V186" s="49"/>
      <c r="W186" s="49"/>
    </row>
    <row r="187" spans="1:23" ht="18" customHeight="1" x14ac:dyDescent="0.45">
      <c r="A187" s="45"/>
      <c r="B187" s="46"/>
      <c r="C187" s="47"/>
      <c r="D187" s="48"/>
      <c r="E187" s="49"/>
      <c r="F187" s="49"/>
      <c r="G187" s="49"/>
      <c r="H187" s="49"/>
      <c r="I187" s="45"/>
      <c r="J187" s="49"/>
      <c r="K187" s="49"/>
      <c r="L187" s="49"/>
      <c r="M187" s="49"/>
      <c r="N187" s="49"/>
      <c r="O187" s="49"/>
      <c r="P187" s="48"/>
      <c r="Q187" s="50"/>
      <c r="R187" s="49"/>
      <c r="S187" s="50"/>
      <c r="T187" s="50"/>
      <c r="U187" s="51"/>
      <c r="V187" s="49"/>
      <c r="W187" s="49"/>
    </row>
    <row r="188" spans="1:23" ht="18" customHeight="1" x14ac:dyDescent="0.45">
      <c r="A188" s="45"/>
      <c r="B188" s="46"/>
      <c r="C188" s="47"/>
      <c r="D188" s="48"/>
      <c r="E188" s="49"/>
      <c r="F188" s="49"/>
      <c r="G188" s="49"/>
      <c r="H188" s="49"/>
      <c r="I188" s="45"/>
      <c r="J188" s="49"/>
      <c r="K188" s="49"/>
      <c r="L188" s="49"/>
      <c r="M188" s="49"/>
      <c r="N188" s="49"/>
      <c r="O188" s="49"/>
      <c r="P188" s="48"/>
      <c r="Q188" s="50"/>
      <c r="R188" s="49"/>
      <c r="S188" s="50"/>
      <c r="T188" s="50"/>
      <c r="U188" s="51"/>
      <c r="V188" s="49"/>
      <c r="W188" s="49"/>
    </row>
    <row r="189" spans="1:23" ht="18" customHeight="1" x14ac:dyDescent="0.45">
      <c r="A189" s="45"/>
      <c r="B189" s="46"/>
      <c r="C189" s="47"/>
      <c r="D189" s="48"/>
      <c r="E189" s="49"/>
      <c r="F189" s="49"/>
      <c r="G189" s="49"/>
      <c r="H189" s="49"/>
      <c r="I189" s="45"/>
      <c r="J189" s="49"/>
      <c r="K189" s="49"/>
      <c r="L189" s="49"/>
      <c r="M189" s="49"/>
      <c r="N189" s="49"/>
      <c r="O189" s="49"/>
      <c r="P189" s="48"/>
      <c r="Q189" s="50"/>
      <c r="R189" s="49"/>
      <c r="S189" s="50"/>
      <c r="T189" s="50"/>
      <c r="U189" s="51"/>
      <c r="V189" s="49"/>
      <c r="W189" s="49"/>
    </row>
    <row r="190" spans="1:23" ht="18" customHeight="1" x14ac:dyDescent="0.45">
      <c r="A190" s="45"/>
      <c r="B190" s="46"/>
      <c r="C190" s="47"/>
      <c r="D190" s="48"/>
      <c r="E190" s="49"/>
      <c r="F190" s="49"/>
      <c r="G190" s="49"/>
      <c r="H190" s="49"/>
      <c r="I190" s="45"/>
      <c r="J190" s="49"/>
      <c r="K190" s="49"/>
      <c r="L190" s="49"/>
      <c r="M190" s="49"/>
      <c r="N190" s="49"/>
      <c r="O190" s="49"/>
      <c r="P190" s="48"/>
      <c r="Q190" s="50"/>
      <c r="R190" s="49"/>
      <c r="S190" s="50"/>
      <c r="T190" s="50"/>
      <c r="U190" s="51"/>
      <c r="V190" s="49"/>
      <c r="W190" s="49"/>
    </row>
    <row r="191" spans="1:23" ht="18" customHeight="1" x14ac:dyDescent="0.45">
      <c r="A191" s="45"/>
      <c r="B191" s="46"/>
      <c r="C191" s="47"/>
      <c r="D191" s="48"/>
      <c r="E191" s="49"/>
      <c r="F191" s="49"/>
      <c r="G191" s="49"/>
      <c r="H191" s="49"/>
      <c r="I191" s="45"/>
      <c r="J191" s="49"/>
      <c r="K191" s="49"/>
      <c r="L191" s="49"/>
      <c r="M191" s="49"/>
      <c r="N191" s="49"/>
      <c r="O191" s="49"/>
      <c r="P191" s="48"/>
      <c r="Q191" s="50"/>
      <c r="R191" s="49"/>
      <c r="S191" s="50"/>
      <c r="T191" s="50"/>
      <c r="U191" s="51"/>
      <c r="V191" s="49"/>
      <c r="W191" s="49"/>
    </row>
    <row r="192" spans="1:23" ht="18" customHeight="1" x14ac:dyDescent="0.45">
      <c r="A192" s="45"/>
      <c r="B192" s="46"/>
      <c r="C192" s="47"/>
      <c r="D192" s="48"/>
      <c r="E192" s="49"/>
      <c r="F192" s="49"/>
      <c r="G192" s="49"/>
      <c r="H192" s="49"/>
      <c r="I192" s="45"/>
      <c r="J192" s="49"/>
      <c r="K192" s="49"/>
      <c r="L192" s="49"/>
      <c r="M192" s="49"/>
      <c r="N192" s="49"/>
      <c r="O192" s="49"/>
      <c r="P192" s="48"/>
      <c r="Q192" s="50"/>
      <c r="R192" s="49"/>
      <c r="S192" s="50"/>
      <c r="T192" s="50"/>
      <c r="U192" s="51"/>
      <c r="V192" s="49"/>
      <c r="W192" s="49"/>
    </row>
    <row r="193" spans="1:23" ht="18" customHeight="1" x14ac:dyDescent="0.45">
      <c r="A193" s="45"/>
      <c r="B193" s="46"/>
      <c r="C193" s="47"/>
      <c r="D193" s="48"/>
      <c r="E193" s="49"/>
      <c r="F193" s="49"/>
      <c r="G193" s="49"/>
      <c r="H193" s="49"/>
      <c r="I193" s="45"/>
      <c r="J193" s="49"/>
      <c r="K193" s="49"/>
      <c r="L193" s="49"/>
      <c r="M193" s="49"/>
      <c r="N193" s="49"/>
      <c r="O193" s="49"/>
      <c r="P193" s="48"/>
      <c r="Q193" s="50"/>
      <c r="R193" s="49"/>
      <c r="S193" s="50"/>
      <c r="T193" s="50"/>
      <c r="U193" s="51"/>
      <c r="V193" s="49"/>
      <c r="W193" s="49"/>
    </row>
    <row r="194" spans="1:23" ht="18" customHeight="1" x14ac:dyDescent="0.45">
      <c r="A194" s="45"/>
      <c r="B194" s="46"/>
      <c r="C194" s="47"/>
      <c r="D194" s="48"/>
      <c r="E194" s="49"/>
      <c r="F194" s="49"/>
      <c r="G194" s="49"/>
      <c r="H194" s="49"/>
      <c r="I194" s="45"/>
      <c r="J194" s="49"/>
      <c r="K194" s="49"/>
      <c r="L194" s="49"/>
      <c r="M194" s="49"/>
      <c r="N194" s="49"/>
      <c r="O194" s="49"/>
      <c r="P194" s="48"/>
      <c r="Q194" s="50"/>
      <c r="R194" s="49"/>
      <c r="S194" s="50"/>
      <c r="T194" s="50"/>
      <c r="U194" s="51"/>
      <c r="V194" s="49"/>
      <c r="W194" s="49"/>
    </row>
    <row r="195" spans="1:23" ht="18" customHeight="1" x14ac:dyDescent="0.45">
      <c r="A195" s="45"/>
      <c r="B195" s="46"/>
      <c r="C195" s="47"/>
      <c r="D195" s="48"/>
      <c r="E195" s="49"/>
      <c r="F195" s="49"/>
      <c r="G195" s="49"/>
      <c r="H195" s="49"/>
      <c r="I195" s="45"/>
      <c r="J195" s="49"/>
      <c r="K195" s="49"/>
      <c r="L195" s="49"/>
      <c r="M195" s="49"/>
      <c r="N195" s="49"/>
      <c r="O195" s="49"/>
      <c r="P195" s="48"/>
      <c r="Q195" s="50"/>
      <c r="R195" s="49"/>
      <c r="S195" s="50"/>
      <c r="T195" s="50"/>
      <c r="U195" s="51"/>
      <c r="V195" s="49"/>
      <c r="W195" s="49"/>
    </row>
    <row r="196" spans="1:23" ht="18" customHeight="1" x14ac:dyDescent="0.45">
      <c r="A196" s="45"/>
      <c r="B196" s="46"/>
      <c r="C196" s="47"/>
      <c r="D196" s="48"/>
      <c r="E196" s="49"/>
      <c r="F196" s="49"/>
      <c r="G196" s="49"/>
      <c r="H196" s="49"/>
      <c r="I196" s="45"/>
      <c r="J196" s="49"/>
      <c r="K196" s="49"/>
      <c r="L196" s="49"/>
      <c r="M196" s="49"/>
      <c r="N196" s="49"/>
      <c r="O196" s="49"/>
      <c r="P196" s="48"/>
      <c r="Q196" s="50"/>
      <c r="R196" s="49"/>
      <c r="S196" s="50"/>
      <c r="T196" s="50"/>
      <c r="U196" s="51"/>
      <c r="V196" s="49"/>
      <c r="W196" s="49"/>
    </row>
    <row r="197" spans="1:23" ht="18" customHeight="1" x14ac:dyDescent="0.45">
      <c r="A197" s="45"/>
      <c r="B197" s="46"/>
      <c r="C197" s="47"/>
      <c r="D197" s="48"/>
      <c r="E197" s="49"/>
      <c r="F197" s="49"/>
      <c r="G197" s="49"/>
      <c r="H197" s="49"/>
      <c r="I197" s="45"/>
      <c r="J197" s="49"/>
      <c r="K197" s="49"/>
      <c r="L197" s="49"/>
      <c r="M197" s="49"/>
      <c r="N197" s="49"/>
      <c r="O197" s="49"/>
      <c r="P197" s="48"/>
      <c r="Q197" s="50"/>
      <c r="R197" s="49"/>
      <c r="S197" s="50"/>
      <c r="T197" s="50"/>
      <c r="U197" s="51"/>
      <c r="V197" s="49"/>
      <c r="W197" s="49"/>
    </row>
    <row r="198" spans="1:23" ht="18" customHeight="1" x14ac:dyDescent="0.45">
      <c r="A198" s="45"/>
      <c r="B198" s="46"/>
      <c r="C198" s="47"/>
      <c r="D198" s="48"/>
      <c r="E198" s="49"/>
      <c r="F198" s="49"/>
      <c r="G198" s="49"/>
      <c r="H198" s="49"/>
      <c r="I198" s="45"/>
      <c r="J198" s="49"/>
      <c r="K198" s="49"/>
      <c r="L198" s="49"/>
      <c r="M198" s="49"/>
      <c r="N198" s="49"/>
      <c r="O198" s="49"/>
      <c r="P198" s="48"/>
      <c r="Q198" s="50"/>
      <c r="R198" s="49"/>
      <c r="S198" s="50"/>
      <c r="T198" s="50"/>
      <c r="U198" s="51"/>
      <c r="V198" s="49"/>
      <c r="W198" s="49"/>
    </row>
    <row r="199" spans="1:23" ht="18" customHeight="1" x14ac:dyDescent="0.45">
      <c r="A199" s="45"/>
      <c r="B199" s="46"/>
      <c r="C199" s="47"/>
      <c r="D199" s="48"/>
      <c r="E199" s="49"/>
      <c r="F199" s="49"/>
      <c r="G199" s="49"/>
      <c r="H199" s="49"/>
      <c r="I199" s="45"/>
      <c r="J199" s="49"/>
      <c r="K199" s="49"/>
      <c r="L199" s="49"/>
      <c r="M199" s="49"/>
      <c r="N199" s="49"/>
      <c r="O199" s="49"/>
      <c r="P199" s="48"/>
      <c r="Q199" s="50"/>
      <c r="R199" s="49"/>
      <c r="S199" s="50"/>
      <c r="T199" s="50"/>
      <c r="U199" s="51"/>
      <c r="V199" s="49"/>
      <c r="W199" s="49"/>
    </row>
    <row r="200" spans="1:23" ht="18" customHeight="1" x14ac:dyDescent="0.45">
      <c r="A200" s="45"/>
      <c r="B200" s="46"/>
      <c r="C200" s="47"/>
      <c r="D200" s="48"/>
      <c r="E200" s="49"/>
      <c r="F200" s="49"/>
      <c r="G200" s="49"/>
      <c r="H200" s="49"/>
      <c r="I200" s="45"/>
      <c r="J200" s="49"/>
      <c r="K200" s="49"/>
      <c r="L200" s="49"/>
      <c r="M200" s="49"/>
      <c r="N200" s="49"/>
      <c r="O200" s="49"/>
      <c r="P200" s="48"/>
      <c r="Q200" s="50"/>
      <c r="R200" s="49"/>
      <c r="S200" s="50"/>
      <c r="T200" s="50"/>
      <c r="U200" s="51"/>
      <c r="V200" s="49"/>
      <c r="W200" s="49"/>
    </row>
    <row r="201" spans="1:23" ht="18" customHeight="1" x14ac:dyDescent="0.45">
      <c r="A201" s="45"/>
      <c r="B201" s="46"/>
      <c r="C201" s="47"/>
      <c r="D201" s="48"/>
      <c r="E201" s="49"/>
      <c r="F201" s="49"/>
      <c r="G201" s="49"/>
      <c r="H201" s="49"/>
      <c r="I201" s="45"/>
      <c r="J201" s="49"/>
      <c r="K201" s="49"/>
      <c r="L201" s="49"/>
      <c r="M201" s="49"/>
      <c r="N201" s="49"/>
      <c r="O201" s="49"/>
      <c r="P201" s="48"/>
      <c r="Q201" s="50"/>
      <c r="R201" s="49"/>
      <c r="S201" s="50"/>
      <c r="T201" s="50"/>
      <c r="U201" s="51"/>
      <c r="V201" s="49"/>
      <c r="W201" s="49"/>
    </row>
    <row r="202" spans="1:23" ht="18" customHeight="1" x14ac:dyDescent="0.45">
      <c r="A202" s="45"/>
      <c r="B202" s="46"/>
      <c r="C202" s="47"/>
      <c r="D202" s="48"/>
      <c r="E202" s="49"/>
      <c r="F202" s="49"/>
      <c r="G202" s="49"/>
      <c r="H202" s="49"/>
      <c r="I202" s="45"/>
      <c r="J202" s="49"/>
      <c r="K202" s="49"/>
      <c r="L202" s="49"/>
      <c r="M202" s="49"/>
      <c r="N202" s="49"/>
      <c r="O202" s="49"/>
      <c r="P202" s="48"/>
      <c r="Q202" s="50"/>
      <c r="R202" s="49"/>
      <c r="S202" s="50"/>
      <c r="T202" s="50"/>
      <c r="U202" s="51"/>
      <c r="V202" s="49"/>
      <c r="W202" s="49"/>
    </row>
    <row r="203" spans="1:23" ht="18" customHeight="1" x14ac:dyDescent="0.45">
      <c r="A203" s="45"/>
      <c r="B203" s="46"/>
      <c r="C203" s="47"/>
      <c r="D203" s="48"/>
      <c r="E203" s="49"/>
      <c r="F203" s="49"/>
      <c r="G203" s="49"/>
      <c r="H203" s="49"/>
      <c r="I203" s="45"/>
      <c r="J203" s="49"/>
      <c r="K203" s="49"/>
      <c r="L203" s="49"/>
      <c r="M203" s="49"/>
      <c r="N203" s="49"/>
      <c r="O203" s="49"/>
      <c r="P203" s="48"/>
      <c r="Q203" s="50"/>
      <c r="R203" s="49"/>
      <c r="S203" s="50"/>
      <c r="T203" s="50"/>
      <c r="U203" s="51"/>
      <c r="V203" s="49"/>
      <c r="W203" s="49"/>
    </row>
    <row r="204" spans="1:23" ht="18" customHeight="1" x14ac:dyDescent="0.45">
      <c r="A204" s="45"/>
      <c r="B204" s="46"/>
      <c r="C204" s="47"/>
      <c r="D204" s="48"/>
      <c r="E204" s="49"/>
      <c r="F204" s="49"/>
      <c r="G204" s="49"/>
      <c r="H204" s="49"/>
      <c r="I204" s="45"/>
      <c r="J204" s="49"/>
      <c r="K204" s="49"/>
      <c r="L204" s="49"/>
      <c r="M204" s="49"/>
      <c r="N204" s="49"/>
      <c r="O204" s="49"/>
      <c r="P204" s="48"/>
      <c r="Q204" s="50"/>
      <c r="R204" s="49"/>
      <c r="S204" s="50"/>
      <c r="T204" s="50"/>
      <c r="U204" s="51"/>
      <c r="V204" s="49"/>
      <c r="W204" s="49"/>
    </row>
  </sheetData>
  <autoFilter ref="A3:W3" xr:uid="{00000000-0009-0000-0000-000003000000}"/>
  <mergeCells count="1">
    <mergeCell ref="A1:W1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3"/>
  <sheetViews>
    <sheetView workbookViewId="0">
      <pane ySplit="3" topLeftCell="A4" activePane="bottomLeft" state="frozen"/>
      <selection pane="bottomLeft" sqref="A1:P1"/>
    </sheetView>
  </sheetViews>
  <sheetFormatPr defaultRowHeight="17" x14ac:dyDescent="0.45"/>
  <cols>
    <col min="1" max="3" width="10" customWidth="1"/>
    <col min="4" max="4" width="16" customWidth="1"/>
    <col min="5" max="6" width="12" customWidth="1"/>
    <col min="7" max="8" width="10" customWidth="1"/>
    <col min="9" max="13" width="9" customWidth="1"/>
    <col min="14" max="14" width="10" customWidth="1"/>
    <col min="15" max="15" width="12" customWidth="1"/>
    <col min="16" max="16" width="50" customWidth="1"/>
  </cols>
  <sheetData>
    <row r="1" spans="1:16" ht="26" customHeight="1" x14ac:dyDescent="0.45">
      <c r="A1" s="66" t="s">
        <v>70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x14ac:dyDescent="0.45">
      <c r="A2" s="1" t="s">
        <v>71</v>
      </c>
      <c r="I2" s="1" t="s">
        <v>72</v>
      </c>
    </row>
    <row r="3" spans="1:16" ht="34" customHeight="1" x14ac:dyDescent="0.45">
      <c r="A3" s="11" t="s">
        <v>73</v>
      </c>
      <c r="B3" s="11" t="s">
        <v>74</v>
      </c>
      <c r="C3" s="11" t="s">
        <v>6</v>
      </c>
      <c r="D3" s="11" t="s">
        <v>75</v>
      </c>
      <c r="E3" s="11" t="s">
        <v>76</v>
      </c>
      <c r="F3" s="11" t="s">
        <v>77</v>
      </c>
      <c r="G3" s="11" t="s">
        <v>78</v>
      </c>
      <c r="H3" s="11" t="s">
        <v>79</v>
      </c>
      <c r="I3" s="12" t="s">
        <v>80</v>
      </c>
      <c r="J3" s="12" t="s">
        <v>81</v>
      </c>
      <c r="K3" s="12" t="s">
        <v>82</v>
      </c>
      <c r="L3" s="12" t="s">
        <v>83</v>
      </c>
      <c r="M3" s="12" t="s">
        <v>84</v>
      </c>
      <c r="N3" s="13" t="s">
        <v>85</v>
      </c>
      <c r="O3" s="13" t="s">
        <v>86</v>
      </c>
      <c r="P3" s="13" t="s">
        <v>87</v>
      </c>
    </row>
    <row r="4" spans="1:16" ht="18" customHeight="1" x14ac:dyDescent="0.45">
      <c r="A4" s="3"/>
      <c r="B4" s="4"/>
      <c r="C4" s="5"/>
      <c r="D4" s="6" t="str">
        <f>IFERROR(VLOOKUP(C4,KRX종목마스터!$A:$B,2,FALSE),"")</f>
        <v/>
      </c>
      <c r="E4" s="8" t="str">
        <f>IFERROR(VLOOKUP(C4,KRX종목마스터!$A:$C,3,FALSE),"")</f>
        <v/>
      </c>
      <c r="F4" s="7"/>
      <c r="G4" s="14" t="str">
        <f t="shared" ref="G4:G35" si="0">IF(OR(E4="",F4=""),"",(F4-E4)/E4)</f>
        <v/>
      </c>
      <c r="H4" s="7"/>
      <c r="I4" s="4"/>
      <c r="J4" s="4"/>
      <c r="K4" s="4"/>
      <c r="L4" s="4"/>
      <c r="M4" s="4"/>
      <c r="N4" s="4"/>
      <c r="O4" s="4"/>
      <c r="P4" s="9"/>
    </row>
    <row r="5" spans="1:16" ht="18" customHeight="1" x14ac:dyDescent="0.45">
      <c r="A5" s="3"/>
      <c r="B5" s="4"/>
      <c r="C5" s="5"/>
      <c r="D5" s="6" t="str">
        <f>IFERROR(VLOOKUP(C5,KRX종목마스터!$A:$B,2,FALSE),"")</f>
        <v/>
      </c>
      <c r="E5" s="8" t="str">
        <f>IFERROR(VLOOKUP(C5,KRX종목마스터!$A:$C,3,FALSE),"")</f>
        <v/>
      </c>
      <c r="F5" s="7"/>
      <c r="G5" s="14" t="str">
        <f t="shared" si="0"/>
        <v/>
      </c>
      <c r="H5" s="7"/>
      <c r="I5" s="4"/>
      <c r="J5" s="4"/>
      <c r="K5" s="4"/>
      <c r="L5" s="4"/>
      <c r="M5" s="4"/>
      <c r="N5" s="4"/>
      <c r="O5" s="4"/>
      <c r="P5" s="9"/>
    </row>
    <row r="6" spans="1:16" ht="18" customHeight="1" x14ac:dyDescent="0.45">
      <c r="A6" s="3"/>
      <c r="B6" s="4"/>
      <c r="C6" s="5"/>
      <c r="D6" s="6" t="str">
        <f>IFERROR(VLOOKUP(C6,KRX종목마스터!$A:$B,2,FALSE),"")</f>
        <v/>
      </c>
      <c r="E6" s="8" t="str">
        <f>IFERROR(VLOOKUP(C6,KRX종목마스터!$A:$C,3,FALSE),"")</f>
        <v/>
      </c>
      <c r="F6" s="7"/>
      <c r="G6" s="14" t="str">
        <f t="shared" si="0"/>
        <v/>
      </c>
      <c r="H6" s="7"/>
      <c r="I6" s="4"/>
      <c r="J6" s="4"/>
      <c r="K6" s="4"/>
      <c r="L6" s="4"/>
      <c r="M6" s="4"/>
      <c r="N6" s="4"/>
      <c r="O6" s="4"/>
      <c r="P6" s="9"/>
    </row>
    <row r="7" spans="1:16" ht="18" customHeight="1" x14ac:dyDescent="0.45">
      <c r="A7" s="3"/>
      <c r="B7" s="4"/>
      <c r="C7" s="5"/>
      <c r="D7" s="6" t="str">
        <f>IFERROR(VLOOKUP(C7,KRX종목마스터!$A:$B,2,FALSE),"")</f>
        <v/>
      </c>
      <c r="E7" s="8" t="str">
        <f>IFERROR(VLOOKUP(C7,KRX종목마스터!$A:$C,3,FALSE),"")</f>
        <v/>
      </c>
      <c r="F7" s="7"/>
      <c r="G7" s="14" t="str">
        <f t="shared" si="0"/>
        <v/>
      </c>
      <c r="H7" s="7"/>
      <c r="I7" s="4"/>
      <c r="J7" s="4"/>
      <c r="K7" s="4"/>
      <c r="L7" s="4"/>
      <c r="M7" s="4"/>
      <c r="N7" s="4"/>
      <c r="O7" s="4"/>
      <c r="P7" s="9"/>
    </row>
    <row r="8" spans="1:16" ht="18" customHeight="1" x14ac:dyDescent="0.45">
      <c r="A8" s="3"/>
      <c r="B8" s="4"/>
      <c r="C8" s="5"/>
      <c r="D8" s="6" t="str">
        <f>IFERROR(VLOOKUP(C8,KRX종목마스터!$A:$B,2,FALSE),"")</f>
        <v/>
      </c>
      <c r="E8" s="8" t="str">
        <f>IFERROR(VLOOKUP(C8,KRX종목마스터!$A:$C,3,FALSE),"")</f>
        <v/>
      </c>
      <c r="F8" s="7"/>
      <c r="G8" s="14" t="str">
        <f t="shared" si="0"/>
        <v/>
      </c>
      <c r="H8" s="7"/>
      <c r="I8" s="4"/>
      <c r="J8" s="4"/>
      <c r="K8" s="4"/>
      <c r="L8" s="4"/>
      <c r="M8" s="4"/>
      <c r="N8" s="4"/>
      <c r="O8" s="4"/>
      <c r="P8" s="9"/>
    </row>
    <row r="9" spans="1:16" ht="18" customHeight="1" x14ac:dyDescent="0.45">
      <c r="A9" s="3"/>
      <c r="B9" s="4"/>
      <c r="C9" s="5"/>
      <c r="D9" s="6" t="str">
        <f>IFERROR(VLOOKUP(C9,KRX종목마스터!$A:$B,2,FALSE),"")</f>
        <v/>
      </c>
      <c r="E9" s="8" t="str">
        <f>IFERROR(VLOOKUP(C9,KRX종목마스터!$A:$C,3,FALSE),"")</f>
        <v/>
      </c>
      <c r="F9" s="7"/>
      <c r="G9" s="14" t="str">
        <f t="shared" si="0"/>
        <v/>
      </c>
      <c r="H9" s="7"/>
      <c r="I9" s="4"/>
      <c r="J9" s="4"/>
      <c r="K9" s="4"/>
      <c r="L9" s="4"/>
      <c r="M9" s="4"/>
      <c r="N9" s="4"/>
      <c r="O9" s="4"/>
      <c r="P9" s="9"/>
    </row>
    <row r="10" spans="1:16" ht="18" customHeight="1" x14ac:dyDescent="0.45">
      <c r="A10" s="3"/>
      <c r="B10" s="4"/>
      <c r="C10" s="5"/>
      <c r="D10" s="6" t="str">
        <f>IFERROR(VLOOKUP(C10,KRX종목마스터!$A:$B,2,FALSE),"")</f>
        <v/>
      </c>
      <c r="E10" s="8" t="str">
        <f>IFERROR(VLOOKUP(C10,KRX종목마스터!$A:$C,3,FALSE),"")</f>
        <v/>
      </c>
      <c r="F10" s="7"/>
      <c r="G10" s="14" t="str">
        <f t="shared" si="0"/>
        <v/>
      </c>
      <c r="H10" s="7"/>
      <c r="I10" s="4"/>
      <c r="J10" s="4"/>
      <c r="K10" s="4"/>
      <c r="L10" s="4"/>
      <c r="M10" s="4"/>
      <c r="N10" s="4"/>
      <c r="O10" s="4"/>
      <c r="P10" s="9"/>
    </row>
    <row r="11" spans="1:16" ht="18" customHeight="1" x14ac:dyDescent="0.45">
      <c r="A11" s="3"/>
      <c r="B11" s="4"/>
      <c r="C11" s="5"/>
      <c r="D11" s="6" t="str">
        <f>IFERROR(VLOOKUP(C11,KRX종목마스터!$A:$B,2,FALSE),"")</f>
        <v/>
      </c>
      <c r="E11" s="8" t="str">
        <f>IFERROR(VLOOKUP(C11,KRX종목마스터!$A:$C,3,FALSE),"")</f>
        <v/>
      </c>
      <c r="F11" s="7"/>
      <c r="G11" s="14" t="str">
        <f t="shared" si="0"/>
        <v/>
      </c>
      <c r="H11" s="7"/>
      <c r="I11" s="4"/>
      <c r="J11" s="4"/>
      <c r="K11" s="4"/>
      <c r="L11" s="4"/>
      <c r="M11" s="4"/>
      <c r="N11" s="4"/>
      <c r="O11" s="4"/>
      <c r="P11" s="9"/>
    </row>
    <row r="12" spans="1:16" ht="18" customHeight="1" x14ac:dyDescent="0.45">
      <c r="A12" s="3"/>
      <c r="B12" s="4"/>
      <c r="C12" s="5"/>
      <c r="D12" s="6" t="str">
        <f>IFERROR(VLOOKUP(C12,KRX종목마스터!$A:$B,2,FALSE),"")</f>
        <v/>
      </c>
      <c r="E12" s="8" t="str">
        <f>IFERROR(VLOOKUP(C12,KRX종목마스터!$A:$C,3,FALSE),"")</f>
        <v/>
      </c>
      <c r="F12" s="7"/>
      <c r="G12" s="14" t="str">
        <f t="shared" si="0"/>
        <v/>
      </c>
      <c r="H12" s="7"/>
      <c r="I12" s="4"/>
      <c r="J12" s="4"/>
      <c r="K12" s="4"/>
      <c r="L12" s="4"/>
      <c r="M12" s="4"/>
      <c r="N12" s="4"/>
      <c r="O12" s="4"/>
      <c r="P12" s="9"/>
    </row>
    <row r="13" spans="1:16" ht="18" customHeight="1" x14ac:dyDescent="0.45">
      <c r="A13" s="3"/>
      <c r="B13" s="4"/>
      <c r="C13" s="5"/>
      <c r="D13" s="6" t="str">
        <f>IFERROR(VLOOKUP(C13,KRX종목마스터!$A:$B,2,FALSE),"")</f>
        <v/>
      </c>
      <c r="E13" s="8" t="str">
        <f>IFERROR(VLOOKUP(C13,KRX종목마스터!$A:$C,3,FALSE),"")</f>
        <v/>
      </c>
      <c r="F13" s="7"/>
      <c r="G13" s="14" t="str">
        <f t="shared" si="0"/>
        <v/>
      </c>
      <c r="H13" s="7"/>
      <c r="I13" s="4"/>
      <c r="J13" s="4"/>
      <c r="K13" s="4"/>
      <c r="L13" s="4"/>
      <c r="M13" s="4"/>
      <c r="N13" s="4"/>
      <c r="O13" s="4"/>
      <c r="P13" s="9"/>
    </row>
    <row r="14" spans="1:16" ht="18" customHeight="1" x14ac:dyDescent="0.45">
      <c r="A14" s="3"/>
      <c r="B14" s="4"/>
      <c r="C14" s="5"/>
      <c r="D14" s="6" t="str">
        <f>IFERROR(VLOOKUP(C14,KRX종목마스터!$A:$B,2,FALSE),"")</f>
        <v/>
      </c>
      <c r="E14" s="8" t="str">
        <f>IFERROR(VLOOKUP(C14,KRX종목마스터!$A:$C,3,FALSE),"")</f>
        <v/>
      </c>
      <c r="F14" s="7"/>
      <c r="G14" s="14" t="str">
        <f t="shared" si="0"/>
        <v/>
      </c>
      <c r="H14" s="7"/>
      <c r="I14" s="4"/>
      <c r="J14" s="4"/>
      <c r="K14" s="4"/>
      <c r="L14" s="4"/>
      <c r="M14" s="4"/>
      <c r="N14" s="4"/>
      <c r="O14" s="4"/>
      <c r="P14" s="9"/>
    </row>
    <row r="15" spans="1:16" ht="18" customHeight="1" x14ac:dyDescent="0.45">
      <c r="A15" s="3"/>
      <c r="B15" s="4"/>
      <c r="C15" s="5"/>
      <c r="D15" s="6" t="str">
        <f>IFERROR(VLOOKUP(C15,KRX종목마스터!$A:$B,2,FALSE),"")</f>
        <v/>
      </c>
      <c r="E15" s="8" t="str">
        <f>IFERROR(VLOOKUP(C15,KRX종목마스터!$A:$C,3,FALSE),"")</f>
        <v/>
      </c>
      <c r="F15" s="7"/>
      <c r="G15" s="14" t="str">
        <f t="shared" si="0"/>
        <v/>
      </c>
      <c r="H15" s="7"/>
      <c r="I15" s="4"/>
      <c r="J15" s="4"/>
      <c r="K15" s="4"/>
      <c r="L15" s="4"/>
      <c r="M15" s="4"/>
      <c r="N15" s="4"/>
      <c r="O15" s="4"/>
      <c r="P15" s="9"/>
    </row>
    <row r="16" spans="1:16" ht="18" customHeight="1" x14ac:dyDescent="0.45">
      <c r="A16" s="3"/>
      <c r="B16" s="4"/>
      <c r="C16" s="5"/>
      <c r="D16" s="6" t="str">
        <f>IFERROR(VLOOKUP(C16,KRX종목마스터!$A:$B,2,FALSE),"")</f>
        <v/>
      </c>
      <c r="E16" s="8" t="str">
        <f>IFERROR(VLOOKUP(C16,KRX종목마스터!$A:$C,3,FALSE),"")</f>
        <v/>
      </c>
      <c r="F16" s="7"/>
      <c r="G16" s="14" t="str">
        <f t="shared" si="0"/>
        <v/>
      </c>
      <c r="H16" s="7"/>
      <c r="I16" s="4"/>
      <c r="J16" s="4"/>
      <c r="K16" s="4"/>
      <c r="L16" s="4"/>
      <c r="M16" s="4"/>
      <c r="N16" s="4"/>
      <c r="O16" s="4"/>
      <c r="P16" s="9"/>
    </row>
    <row r="17" spans="1:16" ht="18" customHeight="1" x14ac:dyDescent="0.45">
      <c r="A17" s="3"/>
      <c r="B17" s="4"/>
      <c r="C17" s="5"/>
      <c r="D17" s="6" t="str">
        <f>IFERROR(VLOOKUP(C17,KRX종목마스터!$A:$B,2,FALSE),"")</f>
        <v/>
      </c>
      <c r="E17" s="8" t="str">
        <f>IFERROR(VLOOKUP(C17,KRX종목마스터!$A:$C,3,FALSE),"")</f>
        <v/>
      </c>
      <c r="F17" s="7"/>
      <c r="G17" s="14" t="str">
        <f t="shared" si="0"/>
        <v/>
      </c>
      <c r="H17" s="7"/>
      <c r="I17" s="4"/>
      <c r="J17" s="4"/>
      <c r="K17" s="4"/>
      <c r="L17" s="4"/>
      <c r="M17" s="4"/>
      <c r="N17" s="4"/>
      <c r="O17" s="4"/>
      <c r="P17" s="9"/>
    </row>
    <row r="18" spans="1:16" ht="18" customHeight="1" x14ac:dyDescent="0.45">
      <c r="A18" s="3"/>
      <c r="B18" s="4"/>
      <c r="C18" s="5"/>
      <c r="D18" s="6" t="str">
        <f>IFERROR(VLOOKUP(C18,KRX종목마스터!$A:$B,2,FALSE),"")</f>
        <v/>
      </c>
      <c r="E18" s="8" t="str">
        <f>IFERROR(VLOOKUP(C18,KRX종목마스터!$A:$C,3,FALSE),"")</f>
        <v/>
      </c>
      <c r="F18" s="7"/>
      <c r="G18" s="14" t="str">
        <f t="shared" si="0"/>
        <v/>
      </c>
      <c r="H18" s="7"/>
      <c r="I18" s="4"/>
      <c r="J18" s="4"/>
      <c r="K18" s="4"/>
      <c r="L18" s="4"/>
      <c r="M18" s="4"/>
      <c r="N18" s="4"/>
      <c r="O18" s="4"/>
      <c r="P18" s="9"/>
    </row>
    <row r="19" spans="1:16" ht="18" customHeight="1" x14ac:dyDescent="0.45">
      <c r="A19" s="3"/>
      <c r="B19" s="4"/>
      <c r="C19" s="5"/>
      <c r="D19" s="6" t="str">
        <f>IFERROR(VLOOKUP(C19,KRX종목마스터!$A:$B,2,FALSE),"")</f>
        <v/>
      </c>
      <c r="E19" s="8" t="str">
        <f>IFERROR(VLOOKUP(C19,KRX종목마스터!$A:$C,3,FALSE),"")</f>
        <v/>
      </c>
      <c r="F19" s="7"/>
      <c r="G19" s="14" t="str">
        <f t="shared" si="0"/>
        <v/>
      </c>
      <c r="H19" s="7"/>
      <c r="I19" s="4"/>
      <c r="J19" s="4"/>
      <c r="K19" s="4"/>
      <c r="L19" s="4"/>
      <c r="M19" s="4"/>
      <c r="N19" s="4"/>
      <c r="O19" s="4"/>
      <c r="P19" s="9"/>
    </row>
    <row r="20" spans="1:16" ht="18" customHeight="1" x14ac:dyDescent="0.45">
      <c r="A20" s="3"/>
      <c r="B20" s="4"/>
      <c r="C20" s="5"/>
      <c r="D20" s="6" t="str">
        <f>IFERROR(VLOOKUP(C20,KRX종목마스터!$A:$B,2,FALSE),"")</f>
        <v/>
      </c>
      <c r="E20" s="8" t="str">
        <f>IFERROR(VLOOKUP(C20,KRX종목마스터!$A:$C,3,FALSE),"")</f>
        <v/>
      </c>
      <c r="F20" s="7"/>
      <c r="G20" s="14" t="str">
        <f t="shared" si="0"/>
        <v/>
      </c>
      <c r="H20" s="7"/>
      <c r="I20" s="4"/>
      <c r="J20" s="4"/>
      <c r="K20" s="4"/>
      <c r="L20" s="4"/>
      <c r="M20" s="4"/>
      <c r="N20" s="4"/>
      <c r="O20" s="4"/>
      <c r="P20" s="9"/>
    </row>
    <row r="21" spans="1:16" ht="18" customHeight="1" x14ac:dyDescent="0.45">
      <c r="A21" s="3"/>
      <c r="B21" s="4"/>
      <c r="C21" s="5"/>
      <c r="D21" s="6" t="str">
        <f>IFERROR(VLOOKUP(C21,KRX종목마스터!$A:$B,2,FALSE),"")</f>
        <v/>
      </c>
      <c r="E21" s="8" t="str">
        <f>IFERROR(VLOOKUP(C21,KRX종목마스터!$A:$C,3,FALSE),"")</f>
        <v/>
      </c>
      <c r="F21" s="7"/>
      <c r="G21" s="14" t="str">
        <f t="shared" si="0"/>
        <v/>
      </c>
      <c r="H21" s="7"/>
      <c r="I21" s="4"/>
      <c r="J21" s="4"/>
      <c r="K21" s="4"/>
      <c r="L21" s="4"/>
      <c r="M21" s="4"/>
      <c r="N21" s="4"/>
      <c r="O21" s="4"/>
      <c r="P21" s="9"/>
    </row>
    <row r="22" spans="1:16" ht="18" customHeight="1" x14ac:dyDescent="0.45">
      <c r="A22" s="3"/>
      <c r="B22" s="4"/>
      <c r="C22" s="5"/>
      <c r="D22" s="6" t="str">
        <f>IFERROR(VLOOKUP(C22,KRX종목마스터!$A:$B,2,FALSE),"")</f>
        <v/>
      </c>
      <c r="E22" s="8" t="str">
        <f>IFERROR(VLOOKUP(C22,KRX종목마스터!$A:$C,3,FALSE),"")</f>
        <v/>
      </c>
      <c r="F22" s="7"/>
      <c r="G22" s="14" t="str">
        <f t="shared" si="0"/>
        <v/>
      </c>
      <c r="H22" s="7"/>
      <c r="I22" s="4"/>
      <c r="J22" s="4"/>
      <c r="K22" s="4"/>
      <c r="L22" s="4"/>
      <c r="M22" s="4"/>
      <c r="N22" s="4"/>
      <c r="O22" s="4"/>
      <c r="P22" s="9"/>
    </row>
    <row r="23" spans="1:16" ht="18" customHeight="1" x14ac:dyDescent="0.45">
      <c r="A23" s="3"/>
      <c r="B23" s="4"/>
      <c r="C23" s="5"/>
      <c r="D23" s="6" t="str">
        <f>IFERROR(VLOOKUP(C23,KRX종목마스터!$A:$B,2,FALSE),"")</f>
        <v/>
      </c>
      <c r="E23" s="8" t="str">
        <f>IFERROR(VLOOKUP(C23,KRX종목마스터!$A:$C,3,FALSE),"")</f>
        <v/>
      </c>
      <c r="F23" s="7"/>
      <c r="G23" s="14" t="str">
        <f t="shared" si="0"/>
        <v/>
      </c>
      <c r="H23" s="7"/>
      <c r="I23" s="4"/>
      <c r="J23" s="4"/>
      <c r="K23" s="4"/>
      <c r="L23" s="4"/>
      <c r="M23" s="4"/>
      <c r="N23" s="4"/>
      <c r="O23" s="4"/>
      <c r="P23" s="9"/>
    </row>
    <row r="24" spans="1:16" ht="18" customHeight="1" x14ac:dyDescent="0.45">
      <c r="A24" s="3"/>
      <c r="B24" s="4"/>
      <c r="C24" s="5"/>
      <c r="D24" s="6" t="str">
        <f>IFERROR(VLOOKUP(C24,KRX종목마스터!$A:$B,2,FALSE),"")</f>
        <v/>
      </c>
      <c r="E24" s="8" t="str">
        <f>IFERROR(VLOOKUP(C24,KRX종목마스터!$A:$C,3,FALSE),"")</f>
        <v/>
      </c>
      <c r="F24" s="7"/>
      <c r="G24" s="14" t="str">
        <f t="shared" si="0"/>
        <v/>
      </c>
      <c r="H24" s="7"/>
      <c r="I24" s="4"/>
      <c r="J24" s="4"/>
      <c r="K24" s="4"/>
      <c r="L24" s="4"/>
      <c r="M24" s="4"/>
      <c r="N24" s="4"/>
      <c r="O24" s="4"/>
      <c r="P24" s="9"/>
    </row>
    <row r="25" spans="1:16" ht="18" customHeight="1" x14ac:dyDescent="0.45">
      <c r="A25" s="3"/>
      <c r="B25" s="4"/>
      <c r="C25" s="5"/>
      <c r="D25" s="6" t="str">
        <f>IFERROR(VLOOKUP(C25,KRX종목마스터!$A:$B,2,FALSE),"")</f>
        <v/>
      </c>
      <c r="E25" s="8" t="str">
        <f>IFERROR(VLOOKUP(C25,KRX종목마스터!$A:$C,3,FALSE),"")</f>
        <v/>
      </c>
      <c r="F25" s="7"/>
      <c r="G25" s="14" t="str">
        <f t="shared" si="0"/>
        <v/>
      </c>
      <c r="H25" s="7"/>
      <c r="I25" s="4"/>
      <c r="J25" s="4"/>
      <c r="K25" s="4"/>
      <c r="L25" s="4"/>
      <c r="M25" s="4"/>
      <c r="N25" s="4"/>
      <c r="O25" s="4"/>
      <c r="P25" s="9"/>
    </row>
    <row r="26" spans="1:16" ht="18" customHeight="1" x14ac:dyDescent="0.45">
      <c r="A26" s="3"/>
      <c r="B26" s="4"/>
      <c r="C26" s="5"/>
      <c r="D26" s="6" t="str">
        <f>IFERROR(VLOOKUP(C26,KRX종목마스터!$A:$B,2,FALSE),"")</f>
        <v/>
      </c>
      <c r="E26" s="8" t="str">
        <f>IFERROR(VLOOKUP(C26,KRX종목마스터!$A:$C,3,FALSE),"")</f>
        <v/>
      </c>
      <c r="F26" s="7"/>
      <c r="G26" s="14" t="str">
        <f t="shared" si="0"/>
        <v/>
      </c>
      <c r="H26" s="7"/>
      <c r="I26" s="4"/>
      <c r="J26" s="4"/>
      <c r="K26" s="4"/>
      <c r="L26" s="4"/>
      <c r="M26" s="4"/>
      <c r="N26" s="4"/>
      <c r="O26" s="4"/>
      <c r="P26" s="9"/>
    </row>
    <row r="27" spans="1:16" ht="18" customHeight="1" x14ac:dyDescent="0.45">
      <c r="A27" s="3"/>
      <c r="B27" s="4"/>
      <c r="C27" s="5"/>
      <c r="D27" s="6" t="str">
        <f>IFERROR(VLOOKUP(C27,KRX종목마스터!$A:$B,2,FALSE),"")</f>
        <v/>
      </c>
      <c r="E27" s="8" t="str">
        <f>IFERROR(VLOOKUP(C27,KRX종목마스터!$A:$C,3,FALSE),"")</f>
        <v/>
      </c>
      <c r="F27" s="7"/>
      <c r="G27" s="14" t="str">
        <f t="shared" si="0"/>
        <v/>
      </c>
      <c r="H27" s="7"/>
      <c r="I27" s="4"/>
      <c r="J27" s="4"/>
      <c r="K27" s="4"/>
      <c r="L27" s="4"/>
      <c r="M27" s="4"/>
      <c r="N27" s="4"/>
      <c r="O27" s="4"/>
      <c r="P27" s="9"/>
    </row>
    <row r="28" spans="1:16" ht="18" customHeight="1" x14ac:dyDescent="0.45">
      <c r="A28" s="3"/>
      <c r="B28" s="4"/>
      <c r="C28" s="5"/>
      <c r="D28" s="6" t="str">
        <f>IFERROR(VLOOKUP(C28,KRX종목마스터!$A:$B,2,FALSE),"")</f>
        <v/>
      </c>
      <c r="E28" s="8" t="str">
        <f>IFERROR(VLOOKUP(C28,KRX종목마스터!$A:$C,3,FALSE),"")</f>
        <v/>
      </c>
      <c r="F28" s="7"/>
      <c r="G28" s="14" t="str">
        <f t="shared" si="0"/>
        <v/>
      </c>
      <c r="H28" s="7"/>
      <c r="I28" s="4"/>
      <c r="J28" s="4"/>
      <c r="K28" s="4"/>
      <c r="L28" s="4"/>
      <c r="M28" s="4"/>
      <c r="N28" s="4"/>
      <c r="O28" s="4"/>
      <c r="P28" s="9"/>
    </row>
    <row r="29" spans="1:16" ht="18" customHeight="1" x14ac:dyDescent="0.45">
      <c r="A29" s="3"/>
      <c r="B29" s="4"/>
      <c r="C29" s="5"/>
      <c r="D29" s="6" t="str">
        <f>IFERROR(VLOOKUP(C29,KRX종목마스터!$A:$B,2,FALSE),"")</f>
        <v/>
      </c>
      <c r="E29" s="8" t="str">
        <f>IFERROR(VLOOKUP(C29,KRX종목마스터!$A:$C,3,FALSE),"")</f>
        <v/>
      </c>
      <c r="F29" s="7"/>
      <c r="G29" s="14" t="str">
        <f t="shared" si="0"/>
        <v/>
      </c>
      <c r="H29" s="7"/>
      <c r="I29" s="4"/>
      <c r="J29" s="4"/>
      <c r="K29" s="4"/>
      <c r="L29" s="4"/>
      <c r="M29" s="4"/>
      <c r="N29" s="4"/>
      <c r="O29" s="4"/>
      <c r="P29" s="9"/>
    </row>
    <row r="30" spans="1:16" ht="18" customHeight="1" x14ac:dyDescent="0.45">
      <c r="A30" s="3"/>
      <c r="B30" s="4"/>
      <c r="C30" s="5"/>
      <c r="D30" s="6" t="str">
        <f>IFERROR(VLOOKUP(C30,KRX종목마스터!$A:$B,2,FALSE),"")</f>
        <v/>
      </c>
      <c r="E30" s="8" t="str">
        <f>IFERROR(VLOOKUP(C30,KRX종목마스터!$A:$C,3,FALSE),"")</f>
        <v/>
      </c>
      <c r="F30" s="7"/>
      <c r="G30" s="14" t="str">
        <f t="shared" si="0"/>
        <v/>
      </c>
      <c r="H30" s="7"/>
      <c r="I30" s="4"/>
      <c r="J30" s="4"/>
      <c r="K30" s="4"/>
      <c r="L30" s="4"/>
      <c r="M30" s="4"/>
      <c r="N30" s="4"/>
      <c r="O30" s="4"/>
      <c r="P30" s="9"/>
    </row>
    <row r="31" spans="1:16" ht="18" customHeight="1" x14ac:dyDescent="0.45">
      <c r="A31" s="3"/>
      <c r="B31" s="4"/>
      <c r="C31" s="5"/>
      <c r="D31" s="6" t="str">
        <f>IFERROR(VLOOKUP(C31,KRX종목마스터!$A:$B,2,FALSE),"")</f>
        <v/>
      </c>
      <c r="E31" s="8" t="str">
        <f>IFERROR(VLOOKUP(C31,KRX종목마스터!$A:$C,3,FALSE),"")</f>
        <v/>
      </c>
      <c r="F31" s="7"/>
      <c r="G31" s="14" t="str">
        <f t="shared" si="0"/>
        <v/>
      </c>
      <c r="H31" s="7"/>
      <c r="I31" s="4"/>
      <c r="J31" s="4"/>
      <c r="K31" s="4"/>
      <c r="L31" s="4"/>
      <c r="M31" s="4"/>
      <c r="N31" s="4"/>
      <c r="O31" s="4"/>
      <c r="P31" s="9"/>
    </row>
    <row r="32" spans="1:16" ht="18" customHeight="1" x14ac:dyDescent="0.45">
      <c r="A32" s="3"/>
      <c r="B32" s="4"/>
      <c r="C32" s="5"/>
      <c r="D32" s="6" t="str">
        <f>IFERROR(VLOOKUP(C32,KRX종목마스터!$A:$B,2,FALSE),"")</f>
        <v/>
      </c>
      <c r="E32" s="8" t="str">
        <f>IFERROR(VLOOKUP(C32,KRX종목마스터!$A:$C,3,FALSE),"")</f>
        <v/>
      </c>
      <c r="F32" s="7"/>
      <c r="G32" s="14" t="str">
        <f t="shared" si="0"/>
        <v/>
      </c>
      <c r="H32" s="7"/>
      <c r="I32" s="4"/>
      <c r="J32" s="4"/>
      <c r="K32" s="4"/>
      <c r="L32" s="4"/>
      <c r="M32" s="4"/>
      <c r="N32" s="4"/>
      <c r="O32" s="4"/>
      <c r="P32" s="9"/>
    </row>
    <row r="33" spans="1:16" ht="18" customHeight="1" x14ac:dyDescent="0.45">
      <c r="A33" s="3"/>
      <c r="B33" s="4"/>
      <c r="C33" s="5"/>
      <c r="D33" s="6" t="str">
        <f>IFERROR(VLOOKUP(C33,KRX종목마스터!$A:$B,2,FALSE),"")</f>
        <v/>
      </c>
      <c r="E33" s="8" t="str">
        <f>IFERROR(VLOOKUP(C33,KRX종목마스터!$A:$C,3,FALSE),"")</f>
        <v/>
      </c>
      <c r="F33" s="7"/>
      <c r="G33" s="14" t="str">
        <f t="shared" si="0"/>
        <v/>
      </c>
      <c r="H33" s="7"/>
      <c r="I33" s="4"/>
      <c r="J33" s="4"/>
      <c r="K33" s="4"/>
      <c r="L33" s="4"/>
      <c r="M33" s="4"/>
      <c r="N33" s="4"/>
      <c r="O33" s="4"/>
      <c r="P33" s="9"/>
    </row>
    <row r="34" spans="1:16" ht="18" customHeight="1" x14ac:dyDescent="0.45">
      <c r="A34" s="3"/>
      <c r="B34" s="4"/>
      <c r="C34" s="5"/>
      <c r="D34" s="6" t="str">
        <f>IFERROR(VLOOKUP(C34,KRX종목마스터!$A:$B,2,FALSE),"")</f>
        <v/>
      </c>
      <c r="E34" s="8" t="str">
        <f>IFERROR(VLOOKUP(C34,KRX종목마스터!$A:$C,3,FALSE),"")</f>
        <v/>
      </c>
      <c r="F34" s="7"/>
      <c r="G34" s="14" t="str">
        <f t="shared" si="0"/>
        <v/>
      </c>
      <c r="H34" s="7"/>
      <c r="I34" s="4"/>
      <c r="J34" s="4"/>
      <c r="K34" s="4"/>
      <c r="L34" s="4"/>
      <c r="M34" s="4"/>
      <c r="N34" s="4"/>
      <c r="O34" s="4"/>
      <c r="P34" s="9"/>
    </row>
    <row r="35" spans="1:16" ht="18" customHeight="1" x14ac:dyDescent="0.45">
      <c r="A35" s="3"/>
      <c r="B35" s="4"/>
      <c r="C35" s="5"/>
      <c r="D35" s="6" t="str">
        <f>IFERROR(VLOOKUP(C35,KRX종목마스터!$A:$B,2,FALSE),"")</f>
        <v/>
      </c>
      <c r="E35" s="8" t="str">
        <f>IFERROR(VLOOKUP(C35,KRX종목마스터!$A:$C,3,FALSE),"")</f>
        <v/>
      </c>
      <c r="F35" s="7"/>
      <c r="G35" s="14" t="str">
        <f t="shared" si="0"/>
        <v/>
      </c>
      <c r="H35" s="7"/>
      <c r="I35" s="4"/>
      <c r="J35" s="4"/>
      <c r="K35" s="4"/>
      <c r="L35" s="4"/>
      <c r="M35" s="4"/>
      <c r="N35" s="4"/>
      <c r="O35" s="4"/>
      <c r="P35" s="9"/>
    </row>
    <row r="36" spans="1:16" ht="18" customHeight="1" x14ac:dyDescent="0.45">
      <c r="A36" s="3"/>
      <c r="B36" s="4"/>
      <c r="C36" s="5"/>
      <c r="D36" s="6" t="str">
        <f>IFERROR(VLOOKUP(C36,KRX종목마스터!$A:$B,2,FALSE),"")</f>
        <v/>
      </c>
      <c r="E36" s="8" t="str">
        <f>IFERROR(VLOOKUP(C36,KRX종목마스터!$A:$C,3,FALSE),"")</f>
        <v/>
      </c>
      <c r="F36" s="7"/>
      <c r="G36" s="14" t="str">
        <f t="shared" ref="G36:G67" si="1">IF(OR(E36="",F36=""),"",(F36-E36)/E36)</f>
        <v/>
      </c>
      <c r="H36" s="7"/>
      <c r="I36" s="4"/>
      <c r="J36" s="4"/>
      <c r="K36" s="4"/>
      <c r="L36" s="4"/>
      <c r="M36" s="4"/>
      <c r="N36" s="4"/>
      <c r="O36" s="4"/>
      <c r="P36" s="9"/>
    </row>
    <row r="37" spans="1:16" ht="18" customHeight="1" x14ac:dyDescent="0.45">
      <c r="A37" s="3"/>
      <c r="B37" s="4"/>
      <c r="C37" s="5"/>
      <c r="D37" s="6" t="str">
        <f>IFERROR(VLOOKUP(C37,KRX종목마스터!$A:$B,2,FALSE),"")</f>
        <v/>
      </c>
      <c r="E37" s="8" t="str">
        <f>IFERROR(VLOOKUP(C37,KRX종목마스터!$A:$C,3,FALSE),"")</f>
        <v/>
      </c>
      <c r="F37" s="7"/>
      <c r="G37" s="14" t="str">
        <f t="shared" si="1"/>
        <v/>
      </c>
      <c r="H37" s="7"/>
      <c r="I37" s="4"/>
      <c r="J37" s="4"/>
      <c r="K37" s="4"/>
      <c r="L37" s="4"/>
      <c r="M37" s="4"/>
      <c r="N37" s="4"/>
      <c r="O37" s="4"/>
      <c r="P37" s="9"/>
    </row>
    <row r="38" spans="1:16" ht="18" customHeight="1" x14ac:dyDescent="0.45">
      <c r="A38" s="3"/>
      <c r="B38" s="4"/>
      <c r="C38" s="5"/>
      <c r="D38" s="6" t="str">
        <f>IFERROR(VLOOKUP(C38,KRX종목마스터!$A:$B,2,FALSE),"")</f>
        <v/>
      </c>
      <c r="E38" s="8" t="str">
        <f>IFERROR(VLOOKUP(C38,KRX종목마스터!$A:$C,3,FALSE),"")</f>
        <v/>
      </c>
      <c r="F38" s="7"/>
      <c r="G38" s="14" t="str">
        <f t="shared" si="1"/>
        <v/>
      </c>
      <c r="H38" s="7"/>
      <c r="I38" s="4"/>
      <c r="J38" s="4"/>
      <c r="K38" s="4"/>
      <c r="L38" s="4"/>
      <c r="M38" s="4"/>
      <c r="N38" s="4"/>
      <c r="O38" s="4"/>
      <c r="P38" s="9"/>
    </row>
    <row r="39" spans="1:16" ht="18" customHeight="1" x14ac:dyDescent="0.45">
      <c r="A39" s="3"/>
      <c r="B39" s="4"/>
      <c r="C39" s="5"/>
      <c r="D39" s="6" t="str">
        <f>IFERROR(VLOOKUP(C39,KRX종목마스터!$A:$B,2,FALSE),"")</f>
        <v/>
      </c>
      <c r="E39" s="8" t="str">
        <f>IFERROR(VLOOKUP(C39,KRX종목마스터!$A:$C,3,FALSE),"")</f>
        <v/>
      </c>
      <c r="F39" s="7"/>
      <c r="G39" s="14" t="str">
        <f t="shared" si="1"/>
        <v/>
      </c>
      <c r="H39" s="7"/>
      <c r="I39" s="4"/>
      <c r="J39" s="4"/>
      <c r="K39" s="4"/>
      <c r="L39" s="4"/>
      <c r="M39" s="4"/>
      <c r="N39" s="4"/>
      <c r="O39" s="4"/>
      <c r="P39" s="9"/>
    </row>
    <row r="40" spans="1:16" ht="18" customHeight="1" x14ac:dyDescent="0.45">
      <c r="A40" s="3"/>
      <c r="B40" s="4"/>
      <c r="C40" s="5"/>
      <c r="D40" s="6" t="str">
        <f>IFERROR(VLOOKUP(C40,KRX종목마스터!$A:$B,2,FALSE),"")</f>
        <v/>
      </c>
      <c r="E40" s="8" t="str">
        <f>IFERROR(VLOOKUP(C40,KRX종목마스터!$A:$C,3,FALSE),"")</f>
        <v/>
      </c>
      <c r="F40" s="7"/>
      <c r="G40" s="14" t="str">
        <f t="shared" si="1"/>
        <v/>
      </c>
      <c r="H40" s="7"/>
      <c r="I40" s="4"/>
      <c r="J40" s="4"/>
      <c r="K40" s="4"/>
      <c r="L40" s="4"/>
      <c r="M40" s="4"/>
      <c r="N40" s="4"/>
      <c r="O40" s="4"/>
      <c r="P40" s="9"/>
    </row>
    <row r="41" spans="1:16" ht="18" customHeight="1" x14ac:dyDescent="0.45">
      <c r="A41" s="3"/>
      <c r="B41" s="4"/>
      <c r="C41" s="5"/>
      <c r="D41" s="6" t="str">
        <f>IFERROR(VLOOKUP(C41,KRX종목마스터!$A:$B,2,FALSE),"")</f>
        <v/>
      </c>
      <c r="E41" s="8" t="str">
        <f>IFERROR(VLOOKUP(C41,KRX종목마스터!$A:$C,3,FALSE),"")</f>
        <v/>
      </c>
      <c r="F41" s="7"/>
      <c r="G41" s="14" t="str">
        <f t="shared" si="1"/>
        <v/>
      </c>
      <c r="H41" s="7"/>
      <c r="I41" s="4"/>
      <c r="J41" s="4"/>
      <c r="K41" s="4"/>
      <c r="L41" s="4"/>
      <c r="M41" s="4"/>
      <c r="N41" s="4"/>
      <c r="O41" s="4"/>
      <c r="P41" s="9"/>
    </row>
    <row r="42" spans="1:16" ht="18" customHeight="1" x14ac:dyDescent="0.45">
      <c r="A42" s="3"/>
      <c r="B42" s="4"/>
      <c r="C42" s="5"/>
      <c r="D42" s="6" t="str">
        <f>IFERROR(VLOOKUP(C42,KRX종목마스터!$A:$B,2,FALSE),"")</f>
        <v/>
      </c>
      <c r="E42" s="8" t="str">
        <f>IFERROR(VLOOKUP(C42,KRX종목마스터!$A:$C,3,FALSE),"")</f>
        <v/>
      </c>
      <c r="F42" s="7"/>
      <c r="G42" s="14" t="str">
        <f t="shared" si="1"/>
        <v/>
      </c>
      <c r="H42" s="7"/>
      <c r="I42" s="4"/>
      <c r="J42" s="4"/>
      <c r="K42" s="4"/>
      <c r="L42" s="4"/>
      <c r="M42" s="4"/>
      <c r="N42" s="4"/>
      <c r="O42" s="4"/>
      <c r="P42" s="9"/>
    </row>
    <row r="43" spans="1:16" ht="18" customHeight="1" x14ac:dyDescent="0.45">
      <c r="A43" s="3"/>
      <c r="B43" s="4"/>
      <c r="C43" s="5"/>
      <c r="D43" s="6" t="str">
        <f>IFERROR(VLOOKUP(C43,KRX종목마스터!$A:$B,2,FALSE),"")</f>
        <v/>
      </c>
      <c r="E43" s="8" t="str">
        <f>IFERROR(VLOOKUP(C43,KRX종목마스터!$A:$C,3,FALSE),"")</f>
        <v/>
      </c>
      <c r="F43" s="7"/>
      <c r="G43" s="14" t="str">
        <f t="shared" si="1"/>
        <v/>
      </c>
      <c r="H43" s="7"/>
      <c r="I43" s="4"/>
      <c r="J43" s="4"/>
      <c r="K43" s="4"/>
      <c r="L43" s="4"/>
      <c r="M43" s="4"/>
      <c r="N43" s="4"/>
      <c r="O43" s="4"/>
      <c r="P43" s="9"/>
    </row>
    <row r="44" spans="1:16" ht="18" customHeight="1" x14ac:dyDescent="0.45">
      <c r="A44" s="3"/>
      <c r="B44" s="4"/>
      <c r="C44" s="5"/>
      <c r="D44" s="6" t="str">
        <f>IFERROR(VLOOKUP(C44,KRX종목마스터!$A:$B,2,FALSE),"")</f>
        <v/>
      </c>
      <c r="E44" s="8" t="str">
        <f>IFERROR(VLOOKUP(C44,KRX종목마스터!$A:$C,3,FALSE),"")</f>
        <v/>
      </c>
      <c r="F44" s="7"/>
      <c r="G44" s="14" t="str">
        <f t="shared" si="1"/>
        <v/>
      </c>
      <c r="H44" s="7"/>
      <c r="I44" s="4"/>
      <c r="J44" s="4"/>
      <c r="K44" s="4"/>
      <c r="L44" s="4"/>
      <c r="M44" s="4"/>
      <c r="N44" s="4"/>
      <c r="O44" s="4"/>
      <c r="P44" s="9"/>
    </row>
    <row r="45" spans="1:16" ht="18" customHeight="1" x14ac:dyDescent="0.45">
      <c r="A45" s="3"/>
      <c r="B45" s="4"/>
      <c r="C45" s="5"/>
      <c r="D45" s="6" t="str">
        <f>IFERROR(VLOOKUP(C45,KRX종목마스터!$A:$B,2,FALSE),"")</f>
        <v/>
      </c>
      <c r="E45" s="8" t="str">
        <f>IFERROR(VLOOKUP(C45,KRX종목마스터!$A:$C,3,FALSE),"")</f>
        <v/>
      </c>
      <c r="F45" s="7"/>
      <c r="G45" s="14" t="str">
        <f t="shared" si="1"/>
        <v/>
      </c>
      <c r="H45" s="7"/>
      <c r="I45" s="4"/>
      <c r="J45" s="4"/>
      <c r="K45" s="4"/>
      <c r="L45" s="4"/>
      <c r="M45" s="4"/>
      <c r="N45" s="4"/>
      <c r="O45" s="4"/>
      <c r="P45" s="9"/>
    </row>
    <row r="46" spans="1:16" ht="18" customHeight="1" x14ac:dyDescent="0.45">
      <c r="A46" s="3"/>
      <c r="B46" s="4"/>
      <c r="C46" s="5"/>
      <c r="D46" s="6" t="str">
        <f>IFERROR(VLOOKUP(C46,KRX종목마스터!$A:$B,2,FALSE),"")</f>
        <v/>
      </c>
      <c r="E46" s="8" t="str">
        <f>IFERROR(VLOOKUP(C46,KRX종목마스터!$A:$C,3,FALSE),"")</f>
        <v/>
      </c>
      <c r="F46" s="7"/>
      <c r="G46" s="14" t="str">
        <f t="shared" si="1"/>
        <v/>
      </c>
      <c r="H46" s="7"/>
      <c r="I46" s="4"/>
      <c r="J46" s="4"/>
      <c r="K46" s="4"/>
      <c r="L46" s="4"/>
      <c r="M46" s="4"/>
      <c r="N46" s="4"/>
      <c r="O46" s="4"/>
      <c r="P46" s="9"/>
    </row>
    <row r="47" spans="1:16" ht="18" customHeight="1" x14ac:dyDescent="0.45">
      <c r="A47" s="3"/>
      <c r="B47" s="4"/>
      <c r="C47" s="5"/>
      <c r="D47" s="6" t="str">
        <f>IFERROR(VLOOKUP(C47,KRX종목마스터!$A:$B,2,FALSE),"")</f>
        <v/>
      </c>
      <c r="E47" s="8" t="str">
        <f>IFERROR(VLOOKUP(C47,KRX종목마스터!$A:$C,3,FALSE),"")</f>
        <v/>
      </c>
      <c r="F47" s="7"/>
      <c r="G47" s="14" t="str">
        <f t="shared" si="1"/>
        <v/>
      </c>
      <c r="H47" s="7"/>
      <c r="I47" s="4"/>
      <c r="J47" s="4"/>
      <c r="K47" s="4"/>
      <c r="L47" s="4"/>
      <c r="M47" s="4"/>
      <c r="N47" s="4"/>
      <c r="O47" s="4"/>
      <c r="P47" s="9"/>
    </row>
    <row r="48" spans="1:16" ht="18" customHeight="1" x14ac:dyDescent="0.45">
      <c r="A48" s="3"/>
      <c r="B48" s="4"/>
      <c r="C48" s="5"/>
      <c r="D48" s="6" t="str">
        <f>IFERROR(VLOOKUP(C48,KRX종목마스터!$A:$B,2,FALSE),"")</f>
        <v/>
      </c>
      <c r="E48" s="8" t="str">
        <f>IFERROR(VLOOKUP(C48,KRX종목마스터!$A:$C,3,FALSE),"")</f>
        <v/>
      </c>
      <c r="F48" s="7"/>
      <c r="G48" s="14" t="str">
        <f t="shared" si="1"/>
        <v/>
      </c>
      <c r="H48" s="7"/>
      <c r="I48" s="4"/>
      <c r="J48" s="4"/>
      <c r="K48" s="4"/>
      <c r="L48" s="4"/>
      <c r="M48" s="4"/>
      <c r="N48" s="4"/>
      <c r="O48" s="4"/>
      <c r="P48" s="9"/>
    </row>
    <row r="49" spans="1:16" ht="18" customHeight="1" x14ac:dyDescent="0.45">
      <c r="A49" s="3"/>
      <c r="B49" s="4"/>
      <c r="C49" s="5"/>
      <c r="D49" s="6" t="str">
        <f>IFERROR(VLOOKUP(C49,KRX종목마스터!$A:$B,2,FALSE),"")</f>
        <v/>
      </c>
      <c r="E49" s="8" t="str">
        <f>IFERROR(VLOOKUP(C49,KRX종목마스터!$A:$C,3,FALSE),"")</f>
        <v/>
      </c>
      <c r="F49" s="7"/>
      <c r="G49" s="14" t="str">
        <f t="shared" si="1"/>
        <v/>
      </c>
      <c r="H49" s="7"/>
      <c r="I49" s="4"/>
      <c r="J49" s="4"/>
      <c r="K49" s="4"/>
      <c r="L49" s="4"/>
      <c r="M49" s="4"/>
      <c r="N49" s="4"/>
      <c r="O49" s="4"/>
      <c r="P49" s="9"/>
    </row>
    <row r="50" spans="1:16" ht="18" customHeight="1" x14ac:dyDescent="0.45">
      <c r="A50" s="3"/>
      <c r="B50" s="4"/>
      <c r="C50" s="5"/>
      <c r="D50" s="6" t="str">
        <f>IFERROR(VLOOKUP(C50,KRX종목마스터!$A:$B,2,FALSE),"")</f>
        <v/>
      </c>
      <c r="E50" s="8" t="str">
        <f>IFERROR(VLOOKUP(C50,KRX종목마스터!$A:$C,3,FALSE),"")</f>
        <v/>
      </c>
      <c r="F50" s="7"/>
      <c r="G50" s="14" t="str">
        <f t="shared" si="1"/>
        <v/>
      </c>
      <c r="H50" s="7"/>
      <c r="I50" s="4"/>
      <c r="J50" s="4"/>
      <c r="K50" s="4"/>
      <c r="L50" s="4"/>
      <c r="M50" s="4"/>
      <c r="N50" s="4"/>
      <c r="O50" s="4"/>
      <c r="P50" s="9"/>
    </row>
    <row r="51" spans="1:16" ht="18" customHeight="1" x14ac:dyDescent="0.45">
      <c r="A51" s="3"/>
      <c r="B51" s="4"/>
      <c r="C51" s="5"/>
      <c r="D51" s="6" t="str">
        <f>IFERROR(VLOOKUP(C51,KRX종목마스터!$A:$B,2,FALSE),"")</f>
        <v/>
      </c>
      <c r="E51" s="8" t="str">
        <f>IFERROR(VLOOKUP(C51,KRX종목마스터!$A:$C,3,FALSE),"")</f>
        <v/>
      </c>
      <c r="F51" s="7"/>
      <c r="G51" s="14" t="str">
        <f t="shared" si="1"/>
        <v/>
      </c>
      <c r="H51" s="7"/>
      <c r="I51" s="4"/>
      <c r="J51" s="4"/>
      <c r="K51" s="4"/>
      <c r="L51" s="4"/>
      <c r="M51" s="4"/>
      <c r="N51" s="4"/>
      <c r="O51" s="4"/>
      <c r="P51" s="9"/>
    </row>
    <row r="52" spans="1:16" ht="18" customHeight="1" x14ac:dyDescent="0.45">
      <c r="A52" s="3"/>
      <c r="B52" s="4"/>
      <c r="C52" s="5"/>
      <c r="D52" s="6" t="str">
        <f>IFERROR(VLOOKUP(C52,KRX종목마스터!$A:$B,2,FALSE),"")</f>
        <v/>
      </c>
      <c r="E52" s="8" t="str">
        <f>IFERROR(VLOOKUP(C52,KRX종목마스터!$A:$C,3,FALSE),"")</f>
        <v/>
      </c>
      <c r="F52" s="7"/>
      <c r="G52" s="14" t="str">
        <f t="shared" si="1"/>
        <v/>
      </c>
      <c r="H52" s="7"/>
      <c r="I52" s="4"/>
      <c r="J52" s="4"/>
      <c r="K52" s="4"/>
      <c r="L52" s="4"/>
      <c r="M52" s="4"/>
      <c r="N52" s="4"/>
      <c r="O52" s="4"/>
      <c r="P52" s="9"/>
    </row>
    <row r="53" spans="1:16" ht="18" customHeight="1" x14ac:dyDescent="0.45">
      <c r="A53" s="3"/>
      <c r="B53" s="4"/>
      <c r="C53" s="5"/>
      <c r="D53" s="6" t="str">
        <f>IFERROR(VLOOKUP(C53,KRX종목마스터!$A:$B,2,FALSE),"")</f>
        <v/>
      </c>
      <c r="E53" s="8" t="str">
        <f>IFERROR(VLOOKUP(C53,KRX종목마스터!$A:$C,3,FALSE),"")</f>
        <v/>
      </c>
      <c r="F53" s="7"/>
      <c r="G53" s="14" t="str">
        <f t="shared" si="1"/>
        <v/>
      </c>
      <c r="H53" s="7"/>
      <c r="I53" s="4"/>
      <c r="J53" s="4"/>
      <c r="K53" s="4"/>
      <c r="L53" s="4"/>
      <c r="M53" s="4"/>
      <c r="N53" s="4"/>
      <c r="O53" s="4"/>
      <c r="P53" s="9"/>
    </row>
    <row r="54" spans="1:16" ht="18" customHeight="1" x14ac:dyDescent="0.45">
      <c r="A54" s="3"/>
      <c r="B54" s="4"/>
      <c r="C54" s="5"/>
      <c r="D54" s="6" t="str">
        <f>IFERROR(VLOOKUP(C54,KRX종목마스터!$A:$B,2,FALSE),"")</f>
        <v/>
      </c>
      <c r="E54" s="8" t="str">
        <f>IFERROR(VLOOKUP(C54,KRX종목마스터!$A:$C,3,FALSE),"")</f>
        <v/>
      </c>
      <c r="F54" s="7"/>
      <c r="G54" s="14" t="str">
        <f t="shared" si="1"/>
        <v/>
      </c>
      <c r="H54" s="7"/>
      <c r="I54" s="4"/>
      <c r="J54" s="4"/>
      <c r="K54" s="4"/>
      <c r="L54" s="4"/>
      <c r="M54" s="4"/>
      <c r="N54" s="4"/>
      <c r="O54" s="4"/>
      <c r="P54" s="9"/>
    </row>
    <row r="55" spans="1:16" ht="18" customHeight="1" x14ac:dyDescent="0.45">
      <c r="A55" s="3"/>
      <c r="B55" s="4"/>
      <c r="C55" s="5"/>
      <c r="D55" s="6" t="str">
        <f>IFERROR(VLOOKUP(C55,KRX종목마스터!$A:$B,2,FALSE),"")</f>
        <v/>
      </c>
      <c r="E55" s="8" t="str">
        <f>IFERROR(VLOOKUP(C55,KRX종목마스터!$A:$C,3,FALSE),"")</f>
        <v/>
      </c>
      <c r="F55" s="7"/>
      <c r="G55" s="14" t="str">
        <f t="shared" si="1"/>
        <v/>
      </c>
      <c r="H55" s="7"/>
      <c r="I55" s="4"/>
      <c r="J55" s="4"/>
      <c r="K55" s="4"/>
      <c r="L55" s="4"/>
      <c r="M55" s="4"/>
      <c r="N55" s="4"/>
      <c r="O55" s="4"/>
      <c r="P55" s="9"/>
    </row>
    <row r="56" spans="1:16" ht="18" customHeight="1" x14ac:dyDescent="0.45">
      <c r="A56" s="3"/>
      <c r="B56" s="4"/>
      <c r="C56" s="5"/>
      <c r="D56" s="6" t="str">
        <f>IFERROR(VLOOKUP(C56,KRX종목마스터!$A:$B,2,FALSE),"")</f>
        <v/>
      </c>
      <c r="E56" s="8" t="str">
        <f>IFERROR(VLOOKUP(C56,KRX종목마스터!$A:$C,3,FALSE),"")</f>
        <v/>
      </c>
      <c r="F56" s="7"/>
      <c r="G56" s="14" t="str">
        <f t="shared" si="1"/>
        <v/>
      </c>
      <c r="H56" s="7"/>
      <c r="I56" s="4"/>
      <c r="J56" s="4"/>
      <c r="K56" s="4"/>
      <c r="L56" s="4"/>
      <c r="M56" s="4"/>
      <c r="N56" s="4"/>
      <c r="O56" s="4"/>
      <c r="P56" s="9"/>
    </row>
    <row r="57" spans="1:16" ht="18" customHeight="1" x14ac:dyDescent="0.45">
      <c r="A57" s="3"/>
      <c r="B57" s="4"/>
      <c r="C57" s="5"/>
      <c r="D57" s="6" t="str">
        <f>IFERROR(VLOOKUP(C57,KRX종목마스터!$A:$B,2,FALSE),"")</f>
        <v/>
      </c>
      <c r="E57" s="8" t="str">
        <f>IFERROR(VLOOKUP(C57,KRX종목마스터!$A:$C,3,FALSE),"")</f>
        <v/>
      </c>
      <c r="F57" s="7"/>
      <c r="G57" s="14" t="str">
        <f t="shared" si="1"/>
        <v/>
      </c>
      <c r="H57" s="7"/>
      <c r="I57" s="4"/>
      <c r="J57" s="4"/>
      <c r="K57" s="4"/>
      <c r="L57" s="4"/>
      <c r="M57" s="4"/>
      <c r="N57" s="4"/>
      <c r="O57" s="4"/>
      <c r="P57" s="9"/>
    </row>
    <row r="58" spans="1:16" ht="18" customHeight="1" x14ac:dyDescent="0.45">
      <c r="A58" s="3"/>
      <c r="B58" s="4"/>
      <c r="C58" s="5"/>
      <c r="D58" s="6" t="str">
        <f>IFERROR(VLOOKUP(C58,KRX종목마스터!$A:$B,2,FALSE),"")</f>
        <v/>
      </c>
      <c r="E58" s="8" t="str">
        <f>IFERROR(VLOOKUP(C58,KRX종목마스터!$A:$C,3,FALSE),"")</f>
        <v/>
      </c>
      <c r="F58" s="7"/>
      <c r="G58" s="14" t="str">
        <f t="shared" si="1"/>
        <v/>
      </c>
      <c r="H58" s="7"/>
      <c r="I58" s="4"/>
      <c r="J58" s="4"/>
      <c r="K58" s="4"/>
      <c r="L58" s="4"/>
      <c r="M58" s="4"/>
      <c r="N58" s="4"/>
      <c r="O58" s="4"/>
      <c r="P58" s="9"/>
    </row>
    <row r="59" spans="1:16" ht="18" customHeight="1" x14ac:dyDescent="0.45">
      <c r="A59" s="3"/>
      <c r="B59" s="4"/>
      <c r="C59" s="5"/>
      <c r="D59" s="6" t="str">
        <f>IFERROR(VLOOKUP(C59,KRX종목마스터!$A:$B,2,FALSE),"")</f>
        <v/>
      </c>
      <c r="E59" s="8" t="str">
        <f>IFERROR(VLOOKUP(C59,KRX종목마스터!$A:$C,3,FALSE),"")</f>
        <v/>
      </c>
      <c r="F59" s="7"/>
      <c r="G59" s="14" t="str">
        <f t="shared" si="1"/>
        <v/>
      </c>
      <c r="H59" s="7"/>
      <c r="I59" s="4"/>
      <c r="J59" s="4"/>
      <c r="K59" s="4"/>
      <c r="L59" s="4"/>
      <c r="M59" s="4"/>
      <c r="N59" s="4"/>
      <c r="O59" s="4"/>
      <c r="P59" s="9"/>
    </row>
    <row r="60" spans="1:16" ht="18" customHeight="1" x14ac:dyDescent="0.45">
      <c r="A60" s="3"/>
      <c r="B60" s="4"/>
      <c r="C60" s="5"/>
      <c r="D60" s="6" t="str">
        <f>IFERROR(VLOOKUP(C60,KRX종목마스터!$A:$B,2,FALSE),"")</f>
        <v/>
      </c>
      <c r="E60" s="8" t="str">
        <f>IFERROR(VLOOKUP(C60,KRX종목마스터!$A:$C,3,FALSE),"")</f>
        <v/>
      </c>
      <c r="F60" s="7"/>
      <c r="G60" s="14" t="str">
        <f t="shared" si="1"/>
        <v/>
      </c>
      <c r="H60" s="7"/>
      <c r="I60" s="4"/>
      <c r="J60" s="4"/>
      <c r="K60" s="4"/>
      <c r="L60" s="4"/>
      <c r="M60" s="4"/>
      <c r="N60" s="4"/>
      <c r="O60" s="4"/>
      <c r="P60" s="9"/>
    </row>
    <row r="61" spans="1:16" ht="18" customHeight="1" x14ac:dyDescent="0.45">
      <c r="A61" s="3"/>
      <c r="B61" s="4"/>
      <c r="C61" s="5"/>
      <c r="D61" s="6" t="str">
        <f>IFERROR(VLOOKUP(C61,KRX종목마스터!$A:$B,2,FALSE),"")</f>
        <v/>
      </c>
      <c r="E61" s="8" t="str">
        <f>IFERROR(VLOOKUP(C61,KRX종목마스터!$A:$C,3,FALSE),"")</f>
        <v/>
      </c>
      <c r="F61" s="7"/>
      <c r="G61" s="14" t="str">
        <f t="shared" si="1"/>
        <v/>
      </c>
      <c r="H61" s="7"/>
      <c r="I61" s="4"/>
      <c r="J61" s="4"/>
      <c r="K61" s="4"/>
      <c r="L61" s="4"/>
      <c r="M61" s="4"/>
      <c r="N61" s="4"/>
      <c r="O61" s="4"/>
      <c r="P61" s="9"/>
    </row>
    <row r="62" spans="1:16" ht="18" customHeight="1" x14ac:dyDescent="0.45">
      <c r="A62" s="3"/>
      <c r="B62" s="4"/>
      <c r="C62" s="5"/>
      <c r="D62" s="6" t="str">
        <f>IFERROR(VLOOKUP(C62,KRX종목마스터!$A:$B,2,FALSE),"")</f>
        <v/>
      </c>
      <c r="E62" s="8" t="str">
        <f>IFERROR(VLOOKUP(C62,KRX종목마스터!$A:$C,3,FALSE),"")</f>
        <v/>
      </c>
      <c r="F62" s="7"/>
      <c r="G62" s="14" t="str">
        <f t="shared" si="1"/>
        <v/>
      </c>
      <c r="H62" s="7"/>
      <c r="I62" s="4"/>
      <c r="J62" s="4"/>
      <c r="K62" s="4"/>
      <c r="L62" s="4"/>
      <c r="M62" s="4"/>
      <c r="N62" s="4"/>
      <c r="O62" s="4"/>
      <c r="P62" s="9"/>
    </row>
    <row r="63" spans="1:16" ht="18" customHeight="1" x14ac:dyDescent="0.45">
      <c r="A63" s="3"/>
      <c r="B63" s="4"/>
      <c r="C63" s="5"/>
      <c r="D63" s="6" t="str">
        <f>IFERROR(VLOOKUP(C63,KRX종목마스터!$A:$B,2,FALSE),"")</f>
        <v/>
      </c>
      <c r="E63" s="8" t="str">
        <f>IFERROR(VLOOKUP(C63,KRX종목마스터!$A:$C,3,FALSE),"")</f>
        <v/>
      </c>
      <c r="F63" s="7"/>
      <c r="G63" s="14" t="str">
        <f t="shared" si="1"/>
        <v/>
      </c>
      <c r="H63" s="7"/>
      <c r="I63" s="4"/>
      <c r="J63" s="4"/>
      <c r="K63" s="4"/>
      <c r="L63" s="4"/>
      <c r="M63" s="4"/>
      <c r="N63" s="4"/>
      <c r="O63" s="4"/>
      <c r="P63" s="9"/>
    </row>
    <row r="64" spans="1:16" ht="18" customHeight="1" x14ac:dyDescent="0.45">
      <c r="A64" s="3"/>
      <c r="B64" s="4"/>
      <c r="C64" s="5"/>
      <c r="D64" s="6" t="str">
        <f>IFERROR(VLOOKUP(C64,KRX종목마스터!$A:$B,2,FALSE),"")</f>
        <v/>
      </c>
      <c r="E64" s="8" t="str">
        <f>IFERROR(VLOOKUP(C64,KRX종목마스터!$A:$C,3,FALSE),"")</f>
        <v/>
      </c>
      <c r="F64" s="7"/>
      <c r="G64" s="14" t="str">
        <f t="shared" si="1"/>
        <v/>
      </c>
      <c r="H64" s="7"/>
      <c r="I64" s="4"/>
      <c r="J64" s="4"/>
      <c r="K64" s="4"/>
      <c r="L64" s="4"/>
      <c r="M64" s="4"/>
      <c r="N64" s="4"/>
      <c r="O64" s="4"/>
      <c r="P64" s="9"/>
    </row>
    <row r="65" spans="1:16" ht="18" customHeight="1" x14ac:dyDescent="0.45">
      <c r="A65" s="3"/>
      <c r="B65" s="4"/>
      <c r="C65" s="5"/>
      <c r="D65" s="6" t="str">
        <f>IFERROR(VLOOKUP(C65,KRX종목마스터!$A:$B,2,FALSE),"")</f>
        <v/>
      </c>
      <c r="E65" s="8" t="str">
        <f>IFERROR(VLOOKUP(C65,KRX종목마스터!$A:$C,3,FALSE),"")</f>
        <v/>
      </c>
      <c r="F65" s="7"/>
      <c r="G65" s="14" t="str">
        <f t="shared" si="1"/>
        <v/>
      </c>
      <c r="H65" s="7"/>
      <c r="I65" s="4"/>
      <c r="J65" s="4"/>
      <c r="K65" s="4"/>
      <c r="L65" s="4"/>
      <c r="M65" s="4"/>
      <c r="N65" s="4"/>
      <c r="O65" s="4"/>
      <c r="P65" s="9"/>
    </row>
    <row r="66" spans="1:16" ht="18" customHeight="1" x14ac:dyDescent="0.45">
      <c r="A66" s="3"/>
      <c r="B66" s="4"/>
      <c r="C66" s="5"/>
      <c r="D66" s="6" t="str">
        <f>IFERROR(VLOOKUP(C66,KRX종목마스터!$A:$B,2,FALSE),"")</f>
        <v/>
      </c>
      <c r="E66" s="8" t="str">
        <f>IFERROR(VLOOKUP(C66,KRX종목마스터!$A:$C,3,FALSE),"")</f>
        <v/>
      </c>
      <c r="F66" s="7"/>
      <c r="G66" s="14" t="str">
        <f t="shared" si="1"/>
        <v/>
      </c>
      <c r="H66" s="7"/>
      <c r="I66" s="4"/>
      <c r="J66" s="4"/>
      <c r="K66" s="4"/>
      <c r="L66" s="4"/>
      <c r="M66" s="4"/>
      <c r="N66" s="4"/>
      <c r="O66" s="4"/>
      <c r="P66" s="9"/>
    </row>
    <row r="67" spans="1:16" ht="18" customHeight="1" x14ac:dyDescent="0.45">
      <c r="A67" s="3"/>
      <c r="B67" s="4"/>
      <c r="C67" s="5"/>
      <c r="D67" s="6" t="str">
        <f>IFERROR(VLOOKUP(C67,KRX종목마스터!$A:$B,2,FALSE),"")</f>
        <v/>
      </c>
      <c r="E67" s="8" t="str">
        <f>IFERROR(VLOOKUP(C67,KRX종목마스터!$A:$C,3,FALSE),"")</f>
        <v/>
      </c>
      <c r="F67" s="7"/>
      <c r="G67" s="14" t="str">
        <f t="shared" si="1"/>
        <v/>
      </c>
      <c r="H67" s="7"/>
      <c r="I67" s="4"/>
      <c r="J67" s="4"/>
      <c r="K67" s="4"/>
      <c r="L67" s="4"/>
      <c r="M67" s="4"/>
      <c r="N67" s="4"/>
      <c r="O67" s="4"/>
      <c r="P67" s="9"/>
    </row>
    <row r="68" spans="1:16" ht="18" customHeight="1" x14ac:dyDescent="0.45">
      <c r="A68" s="3"/>
      <c r="B68" s="4"/>
      <c r="C68" s="5"/>
      <c r="D68" s="6" t="str">
        <f>IFERROR(VLOOKUP(C68,KRX종목마스터!$A:$B,2,FALSE),"")</f>
        <v/>
      </c>
      <c r="E68" s="8" t="str">
        <f>IFERROR(VLOOKUP(C68,KRX종목마스터!$A:$C,3,FALSE),"")</f>
        <v/>
      </c>
      <c r="F68" s="7"/>
      <c r="G68" s="14" t="str">
        <f t="shared" ref="G68:G99" si="2">IF(OR(E68="",F68=""),"",(F68-E68)/E68)</f>
        <v/>
      </c>
      <c r="H68" s="7"/>
      <c r="I68" s="4"/>
      <c r="J68" s="4"/>
      <c r="K68" s="4"/>
      <c r="L68" s="4"/>
      <c r="M68" s="4"/>
      <c r="N68" s="4"/>
      <c r="O68" s="4"/>
      <c r="P68" s="9"/>
    </row>
    <row r="69" spans="1:16" ht="18" customHeight="1" x14ac:dyDescent="0.45">
      <c r="A69" s="3"/>
      <c r="B69" s="4"/>
      <c r="C69" s="5"/>
      <c r="D69" s="6" t="str">
        <f>IFERROR(VLOOKUP(C69,KRX종목마스터!$A:$B,2,FALSE),"")</f>
        <v/>
      </c>
      <c r="E69" s="8" t="str">
        <f>IFERROR(VLOOKUP(C69,KRX종목마스터!$A:$C,3,FALSE),"")</f>
        <v/>
      </c>
      <c r="F69" s="7"/>
      <c r="G69" s="14" t="str">
        <f t="shared" si="2"/>
        <v/>
      </c>
      <c r="H69" s="7"/>
      <c r="I69" s="4"/>
      <c r="J69" s="4"/>
      <c r="K69" s="4"/>
      <c r="L69" s="4"/>
      <c r="M69" s="4"/>
      <c r="N69" s="4"/>
      <c r="O69" s="4"/>
      <c r="P69" s="9"/>
    </row>
    <row r="70" spans="1:16" ht="18" customHeight="1" x14ac:dyDescent="0.45">
      <c r="A70" s="3"/>
      <c r="B70" s="4"/>
      <c r="C70" s="5"/>
      <c r="D70" s="6" t="str">
        <f>IFERROR(VLOOKUP(C70,KRX종목마스터!$A:$B,2,FALSE),"")</f>
        <v/>
      </c>
      <c r="E70" s="8" t="str">
        <f>IFERROR(VLOOKUP(C70,KRX종목마스터!$A:$C,3,FALSE),"")</f>
        <v/>
      </c>
      <c r="F70" s="7"/>
      <c r="G70" s="14" t="str">
        <f t="shared" si="2"/>
        <v/>
      </c>
      <c r="H70" s="7"/>
      <c r="I70" s="4"/>
      <c r="J70" s="4"/>
      <c r="K70" s="4"/>
      <c r="L70" s="4"/>
      <c r="M70" s="4"/>
      <c r="N70" s="4"/>
      <c r="O70" s="4"/>
      <c r="P70" s="9"/>
    </row>
    <row r="71" spans="1:16" ht="18" customHeight="1" x14ac:dyDescent="0.45">
      <c r="A71" s="3"/>
      <c r="B71" s="4"/>
      <c r="C71" s="5"/>
      <c r="D71" s="6" t="str">
        <f>IFERROR(VLOOKUP(C71,KRX종목마스터!$A:$B,2,FALSE),"")</f>
        <v/>
      </c>
      <c r="E71" s="8" t="str">
        <f>IFERROR(VLOOKUP(C71,KRX종목마스터!$A:$C,3,FALSE),"")</f>
        <v/>
      </c>
      <c r="F71" s="7"/>
      <c r="G71" s="14" t="str">
        <f t="shared" si="2"/>
        <v/>
      </c>
      <c r="H71" s="7"/>
      <c r="I71" s="4"/>
      <c r="J71" s="4"/>
      <c r="K71" s="4"/>
      <c r="L71" s="4"/>
      <c r="M71" s="4"/>
      <c r="N71" s="4"/>
      <c r="O71" s="4"/>
      <c r="P71" s="9"/>
    </row>
    <row r="72" spans="1:16" ht="18" customHeight="1" x14ac:dyDescent="0.45">
      <c r="A72" s="3"/>
      <c r="B72" s="4"/>
      <c r="C72" s="5"/>
      <c r="D72" s="6" t="str">
        <f>IFERROR(VLOOKUP(C72,KRX종목마스터!$A:$B,2,FALSE),"")</f>
        <v/>
      </c>
      <c r="E72" s="8" t="str">
        <f>IFERROR(VLOOKUP(C72,KRX종목마스터!$A:$C,3,FALSE),"")</f>
        <v/>
      </c>
      <c r="F72" s="7"/>
      <c r="G72" s="14" t="str">
        <f t="shared" si="2"/>
        <v/>
      </c>
      <c r="H72" s="7"/>
      <c r="I72" s="4"/>
      <c r="J72" s="4"/>
      <c r="K72" s="4"/>
      <c r="L72" s="4"/>
      <c r="M72" s="4"/>
      <c r="N72" s="4"/>
      <c r="O72" s="4"/>
      <c r="P72" s="9"/>
    </row>
    <row r="73" spans="1:16" ht="18" customHeight="1" x14ac:dyDescent="0.45">
      <c r="A73" s="3"/>
      <c r="B73" s="4"/>
      <c r="C73" s="5"/>
      <c r="D73" s="6" t="str">
        <f>IFERROR(VLOOKUP(C73,KRX종목마스터!$A:$B,2,FALSE),"")</f>
        <v/>
      </c>
      <c r="E73" s="8" t="str">
        <f>IFERROR(VLOOKUP(C73,KRX종목마스터!$A:$C,3,FALSE),"")</f>
        <v/>
      </c>
      <c r="F73" s="7"/>
      <c r="G73" s="14" t="str">
        <f t="shared" si="2"/>
        <v/>
      </c>
      <c r="H73" s="7"/>
      <c r="I73" s="4"/>
      <c r="J73" s="4"/>
      <c r="K73" s="4"/>
      <c r="L73" s="4"/>
      <c r="M73" s="4"/>
      <c r="N73" s="4"/>
      <c r="O73" s="4"/>
      <c r="P73" s="9"/>
    </row>
    <row r="74" spans="1:16" ht="18" customHeight="1" x14ac:dyDescent="0.45">
      <c r="A74" s="3"/>
      <c r="B74" s="4"/>
      <c r="C74" s="5"/>
      <c r="D74" s="6" t="str">
        <f>IFERROR(VLOOKUP(C74,KRX종목마스터!$A:$B,2,FALSE),"")</f>
        <v/>
      </c>
      <c r="E74" s="8" t="str">
        <f>IFERROR(VLOOKUP(C74,KRX종목마스터!$A:$C,3,FALSE),"")</f>
        <v/>
      </c>
      <c r="F74" s="7"/>
      <c r="G74" s="14" t="str">
        <f t="shared" si="2"/>
        <v/>
      </c>
      <c r="H74" s="7"/>
      <c r="I74" s="4"/>
      <c r="J74" s="4"/>
      <c r="K74" s="4"/>
      <c r="L74" s="4"/>
      <c r="M74" s="4"/>
      <c r="N74" s="4"/>
      <c r="O74" s="4"/>
      <c r="P74" s="9"/>
    </row>
    <row r="75" spans="1:16" ht="18" customHeight="1" x14ac:dyDescent="0.45">
      <c r="A75" s="3"/>
      <c r="B75" s="4"/>
      <c r="C75" s="5"/>
      <c r="D75" s="6" t="str">
        <f>IFERROR(VLOOKUP(C75,KRX종목마스터!$A:$B,2,FALSE),"")</f>
        <v/>
      </c>
      <c r="E75" s="8" t="str">
        <f>IFERROR(VLOOKUP(C75,KRX종목마스터!$A:$C,3,FALSE),"")</f>
        <v/>
      </c>
      <c r="F75" s="7"/>
      <c r="G75" s="14" t="str">
        <f t="shared" si="2"/>
        <v/>
      </c>
      <c r="H75" s="7"/>
      <c r="I75" s="4"/>
      <c r="J75" s="4"/>
      <c r="K75" s="4"/>
      <c r="L75" s="4"/>
      <c r="M75" s="4"/>
      <c r="N75" s="4"/>
      <c r="O75" s="4"/>
      <c r="P75" s="9"/>
    </row>
    <row r="76" spans="1:16" ht="18" customHeight="1" x14ac:dyDescent="0.45">
      <c r="A76" s="3"/>
      <c r="B76" s="4"/>
      <c r="C76" s="5"/>
      <c r="D76" s="6" t="str">
        <f>IFERROR(VLOOKUP(C76,KRX종목마스터!$A:$B,2,FALSE),"")</f>
        <v/>
      </c>
      <c r="E76" s="8" t="str">
        <f>IFERROR(VLOOKUP(C76,KRX종목마스터!$A:$C,3,FALSE),"")</f>
        <v/>
      </c>
      <c r="F76" s="7"/>
      <c r="G76" s="14" t="str">
        <f t="shared" si="2"/>
        <v/>
      </c>
      <c r="H76" s="7"/>
      <c r="I76" s="4"/>
      <c r="J76" s="4"/>
      <c r="K76" s="4"/>
      <c r="L76" s="4"/>
      <c r="M76" s="4"/>
      <c r="N76" s="4"/>
      <c r="O76" s="4"/>
      <c r="P76" s="9"/>
    </row>
    <row r="77" spans="1:16" ht="18" customHeight="1" x14ac:dyDescent="0.45">
      <c r="A77" s="3"/>
      <c r="B77" s="4"/>
      <c r="C77" s="5"/>
      <c r="D77" s="6" t="str">
        <f>IFERROR(VLOOKUP(C77,KRX종목마스터!$A:$B,2,FALSE),"")</f>
        <v/>
      </c>
      <c r="E77" s="8" t="str">
        <f>IFERROR(VLOOKUP(C77,KRX종목마스터!$A:$C,3,FALSE),"")</f>
        <v/>
      </c>
      <c r="F77" s="7"/>
      <c r="G77" s="14" t="str">
        <f t="shared" si="2"/>
        <v/>
      </c>
      <c r="H77" s="7"/>
      <c r="I77" s="4"/>
      <c r="J77" s="4"/>
      <c r="K77" s="4"/>
      <c r="L77" s="4"/>
      <c r="M77" s="4"/>
      <c r="N77" s="4"/>
      <c r="O77" s="4"/>
      <c r="P77" s="9"/>
    </row>
    <row r="78" spans="1:16" ht="18" customHeight="1" x14ac:dyDescent="0.45">
      <c r="A78" s="3"/>
      <c r="B78" s="4"/>
      <c r="C78" s="5"/>
      <c r="D78" s="6" t="str">
        <f>IFERROR(VLOOKUP(C78,KRX종목마스터!$A:$B,2,FALSE),"")</f>
        <v/>
      </c>
      <c r="E78" s="8" t="str">
        <f>IFERROR(VLOOKUP(C78,KRX종목마스터!$A:$C,3,FALSE),"")</f>
        <v/>
      </c>
      <c r="F78" s="7"/>
      <c r="G78" s="14" t="str">
        <f t="shared" si="2"/>
        <v/>
      </c>
      <c r="H78" s="7"/>
      <c r="I78" s="4"/>
      <c r="J78" s="4"/>
      <c r="K78" s="4"/>
      <c r="L78" s="4"/>
      <c r="M78" s="4"/>
      <c r="N78" s="4"/>
      <c r="O78" s="4"/>
      <c r="P78" s="9"/>
    </row>
    <row r="79" spans="1:16" ht="18" customHeight="1" x14ac:dyDescent="0.45">
      <c r="A79" s="3"/>
      <c r="B79" s="4"/>
      <c r="C79" s="5"/>
      <c r="D79" s="6" t="str">
        <f>IFERROR(VLOOKUP(C79,KRX종목마스터!$A:$B,2,FALSE),"")</f>
        <v/>
      </c>
      <c r="E79" s="8" t="str">
        <f>IFERROR(VLOOKUP(C79,KRX종목마스터!$A:$C,3,FALSE),"")</f>
        <v/>
      </c>
      <c r="F79" s="7"/>
      <c r="G79" s="14" t="str">
        <f t="shared" si="2"/>
        <v/>
      </c>
      <c r="H79" s="7"/>
      <c r="I79" s="4"/>
      <c r="J79" s="4"/>
      <c r="K79" s="4"/>
      <c r="L79" s="4"/>
      <c r="M79" s="4"/>
      <c r="N79" s="4"/>
      <c r="O79" s="4"/>
      <c r="P79" s="9"/>
    </row>
    <row r="80" spans="1:16" ht="18" customHeight="1" x14ac:dyDescent="0.45">
      <c r="A80" s="3"/>
      <c r="B80" s="4"/>
      <c r="C80" s="5"/>
      <c r="D80" s="6" t="str">
        <f>IFERROR(VLOOKUP(C80,KRX종목마스터!$A:$B,2,FALSE),"")</f>
        <v/>
      </c>
      <c r="E80" s="8" t="str">
        <f>IFERROR(VLOOKUP(C80,KRX종목마스터!$A:$C,3,FALSE),"")</f>
        <v/>
      </c>
      <c r="F80" s="7"/>
      <c r="G80" s="14" t="str">
        <f t="shared" si="2"/>
        <v/>
      </c>
      <c r="H80" s="7"/>
      <c r="I80" s="4"/>
      <c r="J80" s="4"/>
      <c r="K80" s="4"/>
      <c r="L80" s="4"/>
      <c r="M80" s="4"/>
      <c r="N80" s="4"/>
      <c r="O80" s="4"/>
      <c r="P80" s="9"/>
    </row>
    <row r="81" spans="1:16" ht="18" customHeight="1" x14ac:dyDescent="0.45">
      <c r="A81" s="3"/>
      <c r="B81" s="4"/>
      <c r="C81" s="5"/>
      <c r="D81" s="6" t="str">
        <f>IFERROR(VLOOKUP(C81,KRX종목마스터!$A:$B,2,FALSE),"")</f>
        <v/>
      </c>
      <c r="E81" s="8" t="str">
        <f>IFERROR(VLOOKUP(C81,KRX종목마스터!$A:$C,3,FALSE),"")</f>
        <v/>
      </c>
      <c r="F81" s="7"/>
      <c r="G81" s="14" t="str">
        <f t="shared" si="2"/>
        <v/>
      </c>
      <c r="H81" s="7"/>
      <c r="I81" s="4"/>
      <c r="J81" s="4"/>
      <c r="K81" s="4"/>
      <c r="L81" s="4"/>
      <c r="M81" s="4"/>
      <c r="N81" s="4"/>
      <c r="O81" s="4"/>
      <c r="P81" s="9"/>
    </row>
    <row r="82" spans="1:16" ht="18" customHeight="1" x14ac:dyDescent="0.45">
      <c r="A82" s="3"/>
      <c r="B82" s="4"/>
      <c r="C82" s="5"/>
      <c r="D82" s="6" t="str">
        <f>IFERROR(VLOOKUP(C82,KRX종목마스터!$A:$B,2,FALSE),"")</f>
        <v/>
      </c>
      <c r="E82" s="8" t="str">
        <f>IFERROR(VLOOKUP(C82,KRX종목마스터!$A:$C,3,FALSE),"")</f>
        <v/>
      </c>
      <c r="F82" s="7"/>
      <c r="G82" s="14" t="str">
        <f t="shared" si="2"/>
        <v/>
      </c>
      <c r="H82" s="7"/>
      <c r="I82" s="4"/>
      <c r="J82" s="4"/>
      <c r="K82" s="4"/>
      <c r="L82" s="4"/>
      <c r="M82" s="4"/>
      <c r="N82" s="4"/>
      <c r="O82" s="4"/>
      <c r="P82" s="9"/>
    </row>
    <row r="83" spans="1:16" ht="18" customHeight="1" x14ac:dyDescent="0.45">
      <c r="A83" s="3"/>
      <c r="B83" s="4"/>
      <c r="C83" s="5"/>
      <c r="D83" s="6" t="str">
        <f>IFERROR(VLOOKUP(C83,KRX종목마스터!$A:$B,2,FALSE),"")</f>
        <v/>
      </c>
      <c r="E83" s="8" t="str">
        <f>IFERROR(VLOOKUP(C83,KRX종목마스터!$A:$C,3,FALSE),"")</f>
        <v/>
      </c>
      <c r="F83" s="7"/>
      <c r="G83" s="14" t="str">
        <f t="shared" si="2"/>
        <v/>
      </c>
      <c r="H83" s="7"/>
      <c r="I83" s="4"/>
      <c r="J83" s="4"/>
      <c r="K83" s="4"/>
      <c r="L83" s="4"/>
      <c r="M83" s="4"/>
      <c r="N83" s="4"/>
      <c r="O83" s="4"/>
      <c r="P83" s="9"/>
    </row>
    <row r="84" spans="1:16" ht="18" customHeight="1" x14ac:dyDescent="0.45">
      <c r="A84" s="3"/>
      <c r="B84" s="4"/>
      <c r="C84" s="5"/>
      <c r="D84" s="6" t="str">
        <f>IFERROR(VLOOKUP(C84,KRX종목마스터!$A:$B,2,FALSE),"")</f>
        <v/>
      </c>
      <c r="E84" s="8" t="str">
        <f>IFERROR(VLOOKUP(C84,KRX종목마스터!$A:$C,3,FALSE),"")</f>
        <v/>
      </c>
      <c r="F84" s="7"/>
      <c r="G84" s="14" t="str">
        <f t="shared" si="2"/>
        <v/>
      </c>
      <c r="H84" s="7"/>
      <c r="I84" s="4"/>
      <c r="J84" s="4"/>
      <c r="K84" s="4"/>
      <c r="L84" s="4"/>
      <c r="M84" s="4"/>
      <c r="N84" s="4"/>
      <c r="O84" s="4"/>
      <c r="P84" s="9"/>
    </row>
    <row r="85" spans="1:16" ht="18" customHeight="1" x14ac:dyDescent="0.45">
      <c r="A85" s="3"/>
      <c r="B85" s="4"/>
      <c r="C85" s="5"/>
      <c r="D85" s="6" t="str">
        <f>IFERROR(VLOOKUP(C85,KRX종목마스터!$A:$B,2,FALSE),"")</f>
        <v/>
      </c>
      <c r="E85" s="8" t="str">
        <f>IFERROR(VLOOKUP(C85,KRX종목마스터!$A:$C,3,FALSE),"")</f>
        <v/>
      </c>
      <c r="F85" s="7"/>
      <c r="G85" s="14" t="str">
        <f t="shared" si="2"/>
        <v/>
      </c>
      <c r="H85" s="7"/>
      <c r="I85" s="4"/>
      <c r="J85" s="4"/>
      <c r="K85" s="4"/>
      <c r="L85" s="4"/>
      <c r="M85" s="4"/>
      <c r="N85" s="4"/>
      <c r="O85" s="4"/>
      <c r="P85" s="9"/>
    </row>
    <row r="86" spans="1:16" ht="18" customHeight="1" x14ac:dyDescent="0.45">
      <c r="A86" s="3"/>
      <c r="B86" s="4"/>
      <c r="C86" s="5"/>
      <c r="D86" s="6" t="str">
        <f>IFERROR(VLOOKUP(C86,KRX종목마스터!$A:$B,2,FALSE),"")</f>
        <v/>
      </c>
      <c r="E86" s="8" t="str">
        <f>IFERROR(VLOOKUP(C86,KRX종목마스터!$A:$C,3,FALSE),"")</f>
        <v/>
      </c>
      <c r="F86" s="7"/>
      <c r="G86" s="14" t="str">
        <f t="shared" si="2"/>
        <v/>
      </c>
      <c r="H86" s="7"/>
      <c r="I86" s="4"/>
      <c r="J86" s="4"/>
      <c r="K86" s="4"/>
      <c r="L86" s="4"/>
      <c r="M86" s="4"/>
      <c r="N86" s="4"/>
      <c r="O86" s="4"/>
      <c r="P86" s="9"/>
    </row>
    <row r="87" spans="1:16" ht="18" customHeight="1" x14ac:dyDescent="0.45">
      <c r="A87" s="3"/>
      <c r="B87" s="4"/>
      <c r="C87" s="5"/>
      <c r="D87" s="6" t="str">
        <f>IFERROR(VLOOKUP(C87,KRX종목마스터!$A:$B,2,FALSE),"")</f>
        <v/>
      </c>
      <c r="E87" s="8" t="str">
        <f>IFERROR(VLOOKUP(C87,KRX종목마스터!$A:$C,3,FALSE),"")</f>
        <v/>
      </c>
      <c r="F87" s="7"/>
      <c r="G87" s="14" t="str">
        <f t="shared" si="2"/>
        <v/>
      </c>
      <c r="H87" s="7"/>
      <c r="I87" s="4"/>
      <c r="J87" s="4"/>
      <c r="K87" s="4"/>
      <c r="L87" s="4"/>
      <c r="M87" s="4"/>
      <c r="N87" s="4"/>
      <c r="O87" s="4"/>
      <c r="P87" s="9"/>
    </row>
    <row r="88" spans="1:16" ht="18" customHeight="1" x14ac:dyDescent="0.45">
      <c r="A88" s="3"/>
      <c r="B88" s="4"/>
      <c r="C88" s="5"/>
      <c r="D88" s="6" t="str">
        <f>IFERROR(VLOOKUP(C88,KRX종목마스터!$A:$B,2,FALSE),"")</f>
        <v/>
      </c>
      <c r="E88" s="8" t="str">
        <f>IFERROR(VLOOKUP(C88,KRX종목마스터!$A:$C,3,FALSE),"")</f>
        <v/>
      </c>
      <c r="F88" s="7"/>
      <c r="G88" s="14" t="str">
        <f t="shared" si="2"/>
        <v/>
      </c>
      <c r="H88" s="7"/>
      <c r="I88" s="4"/>
      <c r="J88" s="4"/>
      <c r="K88" s="4"/>
      <c r="L88" s="4"/>
      <c r="M88" s="4"/>
      <c r="N88" s="4"/>
      <c r="O88" s="4"/>
      <c r="P88" s="9"/>
    </row>
    <row r="89" spans="1:16" ht="18" customHeight="1" x14ac:dyDescent="0.45">
      <c r="A89" s="3"/>
      <c r="B89" s="4"/>
      <c r="C89" s="5"/>
      <c r="D89" s="6" t="str">
        <f>IFERROR(VLOOKUP(C89,KRX종목마스터!$A:$B,2,FALSE),"")</f>
        <v/>
      </c>
      <c r="E89" s="8" t="str">
        <f>IFERROR(VLOOKUP(C89,KRX종목마스터!$A:$C,3,FALSE),"")</f>
        <v/>
      </c>
      <c r="F89" s="7"/>
      <c r="G89" s="14" t="str">
        <f t="shared" si="2"/>
        <v/>
      </c>
      <c r="H89" s="7"/>
      <c r="I89" s="4"/>
      <c r="J89" s="4"/>
      <c r="K89" s="4"/>
      <c r="L89" s="4"/>
      <c r="M89" s="4"/>
      <c r="N89" s="4"/>
      <c r="O89" s="4"/>
      <c r="P89" s="9"/>
    </row>
    <row r="90" spans="1:16" ht="18" customHeight="1" x14ac:dyDescent="0.45">
      <c r="A90" s="3"/>
      <c r="B90" s="4"/>
      <c r="C90" s="5"/>
      <c r="D90" s="6" t="str">
        <f>IFERROR(VLOOKUP(C90,KRX종목마스터!$A:$B,2,FALSE),"")</f>
        <v/>
      </c>
      <c r="E90" s="8" t="str">
        <f>IFERROR(VLOOKUP(C90,KRX종목마스터!$A:$C,3,FALSE),"")</f>
        <v/>
      </c>
      <c r="F90" s="7"/>
      <c r="G90" s="14" t="str">
        <f t="shared" si="2"/>
        <v/>
      </c>
      <c r="H90" s="7"/>
      <c r="I90" s="4"/>
      <c r="J90" s="4"/>
      <c r="K90" s="4"/>
      <c r="L90" s="4"/>
      <c r="M90" s="4"/>
      <c r="N90" s="4"/>
      <c r="O90" s="4"/>
      <c r="P90" s="9"/>
    </row>
    <row r="91" spans="1:16" ht="18" customHeight="1" x14ac:dyDescent="0.45">
      <c r="A91" s="3"/>
      <c r="B91" s="4"/>
      <c r="C91" s="5"/>
      <c r="D91" s="6" t="str">
        <f>IFERROR(VLOOKUP(C91,KRX종목마스터!$A:$B,2,FALSE),"")</f>
        <v/>
      </c>
      <c r="E91" s="8" t="str">
        <f>IFERROR(VLOOKUP(C91,KRX종목마스터!$A:$C,3,FALSE),"")</f>
        <v/>
      </c>
      <c r="F91" s="7"/>
      <c r="G91" s="14" t="str">
        <f t="shared" si="2"/>
        <v/>
      </c>
      <c r="H91" s="7"/>
      <c r="I91" s="4"/>
      <c r="J91" s="4"/>
      <c r="K91" s="4"/>
      <c r="L91" s="4"/>
      <c r="M91" s="4"/>
      <c r="N91" s="4"/>
      <c r="O91" s="4"/>
      <c r="P91" s="9"/>
    </row>
    <row r="92" spans="1:16" ht="18" customHeight="1" x14ac:dyDescent="0.45">
      <c r="A92" s="3"/>
      <c r="B92" s="4"/>
      <c r="C92" s="5"/>
      <c r="D92" s="6" t="str">
        <f>IFERROR(VLOOKUP(C92,KRX종목마스터!$A:$B,2,FALSE),"")</f>
        <v/>
      </c>
      <c r="E92" s="8" t="str">
        <f>IFERROR(VLOOKUP(C92,KRX종목마스터!$A:$C,3,FALSE),"")</f>
        <v/>
      </c>
      <c r="F92" s="7"/>
      <c r="G92" s="14" t="str">
        <f t="shared" si="2"/>
        <v/>
      </c>
      <c r="H92" s="7"/>
      <c r="I92" s="4"/>
      <c r="J92" s="4"/>
      <c r="K92" s="4"/>
      <c r="L92" s="4"/>
      <c r="M92" s="4"/>
      <c r="N92" s="4"/>
      <c r="O92" s="4"/>
      <c r="P92" s="9"/>
    </row>
    <row r="93" spans="1:16" ht="18" customHeight="1" x14ac:dyDescent="0.45">
      <c r="A93" s="3"/>
      <c r="B93" s="4"/>
      <c r="C93" s="5"/>
      <c r="D93" s="6" t="str">
        <f>IFERROR(VLOOKUP(C93,KRX종목마스터!$A:$B,2,FALSE),"")</f>
        <v/>
      </c>
      <c r="E93" s="8" t="str">
        <f>IFERROR(VLOOKUP(C93,KRX종목마스터!$A:$C,3,FALSE),"")</f>
        <v/>
      </c>
      <c r="F93" s="7"/>
      <c r="G93" s="14" t="str">
        <f t="shared" si="2"/>
        <v/>
      </c>
      <c r="H93" s="7"/>
      <c r="I93" s="4"/>
      <c r="J93" s="4"/>
      <c r="K93" s="4"/>
      <c r="L93" s="4"/>
      <c r="M93" s="4"/>
      <c r="N93" s="4"/>
      <c r="O93" s="4"/>
      <c r="P93" s="9"/>
    </row>
    <row r="94" spans="1:16" ht="18" customHeight="1" x14ac:dyDescent="0.45">
      <c r="A94" s="3"/>
      <c r="B94" s="4"/>
      <c r="C94" s="5"/>
      <c r="D94" s="6" t="str">
        <f>IFERROR(VLOOKUP(C94,KRX종목마스터!$A:$B,2,FALSE),"")</f>
        <v/>
      </c>
      <c r="E94" s="8" t="str">
        <f>IFERROR(VLOOKUP(C94,KRX종목마스터!$A:$C,3,FALSE),"")</f>
        <v/>
      </c>
      <c r="F94" s="7"/>
      <c r="G94" s="14" t="str">
        <f t="shared" si="2"/>
        <v/>
      </c>
      <c r="H94" s="7"/>
      <c r="I94" s="4"/>
      <c r="J94" s="4"/>
      <c r="K94" s="4"/>
      <c r="L94" s="4"/>
      <c r="M94" s="4"/>
      <c r="N94" s="4"/>
      <c r="O94" s="4"/>
      <c r="P94" s="9"/>
    </row>
    <row r="95" spans="1:16" ht="18" customHeight="1" x14ac:dyDescent="0.45">
      <c r="A95" s="3"/>
      <c r="B95" s="4"/>
      <c r="C95" s="5"/>
      <c r="D95" s="6" t="str">
        <f>IFERROR(VLOOKUP(C95,KRX종목마스터!$A:$B,2,FALSE),"")</f>
        <v/>
      </c>
      <c r="E95" s="8" t="str">
        <f>IFERROR(VLOOKUP(C95,KRX종목마스터!$A:$C,3,FALSE),"")</f>
        <v/>
      </c>
      <c r="F95" s="7"/>
      <c r="G95" s="14" t="str">
        <f t="shared" si="2"/>
        <v/>
      </c>
      <c r="H95" s="7"/>
      <c r="I95" s="4"/>
      <c r="J95" s="4"/>
      <c r="K95" s="4"/>
      <c r="L95" s="4"/>
      <c r="M95" s="4"/>
      <c r="N95" s="4"/>
      <c r="O95" s="4"/>
      <c r="P95" s="9"/>
    </row>
    <row r="96" spans="1:16" ht="18" customHeight="1" x14ac:dyDescent="0.45">
      <c r="A96" s="3"/>
      <c r="B96" s="4"/>
      <c r="C96" s="5"/>
      <c r="D96" s="6" t="str">
        <f>IFERROR(VLOOKUP(C96,KRX종목마스터!$A:$B,2,FALSE),"")</f>
        <v/>
      </c>
      <c r="E96" s="8" t="str">
        <f>IFERROR(VLOOKUP(C96,KRX종목마스터!$A:$C,3,FALSE),"")</f>
        <v/>
      </c>
      <c r="F96" s="7"/>
      <c r="G96" s="14" t="str">
        <f t="shared" si="2"/>
        <v/>
      </c>
      <c r="H96" s="7"/>
      <c r="I96" s="4"/>
      <c r="J96" s="4"/>
      <c r="K96" s="4"/>
      <c r="L96" s="4"/>
      <c r="M96" s="4"/>
      <c r="N96" s="4"/>
      <c r="O96" s="4"/>
      <c r="P96" s="9"/>
    </row>
    <row r="97" spans="1:16" ht="18" customHeight="1" x14ac:dyDescent="0.45">
      <c r="A97" s="3"/>
      <c r="B97" s="4"/>
      <c r="C97" s="5"/>
      <c r="D97" s="6" t="str">
        <f>IFERROR(VLOOKUP(C97,KRX종목마스터!$A:$B,2,FALSE),"")</f>
        <v/>
      </c>
      <c r="E97" s="8" t="str">
        <f>IFERROR(VLOOKUP(C97,KRX종목마스터!$A:$C,3,FALSE),"")</f>
        <v/>
      </c>
      <c r="F97" s="7"/>
      <c r="G97" s="14" t="str">
        <f t="shared" si="2"/>
        <v/>
      </c>
      <c r="H97" s="7"/>
      <c r="I97" s="4"/>
      <c r="J97" s="4"/>
      <c r="K97" s="4"/>
      <c r="L97" s="4"/>
      <c r="M97" s="4"/>
      <c r="N97" s="4"/>
      <c r="O97" s="4"/>
      <c r="P97" s="9"/>
    </row>
    <row r="98" spans="1:16" ht="18" customHeight="1" x14ac:dyDescent="0.45">
      <c r="A98" s="3"/>
      <c r="B98" s="4"/>
      <c r="C98" s="5"/>
      <c r="D98" s="6" t="str">
        <f>IFERROR(VLOOKUP(C98,KRX종목마스터!$A:$B,2,FALSE),"")</f>
        <v/>
      </c>
      <c r="E98" s="8" t="str">
        <f>IFERROR(VLOOKUP(C98,KRX종목마스터!$A:$C,3,FALSE),"")</f>
        <v/>
      </c>
      <c r="F98" s="7"/>
      <c r="G98" s="14" t="str">
        <f t="shared" si="2"/>
        <v/>
      </c>
      <c r="H98" s="7"/>
      <c r="I98" s="4"/>
      <c r="J98" s="4"/>
      <c r="K98" s="4"/>
      <c r="L98" s="4"/>
      <c r="M98" s="4"/>
      <c r="N98" s="4"/>
      <c r="O98" s="4"/>
      <c r="P98" s="9"/>
    </row>
    <row r="99" spans="1:16" ht="18" customHeight="1" x14ac:dyDescent="0.45">
      <c r="A99" s="3"/>
      <c r="B99" s="4"/>
      <c r="C99" s="5"/>
      <c r="D99" s="6" t="str">
        <f>IFERROR(VLOOKUP(C99,KRX종목마스터!$A:$B,2,FALSE),"")</f>
        <v/>
      </c>
      <c r="E99" s="8" t="str">
        <f>IFERROR(VLOOKUP(C99,KRX종목마스터!$A:$C,3,FALSE),"")</f>
        <v/>
      </c>
      <c r="F99" s="7"/>
      <c r="G99" s="14" t="str">
        <f t="shared" si="2"/>
        <v/>
      </c>
      <c r="H99" s="7"/>
      <c r="I99" s="4"/>
      <c r="J99" s="4"/>
      <c r="K99" s="4"/>
      <c r="L99" s="4"/>
      <c r="M99" s="4"/>
      <c r="N99" s="4"/>
      <c r="O99" s="4"/>
      <c r="P99" s="9"/>
    </row>
    <row r="100" spans="1:16" ht="18" customHeight="1" x14ac:dyDescent="0.45">
      <c r="A100" s="3"/>
      <c r="B100" s="4"/>
      <c r="C100" s="5"/>
      <c r="D100" s="6" t="str">
        <f>IFERROR(VLOOKUP(C100,KRX종목마스터!$A:$B,2,FALSE),"")</f>
        <v/>
      </c>
      <c r="E100" s="8" t="str">
        <f>IFERROR(VLOOKUP(C100,KRX종목마스터!$A:$C,3,FALSE),"")</f>
        <v/>
      </c>
      <c r="F100" s="7"/>
      <c r="G100" s="14" t="str">
        <f t="shared" ref="G100:G131" si="3">IF(OR(E100="",F100=""),"",(F100-E100)/E100)</f>
        <v/>
      </c>
      <c r="H100" s="7"/>
      <c r="I100" s="4"/>
      <c r="J100" s="4"/>
      <c r="K100" s="4"/>
      <c r="L100" s="4"/>
      <c r="M100" s="4"/>
      <c r="N100" s="4"/>
      <c r="O100" s="4"/>
      <c r="P100" s="9"/>
    </row>
    <row r="101" spans="1:16" ht="18" customHeight="1" x14ac:dyDescent="0.45">
      <c r="A101" s="3"/>
      <c r="B101" s="4"/>
      <c r="C101" s="5"/>
      <c r="D101" s="6" t="str">
        <f>IFERROR(VLOOKUP(C101,KRX종목마스터!$A:$B,2,FALSE),"")</f>
        <v/>
      </c>
      <c r="E101" s="8" t="str">
        <f>IFERROR(VLOOKUP(C101,KRX종목마스터!$A:$C,3,FALSE),"")</f>
        <v/>
      </c>
      <c r="F101" s="7"/>
      <c r="G101" s="14" t="str">
        <f t="shared" si="3"/>
        <v/>
      </c>
      <c r="H101" s="7"/>
      <c r="I101" s="4"/>
      <c r="J101" s="4"/>
      <c r="K101" s="4"/>
      <c r="L101" s="4"/>
      <c r="M101" s="4"/>
      <c r="N101" s="4"/>
      <c r="O101" s="4"/>
      <c r="P101" s="9"/>
    </row>
    <row r="102" spans="1:16" ht="18" customHeight="1" x14ac:dyDescent="0.45">
      <c r="A102" s="3"/>
      <c r="B102" s="4"/>
      <c r="C102" s="5"/>
      <c r="D102" s="6" t="str">
        <f>IFERROR(VLOOKUP(C102,KRX종목마스터!$A:$B,2,FALSE),"")</f>
        <v/>
      </c>
      <c r="E102" s="8" t="str">
        <f>IFERROR(VLOOKUP(C102,KRX종목마스터!$A:$C,3,FALSE),"")</f>
        <v/>
      </c>
      <c r="F102" s="7"/>
      <c r="G102" s="14" t="str">
        <f t="shared" si="3"/>
        <v/>
      </c>
      <c r="H102" s="7"/>
      <c r="I102" s="4"/>
      <c r="J102" s="4"/>
      <c r="K102" s="4"/>
      <c r="L102" s="4"/>
      <c r="M102" s="4"/>
      <c r="N102" s="4"/>
      <c r="O102" s="4"/>
      <c r="P102" s="9"/>
    </row>
    <row r="103" spans="1:16" ht="18" customHeight="1" x14ac:dyDescent="0.45">
      <c r="A103" s="3"/>
      <c r="B103" s="4"/>
      <c r="C103" s="5"/>
      <c r="D103" s="6" t="str">
        <f>IFERROR(VLOOKUP(C103,KRX종목마스터!$A:$B,2,FALSE),"")</f>
        <v/>
      </c>
      <c r="E103" s="8" t="str">
        <f>IFERROR(VLOOKUP(C103,KRX종목마스터!$A:$C,3,FALSE),"")</f>
        <v/>
      </c>
      <c r="F103" s="7"/>
      <c r="G103" s="14" t="str">
        <f t="shared" si="3"/>
        <v/>
      </c>
      <c r="H103" s="7"/>
      <c r="I103" s="4"/>
      <c r="J103" s="4"/>
      <c r="K103" s="4"/>
      <c r="L103" s="4"/>
      <c r="M103" s="4"/>
      <c r="N103" s="4"/>
      <c r="O103" s="4"/>
      <c r="P103" s="9"/>
    </row>
    <row r="104" spans="1:16" ht="18" customHeight="1" x14ac:dyDescent="0.45">
      <c r="A104" s="3"/>
      <c r="B104" s="4"/>
      <c r="C104" s="5"/>
      <c r="D104" s="6" t="str">
        <f>IFERROR(VLOOKUP(C104,KRX종목마스터!$A:$B,2,FALSE),"")</f>
        <v/>
      </c>
      <c r="E104" s="8" t="str">
        <f>IFERROR(VLOOKUP(C104,KRX종목마스터!$A:$C,3,FALSE),"")</f>
        <v/>
      </c>
      <c r="F104" s="7"/>
      <c r="G104" s="14" t="str">
        <f t="shared" si="3"/>
        <v/>
      </c>
      <c r="H104" s="7"/>
      <c r="I104" s="4"/>
      <c r="J104" s="4"/>
      <c r="K104" s="4"/>
      <c r="L104" s="4"/>
      <c r="M104" s="4"/>
      <c r="N104" s="4"/>
      <c r="O104" s="4"/>
      <c r="P104" s="9"/>
    </row>
    <row r="105" spans="1:16" ht="18" customHeight="1" x14ac:dyDescent="0.45">
      <c r="A105" s="3"/>
      <c r="B105" s="4"/>
      <c r="C105" s="5"/>
      <c r="D105" s="6" t="str">
        <f>IFERROR(VLOOKUP(C105,KRX종목마스터!$A:$B,2,FALSE),"")</f>
        <v/>
      </c>
      <c r="E105" s="8" t="str">
        <f>IFERROR(VLOOKUP(C105,KRX종목마스터!$A:$C,3,FALSE),"")</f>
        <v/>
      </c>
      <c r="F105" s="7"/>
      <c r="G105" s="14" t="str">
        <f t="shared" si="3"/>
        <v/>
      </c>
      <c r="H105" s="7"/>
      <c r="I105" s="4"/>
      <c r="J105" s="4"/>
      <c r="K105" s="4"/>
      <c r="L105" s="4"/>
      <c r="M105" s="4"/>
      <c r="N105" s="4"/>
      <c r="O105" s="4"/>
      <c r="P105" s="9"/>
    </row>
    <row r="106" spans="1:16" ht="18" customHeight="1" x14ac:dyDescent="0.45">
      <c r="A106" s="3"/>
      <c r="B106" s="4"/>
      <c r="C106" s="5"/>
      <c r="D106" s="6" t="str">
        <f>IFERROR(VLOOKUP(C106,KRX종목마스터!$A:$B,2,FALSE),"")</f>
        <v/>
      </c>
      <c r="E106" s="8" t="str">
        <f>IFERROR(VLOOKUP(C106,KRX종목마스터!$A:$C,3,FALSE),"")</f>
        <v/>
      </c>
      <c r="F106" s="7"/>
      <c r="G106" s="14" t="str">
        <f t="shared" si="3"/>
        <v/>
      </c>
      <c r="H106" s="7"/>
      <c r="I106" s="4"/>
      <c r="J106" s="4"/>
      <c r="K106" s="4"/>
      <c r="L106" s="4"/>
      <c r="M106" s="4"/>
      <c r="N106" s="4"/>
      <c r="O106" s="4"/>
      <c r="P106" s="9"/>
    </row>
    <row r="107" spans="1:16" ht="18" customHeight="1" x14ac:dyDescent="0.45">
      <c r="A107" s="3"/>
      <c r="B107" s="4"/>
      <c r="C107" s="5"/>
      <c r="D107" s="6" t="str">
        <f>IFERROR(VLOOKUP(C107,KRX종목마스터!$A:$B,2,FALSE),"")</f>
        <v/>
      </c>
      <c r="E107" s="8" t="str">
        <f>IFERROR(VLOOKUP(C107,KRX종목마스터!$A:$C,3,FALSE),"")</f>
        <v/>
      </c>
      <c r="F107" s="7"/>
      <c r="G107" s="14" t="str">
        <f t="shared" si="3"/>
        <v/>
      </c>
      <c r="H107" s="7"/>
      <c r="I107" s="4"/>
      <c r="J107" s="4"/>
      <c r="K107" s="4"/>
      <c r="L107" s="4"/>
      <c r="M107" s="4"/>
      <c r="N107" s="4"/>
      <c r="O107" s="4"/>
      <c r="P107" s="9"/>
    </row>
    <row r="108" spans="1:16" ht="18" customHeight="1" x14ac:dyDescent="0.45">
      <c r="A108" s="3"/>
      <c r="B108" s="4"/>
      <c r="C108" s="5"/>
      <c r="D108" s="6" t="str">
        <f>IFERROR(VLOOKUP(C108,KRX종목마스터!$A:$B,2,FALSE),"")</f>
        <v/>
      </c>
      <c r="E108" s="8" t="str">
        <f>IFERROR(VLOOKUP(C108,KRX종목마스터!$A:$C,3,FALSE),"")</f>
        <v/>
      </c>
      <c r="F108" s="7"/>
      <c r="G108" s="14" t="str">
        <f t="shared" si="3"/>
        <v/>
      </c>
      <c r="H108" s="7"/>
      <c r="I108" s="4"/>
      <c r="J108" s="4"/>
      <c r="K108" s="4"/>
      <c r="L108" s="4"/>
      <c r="M108" s="4"/>
      <c r="N108" s="4"/>
      <c r="O108" s="4"/>
      <c r="P108" s="9"/>
    </row>
    <row r="109" spans="1:16" ht="18" customHeight="1" x14ac:dyDescent="0.45">
      <c r="A109" s="3"/>
      <c r="B109" s="4"/>
      <c r="C109" s="5"/>
      <c r="D109" s="6" t="str">
        <f>IFERROR(VLOOKUP(C109,KRX종목마스터!$A:$B,2,FALSE),"")</f>
        <v/>
      </c>
      <c r="E109" s="8" t="str">
        <f>IFERROR(VLOOKUP(C109,KRX종목마스터!$A:$C,3,FALSE),"")</f>
        <v/>
      </c>
      <c r="F109" s="7"/>
      <c r="G109" s="14" t="str">
        <f t="shared" si="3"/>
        <v/>
      </c>
      <c r="H109" s="7"/>
      <c r="I109" s="4"/>
      <c r="J109" s="4"/>
      <c r="K109" s="4"/>
      <c r="L109" s="4"/>
      <c r="M109" s="4"/>
      <c r="N109" s="4"/>
      <c r="O109" s="4"/>
      <c r="P109" s="9"/>
    </row>
    <row r="110" spans="1:16" ht="18" customHeight="1" x14ac:dyDescent="0.45">
      <c r="A110" s="3"/>
      <c r="B110" s="4"/>
      <c r="C110" s="5"/>
      <c r="D110" s="6" t="str">
        <f>IFERROR(VLOOKUP(C110,KRX종목마스터!$A:$B,2,FALSE),"")</f>
        <v/>
      </c>
      <c r="E110" s="8" t="str">
        <f>IFERROR(VLOOKUP(C110,KRX종목마스터!$A:$C,3,FALSE),"")</f>
        <v/>
      </c>
      <c r="F110" s="7"/>
      <c r="G110" s="14" t="str">
        <f t="shared" si="3"/>
        <v/>
      </c>
      <c r="H110" s="7"/>
      <c r="I110" s="4"/>
      <c r="J110" s="4"/>
      <c r="K110" s="4"/>
      <c r="L110" s="4"/>
      <c r="M110" s="4"/>
      <c r="N110" s="4"/>
      <c r="O110" s="4"/>
      <c r="P110" s="9"/>
    </row>
    <row r="111" spans="1:16" ht="18" customHeight="1" x14ac:dyDescent="0.45">
      <c r="A111" s="3"/>
      <c r="B111" s="4"/>
      <c r="C111" s="5"/>
      <c r="D111" s="6" t="str">
        <f>IFERROR(VLOOKUP(C111,KRX종목마스터!$A:$B,2,FALSE),"")</f>
        <v/>
      </c>
      <c r="E111" s="8" t="str">
        <f>IFERROR(VLOOKUP(C111,KRX종목마스터!$A:$C,3,FALSE),"")</f>
        <v/>
      </c>
      <c r="F111" s="7"/>
      <c r="G111" s="14" t="str">
        <f t="shared" si="3"/>
        <v/>
      </c>
      <c r="H111" s="7"/>
      <c r="I111" s="4"/>
      <c r="J111" s="4"/>
      <c r="K111" s="4"/>
      <c r="L111" s="4"/>
      <c r="M111" s="4"/>
      <c r="N111" s="4"/>
      <c r="O111" s="4"/>
      <c r="P111" s="9"/>
    </row>
    <row r="112" spans="1:16" ht="18" customHeight="1" x14ac:dyDescent="0.45">
      <c r="A112" s="3"/>
      <c r="B112" s="4"/>
      <c r="C112" s="5"/>
      <c r="D112" s="6" t="str">
        <f>IFERROR(VLOOKUP(C112,KRX종목마스터!$A:$B,2,FALSE),"")</f>
        <v/>
      </c>
      <c r="E112" s="8" t="str">
        <f>IFERROR(VLOOKUP(C112,KRX종목마스터!$A:$C,3,FALSE),"")</f>
        <v/>
      </c>
      <c r="F112" s="7"/>
      <c r="G112" s="14" t="str">
        <f t="shared" si="3"/>
        <v/>
      </c>
      <c r="H112" s="7"/>
      <c r="I112" s="4"/>
      <c r="J112" s="4"/>
      <c r="K112" s="4"/>
      <c r="L112" s="4"/>
      <c r="M112" s="4"/>
      <c r="N112" s="4"/>
      <c r="O112" s="4"/>
      <c r="P112" s="9"/>
    </row>
    <row r="113" spans="1:16" ht="18" customHeight="1" x14ac:dyDescent="0.45">
      <c r="A113" s="3"/>
      <c r="B113" s="4"/>
      <c r="C113" s="5"/>
      <c r="D113" s="6" t="str">
        <f>IFERROR(VLOOKUP(C113,KRX종목마스터!$A:$B,2,FALSE),"")</f>
        <v/>
      </c>
      <c r="E113" s="8" t="str">
        <f>IFERROR(VLOOKUP(C113,KRX종목마스터!$A:$C,3,FALSE),"")</f>
        <v/>
      </c>
      <c r="F113" s="7"/>
      <c r="G113" s="14" t="str">
        <f t="shared" si="3"/>
        <v/>
      </c>
      <c r="H113" s="7"/>
      <c r="I113" s="4"/>
      <c r="J113" s="4"/>
      <c r="K113" s="4"/>
      <c r="L113" s="4"/>
      <c r="M113" s="4"/>
      <c r="N113" s="4"/>
      <c r="O113" s="4"/>
      <c r="P113" s="9"/>
    </row>
    <row r="114" spans="1:16" ht="18" customHeight="1" x14ac:dyDescent="0.45">
      <c r="A114" s="3"/>
      <c r="B114" s="4"/>
      <c r="C114" s="5"/>
      <c r="D114" s="6" t="str">
        <f>IFERROR(VLOOKUP(C114,KRX종목마스터!$A:$B,2,FALSE),"")</f>
        <v/>
      </c>
      <c r="E114" s="8" t="str">
        <f>IFERROR(VLOOKUP(C114,KRX종목마스터!$A:$C,3,FALSE),"")</f>
        <v/>
      </c>
      <c r="F114" s="7"/>
      <c r="G114" s="14" t="str">
        <f t="shared" si="3"/>
        <v/>
      </c>
      <c r="H114" s="7"/>
      <c r="I114" s="4"/>
      <c r="J114" s="4"/>
      <c r="K114" s="4"/>
      <c r="L114" s="4"/>
      <c r="M114" s="4"/>
      <c r="N114" s="4"/>
      <c r="O114" s="4"/>
      <c r="P114" s="9"/>
    </row>
    <row r="115" spans="1:16" ht="18" customHeight="1" x14ac:dyDescent="0.45">
      <c r="A115" s="3"/>
      <c r="B115" s="4"/>
      <c r="C115" s="5"/>
      <c r="D115" s="6" t="str">
        <f>IFERROR(VLOOKUP(C115,KRX종목마스터!$A:$B,2,FALSE),"")</f>
        <v/>
      </c>
      <c r="E115" s="8" t="str">
        <f>IFERROR(VLOOKUP(C115,KRX종목마스터!$A:$C,3,FALSE),"")</f>
        <v/>
      </c>
      <c r="F115" s="7"/>
      <c r="G115" s="14" t="str">
        <f t="shared" si="3"/>
        <v/>
      </c>
      <c r="H115" s="7"/>
      <c r="I115" s="4"/>
      <c r="J115" s="4"/>
      <c r="K115" s="4"/>
      <c r="L115" s="4"/>
      <c r="M115" s="4"/>
      <c r="N115" s="4"/>
      <c r="O115" s="4"/>
      <c r="P115" s="9"/>
    </row>
    <row r="116" spans="1:16" ht="18" customHeight="1" x14ac:dyDescent="0.45">
      <c r="A116" s="3"/>
      <c r="B116" s="4"/>
      <c r="C116" s="5"/>
      <c r="D116" s="6" t="str">
        <f>IFERROR(VLOOKUP(C116,KRX종목마스터!$A:$B,2,FALSE),"")</f>
        <v/>
      </c>
      <c r="E116" s="8" t="str">
        <f>IFERROR(VLOOKUP(C116,KRX종목마스터!$A:$C,3,FALSE),"")</f>
        <v/>
      </c>
      <c r="F116" s="7"/>
      <c r="G116" s="14" t="str">
        <f t="shared" si="3"/>
        <v/>
      </c>
      <c r="H116" s="7"/>
      <c r="I116" s="4"/>
      <c r="J116" s="4"/>
      <c r="K116" s="4"/>
      <c r="L116" s="4"/>
      <c r="M116" s="4"/>
      <c r="N116" s="4"/>
      <c r="O116" s="4"/>
      <c r="P116" s="9"/>
    </row>
    <row r="117" spans="1:16" ht="18" customHeight="1" x14ac:dyDescent="0.45">
      <c r="A117" s="3"/>
      <c r="B117" s="4"/>
      <c r="C117" s="5"/>
      <c r="D117" s="6" t="str">
        <f>IFERROR(VLOOKUP(C117,KRX종목마스터!$A:$B,2,FALSE),"")</f>
        <v/>
      </c>
      <c r="E117" s="8" t="str">
        <f>IFERROR(VLOOKUP(C117,KRX종목마스터!$A:$C,3,FALSE),"")</f>
        <v/>
      </c>
      <c r="F117" s="7"/>
      <c r="G117" s="14" t="str">
        <f t="shared" si="3"/>
        <v/>
      </c>
      <c r="H117" s="7"/>
      <c r="I117" s="4"/>
      <c r="J117" s="4"/>
      <c r="K117" s="4"/>
      <c r="L117" s="4"/>
      <c r="M117" s="4"/>
      <c r="N117" s="4"/>
      <c r="O117" s="4"/>
      <c r="P117" s="9"/>
    </row>
    <row r="118" spans="1:16" ht="18" customHeight="1" x14ac:dyDescent="0.45">
      <c r="A118" s="3"/>
      <c r="B118" s="4"/>
      <c r="C118" s="5"/>
      <c r="D118" s="6" t="str">
        <f>IFERROR(VLOOKUP(C118,KRX종목마스터!$A:$B,2,FALSE),"")</f>
        <v/>
      </c>
      <c r="E118" s="8" t="str">
        <f>IFERROR(VLOOKUP(C118,KRX종목마스터!$A:$C,3,FALSE),"")</f>
        <v/>
      </c>
      <c r="F118" s="7"/>
      <c r="G118" s="14" t="str">
        <f t="shared" si="3"/>
        <v/>
      </c>
      <c r="H118" s="7"/>
      <c r="I118" s="4"/>
      <c r="J118" s="4"/>
      <c r="K118" s="4"/>
      <c r="L118" s="4"/>
      <c r="M118" s="4"/>
      <c r="N118" s="4"/>
      <c r="O118" s="4"/>
      <c r="P118" s="9"/>
    </row>
    <row r="119" spans="1:16" ht="18" customHeight="1" x14ac:dyDescent="0.45">
      <c r="A119" s="3"/>
      <c r="B119" s="4"/>
      <c r="C119" s="5"/>
      <c r="D119" s="6" t="str">
        <f>IFERROR(VLOOKUP(C119,KRX종목마스터!$A:$B,2,FALSE),"")</f>
        <v/>
      </c>
      <c r="E119" s="8" t="str">
        <f>IFERROR(VLOOKUP(C119,KRX종목마스터!$A:$C,3,FALSE),"")</f>
        <v/>
      </c>
      <c r="F119" s="7"/>
      <c r="G119" s="14" t="str">
        <f t="shared" si="3"/>
        <v/>
      </c>
      <c r="H119" s="7"/>
      <c r="I119" s="4"/>
      <c r="J119" s="4"/>
      <c r="K119" s="4"/>
      <c r="L119" s="4"/>
      <c r="M119" s="4"/>
      <c r="N119" s="4"/>
      <c r="O119" s="4"/>
      <c r="P119" s="9"/>
    </row>
    <row r="120" spans="1:16" ht="18" customHeight="1" x14ac:dyDescent="0.45">
      <c r="A120" s="3"/>
      <c r="B120" s="4"/>
      <c r="C120" s="5"/>
      <c r="D120" s="6" t="str">
        <f>IFERROR(VLOOKUP(C120,KRX종목마스터!$A:$B,2,FALSE),"")</f>
        <v/>
      </c>
      <c r="E120" s="8" t="str">
        <f>IFERROR(VLOOKUP(C120,KRX종목마스터!$A:$C,3,FALSE),"")</f>
        <v/>
      </c>
      <c r="F120" s="7"/>
      <c r="G120" s="14" t="str">
        <f t="shared" si="3"/>
        <v/>
      </c>
      <c r="H120" s="7"/>
      <c r="I120" s="4"/>
      <c r="J120" s="4"/>
      <c r="K120" s="4"/>
      <c r="L120" s="4"/>
      <c r="M120" s="4"/>
      <c r="N120" s="4"/>
      <c r="O120" s="4"/>
      <c r="P120" s="9"/>
    </row>
    <row r="121" spans="1:16" ht="18" customHeight="1" x14ac:dyDescent="0.45">
      <c r="A121" s="3"/>
      <c r="B121" s="4"/>
      <c r="C121" s="5"/>
      <c r="D121" s="6" t="str">
        <f>IFERROR(VLOOKUP(C121,KRX종목마스터!$A:$B,2,FALSE),"")</f>
        <v/>
      </c>
      <c r="E121" s="8" t="str">
        <f>IFERROR(VLOOKUP(C121,KRX종목마스터!$A:$C,3,FALSE),"")</f>
        <v/>
      </c>
      <c r="F121" s="7"/>
      <c r="G121" s="14" t="str">
        <f t="shared" si="3"/>
        <v/>
      </c>
      <c r="H121" s="7"/>
      <c r="I121" s="4"/>
      <c r="J121" s="4"/>
      <c r="K121" s="4"/>
      <c r="L121" s="4"/>
      <c r="M121" s="4"/>
      <c r="N121" s="4"/>
      <c r="O121" s="4"/>
      <c r="P121" s="9"/>
    </row>
    <row r="122" spans="1:16" ht="18" customHeight="1" x14ac:dyDescent="0.45">
      <c r="A122" s="3"/>
      <c r="B122" s="4"/>
      <c r="C122" s="5"/>
      <c r="D122" s="6" t="str">
        <f>IFERROR(VLOOKUP(C122,KRX종목마스터!$A:$B,2,FALSE),"")</f>
        <v/>
      </c>
      <c r="E122" s="8" t="str">
        <f>IFERROR(VLOOKUP(C122,KRX종목마스터!$A:$C,3,FALSE),"")</f>
        <v/>
      </c>
      <c r="F122" s="7"/>
      <c r="G122" s="14" t="str">
        <f t="shared" si="3"/>
        <v/>
      </c>
      <c r="H122" s="7"/>
      <c r="I122" s="4"/>
      <c r="J122" s="4"/>
      <c r="K122" s="4"/>
      <c r="L122" s="4"/>
      <c r="M122" s="4"/>
      <c r="N122" s="4"/>
      <c r="O122" s="4"/>
      <c r="P122" s="9"/>
    </row>
    <row r="123" spans="1:16" ht="18" customHeight="1" x14ac:dyDescent="0.45">
      <c r="A123" s="3"/>
      <c r="B123" s="4"/>
      <c r="C123" s="5"/>
      <c r="D123" s="6" t="str">
        <f>IFERROR(VLOOKUP(C123,KRX종목마스터!$A:$B,2,FALSE),"")</f>
        <v/>
      </c>
      <c r="E123" s="8" t="str">
        <f>IFERROR(VLOOKUP(C123,KRX종목마스터!$A:$C,3,FALSE),"")</f>
        <v/>
      </c>
      <c r="F123" s="7"/>
      <c r="G123" s="14" t="str">
        <f t="shared" si="3"/>
        <v/>
      </c>
      <c r="H123" s="7"/>
      <c r="I123" s="4"/>
      <c r="J123" s="4"/>
      <c r="K123" s="4"/>
      <c r="L123" s="4"/>
      <c r="M123" s="4"/>
      <c r="N123" s="4"/>
      <c r="O123" s="4"/>
      <c r="P123" s="9"/>
    </row>
    <row r="124" spans="1:16" ht="18" customHeight="1" x14ac:dyDescent="0.45">
      <c r="A124" s="3"/>
      <c r="B124" s="4"/>
      <c r="C124" s="5"/>
      <c r="D124" s="6" t="str">
        <f>IFERROR(VLOOKUP(C124,KRX종목마스터!$A:$B,2,FALSE),"")</f>
        <v/>
      </c>
      <c r="E124" s="8" t="str">
        <f>IFERROR(VLOOKUP(C124,KRX종목마스터!$A:$C,3,FALSE),"")</f>
        <v/>
      </c>
      <c r="F124" s="7"/>
      <c r="G124" s="14" t="str">
        <f t="shared" si="3"/>
        <v/>
      </c>
      <c r="H124" s="7"/>
      <c r="I124" s="4"/>
      <c r="J124" s="4"/>
      <c r="K124" s="4"/>
      <c r="L124" s="4"/>
      <c r="M124" s="4"/>
      <c r="N124" s="4"/>
      <c r="O124" s="4"/>
      <c r="P124" s="9"/>
    </row>
    <row r="125" spans="1:16" ht="18" customHeight="1" x14ac:dyDescent="0.45">
      <c r="A125" s="3"/>
      <c r="B125" s="4"/>
      <c r="C125" s="5"/>
      <c r="D125" s="6" t="str">
        <f>IFERROR(VLOOKUP(C125,KRX종목마스터!$A:$B,2,FALSE),"")</f>
        <v/>
      </c>
      <c r="E125" s="8" t="str">
        <f>IFERROR(VLOOKUP(C125,KRX종목마스터!$A:$C,3,FALSE),"")</f>
        <v/>
      </c>
      <c r="F125" s="7"/>
      <c r="G125" s="14" t="str">
        <f t="shared" si="3"/>
        <v/>
      </c>
      <c r="H125" s="7"/>
      <c r="I125" s="4"/>
      <c r="J125" s="4"/>
      <c r="K125" s="4"/>
      <c r="L125" s="4"/>
      <c r="M125" s="4"/>
      <c r="N125" s="4"/>
      <c r="O125" s="4"/>
      <c r="P125" s="9"/>
    </row>
    <row r="126" spans="1:16" ht="18" customHeight="1" x14ac:dyDescent="0.45">
      <c r="A126" s="3"/>
      <c r="B126" s="4"/>
      <c r="C126" s="5"/>
      <c r="D126" s="6" t="str">
        <f>IFERROR(VLOOKUP(C126,KRX종목마스터!$A:$B,2,FALSE),"")</f>
        <v/>
      </c>
      <c r="E126" s="8" t="str">
        <f>IFERROR(VLOOKUP(C126,KRX종목마스터!$A:$C,3,FALSE),"")</f>
        <v/>
      </c>
      <c r="F126" s="7"/>
      <c r="G126" s="14" t="str">
        <f t="shared" si="3"/>
        <v/>
      </c>
      <c r="H126" s="7"/>
      <c r="I126" s="4"/>
      <c r="J126" s="4"/>
      <c r="K126" s="4"/>
      <c r="L126" s="4"/>
      <c r="M126" s="4"/>
      <c r="N126" s="4"/>
      <c r="O126" s="4"/>
      <c r="P126" s="9"/>
    </row>
    <row r="127" spans="1:16" ht="18" customHeight="1" x14ac:dyDescent="0.45">
      <c r="A127" s="3"/>
      <c r="B127" s="4"/>
      <c r="C127" s="5"/>
      <c r="D127" s="6" t="str">
        <f>IFERROR(VLOOKUP(C127,KRX종목마스터!$A:$B,2,FALSE),"")</f>
        <v/>
      </c>
      <c r="E127" s="8" t="str">
        <f>IFERROR(VLOOKUP(C127,KRX종목마스터!$A:$C,3,FALSE),"")</f>
        <v/>
      </c>
      <c r="F127" s="7"/>
      <c r="G127" s="14" t="str">
        <f t="shared" si="3"/>
        <v/>
      </c>
      <c r="H127" s="7"/>
      <c r="I127" s="4"/>
      <c r="J127" s="4"/>
      <c r="K127" s="4"/>
      <c r="L127" s="4"/>
      <c r="M127" s="4"/>
      <c r="N127" s="4"/>
      <c r="O127" s="4"/>
      <c r="P127" s="9"/>
    </row>
    <row r="128" spans="1:16" ht="18" customHeight="1" x14ac:dyDescent="0.45">
      <c r="A128" s="3"/>
      <c r="B128" s="4"/>
      <c r="C128" s="5"/>
      <c r="D128" s="6" t="str">
        <f>IFERROR(VLOOKUP(C128,KRX종목마스터!$A:$B,2,FALSE),"")</f>
        <v/>
      </c>
      <c r="E128" s="8" t="str">
        <f>IFERROR(VLOOKUP(C128,KRX종목마스터!$A:$C,3,FALSE),"")</f>
        <v/>
      </c>
      <c r="F128" s="7"/>
      <c r="G128" s="14" t="str">
        <f t="shared" si="3"/>
        <v/>
      </c>
      <c r="H128" s="7"/>
      <c r="I128" s="4"/>
      <c r="J128" s="4"/>
      <c r="K128" s="4"/>
      <c r="L128" s="4"/>
      <c r="M128" s="4"/>
      <c r="N128" s="4"/>
      <c r="O128" s="4"/>
      <c r="P128" s="9"/>
    </row>
    <row r="129" spans="1:16" ht="18" customHeight="1" x14ac:dyDescent="0.45">
      <c r="A129" s="3"/>
      <c r="B129" s="4"/>
      <c r="C129" s="5"/>
      <c r="D129" s="6" t="str">
        <f>IFERROR(VLOOKUP(C129,KRX종목마스터!$A:$B,2,FALSE),"")</f>
        <v/>
      </c>
      <c r="E129" s="8" t="str">
        <f>IFERROR(VLOOKUP(C129,KRX종목마스터!$A:$C,3,FALSE),"")</f>
        <v/>
      </c>
      <c r="F129" s="7"/>
      <c r="G129" s="14" t="str">
        <f t="shared" si="3"/>
        <v/>
      </c>
      <c r="H129" s="7"/>
      <c r="I129" s="4"/>
      <c r="J129" s="4"/>
      <c r="K129" s="4"/>
      <c r="L129" s="4"/>
      <c r="M129" s="4"/>
      <c r="N129" s="4"/>
      <c r="O129" s="4"/>
      <c r="P129" s="9"/>
    </row>
    <row r="130" spans="1:16" ht="18" customHeight="1" x14ac:dyDescent="0.45">
      <c r="A130" s="3"/>
      <c r="B130" s="4"/>
      <c r="C130" s="5"/>
      <c r="D130" s="6" t="str">
        <f>IFERROR(VLOOKUP(C130,KRX종목마스터!$A:$B,2,FALSE),"")</f>
        <v/>
      </c>
      <c r="E130" s="8" t="str">
        <f>IFERROR(VLOOKUP(C130,KRX종목마스터!$A:$C,3,FALSE),"")</f>
        <v/>
      </c>
      <c r="F130" s="7"/>
      <c r="G130" s="14" t="str">
        <f t="shared" si="3"/>
        <v/>
      </c>
      <c r="H130" s="7"/>
      <c r="I130" s="4"/>
      <c r="J130" s="4"/>
      <c r="K130" s="4"/>
      <c r="L130" s="4"/>
      <c r="M130" s="4"/>
      <c r="N130" s="4"/>
      <c r="O130" s="4"/>
      <c r="P130" s="9"/>
    </row>
    <row r="131" spans="1:16" ht="18" customHeight="1" x14ac:dyDescent="0.45">
      <c r="A131" s="3"/>
      <c r="B131" s="4"/>
      <c r="C131" s="5"/>
      <c r="D131" s="6" t="str">
        <f>IFERROR(VLOOKUP(C131,KRX종목마스터!$A:$B,2,FALSE),"")</f>
        <v/>
      </c>
      <c r="E131" s="8" t="str">
        <f>IFERROR(VLOOKUP(C131,KRX종목마스터!$A:$C,3,FALSE),"")</f>
        <v/>
      </c>
      <c r="F131" s="7"/>
      <c r="G131" s="14" t="str">
        <f t="shared" si="3"/>
        <v/>
      </c>
      <c r="H131" s="7"/>
      <c r="I131" s="4"/>
      <c r="J131" s="4"/>
      <c r="K131" s="4"/>
      <c r="L131" s="4"/>
      <c r="M131" s="4"/>
      <c r="N131" s="4"/>
      <c r="O131" s="4"/>
      <c r="P131" s="9"/>
    </row>
    <row r="132" spans="1:16" ht="18" customHeight="1" x14ac:dyDescent="0.45">
      <c r="A132" s="3"/>
      <c r="B132" s="4"/>
      <c r="C132" s="5"/>
      <c r="D132" s="6" t="str">
        <f>IFERROR(VLOOKUP(C132,KRX종목마스터!$A:$B,2,FALSE),"")</f>
        <v/>
      </c>
      <c r="E132" s="8" t="str">
        <f>IFERROR(VLOOKUP(C132,KRX종목마스터!$A:$C,3,FALSE),"")</f>
        <v/>
      </c>
      <c r="F132" s="7"/>
      <c r="G132" s="14" t="str">
        <f t="shared" ref="G132:G163" si="4">IF(OR(E132="",F132=""),"",(F132-E132)/E132)</f>
        <v/>
      </c>
      <c r="H132" s="7"/>
      <c r="I132" s="4"/>
      <c r="J132" s="4"/>
      <c r="K132" s="4"/>
      <c r="L132" s="4"/>
      <c r="M132" s="4"/>
      <c r="N132" s="4"/>
      <c r="O132" s="4"/>
      <c r="P132" s="9"/>
    </row>
    <row r="133" spans="1:16" ht="18" customHeight="1" x14ac:dyDescent="0.45">
      <c r="A133" s="3"/>
      <c r="B133" s="4"/>
      <c r="C133" s="5"/>
      <c r="D133" s="6" t="str">
        <f>IFERROR(VLOOKUP(C133,KRX종목마스터!$A:$B,2,FALSE),"")</f>
        <v/>
      </c>
      <c r="E133" s="8" t="str">
        <f>IFERROR(VLOOKUP(C133,KRX종목마스터!$A:$C,3,FALSE),"")</f>
        <v/>
      </c>
      <c r="F133" s="7"/>
      <c r="G133" s="14" t="str">
        <f t="shared" si="4"/>
        <v/>
      </c>
      <c r="H133" s="7"/>
      <c r="I133" s="4"/>
      <c r="J133" s="4"/>
      <c r="K133" s="4"/>
      <c r="L133" s="4"/>
      <c r="M133" s="4"/>
      <c r="N133" s="4"/>
      <c r="O133" s="4"/>
      <c r="P133" s="9"/>
    </row>
    <row r="134" spans="1:16" ht="18" customHeight="1" x14ac:dyDescent="0.45">
      <c r="A134" s="3"/>
      <c r="B134" s="4"/>
      <c r="C134" s="5"/>
      <c r="D134" s="6" t="str">
        <f>IFERROR(VLOOKUP(C134,KRX종목마스터!$A:$B,2,FALSE),"")</f>
        <v/>
      </c>
      <c r="E134" s="8" t="str">
        <f>IFERROR(VLOOKUP(C134,KRX종목마스터!$A:$C,3,FALSE),"")</f>
        <v/>
      </c>
      <c r="F134" s="7"/>
      <c r="G134" s="14" t="str">
        <f t="shared" si="4"/>
        <v/>
      </c>
      <c r="H134" s="7"/>
      <c r="I134" s="4"/>
      <c r="J134" s="4"/>
      <c r="K134" s="4"/>
      <c r="L134" s="4"/>
      <c r="M134" s="4"/>
      <c r="N134" s="4"/>
      <c r="O134" s="4"/>
      <c r="P134" s="9"/>
    </row>
    <row r="135" spans="1:16" ht="18" customHeight="1" x14ac:dyDescent="0.45">
      <c r="A135" s="3"/>
      <c r="B135" s="4"/>
      <c r="C135" s="5"/>
      <c r="D135" s="6" t="str">
        <f>IFERROR(VLOOKUP(C135,KRX종목마스터!$A:$B,2,FALSE),"")</f>
        <v/>
      </c>
      <c r="E135" s="8" t="str">
        <f>IFERROR(VLOOKUP(C135,KRX종목마스터!$A:$C,3,FALSE),"")</f>
        <v/>
      </c>
      <c r="F135" s="7"/>
      <c r="G135" s="14" t="str">
        <f t="shared" si="4"/>
        <v/>
      </c>
      <c r="H135" s="7"/>
      <c r="I135" s="4"/>
      <c r="J135" s="4"/>
      <c r="K135" s="4"/>
      <c r="L135" s="4"/>
      <c r="M135" s="4"/>
      <c r="N135" s="4"/>
      <c r="O135" s="4"/>
      <c r="P135" s="9"/>
    </row>
    <row r="136" spans="1:16" ht="18" customHeight="1" x14ac:dyDescent="0.45">
      <c r="A136" s="3"/>
      <c r="B136" s="4"/>
      <c r="C136" s="5"/>
      <c r="D136" s="6" t="str">
        <f>IFERROR(VLOOKUP(C136,KRX종목마스터!$A:$B,2,FALSE),"")</f>
        <v/>
      </c>
      <c r="E136" s="8" t="str">
        <f>IFERROR(VLOOKUP(C136,KRX종목마스터!$A:$C,3,FALSE),"")</f>
        <v/>
      </c>
      <c r="F136" s="7"/>
      <c r="G136" s="14" t="str">
        <f t="shared" si="4"/>
        <v/>
      </c>
      <c r="H136" s="7"/>
      <c r="I136" s="4"/>
      <c r="J136" s="4"/>
      <c r="K136" s="4"/>
      <c r="L136" s="4"/>
      <c r="M136" s="4"/>
      <c r="N136" s="4"/>
      <c r="O136" s="4"/>
      <c r="P136" s="9"/>
    </row>
    <row r="137" spans="1:16" ht="18" customHeight="1" x14ac:dyDescent="0.45">
      <c r="A137" s="3"/>
      <c r="B137" s="4"/>
      <c r="C137" s="5"/>
      <c r="D137" s="6" t="str">
        <f>IFERROR(VLOOKUP(C137,KRX종목마스터!$A:$B,2,FALSE),"")</f>
        <v/>
      </c>
      <c r="E137" s="8" t="str">
        <f>IFERROR(VLOOKUP(C137,KRX종목마스터!$A:$C,3,FALSE),"")</f>
        <v/>
      </c>
      <c r="F137" s="7"/>
      <c r="G137" s="14" t="str">
        <f t="shared" si="4"/>
        <v/>
      </c>
      <c r="H137" s="7"/>
      <c r="I137" s="4"/>
      <c r="J137" s="4"/>
      <c r="K137" s="4"/>
      <c r="L137" s="4"/>
      <c r="M137" s="4"/>
      <c r="N137" s="4"/>
      <c r="O137" s="4"/>
      <c r="P137" s="9"/>
    </row>
    <row r="138" spans="1:16" ht="18" customHeight="1" x14ac:dyDescent="0.45">
      <c r="A138" s="3"/>
      <c r="B138" s="4"/>
      <c r="C138" s="5"/>
      <c r="D138" s="6" t="str">
        <f>IFERROR(VLOOKUP(C138,KRX종목마스터!$A:$B,2,FALSE),"")</f>
        <v/>
      </c>
      <c r="E138" s="8" t="str">
        <f>IFERROR(VLOOKUP(C138,KRX종목마스터!$A:$C,3,FALSE),"")</f>
        <v/>
      </c>
      <c r="F138" s="7"/>
      <c r="G138" s="14" t="str">
        <f t="shared" si="4"/>
        <v/>
      </c>
      <c r="H138" s="7"/>
      <c r="I138" s="4"/>
      <c r="J138" s="4"/>
      <c r="K138" s="4"/>
      <c r="L138" s="4"/>
      <c r="M138" s="4"/>
      <c r="N138" s="4"/>
      <c r="O138" s="4"/>
      <c r="P138" s="9"/>
    </row>
    <row r="139" spans="1:16" ht="18" customHeight="1" x14ac:dyDescent="0.45">
      <c r="A139" s="3"/>
      <c r="B139" s="4"/>
      <c r="C139" s="5"/>
      <c r="D139" s="6" t="str">
        <f>IFERROR(VLOOKUP(C139,KRX종목마스터!$A:$B,2,FALSE),"")</f>
        <v/>
      </c>
      <c r="E139" s="8" t="str">
        <f>IFERROR(VLOOKUP(C139,KRX종목마스터!$A:$C,3,FALSE),"")</f>
        <v/>
      </c>
      <c r="F139" s="7"/>
      <c r="G139" s="14" t="str">
        <f t="shared" si="4"/>
        <v/>
      </c>
      <c r="H139" s="7"/>
      <c r="I139" s="4"/>
      <c r="J139" s="4"/>
      <c r="K139" s="4"/>
      <c r="L139" s="4"/>
      <c r="M139" s="4"/>
      <c r="N139" s="4"/>
      <c r="O139" s="4"/>
      <c r="P139" s="9"/>
    </row>
    <row r="140" spans="1:16" ht="18" customHeight="1" x14ac:dyDescent="0.45">
      <c r="A140" s="3"/>
      <c r="B140" s="4"/>
      <c r="C140" s="5"/>
      <c r="D140" s="6" t="str">
        <f>IFERROR(VLOOKUP(C140,KRX종목마스터!$A:$B,2,FALSE),"")</f>
        <v/>
      </c>
      <c r="E140" s="8" t="str">
        <f>IFERROR(VLOOKUP(C140,KRX종목마스터!$A:$C,3,FALSE),"")</f>
        <v/>
      </c>
      <c r="F140" s="7"/>
      <c r="G140" s="14" t="str">
        <f t="shared" si="4"/>
        <v/>
      </c>
      <c r="H140" s="7"/>
      <c r="I140" s="4"/>
      <c r="J140" s="4"/>
      <c r="K140" s="4"/>
      <c r="L140" s="4"/>
      <c r="M140" s="4"/>
      <c r="N140" s="4"/>
      <c r="O140" s="4"/>
      <c r="P140" s="9"/>
    </row>
    <row r="141" spans="1:16" ht="18" customHeight="1" x14ac:dyDescent="0.45">
      <c r="A141" s="3"/>
      <c r="B141" s="4"/>
      <c r="C141" s="5"/>
      <c r="D141" s="6" t="str">
        <f>IFERROR(VLOOKUP(C141,KRX종목마스터!$A:$B,2,FALSE),"")</f>
        <v/>
      </c>
      <c r="E141" s="8" t="str">
        <f>IFERROR(VLOOKUP(C141,KRX종목마스터!$A:$C,3,FALSE),"")</f>
        <v/>
      </c>
      <c r="F141" s="7"/>
      <c r="G141" s="14" t="str">
        <f t="shared" si="4"/>
        <v/>
      </c>
      <c r="H141" s="7"/>
      <c r="I141" s="4"/>
      <c r="J141" s="4"/>
      <c r="K141" s="4"/>
      <c r="L141" s="4"/>
      <c r="M141" s="4"/>
      <c r="N141" s="4"/>
      <c r="O141" s="4"/>
      <c r="P141" s="9"/>
    </row>
    <row r="142" spans="1:16" ht="18" customHeight="1" x14ac:dyDescent="0.45">
      <c r="A142" s="3"/>
      <c r="B142" s="4"/>
      <c r="C142" s="5"/>
      <c r="D142" s="6" t="str">
        <f>IFERROR(VLOOKUP(C142,KRX종목마스터!$A:$B,2,FALSE),"")</f>
        <v/>
      </c>
      <c r="E142" s="8" t="str">
        <f>IFERROR(VLOOKUP(C142,KRX종목마스터!$A:$C,3,FALSE),"")</f>
        <v/>
      </c>
      <c r="F142" s="7"/>
      <c r="G142" s="14" t="str">
        <f t="shared" si="4"/>
        <v/>
      </c>
      <c r="H142" s="7"/>
      <c r="I142" s="4"/>
      <c r="J142" s="4"/>
      <c r="K142" s="4"/>
      <c r="L142" s="4"/>
      <c r="M142" s="4"/>
      <c r="N142" s="4"/>
      <c r="O142" s="4"/>
      <c r="P142" s="9"/>
    </row>
    <row r="143" spans="1:16" ht="18" customHeight="1" x14ac:dyDescent="0.45">
      <c r="A143" s="3"/>
      <c r="B143" s="4"/>
      <c r="C143" s="5"/>
      <c r="D143" s="6" t="str">
        <f>IFERROR(VLOOKUP(C143,KRX종목마스터!$A:$B,2,FALSE),"")</f>
        <v/>
      </c>
      <c r="E143" s="8" t="str">
        <f>IFERROR(VLOOKUP(C143,KRX종목마스터!$A:$C,3,FALSE),"")</f>
        <v/>
      </c>
      <c r="F143" s="7"/>
      <c r="G143" s="14" t="str">
        <f t="shared" si="4"/>
        <v/>
      </c>
      <c r="H143" s="7"/>
      <c r="I143" s="4"/>
      <c r="J143" s="4"/>
      <c r="K143" s="4"/>
      <c r="L143" s="4"/>
      <c r="M143" s="4"/>
      <c r="N143" s="4"/>
      <c r="O143" s="4"/>
      <c r="P143" s="9"/>
    </row>
    <row r="144" spans="1:16" ht="18" customHeight="1" x14ac:dyDescent="0.45">
      <c r="A144" s="3"/>
      <c r="B144" s="4"/>
      <c r="C144" s="5"/>
      <c r="D144" s="6" t="str">
        <f>IFERROR(VLOOKUP(C144,KRX종목마스터!$A:$B,2,FALSE),"")</f>
        <v/>
      </c>
      <c r="E144" s="8" t="str">
        <f>IFERROR(VLOOKUP(C144,KRX종목마스터!$A:$C,3,FALSE),"")</f>
        <v/>
      </c>
      <c r="F144" s="7"/>
      <c r="G144" s="14" t="str">
        <f t="shared" si="4"/>
        <v/>
      </c>
      <c r="H144" s="7"/>
      <c r="I144" s="4"/>
      <c r="J144" s="4"/>
      <c r="K144" s="4"/>
      <c r="L144" s="4"/>
      <c r="M144" s="4"/>
      <c r="N144" s="4"/>
      <c r="O144" s="4"/>
      <c r="P144" s="9"/>
    </row>
    <row r="145" spans="1:16" ht="18" customHeight="1" x14ac:dyDescent="0.45">
      <c r="A145" s="3"/>
      <c r="B145" s="4"/>
      <c r="C145" s="5"/>
      <c r="D145" s="6" t="str">
        <f>IFERROR(VLOOKUP(C145,KRX종목마스터!$A:$B,2,FALSE),"")</f>
        <v/>
      </c>
      <c r="E145" s="8" t="str">
        <f>IFERROR(VLOOKUP(C145,KRX종목마스터!$A:$C,3,FALSE),"")</f>
        <v/>
      </c>
      <c r="F145" s="7"/>
      <c r="G145" s="14" t="str">
        <f t="shared" si="4"/>
        <v/>
      </c>
      <c r="H145" s="7"/>
      <c r="I145" s="4"/>
      <c r="J145" s="4"/>
      <c r="K145" s="4"/>
      <c r="L145" s="4"/>
      <c r="M145" s="4"/>
      <c r="N145" s="4"/>
      <c r="O145" s="4"/>
      <c r="P145" s="9"/>
    </row>
    <row r="146" spans="1:16" ht="18" customHeight="1" x14ac:dyDescent="0.45">
      <c r="A146" s="3"/>
      <c r="B146" s="4"/>
      <c r="C146" s="5"/>
      <c r="D146" s="6" t="str">
        <f>IFERROR(VLOOKUP(C146,KRX종목마스터!$A:$B,2,FALSE),"")</f>
        <v/>
      </c>
      <c r="E146" s="8" t="str">
        <f>IFERROR(VLOOKUP(C146,KRX종목마스터!$A:$C,3,FALSE),"")</f>
        <v/>
      </c>
      <c r="F146" s="7"/>
      <c r="G146" s="14" t="str">
        <f t="shared" si="4"/>
        <v/>
      </c>
      <c r="H146" s="7"/>
      <c r="I146" s="4"/>
      <c r="J146" s="4"/>
      <c r="K146" s="4"/>
      <c r="L146" s="4"/>
      <c r="M146" s="4"/>
      <c r="N146" s="4"/>
      <c r="O146" s="4"/>
      <c r="P146" s="9"/>
    </row>
    <row r="147" spans="1:16" ht="18" customHeight="1" x14ac:dyDescent="0.45">
      <c r="A147" s="3"/>
      <c r="B147" s="4"/>
      <c r="C147" s="5"/>
      <c r="D147" s="6" t="str">
        <f>IFERROR(VLOOKUP(C147,KRX종목마스터!$A:$B,2,FALSE),"")</f>
        <v/>
      </c>
      <c r="E147" s="8" t="str">
        <f>IFERROR(VLOOKUP(C147,KRX종목마스터!$A:$C,3,FALSE),"")</f>
        <v/>
      </c>
      <c r="F147" s="7"/>
      <c r="G147" s="14" t="str">
        <f t="shared" si="4"/>
        <v/>
      </c>
      <c r="H147" s="7"/>
      <c r="I147" s="4"/>
      <c r="J147" s="4"/>
      <c r="K147" s="4"/>
      <c r="L147" s="4"/>
      <c r="M147" s="4"/>
      <c r="N147" s="4"/>
      <c r="O147" s="4"/>
      <c r="P147" s="9"/>
    </row>
    <row r="148" spans="1:16" ht="18" customHeight="1" x14ac:dyDescent="0.45">
      <c r="A148" s="3"/>
      <c r="B148" s="4"/>
      <c r="C148" s="5"/>
      <c r="D148" s="6" t="str">
        <f>IFERROR(VLOOKUP(C148,KRX종목마스터!$A:$B,2,FALSE),"")</f>
        <v/>
      </c>
      <c r="E148" s="8" t="str">
        <f>IFERROR(VLOOKUP(C148,KRX종목마스터!$A:$C,3,FALSE),"")</f>
        <v/>
      </c>
      <c r="F148" s="7"/>
      <c r="G148" s="14" t="str">
        <f t="shared" si="4"/>
        <v/>
      </c>
      <c r="H148" s="7"/>
      <c r="I148" s="4"/>
      <c r="J148" s="4"/>
      <c r="K148" s="4"/>
      <c r="L148" s="4"/>
      <c r="M148" s="4"/>
      <c r="N148" s="4"/>
      <c r="O148" s="4"/>
      <c r="P148" s="9"/>
    </row>
    <row r="149" spans="1:16" ht="18" customHeight="1" x14ac:dyDescent="0.45">
      <c r="A149" s="3"/>
      <c r="B149" s="4"/>
      <c r="C149" s="5"/>
      <c r="D149" s="6" t="str">
        <f>IFERROR(VLOOKUP(C149,KRX종목마스터!$A:$B,2,FALSE),"")</f>
        <v/>
      </c>
      <c r="E149" s="8" t="str">
        <f>IFERROR(VLOOKUP(C149,KRX종목마스터!$A:$C,3,FALSE),"")</f>
        <v/>
      </c>
      <c r="F149" s="7"/>
      <c r="G149" s="14" t="str">
        <f t="shared" si="4"/>
        <v/>
      </c>
      <c r="H149" s="7"/>
      <c r="I149" s="4"/>
      <c r="J149" s="4"/>
      <c r="K149" s="4"/>
      <c r="L149" s="4"/>
      <c r="M149" s="4"/>
      <c r="N149" s="4"/>
      <c r="O149" s="4"/>
      <c r="P149" s="9"/>
    </row>
    <row r="150" spans="1:16" ht="18" customHeight="1" x14ac:dyDescent="0.45">
      <c r="A150" s="3"/>
      <c r="B150" s="4"/>
      <c r="C150" s="5"/>
      <c r="D150" s="6" t="str">
        <f>IFERROR(VLOOKUP(C150,KRX종목마스터!$A:$B,2,FALSE),"")</f>
        <v/>
      </c>
      <c r="E150" s="8" t="str">
        <f>IFERROR(VLOOKUP(C150,KRX종목마스터!$A:$C,3,FALSE),"")</f>
        <v/>
      </c>
      <c r="F150" s="7"/>
      <c r="G150" s="14" t="str">
        <f t="shared" si="4"/>
        <v/>
      </c>
      <c r="H150" s="7"/>
      <c r="I150" s="4"/>
      <c r="J150" s="4"/>
      <c r="K150" s="4"/>
      <c r="L150" s="4"/>
      <c r="M150" s="4"/>
      <c r="N150" s="4"/>
      <c r="O150" s="4"/>
      <c r="P150" s="9"/>
    </row>
    <row r="151" spans="1:16" ht="18" customHeight="1" x14ac:dyDescent="0.45">
      <c r="A151" s="3"/>
      <c r="B151" s="4"/>
      <c r="C151" s="5"/>
      <c r="D151" s="6" t="str">
        <f>IFERROR(VLOOKUP(C151,KRX종목마스터!$A:$B,2,FALSE),"")</f>
        <v/>
      </c>
      <c r="E151" s="8" t="str">
        <f>IFERROR(VLOOKUP(C151,KRX종목마스터!$A:$C,3,FALSE),"")</f>
        <v/>
      </c>
      <c r="F151" s="7"/>
      <c r="G151" s="14" t="str">
        <f t="shared" si="4"/>
        <v/>
      </c>
      <c r="H151" s="7"/>
      <c r="I151" s="4"/>
      <c r="J151" s="4"/>
      <c r="K151" s="4"/>
      <c r="L151" s="4"/>
      <c r="M151" s="4"/>
      <c r="N151" s="4"/>
      <c r="O151" s="4"/>
      <c r="P151" s="9"/>
    </row>
    <row r="152" spans="1:16" ht="18" customHeight="1" x14ac:dyDescent="0.45">
      <c r="A152" s="3"/>
      <c r="B152" s="4"/>
      <c r="C152" s="5"/>
      <c r="D152" s="6" t="str">
        <f>IFERROR(VLOOKUP(C152,KRX종목마스터!$A:$B,2,FALSE),"")</f>
        <v/>
      </c>
      <c r="E152" s="8" t="str">
        <f>IFERROR(VLOOKUP(C152,KRX종목마스터!$A:$C,3,FALSE),"")</f>
        <v/>
      </c>
      <c r="F152" s="7"/>
      <c r="G152" s="14" t="str">
        <f t="shared" si="4"/>
        <v/>
      </c>
      <c r="H152" s="7"/>
      <c r="I152" s="4"/>
      <c r="J152" s="4"/>
      <c r="K152" s="4"/>
      <c r="L152" s="4"/>
      <c r="M152" s="4"/>
      <c r="N152" s="4"/>
      <c r="O152" s="4"/>
      <c r="P152" s="9"/>
    </row>
    <row r="153" spans="1:16" ht="18" customHeight="1" x14ac:dyDescent="0.45">
      <c r="A153" s="3"/>
      <c r="B153" s="4"/>
      <c r="C153" s="5"/>
      <c r="D153" s="6" t="str">
        <f>IFERROR(VLOOKUP(C153,KRX종목마스터!$A:$B,2,FALSE),"")</f>
        <v/>
      </c>
      <c r="E153" s="8" t="str">
        <f>IFERROR(VLOOKUP(C153,KRX종목마스터!$A:$C,3,FALSE),"")</f>
        <v/>
      </c>
      <c r="F153" s="7"/>
      <c r="G153" s="14" t="str">
        <f t="shared" si="4"/>
        <v/>
      </c>
      <c r="H153" s="7"/>
      <c r="I153" s="4"/>
      <c r="J153" s="4"/>
      <c r="K153" s="4"/>
      <c r="L153" s="4"/>
      <c r="M153" s="4"/>
      <c r="N153" s="4"/>
      <c r="O153" s="4"/>
      <c r="P153" s="9"/>
    </row>
    <row r="154" spans="1:16" ht="18" customHeight="1" x14ac:dyDescent="0.45">
      <c r="A154" s="3"/>
      <c r="B154" s="4"/>
      <c r="C154" s="5"/>
      <c r="D154" s="6" t="str">
        <f>IFERROR(VLOOKUP(C154,KRX종목마스터!$A:$B,2,FALSE),"")</f>
        <v/>
      </c>
      <c r="E154" s="8" t="str">
        <f>IFERROR(VLOOKUP(C154,KRX종목마스터!$A:$C,3,FALSE),"")</f>
        <v/>
      </c>
      <c r="F154" s="7"/>
      <c r="G154" s="14" t="str">
        <f t="shared" si="4"/>
        <v/>
      </c>
      <c r="H154" s="7"/>
      <c r="I154" s="4"/>
      <c r="J154" s="4"/>
      <c r="K154" s="4"/>
      <c r="L154" s="4"/>
      <c r="M154" s="4"/>
      <c r="N154" s="4"/>
      <c r="O154" s="4"/>
      <c r="P154" s="9"/>
    </row>
    <row r="155" spans="1:16" ht="18" customHeight="1" x14ac:dyDescent="0.45">
      <c r="A155" s="3"/>
      <c r="B155" s="4"/>
      <c r="C155" s="5"/>
      <c r="D155" s="6" t="str">
        <f>IFERROR(VLOOKUP(C155,KRX종목마스터!$A:$B,2,FALSE),"")</f>
        <v/>
      </c>
      <c r="E155" s="8" t="str">
        <f>IFERROR(VLOOKUP(C155,KRX종목마스터!$A:$C,3,FALSE),"")</f>
        <v/>
      </c>
      <c r="F155" s="7"/>
      <c r="G155" s="14" t="str">
        <f t="shared" si="4"/>
        <v/>
      </c>
      <c r="H155" s="7"/>
      <c r="I155" s="4"/>
      <c r="J155" s="4"/>
      <c r="K155" s="4"/>
      <c r="L155" s="4"/>
      <c r="M155" s="4"/>
      <c r="N155" s="4"/>
      <c r="O155" s="4"/>
      <c r="P155" s="9"/>
    </row>
    <row r="156" spans="1:16" ht="18" customHeight="1" x14ac:dyDescent="0.45">
      <c r="A156" s="3"/>
      <c r="B156" s="4"/>
      <c r="C156" s="5"/>
      <c r="D156" s="6" t="str">
        <f>IFERROR(VLOOKUP(C156,KRX종목마스터!$A:$B,2,FALSE),"")</f>
        <v/>
      </c>
      <c r="E156" s="8" t="str">
        <f>IFERROR(VLOOKUP(C156,KRX종목마스터!$A:$C,3,FALSE),"")</f>
        <v/>
      </c>
      <c r="F156" s="7"/>
      <c r="G156" s="14" t="str">
        <f t="shared" si="4"/>
        <v/>
      </c>
      <c r="H156" s="7"/>
      <c r="I156" s="4"/>
      <c r="J156" s="4"/>
      <c r="K156" s="4"/>
      <c r="L156" s="4"/>
      <c r="M156" s="4"/>
      <c r="N156" s="4"/>
      <c r="O156" s="4"/>
      <c r="P156" s="9"/>
    </row>
    <row r="157" spans="1:16" ht="18" customHeight="1" x14ac:dyDescent="0.45">
      <c r="A157" s="3"/>
      <c r="B157" s="4"/>
      <c r="C157" s="5"/>
      <c r="D157" s="6" t="str">
        <f>IFERROR(VLOOKUP(C157,KRX종목마스터!$A:$B,2,FALSE),"")</f>
        <v/>
      </c>
      <c r="E157" s="8" t="str">
        <f>IFERROR(VLOOKUP(C157,KRX종목마스터!$A:$C,3,FALSE),"")</f>
        <v/>
      </c>
      <c r="F157" s="7"/>
      <c r="G157" s="14" t="str">
        <f t="shared" si="4"/>
        <v/>
      </c>
      <c r="H157" s="7"/>
      <c r="I157" s="4"/>
      <c r="J157" s="4"/>
      <c r="K157" s="4"/>
      <c r="L157" s="4"/>
      <c r="M157" s="4"/>
      <c r="N157" s="4"/>
      <c r="O157" s="4"/>
      <c r="P157" s="9"/>
    </row>
    <row r="158" spans="1:16" ht="18" customHeight="1" x14ac:dyDescent="0.45">
      <c r="A158" s="3"/>
      <c r="B158" s="4"/>
      <c r="C158" s="5"/>
      <c r="D158" s="6" t="str">
        <f>IFERROR(VLOOKUP(C158,KRX종목마스터!$A:$B,2,FALSE),"")</f>
        <v/>
      </c>
      <c r="E158" s="8" t="str">
        <f>IFERROR(VLOOKUP(C158,KRX종목마스터!$A:$C,3,FALSE),"")</f>
        <v/>
      </c>
      <c r="F158" s="7"/>
      <c r="G158" s="14" t="str">
        <f t="shared" si="4"/>
        <v/>
      </c>
      <c r="H158" s="7"/>
      <c r="I158" s="4"/>
      <c r="J158" s="4"/>
      <c r="K158" s="4"/>
      <c r="L158" s="4"/>
      <c r="M158" s="4"/>
      <c r="N158" s="4"/>
      <c r="O158" s="4"/>
      <c r="P158" s="9"/>
    </row>
    <row r="159" spans="1:16" ht="18" customHeight="1" x14ac:dyDescent="0.45">
      <c r="A159" s="3"/>
      <c r="B159" s="4"/>
      <c r="C159" s="5"/>
      <c r="D159" s="6" t="str">
        <f>IFERROR(VLOOKUP(C159,KRX종목마스터!$A:$B,2,FALSE),"")</f>
        <v/>
      </c>
      <c r="E159" s="8" t="str">
        <f>IFERROR(VLOOKUP(C159,KRX종목마스터!$A:$C,3,FALSE),"")</f>
        <v/>
      </c>
      <c r="F159" s="7"/>
      <c r="G159" s="14" t="str">
        <f t="shared" si="4"/>
        <v/>
      </c>
      <c r="H159" s="7"/>
      <c r="I159" s="4"/>
      <c r="J159" s="4"/>
      <c r="K159" s="4"/>
      <c r="L159" s="4"/>
      <c r="M159" s="4"/>
      <c r="N159" s="4"/>
      <c r="O159" s="4"/>
      <c r="P159" s="9"/>
    </row>
    <row r="160" spans="1:16" ht="18" customHeight="1" x14ac:dyDescent="0.45">
      <c r="A160" s="3"/>
      <c r="B160" s="4"/>
      <c r="C160" s="5"/>
      <c r="D160" s="6" t="str">
        <f>IFERROR(VLOOKUP(C160,KRX종목마스터!$A:$B,2,FALSE),"")</f>
        <v/>
      </c>
      <c r="E160" s="8" t="str">
        <f>IFERROR(VLOOKUP(C160,KRX종목마스터!$A:$C,3,FALSE),"")</f>
        <v/>
      </c>
      <c r="F160" s="7"/>
      <c r="G160" s="14" t="str">
        <f t="shared" si="4"/>
        <v/>
      </c>
      <c r="H160" s="7"/>
      <c r="I160" s="4"/>
      <c r="J160" s="4"/>
      <c r="K160" s="4"/>
      <c r="L160" s="4"/>
      <c r="M160" s="4"/>
      <c r="N160" s="4"/>
      <c r="O160" s="4"/>
      <c r="P160" s="9"/>
    </row>
    <row r="161" spans="1:16" ht="18" customHeight="1" x14ac:dyDescent="0.45">
      <c r="A161" s="3"/>
      <c r="B161" s="4"/>
      <c r="C161" s="5"/>
      <c r="D161" s="6" t="str">
        <f>IFERROR(VLOOKUP(C161,KRX종목마스터!$A:$B,2,FALSE),"")</f>
        <v/>
      </c>
      <c r="E161" s="8" t="str">
        <f>IFERROR(VLOOKUP(C161,KRX종목마스터!$A:$C,3,FALSE),"")</f>
        <v/>
      </c>
      <c r="F161" s="7"/>
      <c r="G161" s="14" t="str">
        <f t="shared" si="4"/>
        <v/>
      </c>
      <c r="H161" s="7"/>
      <c r="I161" s="4"/>
      <c r="J161" s="4"/>
      <c r="K161" s="4"/>
      <c r="L161" s="4"/>
      <c r="M161" s="4"/>
      <c r="N161" s="4"/>
      <c r="O161" s="4"/>
      <c r="P161" s="9"/>
    </row>
    <row r="162" spans="1:16" ht="18" customHeight="1" x14ac:dyDescent="0.45">
      <c r="A162" s="3"/>
      <c r="B162" s="4"/>
      <c r="C162" s="5"/>
      <c r="D162" s="6" t="str">
        <f>IFERROR(VLOOKUP(C162,KRX종목마스터!$A:$B,2,FALSE),"")</f>
        <v/>
      </c>
      <c r="E162" s="8" t="str">
        <f>IFERROR(VLOOKUP(C162,KRX종목마스터!$A:$C,3,FALSE),"")</f>
        <v/>
      </c>
      <c r="F162" s="7"/>
      <c r="G162" s="14" t="str">
        <f t="shared" si="4"/>
        <v/>
      </c>
      <c r="H162" s="7"/>
      <c r="I162" s="4"/>
      <c r="J162" s="4"/>
      <c r="K162" s="4"/>
      <c r="L162" s="4"/>
      <c r="M162" s="4"/>
      <c r="N162" s="4"/>
      <c r="O162" s="4"/>
      <c r="P162" s="9"/>
    </row>
    <row r="163" spans="1:16" ht="18" customHeight="1" x14ac:dyDescent="0.45">
      <c r="A163" s="3"/>
      <c r="B163" s="4"/>
      <c r="C163" s="5"/>
      <c r="D163" s="6" t="str">
        <f>IFERROR(VLOOKUP(C163,KRX종목마스터!$A:$B,2,FALSE),"")</f>
        <v/>
      </c>
      <c r="E163" s="8" t="str">
        <f>IFERROR(VLOOKUP(C163,KRX종목마스터!$A:$C,3,FALSE),"")</f>
        <v/>
      </c>
      <c r="F163" s="7"/>
      <c r="G163" s="14" t="str">
        <f t="shared" si="4"/>
        <v/>
      </c>
      <c r="H163" s="7"/>
      <c r="I163" s="4"/>
      <c r="J163" s="4"/>
      <c r="K163" s="4"/>
      <c r="L163" s="4"/>
      <c r="M163" s="4"/>
      <c r="N163" s="4"/>
      <c r="O163" s="4"/>
      <c r="P163" s="9"/>
    </row>
    <row r="164" spans="1:16" ht="18" customHeight="1" x14ac:dyDescent="0.45">
      <c r="A164" s="3"/>
      <c r="B164" s="4"/>
      <c r="C164" s="5"/>
      <c r="D164" s="6" t="str">
        <f>IFERROR(VLOOKUP(C164,KRX종목마스터!$A:$B,2,FALSE),"")</f>
        <v/>
      </c>
      <c r="E164" s="8" t="str">
        <f>IFERROR(VLOOKUP(C164,KRX종목마스터!$A:$C,3,FALSE),"")</f>
        <v/>
      </c>
      <c r="F164" s="7"/>
      <c r="G164" s="14" t="str">
        <f t="shared" ref="G164:G195" si="5">IF(OR(E164="",F164=""),"",(F164-E164)/E164)</f>
        <v/>
      </c>
      <c r="H164" s="7"/>
      <c r="I164" s="4"/>
      <c r="J164" s="4"/>
      <c r="K164" s="4"/>
      <c r="L164" s="4"/>
      <c r="M164" s="4"/>
      <c r="N164" s="4"/>
      <c r="O164" s="4"/>
      <c r="P164" s="9"/>
    </row>
    <row r="165" spans="1:16" ht="18" customHeight="1" x14ac:dyDescent="0.45">
      <c r="A165" s="3"/>
      <c r="B165" s="4"/>
      <c r="C165" s="5"/>
      <c r="D165" s="6" t="str">
        <f>IFERROR(VLOOKUP(C165,KRX종목마스터!$A:$B,2,FALSE),"")</f>
        <v/>
      </c>
      <c r="E165" s="8" t="str">
        <f>IFERROR(VLOOKUP(C165,KRX종목마스터!$A:$C,3,FALSE),"")</f>
        <v/>
      </c>
      <c r="F165" s="7"/>
      <c r="G165" s="14" t="str">
        <f t="shared" si="5"/>
        <v/>
      </c>
      <c r="H165" s="7"/>
      <c r="I165" s="4"/>
      <c r="J165" s="4"/>
      <c r="K165" s="4"/>
      <c r="L165" s="4"/>
      <c r="M165" s="4"/>
      <c r="N165" s="4"/>
      <c r="O165" s="4"/>
      <c r="P165" s="9"/>
    </row>
    <row r="166" spans="1:16" ht="18" customHeight="1" x14ac:dyDescent="0.45">
      <c r="A166" s="3"/>
      <c r="B166" s="4"/>
      <c r="C166" s="5"/>
      <c r="D166" s="6" t="str">
        <f>IFERROR(VLOOKUP(C166,KRX종목마스터!$A:$B,2,FALSE),"")</f>
        <v/>
      </c>
      <c r="E166" s="8" t="str">
        <f>IFERROR(VLOOKUP(C166,KRX종목마스터!$A:$C,3,FALSE),"")</f>
        <v/>
      </c>
      <c r="F166" s="7"/>
      <c r="G166" s="14" t="str">
        <f t="shared" si="5"/>
        <v/>
      </c>
      <c r="H166" s="7"/>
      <c r="I166" s="4"/>
      <c r="J166" s="4"/>
      <c r="K166" s="4"/>
      <c r="L166" s="4"/>
      <c r="M166" s="4"/>
      <c r="N166" s="4"/>
      <c r="O166" s="4"/>
      <c r="P166" s="9"/>
    </row>
    <row r="167" spans="1:16" ht="18" customHeight="1" x14ac:dyDescent="0.45">
      <c r="A167" s="3"/>
      <c r="B167" s="4"/>
      <c r="C167" s="5"/>
      <c r="D167" s="6" t="str">
        <f>IFERROR(VLOOKUP(C167,KRX종목마스터!$A:$B,2,FALSE),"")</f>
        <v/>
      </c>
      <c r="E167" s="8" t="str">
        <f>IFERROR(VLOOKUP(C167,KRX종목마스터!$A:$C,3,FALSE),"")</f>
        <v/>
      </c>
      <c r="F167" s="7"/>
      <c r="G167" s="14" t="str">
        <f t="shared" si="5"/>
        <v/>
      </c>
      <c r="H167" s="7"/>
      <c r="I167" s="4"/>
      <c r="J167" s="4"/>
      <c r="K167" s="4"/>
      <c r="L167" s="4"/>
      <c r="M167" s="4"/>
      <c r="N167" s="4"/>
      <c r="O167" s="4"/>
      <c r="P167" s="9"/>
    </row>
    <row r="168" spans="1:16" ht="18" customHeight="1" x14ac:dyDescent="0.45">
      <c r="A168" s="3"/>
      <c r="B168" s="4"/>
      <c r="C168" s="5"/>
      <c r="D168" s="6" t="str">
        <f>IFERROR(VLOOKUP(C168,KRX종목마스터!$A:$B,2,FALSE),"")</f>
        <v/>
      </c>
      <c r="E168" s="8" t="str">
        <f>IFERROR(VLOOKUP(C168,KRX종목마스터!$A:$C,3,FALSE),"")</f>
        <v/>
      </c>
      <c r="F168" s="7"/>
      <c r="G168" s="14" t="str">
        <f t="shared" si="5"/>
        <v/>
      </c>
      <c r="H168" s="7"/>
      <c r="I168" s="4"/>
      <c r="J168" s="4"/>
      <c r="K168" s="4"/>
      <c r="L168" s="4"/>
      <c r="M168" s="4"/>
      <c r="N168" s="4"/>
      <c r="O168" s="4"/>
      <c r="P168" s="9"/>
    </row>
    <row r="169" spans="1:16" ht="18" customHeight="1" x14ac:dyDescent="0.45">
      <c r="A169" s="3"/>
      <c r="B169" s="4"/>
      <c r="C169" s="5"/>
      <c r="D169" s="6" t="str">
        <f>IFERROR(VLOOKUP(C169,KRX종목마스터!$A:$B,2,FALSE),"")</f>
        <v/>
      </c>
      <c r="E169" s="8" t="str">
        <f>IFERROR(VLOOKUP(C169,KRX종목마스터!$A:$C,3,FALSE),"")</f>
        <v/>
      </c>
      <c r="F169" s="7"/>
      <c r="G169" s="14" t="str">
        <f t="shared" si="5"/>
        <v/>
      </c>
      <c r="H169" s="7"/>
      <c r="I169" s="4"/>
      <c r="J169" s="4"/>
      <c r="K169" s="4"/>
      <c r="L169" s="4"/>
      <c r="M169" s="4"/>
      <c r="N169" s="4"/>
      <c r="O169" s="4"/>
      <c r="P169" s="9"/>
    </row>
    <row r="170" spans="1:16" ht="18" customHeight="1" x14ac:dyDescent="0.45">
      <c r="A170" s="3"/>
      <c r="B170" s="4"/>
      <c r="C170" s="5"/>
      <c r="D170" s="6" t="str">
        <f>IFERROR(VLOOKUP(C170,KRX종목마스터!$A:$B,2,FALSE),"")</f>
        <v/>
      </c>
      <c r="E170" s="8" t="str">
        <f>IFERROR(VLOOKUP(C170,KRX종목마스터!$A:$C,3,FALSE),"")</f>
        <v/>
      </c>
      <c r="F170" s="7"/>
      <c r="G170" s="14" t="str">
        <f t="shared" si="5"/>
        <v/>
      </c>
      <c r="H170" s="7"/>
      <c r="I170" s="4"/>
      <c r="J170" s="4"/>
      <c r="K170" s="4"/>
      <c r="L170" s="4"/>
      <c r="M170" s="4"/>
      <c r="N170" s="4"/>
      <c r="O170" s="4"/>
      <c r="P170" s="9"/>
    </row>
    <row r="171" spans="1:16" ht="18" customHeight="1" x14ac:dyDescent="0.45">
      <c r="A171" s="3"/>
      <c r="B171" s="4"/>
      <c r="C171" s="5"/>
      <c r="D171" s="6" t="str">
        <f>IFERROR(VLOOKUP(C171,KRX종목마스터!$A:$B,2,FALSE),"")</f>
        <v/>
      </c>
      <c r="E171" s="8" t="str">
        <f>IFERROR(VLOOKUP(C171,KRX종목마스터!$A:$C,3,FALSE),"")</f>
        <v/>
      </c>
      <c r="F171" s="7"/>
      <c r="G171" s="14" t="str">
        <f t="shared" si="5"/>
        <v/>
      </c>
      <c r="H171" s="7"/>
      <c r="I171" s="4"/>
      <c r="J171" s="4"/>
      <c r="K171" s="4"/>
      <c r="L171" s="4"/>
      <c r="M171" s="4"/>
      <c r="N171" s="4"/>
      <c r="O171" s="4"/>
      <c r="P171" s="9"/>
    </row>
    <row r="172" spans="1:16" ht="18" customHeight="1" x14ac:dyDescent="0.45">
      <c r="A172" s="3"/>
      <c r="B172" s="4"/>
      <c r="C172" s="5"/>
      <c r="D172" s="6" t="str">
        <f>IFERROR(VLOOKUP(C172,KRX종목마스터!$A:$B,2,FALSE),"")</f>
        <v/>
      </c>
      <c r="E172" s="8" t="str">
        <f>IFERROR(VLOOKUP(C172,KRX종목마스터!$A:$C,3,FALSE),"")</f>
        <v/>
      </c>
      <c r="F172" s="7"/>
      <c r="G172" s="14" t="str">
        <f t="shared" si="5"/>
        <v/>
      </c>
      <c r="H172" s="7"/>
      <c r="I172" s="4"/>
      <c r="J172" s="4"/>
      <c r="K172" s="4"/>
      <c r="L172" s="4"/>
      <c r="M172" s="4"/>
      <c r="N172" s="4"/>
      <c r="O172" s="4"/>
      <c r="P172" s="9"/>
    </row>
    <row r="173" spans="1:16" ht="18" customHeight="1" x14ac:dyDescent="0.45">
      <c r="A173" s="3"/>
      <c r="B173" s="4"/>
      <c r="C173" s="5"/>
      <c r="D173" s="6" t="str">
        <f>IFERROR(VLOOKUP(C173,KRX종목마스터!$A:$B,2,FALSE),"")</f>
        <v/>
      </c>
      <c r="E173" s="8" t="str">
        <f>IFERROR(VLOOKUP(C173,KRX종목마스터!$A:$C,3,FALSE),"")</f>
        <v/>
      </c>
      <c r="F173" s="7"/>
      <c r="G173" s="14" t="str">
        <f t="shared" si="5"/>
        <v/>
      </c>
      <c r="H173" s="7"/>
      <c r="I173" s="4"/>
      <c r="J173" s="4"/>
      <c r="K173" s="4"/>
      <c r="L173" s="4"/>
      <c r="M173" s="4"/>
      <c r="N173" s="4"/>
      <c r="O173" s="4"/>
      <c r="P173" s="9"/>
    </row>
    <row r="174" spans="1:16" ht="18" customHeight="1" x14ac:dyDescent="0.45">
      <c r="A174" s="3"/>
      <c r="B174" s="4"/>
      <c r="C174" s="5"/>
      <c r="D174" s="6" t="str">
        <f>IFERROR(VLOOKUP(C174,KRX종목마스터!$A:$B,2,FALSE),"")</f>
        <v/>
      </c>
      <c r="E174" s="8" t="str">
        <f>IFERROR(VLOOKUP(C174,KRX종목마스터!$A:$C,3,FALSE),"")</f>
        <v/>
      </c>
      <c r="F174" s="7"/>
      <c r="G174" s="14" t="str">
        <f t="shared" si="5"/>
        <v/>
      </c>
      <c r="H174" s="7"/>
      <c r="I174" s="4"/>
      <c r="J174" s="4"/>
      <c r="K174" s="4"/>
      <c r="L174" s="4"/>
      <c r="M174" s="4"/>
      <c r="N174" s="4"/>
      <c r="O174" s="4"/>
      <c r="P174" s="9"/>
    </row>
    <row r="175" spans="1:16" ht="18" customHeight="1" x14ac:dyDescent="0.45">
      <c r="A175" s="3"/>
      <c r="B175" s="4"/>
      <c r="C175" s="5"/>
      <c r="D175" s="6" t="str">
        <f>IFERROR(VLOOKUP(C175,KRX종목마스터!$A:$B,2,FALSE),"")</f>
        <v/>
      </c>
      <c r="E175" s="8" t="str">
        <f>IFERROR(VLOOKUP(C175,KRX종목마스터!$A:$C,3,FALSE),"")</f>
        <v/>
      </c>
      <c r="F175" s="7"/>
      <c r="G175" s="14" t="str">
        <f t="shared" si="5"/>
        <v/>
      </c>
      <c r="H175" s="7"/>
      <c r="I175" s="4"/>
      <c r="J175" s="4"/>
      <c r="K175" s="4"/>
      <c r="L175" s="4"/>
      <c r="M175" s="4"/>
      <c r="N175" s="4"/>
      <c r="O175" s="4"/>
      <c r="P175" s="9"/>
    </row>
    <row r="176" spans="1:16" ht="18" customHeight="1" x14ac:dyDescent="0.45">
      <c r="A176" s="3"/>
      <c r="B176" s="4"/>
      <c r="C176" s="5"/>
      <c r="D176" s="6" t="str">
        <f>IFERROR(VLOOKUP(C176,KRX종목마스터!$A:$B,2,FALSE),"")</f>
        <v/>
      </c>
      <c r="E176" s="8" t="str">
        <f>IFERROR(VLOOKUP(C176,KRX종목마스터!$A:$C,3,FALSE),"")</f>
        <v/>
      </c>
      <c r="F176" s="7"/>
      <c r="G176" s="14" t="str">
        <f t="shared" si="5"/>
        <v/>
      </c>
      <c r="H176" s="7"/>
      <c r="I176" s="4"/>
      <c r="J176" s="4"/>
      <c r="K176" s="4"/>
      <c r="L176" s="4"/>
      <c r="M176" s="4"/>
      <c r="N176" s="4"/>
      <c r="O176" s="4"/>
      <c r="P176" s="9"/>
    </row>
    <row r="177" spans="1:16" ht="18" customHeight="1" x14ac:dyDescent="0.45">
      <c r="A177" s="3"/>
      <c r="B177" s="4"/>
      <c r="C177" s="5"/>
      <c r="D177" s="6" t="str">
        <f>IFERROR(VLOOKUP(C177,KRX종목마스터!$A:$B,2,FALSE),"")</f>
        <v/>
      </c>
      <c r="E177" s="8" t="str">
        <f>IFERROR(VLOOKUP(C177,KRX종목마스터!$A:$C,3,FALSE),"")</f>
        <v/>
      </c>
      <c r="F177" s="7"/>
      <c r="G177" s="14" t="str">
        <f t="shared" si="5"/>
        <v/>
      </c>
      <c r="H177" s="7"/>
      <c r="I177" s="4"/>
      <c r="J177" s="4"/>
      <c r="K177" s="4"/>
      <c r="L177" s="4"/>
      <c r="M177" s="4"/>
      <c r="N177" s="4"/>
      <c r="O177" s="4"/>
      <c r="P177" s="9"/>
    </row>
    <row r="178" spans="1:16" ht="18" customHeight="1" x14ac:dyDescent="0.45">
      <c r="A178" s="3"/>
      <c r="B178" s="4"/>
      <c r="C178" s="5"/>
      <c r="D178" s="6" t="str">
        <f>IFERROR(VLOOKUP(C178,KRX종목마스터!$A:$B,2,FALSE),"")</f>
        <v/>
      </c>
      <c r="E178" s="8" t="str">
        <f>IFERROR(VLOOKUP(C178,KRX종목마스터!$A:$C,3,FALSE),"")</f>
        <v/>
      </c>
      <c r="F178" s="7"/>
      <c r="G178" s="14" t="str">
        <f t="shared" si="5"/>
        <v/>
      </c>
      <c r="H178" s="7"/>
      <c r="I178" s="4"/>
      <c r="J178" s="4"/>
      <c r="K178" s="4"/>
      <c r="L178" s="4"/>
      <c r="M178" s="4"/>
      <c r="N178" s="4"/>
      <c r="O178" s="4"/>
      <c r="P178" s="9"/>
    </row>
    <row r="179" spans="1:16" ht="18" customHeight="1" x14ac:dyDescent="0.45">
      <c r="A179" s="3"/>
      <c r="B179" s="4"/>
      <c r="C179" s="5"/>
      <c r="D179" s="6" t="str">
        <f>IFERROR(VLOOKUP(C179,KRX종목마스터!$A:$B,2,FALSE),"")</f>
        <v/>
      </c>
      <c r="E179" s="8" t="str">
        <f>IFERROR(VLOOKUP(C179,KRX종목마스터!$A:$C,3,FALSE),"")</f>
        <v/>
      </c>
      <c r="F179" s="7"/>
      <c r="G179" s="14" t="str">
        <f t="shared" si="5"/>
        <v/>
      </c>
      <c r="H179" s="7"/>
      <c r="I179" s="4"/>
      <c r="J179" s="4"/>
      <c r="K179" s="4"/>
      <c r="L179" s="4"/>
      <c r="M179" s="4"/>
      <c r="N179" s="4"/>
      <c r="O179" s="4"/>
      <c r="P179" s="9"/>
    </row>
    <row r="180" spans="1:16" ht="18" customHeight="1" x14ac:dyDescent="0.45">
      <c r="A180" s="3"/>
      <c r="B180" s="4"/>
      <c r="C180" s="5"/>
      <c r="D180" s="6" t="str">
        <f>IFERROR(VLOOKUP(C180,KRX종목마스터!$A:$B,2,FALSE),"")</f>
        <v/>
      </c>
      <c r="E180" s="8" t="str">
        <f>IFERROR(VLOOKUP(C180,KRX종목마스터!$A:$C,3,FALSE),"")</f>
        <v/>
      </c>
      <c r="F180" s="7"/>
      <c r="G180" s="14" t="str">
        <f t="shared" si="5"/>
        <v/>
      </c>
      <c r="H180" s="7"/>
      <c r="I180" s="4"/>
      <c r="J180" s="4"/>
      <c r="K180" s="4"/>
      <c r="L180" s="4"/>
      <c r="M180" s="4"/>
      <c r="N180" s="4"/>
      <c r="O180" s="4"/>
      <c r="P180" s="9"/>
    </row>
    <row r="181" spans="1:16" ht="18" customHeight="1" x14ac:dyDescent="0.45">
      <c r="A181" s="3"/>
      <c r="B181" s="4"/>
      <c r="C181" s="5"/>
      <c r="D181" s="6" t="str">
        <f>IFERROR(VLOOKUP(C181,KRX종목마스터!$A:$B,2,FALSE),"")</f>
        <v/>
      </c>
      <c r="E181" s="8" t="str">
        <f>IFERROR(VLOOKUP(C181,KRX종목마스터!$A:$C,3,FALSE),"")</f>
        <v/>
      </c>
      <c r="F181" s="7"/>
      <c r="G181" s="14" t="str">
        <f t="shared" si="5"/>
        <v/>
      </c>
      <c r="H181" s="7"/>
      <c r="I181" s="4"/>
      <c r="J181" s="4"/>
      <c r="K181" s="4"/>
      <c r="L181" s="4"/>
      <c r="M181" s="4"/>
      <c r="N181" s="4"/>
      <c r="O181" s="4"/>
      <c r="P181" s="9"/>
    </row>
    <row r="182" spans="1:16" ht="18" customHeight="1" x14ac:dyDescent="0.45">
      <c r="A182" s="3"/>
      <c r="B182" s="4"/>
      <c r="C182" s="5"/>
      <c r="D182" s="6" t="str">
        <f>IFERROR(VLOOKUP(C182,KRX종목마스터!$A:$B,2,FALSE),"")</f>
        <v/>
      </c>
      <c r="E182" s="8" t="str">
        <f>IFERROR(VLOOKUP(C182,KRX종목마스터!$A:$C,3,FALSE),"")</f>
        <v/>
      </c>
      <c r="F182" s="7"/>
      <c r="G182" s="14" t="str">
        <f t="shared" si="5"/>
        <v/>
      </c>
      <c r="H182" s="7"/>
      <c r="I182" s="4"/>
      <c r="J182" s="4"/>
      <c r="K182" s="4"/>
      <c r="L182" s="4"/>
      <c r="M182" s="4"/>
      <c r="N182" s="4"/>
      <c r="O182" s="4"/>
      <c r="P182" s="9"/>
    </row>
    <row r="183" spans="1:16" ht="18" customHeight="1" x14ac:dyDescent="0.45">
      <c r="A183" s="3"/>
      <c r="B183" s="4"/>
      <c r="C183" s="5"/>
      <c r="D183" s="6" t="str">
        <f>IFERROR(VLOOKUP(C183,KRX종목마스터!$A:$B,2,FALSE),"")</f>
        <v/>
      </c>
      <c r="E183" s="8" t="str">
        <f>IFERROR(VLOOKUP(C183,KRX종목마스터!$A:$C,3,FALSE),"")</f>
        <v/>
      </c>
      <c r="F183" s="7"/>
      <c r="G183" s="14" t="str">
        <f t="shared" si="5"/>
        <v/>
      </c>
      <c r="H183" s="7"/>
      <c r="I183" s="4"/>
      <c r="J183" s="4"/>
      <c r="K183" s="4"/>
      <c r="L183" s="4"/>
      <c r="M183" s="4"/>
      <c r="N183" s="4"/>
      <c r="O183" s="4"/>
      <c r="P183" s="9"/>
    </row>
    <row r="184" spans="1:16" ht="18" customHeight="1" x14ac:dyDescent="0.45">
      <c r="A184" s="3"/>
      <c r="B184" s="4"/>
      <c r="C184" s="5"/>
      <c r="D184" s="6" t="str">
        <f>IFERROR(VLOOKUP(C184,KRX종목마스터!$A:$B,2,FALSE),"")</f>
        <v/>
      </c>
      <c r="E184" s="8" t="str">
        <f>IFERROR(VLOOKUP(C184,KRX종목마스터!$A:$C,3,FALSE),"")</f>
        <v/>
      </c>
      <c r="F184" s="7"/>
      <c r="G184" s="14" t="str">
        <f t="shared" si="5"/>
        <v/>
      </c>
      <c r="H184" s="7"/>
      <c r="I184" s="4"/>
      <c r="J184" s="4"/>
      <c r="K184" s="4"/>
      <c r="L184" s="4"/>
      <c r="M184" s="4"/>
      <c r="N184" s="4"/>
      <c r="O184" s="4"/>
      <c r="P184" s="9"/>
    </row>
    <row r="185" spans="1:16" ht="18" customHeight="1" x14ac:dyDescent="0.45">
      <c r="A185" s="3"/>
      <c r="B185" s="4"/>
      <c r="C185" s="5"/>
      <c r="D185" s="6" t="str">
        <f>IFERROR(VLOOKUP(C185,KRX종목마스터!$A:$B,2,FALSE),"")</f>
        <v/>
      </c>
      <c r="E185" s="8" t="str">
        <f>IFERROR(VLOOKUP(C185,KRX종목마스터!$A:$C,3,FALSE),"")</f>
        <v/>
      </c>
      <c r="F185" s="7"/>
      <c r="G185" s="14" t="str">
        <f t="shared" si="5"/>
        <v/>
      </c>
      <c r="H185" s="7"/>
      <c r="I185" s="4"/>
      <c r="J185" s="4"/>
      <c r="K185" s="4"/>
      <c r="L185" s="4"/>
      <c r="M185" s="4"/>
      <c r="N185" s="4"/>
      <c r="O185" s="4"/>
      <c r="P185" s="9"/>
    </row>
    <row r="186" spans="1:16" ht="18" customHeight="1" x14ac:dyDescent="0.45">
      <c r="A186" s="3"/>
      <c r="B186" s="4"/>
      <c r="C186" s="5"/>
      <c r="D186" s="6" t="str">
        <f>IFERROR(VLOOKUP(C186,KRX종목마스터!$A:$B,2,FALSE),"")</f>
        <v/>
      </c>
      <c r="E186" s="8" t="str">
        <f>IFERROR(VLOOKUP(C186,KRX종목마스터!$A:$C,3,FALSE),"")</f>
        <v/>
      </c>
      <c r="F186" s="7"/>
      <c r="G186" s="14" t="str">
        <f t="shared" si="5"/>
        <v/>
      </c>
      <c r="H186" s="7"/>
      <c r="I186" s="4"/>
      <c r="J186" s="4"/>
      <c r="K186" s="4"/>
      <c r="L186" s="4"/>
      <c r="M186" s="4"/>
      <c r="N186" s="4"/>
      <c r="O186" s="4"/>
      <c r="P186" s="9"/>
    </row>
    <row r="187" spans="1:16" ht="18" customHeight="1" x14ac:dyDescent="0.45">
      <c r="A187" s="3"/>
      <c r="B187" s="4"/>
      <c r="C187" s="5"/>
      <c r="D187" s="6" t="str">
        <f>IFERROR(VLOOKUP(C187,KRX종목마스터!$A:$B,2,FALSE),"")</f>
        <v/>
      </c>
      <c r="E187" s="8" t="str">
        <f>IFERROR(VLOOKUP(C187,KRX종목마스터!$A:$C,3,FALSE),"")</f>
        <v/>
      </c>
      <c r="F187" s="7"/>
      <c r="G187" s="14" t="str">
        <f t="shared" si="5"/>
        <v/>
      </c>
      <c r="H187" s="7"/>
      <c r="I187" s="4"/>
      <c r="J187" s="4"/>
      <c r="K187" s="4"/>
      <c r="L187" s="4"/>
      <c r="M187" s="4"/>
      <c r="N187" s="4"/>
      <c r="O187" s="4"/>
      <c r="P187" s="9"/>
    </row>
    <row r="188" spans="1:16" ht="18" customHeight="1" x14ac:dyDescent="0.45">
      <c r="A188" s="3"/>
      <c r="B188" s="4"/>
      <c r="C188" s="5"/>
      <c r="D188" s="6" t="str">
        <f>IFERROR(VLOOKUP(C188,KRX종목마스터!$A:$B,2,FALSE),"")</f>
        <v/>
      </c>
      <c r="E188" s="8" t="str">
        <f>IFERROR(VLOOKUP(C188,KRX종목마스터!$A:$C,3,FALSE),"")</f>
        <v/>
      </c>
      <c r="F188" s="7"/>
      <c r="G188" s="14" t="str">
        <f t="shared" si="5"/>
        <v/>
      </c>
      <c r="H188" s="7"/>
      <c r="I188" s="4"/>
      <c r="J188" s="4"/>
      <c r="K188" s="4"/>
      <c r="L188" s="4"/>
      <c r="M188" s="4"/>
      <c r="N188" s="4"/>
      <c r="O188" s="4"/>
      <c r="P188" s="9"/>
    </row>
    <row r="189" spans="1:16" ht="18" customHeight="1" x14ac:dyDescent="0.45">
      <c r="A189" s="3"/>
      <c r="B189" s="4"/>
      <c r="C189" s="5"/>
      <c r="D189" s="6" t="str">
        <f>IFERROR(VLOOKUP(C189,KRX종목마스터!$A:$B,2,FALSE),"")</f>
        <v/>
      </c>
      <c r="E189" s="8" t="str">
        <f>IFERROR(VLOOKUP(C189,KRX종목마스터!$A:$C,3,FALSE),"")</f>
        <v/>
      </c>
      <c r="F189" s="7"/>
      <c r="G189" s="14" t="str">
        <f t="shared" si="5"/>
        <v/>
      </c>
      <c r="H189" s="7"/>
      <c r="I189" s="4"/>
      <c r="J189" s="4"/>
      <c r="K189" s="4"/>
      <c r="L189" s="4"/>
      <c r="M189" s="4"/>
      <c r="N189" s="4"/>
      <c r="O189" s="4"/>
      <c r="P189" s="9"/>
    </row>
    <row r="190" spans="1:16" ht="18" customHeight="1" x14ac:dyDescent="0.45">
      <c r="A190" s="3"/>
      <c r="B190" s="4"/>
      <c r="C190" s="5"/>
      <c r="D190" s="6" t="str">
        <f>IFERROR(VLOOKUP(C190,KRX종목마스터!$A:$B,2,FALSE),"")</f>
        <v/>
      </c>
      <c r="E190" s="8" t="str">
        <f>IFERROR(VLOOKUP(C190,KRX종목마스터!$A:$C,3,FALSE),"")</f>
        <v/>
      </c>
      <c r="F190" s="7"/>
      <c r="G190" s="14" t="str">
        <f t="shared" si="5"/>
        <v/>
      </c>
      <c r="H190" s="7"/>
      <c r="I190" s="4"/>
      <c r="J190" s="4"/>
      <c r="K190" s="4"/>
      <c r="L190" s="4"/>
      <c r="M190" s="4"/>
      <c r="N190" s="4"/>
      <c r="O190" s="4"/>
      <c r="P190" s="9"/>
    </row>
    <row r="191" spans="1:16" ht="18" customHeight="1" x14ac:dyDescent="0.45">
      <c r="A191" s="3"/>
      <c r="B191" s="4"/>
      <c r="C191" s="5"/>
      <c r="D191" s="6" t="str">
        <f>IFERROR(VLOOKUP(C191,KRX종목마스터!$A:$B,2,FALSE),"")</f>
        <v/>
      </c>
      <c r="E191" s="8" t="str">
        <f>IFERROR(VLOOKUP(C191,KRX종목마스터!$A:$C,3,FALSE),"")</f>
        <v/>
      </c>
      <c r="F191" s="7"/>
      <c r="G191" s="14" t="str">
        <f t="shared" si="5"/>
        <v/>
      </c>
      <c r="H191" s="7"/>
      <c r="I191" s="4"/>
      <c r="J191" s="4"/>
      <c r="K191" s="4"/>
      <c r="L191" s="4"/>
      <c r="M191" s="4"/>
      <c r="N191" s="4"/>
      <c r="O191" s="4"/>
      <c r="P191" s="9"/>
    </row>
    <row r="192" spans="1:16" ht="18" customHeight="1" x14ac:dyDescent="0.45">
      <c r="A192" s="3"/>
      <c r="B192" s="4"/>
      <c r="C192" s="5"/>
      <c r="D192" s="6" t="str">
        <f>IFERROR(VLOOKUP(C192,KRX종목마스터!$A:$B,2,FALSE),"")</f>
        <v/>
      </c>
      <c r="E192" s="8" t="str">
        <f>IFERROR(VLOOKUP(C192,KRX종목마스터!$A:$C,3,FALSE),"")</f>
        <v/>
      </c>
      <c r="F192" s="7"/>
      <c r="G192" s="14" t="str">
        <f t="shared" si="5"/>
        <v/>
      </c>
      <c r="H192" s="7"/>
      <c r="I192" s="4"/>
      <c r="J192" s="4"/>
      <c r="K192" s="4"/>
      <c r="L192" s="4"/>
      <c r="M192" s="4"/>
      <c r="N192" s="4"/>
      <c r="O192" s="4"/>
      <c r="P192" s="9"/>
    </row>
    <row r="193" spans="1:16" ht="18" customHeight="1" x14ac:dyDescent="0.45">
      <c r="A193" s="3"/>
      <c r="B193" s="4"/>
      <c r="C193" s="5"/>
      <c r="D193" s="6" t="str">
        <f>IFERROR(VLOOKUP(C193,KRX종목마스터!$A:$B,2,FALSE),"")</f>
        <v/>
      </c>
      <c r="E193" s="8" t="str">
        <f>IFERROR(VLOOKUP(C193,KRX종목마스터!$A:$C,3,FALSE),"")</f>
        <v/>
      </c>
      <c r="F193" s="7"/>
      <c r="G193" s="14" t="str">
        <f t="shared" si="5"/>
        <v/>
      </c>
      <c r="H193" s="7"/>
      <c r="I193" s="4"/>
      <c r="J193" s="4"/>
      <c r="K193" s="4"/>
      <c r="L193" s="4"/>
      <c r="M193" s="4"/>
      <c r="N193" s="4"/>
      <c r="O193" s="4"/>
      <c r="P193" s="9"/>
    </row>
    <row r="194" spans="1:16" ht="18" customHeight="1" x14ac:dyDescent="0.45">
      <c r="A194" s="3"/>
      <c r="B194" s="4"/>
      <c r="C194" s="5"/>
      <c r="D194" s="6" t="str">
        <f>IFERROR(VLOOKUP(C194,KRX종목마스터!$A:$B,2,FALSE),"")</f>
        <v/>
      </c>
      <c r="E194" s="8" t="str">
        <f>IFERROR(VLOOKUP(C194,KRX종목마스터!$A:$C,3,FALSE),"")</f>
        <v/>
      </c>
      <c r="F194" s="7"/>
      <c r="G194" s="14" t="str">
        <f t="shared" si="5"/>
        <v/>
      </c>
      <c r="H194" s="7"/>
      <c r="I194" s="4"/>
      <c r="J194" s="4"/>
      <c r="K194" s="4"/>
      <c r="L194" s="4"/>
      <c r="M194" s="4"/>
      <c r="N194" s="4"/>
      <c r="O194" s="4"/>
      <c r="P194" s="9"/>
    </row>
    <row r="195" spans="1:16" ht="18" customHeight="1" x14ac:dyDescent="0.45">
      <c r="A195" s="3"/>
      <c r="B195" s="4"/>
      <c r="C195" s="5"/>
      <c r="D195" s="6" t="str">
        <f>IFERROR(VLOOKUP(C195,KRX종목마스터!$A:$B,2,FALSE),"")</f>
        <v/>
      </c>
      <c r="E195" s="8" t="str">
        <f>IFERROR(VLOOKUP(C195,KRX종목마스터!$A:$C,3,FALSE),"")</f>
        <v/>
      </c>
      <c r="F195" s="7"/>
      <c r="G195" s="14" t="str">
        <f t="shared" si="5"/>
        <v/>
      </c>
      <c r="H195" s="7"/>
      <c r="I195" s="4"/>
      <c r="J195" s="4"/>
      <c r="K195" s="4"/>
      <c r="L195" s="4"/>
      <c r="M195" s="4"/>
      <c r="N195" s="4"/>
      <c r="O195" s="4"/>
      <c r="P195" s="9"/>
    </row>
    <row r="196" spans="1:16" ht="18" customHeight="1" x14ac:dyDescent="0.45">
      <c r="A196" s="3"/>
      <c r="B196" s="4"/>
      <c r="C196" s="5"/>
      <c r="D196" s="6" t="str">
        <f>IFERROR(VLOOKUP(C196,KRX종목마스터!$A:$B,2,FALSE),"")</f>
        <v/>
      </c>
      <c r="E196" s="8" t="str">
        <f>IFERROR(VLOOKUP(C196,KRX종목마스터!$A:$C,3,FALSE),"")</f>
        <v/>
      </c>
      <c r="F196" s="7"/>
      <c r="G196" s="14" t="str">
        <f t="shared" ref="G196:G227" si="6">IF(OR(E196="",F196=""),"",(F196-E196)/E196)</f>
        <v/>
      </c>
      <c r="H196" s="7"/>
      <c r="I196" s="4"/>
      <c r="J196" s="4"/>
      <c r="K196" s="4"/>
      <c r="L196" s="4"/>
      <c r="M196" s="4"/>
      <c r="N196" s="4"/>
      <c r="O196" s="4"/>
      <c r="P196" s="9"/>
    </row>
    <row r="197" spans="1:16" ht="18" customHeight="1" x14ac:dyDescent="0.45">
      <c r="A197" s="3"/>
      <c r="B197" s="4"/>
      <c r="C197" s="5"/>
      <c r="D197" s="6" t="str">
        <f>IFERROR(VLOOKUP(C197,KRX종목마스터!$A:$B,2,FALSE),"")</f>
        <v/>
      </c>
      <c r="E197" s="8" t="str">
        <f>IFERROR(VLOOKUP(C197,KRX종목마스터!$A:$C,3,FALSE),"")</f>
        <v/>
      </c>
      <c r="F197" s="7"/>
      <c r="G197" s="14" t="str">
        <f t="shared" si="6"/>
        <v/>
      </c>
      <c r="H197" s="7"/>
      <c r="I197" s="4"/>
      <c r="J197" s="4"/>
      <c r="K197" s="4"/>
      <c r="L197" s="4"/>
      <c r="M197" s="4"/>
      <c r="N197" s="4"/>
      <c r="O197" s="4"/>
      <c r="P197" s="9"/>
    </row>
    <row r="198" spans="1:16" ht="18" customHeight="1" x14ac:dyDescent="0.45">
      <c r="A198" s="3"/>
      <c r="B198" s="4"/>
      <c r="C198" s="5"/>
      <c r="D198" s="6" t="str">
        <f>IFERROR(VLOOKUP(C198,KRX종목마스터!$A:$B,2,FALSE),"")</f>
        <v/>
      </c>
      <c r="E198" s="8" t="str">
        <f>IFERROR(VLOOKUP(C198,KRX종목마스터!$A:$C,3,FALSE),"")</f>
        <v/>
      </c>
      <c r="F198" s="7"/>
      <c r="G198" s="14" t="str">
        <f t="shared" si="6"/>
        <v/>
      </c>
      <c r="H198" s="7"/>
      <c r="I198" s="4"/>
      <c r="J198" s="4"/>
      <c r="K198" s="4"/>
      <c r="L198" s="4"/>
      <c r="M198" s="4"/>
      <c r="N198" s="4"/>
      <c r="O198" s="4"/>
      <c r="P198" s="9"/>
    </row>
    <row r="199" spans="1:16" ht="18" customHeight="1" x14ac:dyDescent="0.45">
      <c r="A199" s="3"/>
      <c r="B199" s="4"/>
      <c r="C199" s="5"/>
      <c r="D199" s="6" t="str">
        <f>IFERROR(VLOOKUP(C199,KRX종목마스터!$A:$B,2,FALSE),"")</f>
        <v/>
      </c>
      <c r="E199" s="8" t="str">
        <f>IFERROR(VLOOKUP(C199,KRX종목마스터!$A:$C,3,FALSE),"")</f>
        <v/>
      </c>
      <c r="F199" s="7"/>
      <c r="G199" s="14" t="str">
        <f t="shared" si="6"/>
        <v/>
      </c>
      <c r="H199" s="7"/>
      <c r="I199" s="4"/>
      <c r="J199" s="4"/>
      <c r="K199" s="4"/>
      <c r="L199" s="4"/>
      <c r="M199" s="4"/>
      <c r="N199" s="4"/>
      <c r="O199" s="4"/>
      <c r="P199" s="9"/>
    </row>
    <row r="200" spans="1:16" ht="18" customHeight="1" x14ac:dyDescent="0.45">
      <c r="A200" s="3"/>
      <c r="B200" s="4"/>
      <c r="C200" s="5"/>
      <c r="D200" s="6" t="str">
        <f>IFERROR(VLOOKUP(C200,KRX종목마스터!$A:$B,2,FALSE),"")</f>
        <v/>
      </c>
      <c r="E200" s="8" t="str">
        <f>IFERROR(VLOOKUP(C200,KRX종목마스터!$A:$C,3,FALSE),"")</f>
        <v/>
      </c>
      <c r="F200" s="7"/>
      <c r="G200" s="14" t="str">
        <f t="shared" si="6"/>
        <v/>
      </c>
      <c r="H200" s="7"/>
      <c r="I200" s="4"/>
      <c r="J200" s="4"/>
      <c r="K200" s="4"/>
      <c r="L200" s="4"/>
      <c r="M200" s="4"/>
      <c r="N200" s="4"/>
      <c r="O200" s="4"/>
      <c r="P200" s="9"/>
    </row>
    <row r="201" spans="1:16" ht="18" customHeight="1" x14ac:dyDescent="0.45">
      <c r="A201" s="3"/>
      <c r="B201" s="4"/>
      <c r="C201" s="5"/>
      <c r="D201" s="6" t="str">
        <f>IFERROR(VLOOKUP(C201,KRX종목마스터!$A:$B,2,FALSE),"")</f>
        <v/>
      </c>
      <c r="E201" s="8" t="str">
        <f>IFERROR(VLOOKUP(C201,KRX종목마스터!$A:$C,3,FALSE),"")</f>
        <v/>
      </c>
      <c r="F201" s="7"/>
      <c r="G201" s="14" t="str">
        <f t="shared" si="6"/>
        <v/>
      </c>
      <c r="H201" s="7"/>
      <c r="I201" s="4"/>
      <c r="J201" s="4"/>
      <c r="K201" s="4"/>
      <c r="L201" s="4"/>
      <c r="M201" s="4"/>
      <c r="N201" s="4"/>
      <c r="O201" s="4"/>
      <c r="P201" s="9"/>
    </row>
    <row r="202" spans="1:16" ht="18" customHeight="1" x14ac:dyDescent="0.45">
      <c r="A202" s="3"/>
      <c r="B202" s="4"/>
      <c r="C202" s="5"/>
      <c r="D202" s="6" t="str">
        <f>IFERROR(VLOOKUP(C202,KRX종목마스터!$A:$B,2,FALSE),"")</f>
        <v/>
      </c>
      <c r="E202" s="8" t="str">
        <f>IFERROR(VLOOKUP(C202,KRX종목마스터!$A:$C,3,FALSE),"")</f>
        <v/>
      </c>
      <c r="F202" s="7"/>
      <c r="G202" s="14" t="str">
        <f t="shared" si="6"/>
        <v/>
      </c>
      <c r="H202" s="7"/>
      <c r="I202" s="4"/>
      <c r="J202" s="4"/>
      <c r="K202" s="4"/>
      <c r="L202" s="4"/>
      <c r="M202" s="4"/>
      <c r="N202" s="4"/>
      <c r="O202" s="4"/>
      <c r="P202" s="9"/>
    </row>
    <row r="203" spans="1:16" ht="18" customHeight="1" x14ac:dyDescent="0.45">
      <c r="A203" s="3"/>
      <c r="B203" s="4"/>
      <c r="C203" s="5"/>
      <c r="D203" s="6" t="str">
        <f>IFERROR(VLOOKUP(C203,KRX종목마스터!$A:$B,2,FALSE),"")</f>
        <v/>
      </c>
      <c r="E203" s="8" t="str">
        <f>IFERROR(VLOOKUP(C203,KRX종목마스터!$A:$C,3,FALSE),"")</f>
        <v/>
      </c>
      <c r="F203" s="7"/>
      <c r="G203" s="14" t="str">
        <f t="shared" si="6"/>
        <v/>
      </c>
      <c r="H203" s="7"/>
      <c r="I203" s="4"/>
      <c r="J203" s="4"/>
      <c r="K203" s="4"/>
      <c r="L203" s="4"/>
      <c r="M203" s="4"/>
      <c r="N203" s="4"/>
      <c r="O203" s="4"/>
      <c r="P203" s="9"/>
    </row>
    <row r="206" spans="1:16" ht="22" customHeight="1" x14ac:dyDescent="0.45">
      <c r="A206" s="67" t="s">
        <v>88</v>
      </c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</row>
    <row r="207" spans="1:16" ht="30" customHeight="1" x14ac:dyDescent="0.45">
      <c r="A207" s="15" t="s">
        <v>74</v>
      </c>
      <c r="B207" s="68" t="s">
        <v>89</v>
      </c>
      <c r="C207" s="62"/>
      <c r="D207" s="62"/>
      <c r="E207" s="62"/>
      <c r="F207" s="62"/>
      <c r="G207" s="62"/>
      <c r="H207" s="62"/>
      <c r="I207" s="63"/>
      <c r="J207" s="61" t="s">
        <v>90</v>
      </c>
      <c r="K207" s="62"/>
      <c r="L207" s="62"/>
      <c r="M207" s="62"/>
      <c r="N207" s="62"/>
      <c r="O207" s="62"/>
      <c r="P207" s="63"/>
    </row>
    <row r="208" spans="1:16" ht="30" customHeight="1" x14ac:dyDescent="0.45">
      <c r="A208" s="16" t="s">
        <v>91</v>
      </c>
      <c r="B208" s="64" t="s">
        <v>92</v>
      </c>
      <c r="C208" s="62"/>
      <c r="D208" s="62"/>
      <c r="E208" s="62"/>
      <c r="F208" s="62"/>
      <c r="G208" s="62"/>
      <c r="H208" s="62"/>
      <c r="I208" s="63"/>
      <c r="J208" s="65" t="s">
        <v>93</v>
      </c>
      <c r="K208" s="62"/>
      <c r="L208" s="62"/>
      <c r="M208" s="62"/>
      <c r="N208" s="62"/>
      <c r="O208" s="62"/>
      <c r="P208" s="63"/>
    </row>
    <row r="209" spans="1:16" ht="30" customHeight="1" x14ac:dyDescent="0.45">
      <c r="A209" s="16" t="s">
        <v>94</v>
      </c>
      <c r="B209" s="64" t="s">
        <v>95</v>
      </c>
      <c r="C209" s="62"/>
      <c r="D209" s="62"/>
      <c r="E209" s="62"/>
      <c r="F209" s="62"/>
      <c r="G209" s="62"/>
      <c r="H209" s="62"/>
      <c r="I209" s="63"/>
      <c r="J209" s="65" t="s">
        <v>96</v>
      </c>
      <c r="K209" s="62"/>
      <c r="L209" s="62"/>
      <c r="M209" s="62"/>
      <c r="N209" s="62"/>
      <c r="O209" s="62"/>
      <c r="P209" s="63"/>
    </row>
    <row r="210" spans="1:16" ht="30" customHeight="1" x14ac:dyDescent="0.45">
      <c r="A210" s="16" t="s">
        <v>97</v>
      </c>
      <c r="B210" s="64" t="s">
        <v>98</v>
      </c>
      <c r="C210" s="62"/>
      <c r="D210" s="62"/>
      <c r="E210" s="62"/>
      <c r="F210" s="62"/>
      <c r="G210" s="62"/>
      <c r="H210" s="62"/>
      <c r="I210" s="63"/>
      <c r="J210" s="65" t="s">
        <v>99</v>
      </c>
      <c r="K210" s="62"/>
      <c r="L210" s="62"/>
      <c r="M210" s="62"/>
      <c r="N210" s="62"/>
      <c r="O210" s="62"/>
      <c r="P210" s="63"/>
    </row>
    <row r="211" spans="1:16" ht="30" customHeight="1" x14ac:dyDescent="0.45">
      <c r="A211" s="16" t="s">
        <v>100</v>
      </c>
      <c r="B211" s="64" t="s">
        <v>101</v>
      </c>
      <c r="C211" s="62"/>
      <c r="D211" s="62"/>
      <c r="E211" s="62"/>
      <c r="F211" s="62"/>
      <c r="G211" s="62"/>
      <c r="H211" s="62"/>
      <c r="I211" s="63"/>
      <c r="J211" s="65" t="s">
        <v>102</v>
      </c>
      <c r="K211" s="62"/>
      <c r="L211" s="62"/>
      <c r="M211" s="62"/>
      <c r="N211" s="62"/>
      <c r="O211" s="62"/>
      <c r="P211" s="63"/>
    </row>
    <row r="212" spans="1:16" ht="30" customHeight="1" x14ac:dyDescent="0.45">
      <c r="A212" s="16" t="s">
        <v>103</v>
      </c>
      <c r="B212" s="64" t="s">
        <v>104</v>
      </c>
      <c r="C212" s="62"/>
      <c r="D212" s="62"/>
      <c r="E212" s="62"/>
      <c r="F212" s="62"/>
      <c r="G212" s="62"/>
      <c r="H212" s="62"/>
      <c r="I212" s="63"/>
      <c r="J212" s="65" t="s">
        <v>105</v>
      </c>
      <c r="K212" s="62"/>
      <c r="L212" s="62"/>
      <c r="M212" s="62"/>
      <c r="N212" s="62"/>
      <c r="O212" s="62"/>
      <c r="P212" s="63"/>
    </row>
    <row r="213" spans="1:16" ht="30" customHeight="1" x14ac:dyDescent="0.45">
      <c r="A213" s="16" t="s">
        <v>106</v>
      </c>
      <c r="B213" s="64" t="s">
        <v>107</v>
      </c>
      <c r="C213" s="62"/>
      <c r="D213" s="62"/>
      <c r="E213" s="62"/>
      <c r="F213" s="62"/>
      <c r="G213" s="62"/>
      <c r="H213" s="62"/>
      <c r="I213" s="63"/>
      <c r="J213" s="65" t="s">
        <v>108</v>
      </c>
      <c r="K213" s="62"/>
      <c r="L213" s="62"/>
      <c r="M213" s="62"/>
      <c r="N213" s="62"/>
      <c r="O213" s="62"/>
      <c r="P213" s="63"/>
    </row>
  </sheetData>
  <autoFilter ref="A3:P3" xr:uid="{00000000-0009-0000-0000-000004000000}"/>
  <mergeCells count="16">
    <mergeCell ref="J211:P211"/>
    <mergeCell ref="A206:P206"/>
    <mergeCell ref="B213:I213"/>
    <mergeCell ref="B207:I207"/>
    <mergeCell ref="J210:P210"/>
    <mergeCell ref="B208:I208"/>
    <mergeCell ref="B211:I211"/>
    <mergeCell ref="J212:P212"/>
    <mergeCell ref="B212:I212"/>
    <mergeCell ref="J209:P209"/>
    <mergeCell ref="J213:P213"/>
    <mergeCell ref="J207:P207"/>
    <mergeCell ref="B210:I210"/>
    <mergeCell ref="J208:P208"/>
    <mergeCell ref="B209:I209"/>
    <mergeCell ref="A1:P1"/>
  </mergeCells>
  <phoneticPr fontId="10" type="noConversion"/>
  <dataValidations count="4">
    <dataValidation type="list" allowBlank="1" showErrorMessage="1" sqref="B4:B203" xr:uid="{00000000-0002-0000-0400-000000000000}">
      <formula1>"가치투자,성장주,배당주,이벤트드리븐,섹터로테이션,테마,글로벌매크로,기타"</formula1>
    </dataValidation>
    <dataValidation type="list" allowBlank="1" showErrorMessage="1" sqref="I4:M203" xr:uid="{00000000-0002-0000-0400-000001000000}">
      <formula1>"Yes,No,미확인"</formula1>
    </dataValidation>
    <dataValidation type="list" allowBlank="1" showErrorMessage="1" sqref="N4:N203" xr:uid="{00000000-0002-0000-0400-000002000000}">
      <formula1>"긴급,높음,보통,낮음"</formula1>
    </dataValidation>
    <dataValidation type="list" allowBlank="1" showErrorMessage="1" sqref="O4:O203" xr:uid="{00000000-0002-0000-0400-000003000000}">
      <formula1>"아이디어,검토중,투자결정,보류,기각"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03"/>
  <sheetViews>
    <sheetView workbookViewId="0">
      <pane ySplit="3" topLeftCell="A4" activePane="bottomLeft" state="frozen"/>
      <selection pane="bottomLeft" activeCell="O9" sqref="O9"/>
    </sheetView>
  </sheetViews>
  <sheetFormatPr defaultRowHeight="17" x14ac:dyDescent="0.45"/>
  <cols>
    <col min="1" max="1" width="10" customWidth="1"/>
    <col min="2" max="2" width="18" customWidth="1"/>
    <col min="3" max="4" width="12" customWidth="1"/>
    <col min="5" max="5" width="11" customWidth="1"/>
    <col min="6" max="6" width="12" customWidth="1"/>
    <col min="7" max="7" width="10" customWidth="1"/>
    <col min="8" max="8" width="14" customWidth="1"/>
    <col min="9" max="9" width="12" customWidth="1"/>
    <col min="10" max="10" width="11" customWidth="1"/>
    <col min="11" max="11" width="14" customWidth="1"/>
    <col min="12" max="12" width="12" customWidth="1"/>
    <col min="13" max="13" width="11" customWidth="1"/>
    <col min="14" max="14" width="12" customWidth="1"/>
    <col min="15" max="15" width="35" customWidth="1"/>
  </cols>
  <sheetData>
    <row r="1" spans="1:15" ht="26" customHeight="1" x14ac:dyDescent="0.45">
      <c r="A1" s="69" t="s">
        <v>109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x14ac:dyDescent="0.45">
      <c r="A2" s="1" t="s">
        <v>110</v>
      </c>
    </row>
    <row r="3" spans="1:15" ht="30" customHeight="1" x14ac:dyDescent="0.45">
      <c r="A3" s="17" t="s">
        <v>6</v>
      </c>
      <c r="B3" s="17" t="s">
        <v>75</v>
      </c>
      <c r="C3" s="17" t="s">
        <v>5</v>
      </c>
      <c r="D3" s="17" t="s">
        <v>111</v>
      </c>
      <c r="E3" s="17" t="s">
        <v>52</v>
      </c>
      <c r="F3" s="17" t="s">
        <v>112</v>
      </c>
      <c r="G3" s="17" t="s">
        <v>53</v>
      </c>
      <c r="H3" s="17" t="s">
        <v>55</v>
      </c>
      <c r="I3" s="17" t="s">
        <v>60</v>
      </c>
      <c r="J3" s="17" t="s">
        <v>113</v>
      </c>
      <c r="K3" s="17" t="s">
        <v>114</v>
      </c>
      <c r="L3" s="17" t="s">
        <v>76</v>
      </c>
      <c r="M3" s="17" t="s">
        <v>115</v>
      </c>
      <c r="N3" s="17" t="s">
        <v>116</v>
      </c>
      <c r="O3" s="17" t="s">
        <v>117</v>
      </c>
    </row>
    <row r="4" spans="1:15" ht="18" customHeight="1" x14ac:dyDescent="0.45">
      <c r="A4" s="5"/>
      <c r="B4" s="6" t="str">
        <f>IFERROR(VLOOKUP(A4,KRX종목마스터!$A:$B,2,FALSE),"")</f>
        <v/>
      </c>
      <c r="C4" s="4"/>
      <c r="D4" s="7"/>
      <c r="E4" s="3"/>
      <c r="F4" s="7"/>
      <c r="G4" s="7"/>
      <c r="H4" s="8" t="str">
        <f t="shared" ref="H4:H67" si="0">IF(AND(F4&lt;&gt;"",G4&lt;&gt;""),F4*G4,"")</f>
        <v/>
      </c>
      <c r="I4" s="10" t="str">
        <f t="shared" ref="I4:I67" si="1">IF(OR(D4="",F4="",G4=""),"",(F4-D4)*G4)</f>
        <v/>
      </c>
      <c r="J4" s="14" t="str">
        <f t="shared" ref="J4:J67" si="2">IF(OR(D4="",F4=""),"",(F4-D4)/D4)</f>
        <v/>
      </c>
      <c r="K4" s="4"/>
      <c r="L4" s="8" t="str">
        <f>IFERROR(VLOOKUP(A4,KRX종목마스터!$A:$C,3,FALSE),"")</f>
        <v/>
      </c>
      <c r="M4" s="18" t="str">
        <f t="shared" ref="M4:M67" si="3">IF(OR(F4="",L4=""),"",(L4-F4)/F4)</f>
        <v/>
      </c>
      <c r="N4" s="4"/>
      <c r="O4" s="9"/>
    </row>
    <row r="5" spans="1:15" ht="18" customHeight="1" x14ac:dyDescent="0.45">
      <c r="A5" s="5"/>
      <c r="B5" s="6" t="str">
        <f>IFERROR(VLOOKUP(A5,KRX종목마스터!$A:$B,2,FALSE),"")</f>
        <v/>
      </c>
      <c r="C5" s="4"/>
      <c r="D5" s="7"/>
      <c r="E5" s="3"/>
      <c r="F5" s="7"/>
      <c r="G5" s="7"/>
      <c r="H5" s="8" t="str">
        <f t="shared" si="0"/>
        <v/>
      </c>
      <c r="I5" s="10" t="str">
        <f t="shared" si="1"/>
        <v/>
      </c>
      <c r="J5" s="14" t="str">
        <f t="shared" si="2"/>
        <v/>
      </c>
      <c r="K5" s="4"/>
      <c r="L5" s="8" t="str">
        <f>IFERROR(VLOOKUP(A5,KRX종목마스터!$A:$C,3,FALSE),"")</f>
        <v/>
      </c>
      <c r="M5" s="18" t="str">
        <f t="shared" si="3"/>
        <v/>
      </c>
      <c r="N5" s="4"/>
      <c r="O5" s="9"/>
    </row>
    <row r="6" spans="1:15" ht="18" customHeight="1" x14ac:dyDescent="0.45">
      <c r="A6" s="5"/>
      <c r="B6" s="6" t="str">
        <f>IFERROR(VLOOKUP(A6,KRX종목마스터!$A:$B,2,FALSE),"")</f>
        <v/>
      </c>
      <c r="C6" s="4"/>
      <c r="D6" s="7"/>
      <c r="E6" s="3"/>
      <c r="F6" s="7"/>
      <c r="G6" s="7"/>
      <c r="H6" s="8" t="str">
        <f t="shared" si="0"/>
        <v/>
      </c>
      <c r="I6" s="10" t="str">
        <f t="shared" si="1"/>
        <v/>
      </c>
      <c r="J6" s="14" t="str">
        <f t="shared" si="2"/>
        <v/>
      </c>
      <c r="K6" s="4"/>
      <c r="L6" s="8" t="str">
        <f>IFERROR(VLOOKUP(A6,KRX종목마스터!$A:$C,3,FALSE),"")</f>
        <v/>
      </c>
      <c r="M6" s="18" t="str">
        <f t="shared" si="3"/>
        <v/>
      </c>
      <c r="N6" s="4"/>
      <c r="O6" s="9"/>
    </row>
    <row r="7" spans="1:15" ht="18" customHeight="1" x14ac:dyDescent="0.45">
      <c r="A7" s="5"/>
      <c r="B7" s="6" t="str">
        <f>IFERROR(VLOOKUP(A7,KRX종목마스터!$A:$B,2,FALSE),"")</f>
        <v/>
      </c>
      <c r="C7" s="4"/>
      <c r="D7" s="7"/>
      <c r="E7" s="3"/>
      <c r="F7" s="7"/>
      <c r="G7" s="7"/>
      <c r="H7" s="8" t="str">
        <f t="shared" si="0"/>
        <v/>
      </c>
      <c r="I7" s="10" t="str">
        <f t="shared" si="1"/>
        <v/>
      </c>
      <c r="J7" s="14" t="str">
        <f t="shared" si="2"/>
        <v/>
      </c>
      <c r="K7" s="4"/>
      <c r="L7" s="8" t="str">
        <f>IFERROR(VLOOKUP(A7,KRX종목마스터!$A:$C,3,FALSE),"")</f>
        <v/>
      </c>
      <c r="M7" s="18" t="str">
        <f t="shared" si="3"/>
        <v/>
      </c>
      <c r="N7" s="4"/>
      <c r="O7" s="9"/>
    </row>
    <row r="8" spans="1:15" ht="18" customHeight="1" x14ac:dyDescent="0.45">
      <c r="A8" s="5"/>
      <c r="B8" s="6" t="str">
        <f>IFERROR(VLOOKUP(A8,KRX종목마스터!$A:$B,2,FALSE),"")</f>
        <v/>
      </c>
      <c r="C8" s="4"/>
      <c r="D8" s="7"/>
      <c r="E8" s="3"/>
      <c r="F8" s="7"/>
      <c r="G8" s="7"/>
      <c r="H8" s="8" t="str">
        <f t="shared" si="0"/>
        <v/>
      </c>
      <c r="I8" s="10" t="str">
        <f t="shared" si="1"/>
        <v/>
      </c>
      <c r="J8" s="14" t="str">
        <f t="shared" si="2"/>
        <v/>
      </c>
      <c r="K8" s="4"/>
      <c r="L8" s="8" t="str">
        <f>IFERROR(VLOOKUP(A8,KRX종목마스터!$A:$C,3,FALSE),"")</f>
        <v/>
      </c>
      <c r="M8" s="18" t="str">
        <f t="shared" si="3"/>
        <v/>
      </c>
      <c r="N8" s="4"/>
      <c r="O8" s="9"/>
    </row>
    <row r="9" spans="1:15" ht="18" customHeight="1" x14ac:dyDescent="0.45">
      <c r="A9" s="5"/>
      <c r="B9" s="6" t="str">
        <f>IFERROR(VLOOKUP(A9,KRX종목마스터!$A:$B,2,FALSE),"")</f>
        <v/>
      </c>
      <c r="C9" s="4"/>
      <c r="D9" s="7"/>
      <c r="E9" s="3"/>
      <c r="F9" s="7"/>
      <c r="G9" s="7"/>
      <c r="H9" s="8" t="str">
        <f t="shared" si="0"/>
        <v/>
      </c>
      <c r="I9" s="10" t="str">
        <f t="shared" si="1"/>
        <v/>
      </c>
      <c r="J9" s="14" t="str">
        <f t="shared" si="2"/>
        <v/>
      </c>
      <c r="K9" s="4"/>
      <c r="L9" s="8" t="str">
        <f>IFERROR(VLOOKUP(A9,KRX종목마스터!$A:$C,3,FALSE),"")</f>
        <v/>
      </c>
      <c r="M9" s="18" t="str">
        <f t="shared" si="3"/>
        <v/>
      </c>
      <c r="N9" s="4"/>
      <c r="O9" s="9"/>
    </row>
    <row r="10" spans="1:15" ht="18" customHeight="1" x14ac:dyDescent="0.45">
      <c r="A10" s="5"/>
      <c r="B10" s="6" t="str">
        <f>IFERROR(VLOOKUP(A10,KRX종목마스터!$A:$B,2,FALSE),"")</f>
        <v/>
      </c>
      <c r="C10" s="4"/>
      <c r="D10" s="7"/>
      <c r="E10" s="3"/>
      <c r="F10" s="7"/>
      <c r="G10" s="7"/>
      <c r="H10" s="8" t="str">
        <f t="shared" si="0"/>
        <v/>
      </c>
      <c r="I10" s="10" t="str">
        <f t="shared" si="1"/>
        <v/>
      </c>
      <c r="J10" s="14" t="str">
        <f t="shared" si="2"/>
        <v/>
      </c>
      <c r="K10" s="4"/>
      <c r="L10" s="8" t="str">
        <f>IFERROR(VLOOKUP(A10,KRX종목마스터!$A:$C,3,FALSE),"")</f>
        <v/>
      </c>
      <c r="M10" s="18" t="str">
        <f t="shared" si="3"/>
        <v/>
      </c>
      <c r="N10" s="4"/>
      <c r="O10" s="9"/>
    </row>
    <row r="11" spans="1:15" ht="18" customHeight="1" x14ac:dyDescent="0.45">
      <c r="A11" s="5"/>
      <c r="B11" s="6" t="str">
        <f>IFERROR(VLOOKUP(A11,KRX종목마스터!$A:$B,2,FALSE),"")</f>
        <v/>
      </c>
      <c r="C11" s="4"/>
      <c r="D11" s="7"/>
      <c r="E11" s="3"/>
      <c r="F11" s="7"/>
      <c r="G11" s="7"/>
      <c r="H11" s="8" t="str">
        <f t="shared" si="0"/>
        <v/>
      </c>
      <c r="I11" s="10" t="str">
        <f t="shared" si="1"/>
        <v/>
      </c>
      <c r="J11" s="14" t="str">
        <f t="shared" si="2"/>
        <v/>
      </c>
      <c r="K11" s="4"/>
      <c r="L11" s="8" t="str">
        <f>IFERROR(VLOOKUP(A11,KRX종목마스터!$A:$C,3,FALSE),"")</f>
        <v/>
      </c>
      <c r="M11" s="18" t="str">
        <f t="shared" si="3"/>
        <v/>
      </c>
      <c r="N11" s="4"/>
      <c r="O11" s="9"/>
    </row>
    <row r="12" spans="1:15" ht="18" customHeight="1" x14ac:dyDescent="0.45">
      <c r="A12" s="5"/>
      <c r="B12" s="6" t="str">
        <f>IFERROR(VLOOKUP(A12,KRX종목마스터!$A:$B,2,FALSE),"")</f>
        <v/>
      </c>
      <c r="C12" s="4"/>
      <c r="D12" s="7"/>
      <c r="E12" s="3"/>
      <c r="F12" s="7"/>
      <c r="G12" s="7"/>
      <c r="H12" s="8" t="str">
        <f t="shared" si="0"/>
        <v/>
      </c>
      <c r="I12" s="10" t="str">
        <f t="shared" si="1"/>
        <v/>
      </c>
      <c r="J12" s="14" t="str">
        <f t="shared" si="2"/>
        <v/>
      </c>
      <c r="K12" s="4"/>
      <c r="L12" s="8" t="str">
        <f>IFERROR(VLOOKUP(A12,KRX종목마스터!$A:$C,3,FALSE),"")</f>
        <v/>
      </c>
      <c r="M12" s="18" t="str">
        <f t="shared" si="3"/>
        <v/>
      </c>
      <c r="N12" s="4"/>
      <c r="O12" s="9"/>
    </row>
    <row r="13" spans="1:15" ht="18" customHeight="1" x14ac:dyDescent="0.45">
      <c r="A13" s="5"/>
      <c r="B13" s="6" t="str">
        <f>IFERROR(VLOOKUP(A13,KRX종목마스터!$A:$B,2,FALSE),"")</f>
        <v/>
      </c>
      <c r="C13" s="4"/>
      <c r="D13" s="7"/>
      <c r="E13" s="3"/>
      <c r="F13" s="7"/>
      <c r="G13" s="7"/>
      <c r="H13" s="8" t="str">
        <f t="shared" si="0"/>
        <v/>
      </c>
      <c r="I13" s="10" t="str">
        <f t="shared" si="1"/>
        <v/>
      </c>
      <c r="J13" s="14" t="str">
        <f t="shared" si="2"/>
        <v/>
      </c>
      <c r="K13" s="4"/>
      <c r="L13" s="8" t="str">
        <f>IFERROR(VLOOKUP(A13,KRX종목마스터!$A:$C,3,FALSE),"")</f>
        <v/>
      </c>
      <c r="M13" s="18" t="str">
        <f t="shared" si="3"/>
        <v/>
      </c>
      <c r="N13" s="4"/>
      <c r="O13" s="9"/>
    </row>
    <row r="14" spans="1:15" ht="18" customHeight="1" x14ac:dyDescent="0.45">
      <c r="A14" s="5"/>
      <c r="B14" s="6" t="str">
        <f>IFERROR(VLOOKUP(A14,KRX종목마스터!$A:$B,2,FALSE),"")</f>
        <v/>
      </c>
      <c r="C14" s="4"/>
      <c r="D14" s="7"/>
      <c r="E14" s="3"/>
      <c r="F14" s="7"/>
      <c r="G14" s="7"/>
      <c r="H14" s="8" t="str">
        <f t="shared" si="0"/>
        <v/>
      </c>
      <c r="I14" s="10" t="str">
        <f t="shared" si="1"/>
        <v/>
      </c>
      <c r="J14" s="14" t="str">
        <f t="shared" si="2"/>
        <v/>
      </c>
      <c r="K14" s="4"/>
      <c r="L14" s="8" t="str">
        <f>IFERROR(VLOOKUP(A14,KRX종목마스터!$A:$C,3,FALSE),"")</f>
        <v/>
      </c>
      <c r="M14" s="18" t="str">
        <f t="shared" si="3"/>
        <v/>
      </c>
      <c r="N14" s="4"/>
      <c r="O14" s="9"/>
    </row>
    <row r="15" spans="1:15" ht="18" customHeight="1" x14ac:dyDescent="0.45">
      <c r="A15" s="5"/>
      <c r="B15" s="6" t="str">
        <f>IFERROR(VLOOKUP(A15,KRX종목마스터!$A:$B,2,FALSE),"")</f>
        <v/>
      </c>
      <c r="C15" s="4"/>
      <c r="D15" s="7"/>
      <c r="E15" s="3"/>
      <c r="F15" s="7"/>
      <c r="G15" s="7"/>
      <c r="H15" s="8" t="str">
        <f t="shared" si="0"/>
        <v/>
      </c>
      <c r="I15" s="10" t="str">
        <f t="shared" si="1"/>
        <v/>
      </c>
      <c r="J15" s="14" t="str">
        <f t="shared" si="2"/>
        <v/>
      </c>
      <c r="K15" s="4"/>
      <c r="L15" s="8" t="str">
        <f>IFERROR(VLOOKUP(A15,KRX종목마스터!$A:$C,3,FALSE),"")</f>
        <v/>
      </c>
      <c r="M15" s="18" t="str">
        <f t="shared" si="3"/>
        <v/>
      </c>
      <c r="N15" s="4"/>
      <c r="O15" s="9"/>
    </row>
    <row r="16" spans="1:15" ht="18" customHeight="1" x14ac:dyDescent="0.45">
      <c r="A16" s="5"/>
      <c r="B16" s="6" t="str">
        <f>IFERROR(VLOOKUP(A16,KRX종목마스터!$A:$B,2,FALSE),"")</f>
        <v/>
      </c>
      <c r="C16" s="4"/>
      <c r="D16" s="7"/>
      <c r="E16" s="3"/>
      <c r="F16" s="7"/>
      <c r="G16" s="7"/>
      <c r="H16" s="8" t="str">
        <f t="shared" si="0"/>
        <v/>
      </c>
      <c r="I16" s="10" t="str">
        <f t="shared" si="1"/>
        <v/>
      </c>
      <c r="J16" s="14" t="str">
        <f t="shared" si="2"/>
        <v/>
      </c>
      <c r="K16" s="4"/>
      <c r="L16" s="8" t="str">
        <f>IFERROR(VLOOKUP(A16,KRX종목마스터!$A:$C,3,FALSE),"")</f>
        <v/>
      </c>
      <c r="M16" s="18" t="str">
        <f t="shared" si="3"/>
        <v/>
      </c>
      <c r="N16" s="4"/>
      <c r="O16" s="9"/>
    </row>
    <row r="17" spans="1:15" ht="18" customHeight="1" x14ac:dyDescent="0.45">
      <c r="A17" s="5"/>
      <c r="B17" s="6" t="str">
        <f>IFERROR(VLOOKUP(A17,KRX종목마스터!$A:$B,2,FALSE),"")</f>
        <v/>
      </c>
      <c r="C17" s="4"/>
      <c r="D17" s="7"/>
      <c r="E17" s="3"/>
      <c r="F17" s="7"/>
      <c r="G17" s="7"/>
      <c r="H17" s="8" t="str">
        <f t="shared" si="0"/>
        <v/>
      </c>
      <c r="I17" s="10" t="str">
        <f t="shared" si="1"/>
        <v/>
      </c>
      <c r="J17" s="14" t="str">
        <f t="shared" si="2"/>
        <v/>
      </c>
      <c r="K17" s="4"/>
      <c r="L17" s="8" t="str">
        <f>IFERROR(VLOOKUP(A17,KRX종목마스터!$A:$C,3,FALSE),"")</f>
        <v/>
      </c>
      <c r="M17" s="18" t="str">
        <f t="shared" si="3"/>
        <v/>
      </c>
      <c r="N17" s="4"/>
      <c r="O17" s="9"/>
    </row>
    <row r="18" spans="1:15" ht="18" customHeight="1" x14ac:dyDescent="0.45">
      <c r="A18" s="5"/>
      <c r="B18" s="6" t="str">
        <f>IFERROR(VLOOKUP(A18,KRX종목마스터!$A:$B,2,FALSE),"")</f>
        <v/>
      </c>
      <c r="C18" s="4"/>
      <c r="D18" s="7"/>
      <c r="E18" s="3"/>
      <c r="F18" s="7"/>
      <c r="G18" s="7"/>
      <c r="H18" s="8" t="str">
        <f t="shared" si="0"/>
        <v/>
      </c>
      <c r="I18" s="10" t="str">
        <f t="shared" si="1"/>
        <v/>
      </c>
      <c r="J18" s="14" t="str">
        <f t="shared" si="2"/>
        <v/>
      </c>
      <c r="K18" s="4"/>
      <c r="L18" s="8" t="str">
        <f>IFERROR(VLOOKUP(A18,KRX종목마스터!$A:$C,3,FALSE),"")</f>
        <v/>
      </c>
      <c r="M18" s="18" t="str">
        <f t="shared" si="3"/>
        <v/>
      </c>
      <c r="N18" s="4"/>
      <c r="O18" s="9"/>
    </row>
    <row r="19" spans="1:15" ht="18" customHeight="1" x14ac:dyDescent="0.45">
      <c r="A19" s="5"/>
      <c r="B19" s="6" t="str">
        <f>IFERROR(VLOOKUP(A19,KRX종목마스터!$A:$B,2,FALSE),"")</f>
        <v/>
      </c>
      <c r="C19" s="4"/>
      <c r="D19" s="7"/>
      <c r="E19" s="3"/>
      <c r="F19" s="7"/>
      <c r="G19" s="7"/>
      <c r="H19" s="8" t="str">
        <f t="shared" si="0"/>
        <v/>
      </c>
      <c r="I19" s="10" t="str">
        <f t="shared" si="1"/>
        <v/>
      </c>
      <c r="J19" s="14" t="str">
        <f t="shared" si="2"/>
        <v/>
      </c>
      <c r="K19" s="4"/>
      <c r="L19" s="8" t="str">
        <f>IFERROR(VLOOKUP(A19,KRX종목마스터!$A:$C,3,FALSE),"")</f>
        <v/>
      </c>
      <c r="M19" s="18" t="str">
        <f t="shared" si="3"/>
        <v/>
      </c>
      <c r="N19" s="4"/>
      <c r="O19" s="9"/>
    </row>
    <row r="20" spans="1:15" ht="18" customHeight="1" x14ac:dyDescent="0.45">
      <c r="A20" s="5"/>
      <c r="B20" s="6" t="str">
        <f>IFERROR(VLOOKUP(A20,KRX종목마스터!$A:$B,2,FALSE),"")</f>
        <v/>
      </c>
      <c r="C20" s="4"/>
      <c r="D20" s="7"/>
      <c r="E20" s="3"/>
      <c r="F20" s="7"/>
      <c r="G20" s="7"/>
      <c r="H20" s="8" t="str">
        <f t="shared" si="0"/>
        <v/>
      </c>
      <c r="I20" s="10" t="str">
        <f t="shared" si="1"/>
        <v/>
      </c>
      <c r="J20" s="14" t="str">
        <f t="shared" si="2"/>
        <v/>
      </c>
      <c r="K20" s="4"/>
      <c r="L20" s="8" t="str">
        <f>IFERROR(VLOOKUP(A20,KRX종목마스터!$A:$C,3,FALSE),"")</f>
        <v/>
      </c>
      <c r="M20" s="18" t="str">
        <f t="shared" si="3"/>
        <v/>
      </c>
      <c r="N20" s="4"/>
      <c r="O20" s="9"/>
    </row>
    <row r="21" spans="1:15" ht="18" customHeight="1" x14ac:dyDescent="0.45">
      <c r="A21" s="5"/>
      <c r="B21" s="6" t="str">
        <f>IFERROR(VLOOKUP(A21,KRX종목마스터!$A:$B,2,FALSE),"")</f>
        <v/>
      </c>
      <c r="C21" s="4"/>
      <c r="D21" s="7"/>
      <c r="E21" s="3"/>
      <c r="F21" s="7"/>
      <c r="G21" s="7"/>
      <c r="H21" s="8" t="str">
        <f t="shared" si="0"/>
        <v/>
      </c>
      <c r="I21" s="10" t="str">
        <f t="shared" si="1"/>
        <v/>
      </c>
      <c r="J21" s="14" t="str">
        <f t="shared" si="2"/>
        <v/>
      </c>
      <c r="K21" s="4"/>
      <c r="L21" s="8" t="str">
        <f>IFERROR(VLOOKUP(A21,KRX종목마스터!$A:$C,3,FALSE),"")</f>
        <v/>
      </c>
      <c r="M21" s="18" t="str">
        <f t="shared" si="3"/>
        <v/>
      </c>
      <c r="N21" s="4"/>
      <c r="O21" s="9"/>
    </row>
    <row r="22" spans="1:15" ht="18" customHeight="1" x14ac:dyDescent="0.45">
      <c r="A22" s="5"/>
      <c r="B22" s="6" t="str">
        <f>IFERROR(VLOOKUP(A22,KRX종목마스터!$A:$B,2,FALSE),"")</f>
        <v/>
      </c>
      <c r="C22" s="4"/>
      <c r="D22" s="7"/>
      <c r="E22" s="3"/>
      <c r="F22" s="7"/>
      <c r="G22" s="7"/>
      <c r="H22" s="8" t="str">
        <f t="shared" si="0"/>
        <v/>
      </c>
      <c r="I22" s="10" t="str">
        <f t="shared" si="1"/>
        <v/>
      </c>
      <c r="J22" s="14" t="str">
        <f t="shared" si="2"/>
        <v/>
      </c>
      <c r="K22" s="4"/>
      <c r="L22" s="8" t="str">
        <f>IFERROR(VLOOKUP(A22,KRX종목마스터!$A:$C,3,FALSE),"")</f>
        <v/>
      </c>
      <c r="M22" s="18" t="str">
        <f t="shared" si="3"/>
        <v/>
      </c>
      <c r="N22" s="4"/>
      <c r="O22" s="9"/>
    </row>
    <row r="23" spans="1:15" ht="18" customHeight="1" x14ac:dyDescent="0.45">
      <c r="A23" s="5"/>
      <c r="B23" s="6" t="str">
        <f>IFERROR(VLOOKUP(A23,KRX종목마스터!$A:$B,2,FALSE),"")</f>
        <v/>
      </c>
      <c r="C23" s="4"/>
      <c r="D23" s="7"/>
      <c r="E23" s="3"/>
      <c r="F23" s="7"/>
      <c r="G23" s="7"/>
      <c r="H23" s="8" t="str">
        <f t="shared" si="0"/>
        <v/>
      </c>
      <c r="I23" s="10" t="str">
        <f t="shared" si="1"/>
        <v/>
      </c>
      <c r="J23" s="14" t="str">
        <f t="shared" si="2"/>
        <v/>
      </c>
      <c r="K23" s="4"/>
      <c r="L23" s="8" t="str">
        <f>IFERROR(VLOOKUP(A23,KRX종목마스터!$A:$C,3,FALSE),"")</f>
        <v/>
      </c>
      <c r="M23" s="18" t="str">
        <f t="shared" si="3"/>
        <v/>
      </c>
      <c r="N23" s="4"/>
      <c r="O23" s="9"/>
    </row>
    <row r="24" spans="1:15" ht="18" customHeight="1" x14ac:dyDescent="0.45">
      <c r="A24" s="5"/>
      <c r="B24" s="6" t="str">
        <f>IFERROR(VLOOKUP(A24,KRX종목마스터!$A:$B,2,FALSE),"")</f>
        <v/>
      </c>
      <c r="C24" s="4"/>
      <c r="D24" s="7"/>
      <c r="E24" s="3"/>
      <c r="F24" s="7"/>
      <c r="G24" s="7"/>
      <c r="H24" s="8" t="str">
        <f t="shared" si="0"/>
        <v/>
      </c>
      <c r="I24" s="10" t="str">
        <f t="shared" si="1"/>
        <v/>
      </c>
      <c r="J24" s="14" t="str">
        <f t="shared" si="2"/>
        <v/>
      </c>
      <c r="K24" s="4"/>
      <c r="L24" s="8" t="str">
        <f>IFERROR(VLOOKUP(A24,KRX종목마스터!$A:$C,3,FALSE),"")</f>
        <v/>
      </c>
      <c r="M24" s="18" t="str">
        <f t="shared" si="3"/>
        <v/>
      </c>
      <c r="N24" s="4"/>
      <c r="O24" s="9"/>
    </row>
    <row r="25" spans="1:15" ht="18" customHeight="1" x14ac:dyDescent="0.45">
      <c r="A25" s="5"/>
      <c r="B25" s="6" t="str">
        <f>IFERROR(VLOOKUP(A25,KRX종목마스터!$A:$B,2,FALSE),"")</f>
        <v/>
      </c>
      <c r="C25" s="4"/>
      <c r="D25" s="7"/>
      <c r="E25" s="3"/>
      <c r="F25" s="7"/>
      <c r="G25" s="7"/>
      <c r="H25" s="8" t="str">
        <f t="shared" si="0"/>
        <v/>
      </c>
      <c r="I25" s="10" t="str">
        <f t="shared" si="1"/>
        <v/>
      </c>
      <c r="J25" s="14" t="str">
        <f t="shared" si="2"/>
        <v/>
      </c>
      <c r="K25" s="4"/>
      <c r="L25" s="8" t="str">
        <f>IFERROR(VLOOKUP(A25,KRX종목마스터!$A:$C,3,FALSE),"")</f>
        <v/>
      </c>
      <c r="M25" s="18" t="str">
        <f t="shared" si="3"/>
        <v/>
      </c>
      <c r="N25" s="4"/>
      <c r="O25" s="9"/>
    </row>
    <row r="26" spans="1:15" ht="18" customHeight="1" x14ac:dyDescent="0.45">
      <c r="A26" s="5"/>
      <c r="B26" s="6" t="str">
        <f>IFERROR(VLOOKUP(A26,KRX종목마스터!$A:$B,2,FALSE),"")</f>
        <v/>
      </c>
      <c r="C26" s="4"/>
      <c r="D26" s="7"/>
      <c r="E26" s="3"/>
      <c r="F26" s="7"/>
      <c r="G26" s="7"/>
      <c r="H26" s="8" t="str">
        <f t="shared" si="0"/>
        <v/>
      </c>
      <c r="I26" s="10" t="str">
        <f t="shared" si="1"/>
        <v/>
      </c>
      <c r="J26" s="14" t="str">
        <f t="shared" si="2"/>
        <v/>
      </c>
      <c r="K26" s="4"/>
      <c r="L26" s="8" t="str">
        <f>IFERROR(VLOOKUP(A26,KRX종목마스터!$A:$C,3,FALSE),"")</f>
        <v/>
      </c>
      <c r="M26" s="18" t="str">
        <f t="shared" si="3"/>
        <v/>
      </c>
      <c r="N26" s="4"/>
      <c r="O26" s="9"/>
    </row>
    <row r="27" spans="1:15" ht="18" customHeight="1" x14ac:dyDescent="0.45">
      <c r="A27" s="5"/>
      <c r="B27" s="6" t="str">
        <f>IFERROR(VLOOKUP(A27,KRX종목마스터!$A:$B,2,FALSE),"")</f>
        <v/>
      </c>
      <c r="C27" s="4"/>
      <c r="D27" s="7"/>
      <c r="E27" s="3"/>
      <c r="F27" s="7"/>
      <c r="G27" s="7"/>
      <c r="H27" s="8" t="str">
        <f t="shared" si="0"/>
        <v/>
      </c>
      <c r="I27" s="10" t="str">
        <f t="shared" si="1"/>
        <v/>
      </c>
      <c r="J27" s="14" t="str">
        <f t="shared" si="2"/>
        <v/>
      </c>
      <c r="K27" s="4"/>
      <c r="L27" s="8" t="str">
        <f>IFERROR(VLOOKUP(A27,KRX종목마스터!$A:$C,3,FALSE),"")</f>
        <v/>
      </c>
      <c r="M27" s="18" t="str">
        <f t="shared" si="3"/>
        <v/>
      </c>
      <c r="N27" s="4"/>
      <c r="O27" s="9"/>
    </row>
    <row r="28" spans="1:15" ht="18" customHeight="1" x14ac:dyDescent="0.45">
      <c r="A28" s="5"/>
      <c r="B28" s="6" t="str">
        <f>IFERROR(VLOOKUP(A28,KRX종목마스터!$A:$B,2,FALSE),"")</f>
        <v/>
      </c>
      <c r="C28" s="4"/>
      <c r="D28" s="7"/>
      <c r="E28" s="3"/>
      <c r="F28" s="7"/>
      <c r="G28" s="7"/>
      <c r="H28" s="8" t="str">
        <f t="shared" si="0"/>
        <v/>
      </c>
      <c r="I28" s="10" t="str">
        <f t="shared" si="1"/>
        <v/>
      </c>
      <c r="J28" s="14" t="str">
        <f t="shared" si="2"/>
        <v/>
      </c>
      <c r="K28" s="4"/>
      <c r="L28" s="8" t="str">
        <f>IFERROR(VLOOKUP(A28,KRX종목마스터!$A:$C,3,FALSE),"")</f>
        <v/>
      </c>
      <c r="M28" s="18" t="str">
        <f t="shared" si="3"/>
        <v/>
      </c>
      <c r="N28" s="4"/>
      <c r="O28" s="9"/>
    </row>
    <row r="29" spans="1:15" ht="18" customHeight="1" x14ac:dyDescent="0.45">
      <c r="A29" s="5"/>
      <c r="B29" s="6" t="str">
        <f>IFERROR(VLOOKUP(A29,KRX종목마스터!$A:$B,2,FALSE),"")</f>
        <v/>
      </c>
      <c r="C29" s="4"/>
      <c r="D29" s="7"/>
      <c r="E29" s="3"/>
      <c r="F29" s="7"/>
      <c r="G29" s="7"/>
      <c r="H29" s="8" t="str">
        <f t="shared" si="0"/>
        <v/>
      </c>
      <c r="I29" s="10" t="str">
        <f t="shared" si="1"/>
        <v/>
      </c>
      <c r="J29" s="14" t="str">
        <f t="shared" si="2"/>
        <v/>
      </c>
      <c r="K29" s="4"/>
      <c r="L29" s="8" t="str">
        <f>IFERROR(VLOOKUP(A29,KRX종목마스터!$A:$C,3,FALSE),"")</f>
        <v/>
      </c>
      <c r="M29" s="18" t="str">
        <f t="shared" si="3"/>
        <v/>
      </c>
      <c r="N29" s="4"/>
      <c r="O29" s="9"/>
    </row>
    <row r="30" spans="1:15" ht="18" customHeight="1" x14ac:dyDescent="0.45">
      <c r="A30" s="5"/>
      <c r="B30" s="6" t="str">
        <f>IFERROR(VLOOKUP(A30,KRX종목마스터!$A:$B,2,FALSE),"")</f>
        <v/>
      </c>
      <c r="C30" s="4"/>
      <c r="D30" s="7"/>
      <c r="E30" s="3"/>
      <c r="F30" s="7"/>
      <c r="G30" s="7"/>
      <c r="H30" s="8" t="str">
        <f t="shared" si="0"/>
        <v/>
      </c>
      <c r="I30" s="10" t="str">
        <f t="shared" si="1"/>
        <v/>
      </c>
      <c r="J30" s="14" t="str">
        <f t="shared" si="2"/>
        <v/>
      </c>
      <c r="K30" s="4"/>
      <c r="L30" s="8" t="str">
        <f>IFERROR(VLOOKUP(A30,KRX종목마스터!$A:$C,3,FALSE),"")</f>
        <v/>
      </c>
      <c r="M30" s="18" t="str">
        <f t="shared" si="3"/>
        <v/>
      </c>
      <c r="N30" s="4"/>
      <c r="O30" s="9"/>
    </row>
    <row r="31" spans="1:15" ht="18" customHeight="1" x14ac:dyDescent="0.45">
      <c r="A31" s="5"/>
      <c r="B31" s="6" t="str">
        <f>IFERROR(VLOOKUP(A31,KRX종목마스터!$A:$B,2,FALSE),"")</f>
        <v/>
      </c>
      <c r="C31" s="4"/>
      <c r="D31" s="7"/>
      <c r="E31" s="3"/>
      <c r="F31" s="7"/>
      <c r="G31" s="7"/>
      <c r="H31" s="8" t="str">
        <f t="shared" si="0"/>
        <v/>
      </c>
      <c r="I31" s="10" t="str">
        <f t="shared" si="1"/>
        <v/>
      </c>
      <c r="J31" s="14" t="str">
        <f t="shared" si="2"/>
        <v/>
      </c>
      <c r="K31" s="4"/>
      <c r="L31" s="8" t="str">
        <f>IFERROR(VLOOKUP(A31,KRX종목마스터!$A:$C,3,FALSE),"")</f>
        <v/>
      </c>
      <c r="M31" s="18" t="str">
        <f t="shared" si="3"/>
        <v/>
      </c>
      <c r="N31" s="4"/>
      <c r="O31" s="9"/>
    </row>
    <row r="32" spans="1:15" ht="18" customHeight="1" x14ac:dyDescent="0.45">
      <c r="A32" s="5"/>
      <c r="B32" s="6" t="str">
        <f>IFERROR(VLOOKUP(A32,KRX종목마스터!$A:$B,2,FALSE),"")</f>
        <v/>
      </c>
      <c r="C32" s="4"/>
      <c r="D32" s="7"/>
      <c r="E32" s="3"/>
      <c r="F32" s="7"/>
      <c r="G32" s="7"/>
      <c r="H32" s="8" t="str">
        <f t="shared" si="0"/>
        <v/>
      </c>
      <c r="I32" s="10" t="str">
        <f t="shared" si="1"/>
        <v/>
      </c>
      <c r="J32" s="14" t="str">
        <f t="shared" si="2"/>
        <v/>
      </c>
      <c r="K32" s="4"/>
      <c r="L32" s="8" t="str">
        <f>IFERROR(VLOOKUP(A32,KRX종목마스터!$A:$C,3,FALSE),"")</f>
        <v/>
      </c>
      <c r="M32" s="18" t="str">
        <f t="shared" si="3"/>
        <v/>
      </c>
      <c r="N32" s="4"/>
      <c r="O32" s="9"/>
    </row>
    <row r="33" spans="1:15" ht="18" customHeight="1" x14ac:dyDescent="0.45">
      <c r="A33" s="5"/>
      <c r="B33" s="6" t="str">
        <f>IFERROR(VLOOKUP(A33,KRX종목마스터!$A:$B,2,FALSE),"")</f>
        <v/>
      </c>
      <c r="C33" s="4"/>
      <c r="D33" s="7"/>
      <c r="E33" s="3"/>
      <c r="F33" s="7"/>
      <c r="G33" s="7"/>
      <c r="H33" s="8" t="str">
        <f t="shared" si="0"/>
        <v/>
      </c>
      <c r="I33" s="10" t="str">
        <f t="shared" si="1"/>
        <v/>
      </c>
      <c r="J33" s="14" t="str">
        <f t="shared" si="2"/>
        <v/>
      </c>
      <c r="K33" s="4"/>
      <c r="L33" s="8" t="str">
        <f>IFERROR(VLOOKUP(A33,KRX종목마스터!$A:$C,3,FALSE),"")</f>
        <v/>
      </c>
      <c r="M33" s="18" t="str">
        <f t="shared" si="3"/>
        <v/>
      </c>
      <c r="N33" s="4"/>
      <c r="O33" s="9"/>
    </row>
    <row r="34" spans="1:15" ht="18" customHeight="1" x14ac:dyDescent="0.45">
      <c r="A34" s="5"/>
      <c r="B34" s="6" t="str">
        <f>IFERROR(VLOOKUP(A34,KRX종목마스터!$A:$B,2,FALSE),"")</f>
        <v/>
      </c>
      <c r="C34" s="4"/>
      <c r="D34" s="7"/>
      <c r="E34" s="3"/>
      <c r="F34" s="7"/>
      <c r="G34" s="7"/>
      <c r="H34" s="8" t="str">
        <f t="shared" si="0"/>
        <v/>
      </c>
      <c r="I34" s="10" t="str">
        <f t="shared" si="1"/>
        <v/>
      </c>
      <c r="J34" s="14" t="str">
        <f t="shared" si="2"/>
        <v/>
      </c>
      <c r="K34" s="4"/>
      <c r="L34" s="8" t="str">
        <f>IFERROR(VLOOKUP(A34,KRX종목마스터!$A:$C,3,FALSE),"")</f>
        <v/>
      </c>
      <c r="M34" s="18" t="str">
        <f t="shared" si="3"/>
        <v/>
      </c>
      <c r="N34" s="4"/>
      <c r="O34" s="9"/>
    </row>
    <row r="35" spans="1:15" ht="18" customHeight="1" x14ac:dyDescent="0.45">
      <c r="A35" s="5"/>
      <c r="B35" s="6" t="str">
        <f>IFERROR(VLOOKUP(A35,KRX종목마스터!$A:$B,2,FALSE),"")</f>
        <v/>
      </c>
      <c r="C35" s="4"/>
      <c r="D35" s="7"/>
      <c r="E35" s="3"/>
      <c r="F35" s="7"/>
      <c r="G35" s="7"/>
      <c r="H35" s="8" t="str">
        <f t="shared" si="0"/>
        <v/>
      </c>
      <c r="I35" s="10" t="str">
        <f t="shared" si="1"/>
        <v/>
      </c>
      <c r="J35" s="14" t="str">
        <f t="shared" si="2"/>
        <v/>
      </c>
      <c r="K35" s="4"/>
      <c r="L35" s="8" t="str">
        <f>IFERROR(VLOOKUP(A35,KRX종목마스터!$A:$C,3,FALSE),"")</f>
        <v/>
      </c>
      <c r="M35" s="18" t="str">
        <f t="shared" si="3"/>
        <v/>
      </c>
      <c r="N35" s="4"/>
      <c r="O35" s="9"/>
    </row>
    <row r="36" spans="1:15" ht="18" customHeight="1" x14ac:dyDescent="0.45">
      <c r="A36" s="5"/>
      <c r="B36" s="6" t="str">
        <f>IFERROR(VLOOKUP(A36,KRX종목마스터!$A:$B,2,FALSE),"")</f>
        <v/>
      </c>
      <c r="C36" s="4"/>
      <c r="D36" s="7"/>
      <c r="E36" s="3"/>
      <c r="F36" s="7"/>
      <c r="G36" s="7"/>
      <c r="H36" s="8" t="str">
        <f t="shared" si="0"/>
        <v/>
      </c>
      <c r="I36" s="10" t="str">
        <f t="shared" si="1"/>
        <v/>
      </c>
      <c r="J36" s="14" t="str">
        <f t="shared" si="2"/>
        <v/>
      </c>
      <c r="K36" s="4"/>
      <c r="L36" s="8" t="str">
        <f>IFERROR(VLOOKUP(A36,KRX종목마스터!$A:$C,3,FALSE),"")</f>
        <v/>
      </c>
      <c r="M36" s="18" t="str">
        <f t="shared" si="3"/>
        <v/>
      </c>
      <c r="N36" s="4"/>
      <c r="O36" s="9"/>
    </row>
    <row r="37" spans="1:15" ht="18" customHeight="1" x14ac:dyDescent="0.45">
      <c r="A37" s="5"/>
      <c r="B37" s="6" t="str">
        <f>IFERROR(VLOOKUP(A37,KRX종목마스터!$A:$B,2,FALSE),"")</f>
        <v/>
      </c>
      <c r="C37" s="4"/>
      <c r="D37" s="7"/>
      <c r="E37" s="3"/>
      <c r="F37" s="7"/>
      <c r="G37" s="7"/>
      <c r="H37" s="8" t="str">
        <f t="shared" si="0"/>
        <v/>
      </c>
      <c r="I37" s="10" t="str">
        <f t="shared" si="1"/>
        <v/>
      </c>
      <c r="J37" s="14" t="str">
        <f t="shared" si="2"/>
        <v/>
      </c>
      <c r="K37" s="4"/>
      <c r="L37" s="8" t="str">
        <f>IFERROR(VLOOKUP(A37,KRX종목마스터!$A:$C,3,FALSE),"")</f>
        <v/>
      </c>
      <c r="M37" s="18" t="str">
        <f t="shared" si="3"/>
        <v/>
      </c>
      <c r="N37" s="4"/>
      <c r="O37" s="9"/>
    </row>
    <row r="38" spans="1:15" ht="18" customHeight="1" x14ac:dyDescent="0.45">
      <c r="A38" s="5"/>
      <c r="B38" s="6" t="str">
        <f>IFERROR(VLOOKUP(A38,KRX종목마스터!$A:$B,2,FALSE),"")</f>
        <v/>
      </c>
      <c r="C38" s="4"/>
      <c r="D38" s="7"/>
      <c r="E38" s="3"/>
      <c r="F38" s="7"/>
      <c r="G38" s="7"/>
      <c r="H38" s="8" t="str">
        <f t="shared" si="0"/>
        <v/>
      </c>
      <c r="I38" s="10" t="str">
        <f t="shared" si="1"/>
        <v/>
      </c>
      <c r="J38" s="14" t="str">
        <f t="shared" si="2"/>
        <v/>
      </c>
      <c r="K38" s="4"/>
      <c r="L38" s="8" t="str">
        <f>IFERROR(VLOOKUP(A38,KRX종목마스터!$A:$C,3,FALSE),"")</f>
        <v/>
      </c>
      <c r="M38" s="18" t="str">
        <f t="shared" si="3"/>
        <v/>
      </c>
      <c r="N38" s="4"/>
      <c r="O38" s="9"/>
    </row>
    <row r="39" spans="1:15" ht="18" customHeight="1" x14ac:dyDescent="0.45">
      <c r="A39" s="5"/>
      <c r="B39" s="6" t="str">
        <f>IFERROR(VLOOKUP(A39,KRX종목마스터!$A:$B,2,FALSE),"")</f>
        <v/>
      </c>
      <c r="C39" s="4"/>
      <c r="D39" s="7"/>
      <c r="E39" s="3"/>
      <c r="F39" s="7"/>
      <c r="G39" s="7"/>
      <c r="H39" s="8" t="str">
        <f t="shared" si="0"/>
        <v/>
      </c>
      <c r="I39" s="10" t="str">
        <f t="shared" si="1"/>
        <v/>
      </c>
      <c r="J39" s="14" t="str">
        <f t="shared" si="2"/>
        <v/>
      </c>
      <c r="K39" s="4"/>
      <c r="L39" s="8" t="str">
        <f>IFERROR(VLOOKUP(A39,KRX종목마스터!$A:$C,3,FALSE),"")</f>
        <v/>
      </c>
      <c r="M39" s="18" t="str">
        <f t="shared" si="3"/>
        <v/>
      </c>
      <c r="N39" s="4"/>
      <c r="O39" s="9"/>
    </row>
    <row r="40" spans="1:15" ht="18" customHeight="1" x14ac:dyDescent="0.45">
      <c r="A40" s="5"/>
      <c r="B40" s="6" t="str">
        <f>IFERROR(VLOOKUP(A40,KRX종목마스터!$A:$B,2,FALSE),"")</f>
        <v/>
      </c>
      <c r="C40" s="4"/>
      <c r="D40" s="7"/>
      <c r="E40" s="3"/>
      <c r="F40" s="7"/>
      <c r="G40" s="7"/>
      <c r="H40" s="8" t="str">
        <f t="shared" si="0"/>
        <v/>
      </c>
      <c r="I40" s="10" t="str">
        <f t="shared" si="1"/>
        <v/>
      </c>
      <c r="J40" s="14" t="str">
        <f t="shared" si="2"/>
        <v/>
      </c>
      <c r="K40" s="4"/>
      <c r="L40" s="8" t="str">
        <f>IFERROR(VLOOKUP(A40,KRX종목마스터!$A:$C,3,FALSE),"")</f>
        <v/>
      </c>
      <c r="M40" s="18" t="str">
        <f t="shared" si="3"/>
        <v/>
      </c>
      <c r="N40" s="4"/>
      <c r="O40" s="9"/>
    </row>
    <row r="41" spans="1:15" ht="18" customHeight="1" x14ac:dyDescent="0.45">
      <c r="A41" s="5"/>
      <c r="B41" s="6" t="str">
        <f>IFERROR(VLOOKUP(A41,KRX종목마스터!$A:$B,2,FALSE),"")</f>
        <v/>
      </c>
      <c r="C41" s="4"/>
      <c r="D41" s="7"/>
      <c r="E41" s="3"/>
      <c r="F41" s="7"/>
      <c r="G41" s="7"/>
      <c r="H41" s="8" t="str">
        <f t="shared" si="0"/>
        <v/>
      </c>
      <c r="I41" s="10" t="str">
        <f t="shared" si="1"/>
        <v/>
      </c>
      <c r="J41" s="14" t="str">
        <f t="shared" si="2"/>
        <v/>
      </c>
      <c r="K41" s="4"/>
      <c r="L41" s="8" t="str">
        <f>IFERROR(VLOOKUP(A41,KRX종목마스터!$A:$C,3,FALSE),"")</f>
        <v/>
      </c>
      <c r="M41" s="18" t="str">
        <f t="shared" si="3"/>
        <v/>
      </c>
      <c r="N41" s="4"/>
      <c r="O41" s="9"/>
    </row>
    <row r="42" spans="1:15" ht="18" customHeight="1" x14ac:dyDescent="0.45">
      <c r="A42" s="5"/>
      <c r="B42" s="6" t="str">
        <f>IFERROR(VLOOKUP(A42,KRX종목마스터!$A:$B,2,FALSE),"")</f>
        <v/>
      </c>
      <c r="C42" s="4"/>
      <c r="D42" s="7"/>
      <c r="E42" s="3"/>
      <c r="F42" s="7"/>
      <c r="G42" s="7"/>
      <c r="H42" s="8" t="str">
        <f t="shared" si="0"/>
        <v/>
      </c>
      <c r="I42" s="10" t="str">
        <f t="shared" si="1"/>
        <v/>
      </c>
      <c r="J42" s="14" t="str">
        <f t="shared" si="2"/>
        <v/>
      </c>
      <c r="K42" s="4"/>
      <c r="L42" s="8" t="str">
        <f>IFERROR(VLOOKUP(A42,KRX종목마스터!$A:$C,3,FALSE),"")</f>
        <v/>
      </c>
      <c r="M42" s="18" t="str">
        <f t="shared" si="3"/>
        <v/>
      </c>
      <c r="N42" s="4"/>
      <c r="O42" s="9"/>
    </row>
    <row r="43" spans="1:15" ht="18" customHeight="1" x14ac:dyDescent="0.45">
      <c r="A43" s="5"/>
      <c r="B43" s="6" t="str">
        <f>IFERROR(VLOOKUP(A43,KRX종목마스터!$A:$B,2,FALSE),"")</f>
        <v/>
      </c>
      <c r="C43" s="4"/>
      <c r="D43" s="7"/>
      <c r="E43" s="3"/>
      <c r="F43" s="7"/>
      <c r="G43" s="7"/>
      <c r="H43" s="8" t="str">
        <f t="shared" si="0"/>
        <v/>
      </c>
      <c r="I43" s="10" t="str">
        <f t="shared" si="1"/>
        <v/>
      </c>
      <c r="J43" s="14" t="str">
        <f t="shared" si="2"/>
        <v/>
      </c>
      <c r="K43" s="4"/>
      <c r="L43" s="8" t="str">
        <f>IFERROR(VLOOKUP(A43,KRX종목마스터!$A:$C,3,FALSE),"")</f>
        <v/>
      </c>
      <c r="M43" s="18" t="str">
        <f t="shared" si="3"/>
        <v/>
      </c>
      <c r="N43" s="4"/>
      <c r="O43" s="9"/>
    </row>
    <row r="44" spans="1:15" ht="18" customHeight="1" x14ac:dyDescent="0.45">
      <c r="A44" s="5"/>
      <c r="B44" s="6" t="str">
        <f>IFERROR(VLOOKUP(A44,KRX종목마스터!$A:$B,2,FALSE),"")</f>
        <v/>
      </c>
      <c r="C44" s="4"/>
      <c r="D44" s="7"/>
      <c r="E44" s="3"/>
      <c r="F44" s="7"/>
      <c r="G44" s="7"/>
      <c r="H44" s="8" t="str">
        <f t="shared" si="0"/>
        <v/>
      </c>
      <c r="I44" s="10" t="str">
        <f t="shared" si="1"/>
        <v/>
      </c>
      <c r="J44" s="14" t="str">
        <f t="shared" si="2"/>
        <v/>
      </c>
      <c r="K44" s="4"/>
      <c r="L44" s="8" t="str">
        <f>IFERROR(VLOOKUP(A44,KRX종목마스터!$A:$C,3,FALSE),"")</f>
        <v/>
      </c>
      <c r="M44" s="18" t="str">
        <f t="shared" si="3"/>
        <v/>
      </c>
      <c r="N44" s="4"/>
      <c r="O44" s="9"/>
    </row>
    <row r="45" spans="1:15" ht="18" customHeight="1" x14ac:dyDescent="0.45">
      <c r="A45" s="5"/>
      <c r="B45" s="6" t="str">
        <f>IFERROR(VLOOKUP(A45,KRX종목마스터!$A:$B,2,FALSE),"")</f>
        <v/>
      </c>
      <c r="C45" s="4"/>
      <c r="D45" s="7"/>
      <c r="E45" s="3"/>
      <c r="F45" s="7"/>
      <c r="G45" s="7"/>
      <c r="H45" s="8" t="str">
        <f t="shared" si="0"/>
        <v/>
      </c>
      <c r="I45" s="10" t="str">
        <f t="shared" si="1"/>
        <v/>
      </c>
      <c r="J45" s="14" t="str">
        <f t="shared" si="2"/>
        <v/>
      </c>
      <c r="K45" s="4"/>
      <c r="L45" s="8" t="str">
        <f>IFERROR(VLOOKUP(A45,KRX종목마스터!$A:$C,3,FALSE),"")</f>
        <v/>
      </c>
      <c r="M45" s="18" t="str">
        <f t="shared" si="3"/>
        <v/>
      </c>
      <c r="N45" s="4"/>
      <c r="O45" s="9"/>
    </row>
    <row r="46" spans="1:15" ht="18" customHeight="1" x14ac:dyDescent="0.45">
      <c r="A46" s="5"/>
      <c r="B46" s="6" t="str">
        <f>IFERROR(VLOOKUP(A46,KRX종목마스터!$A:$B,2,FALSE),"")</f>
        <v/>
      </c>
      <c r="C46" s="4"/>
      <c r="D46" s="7"/>
      <c r="E46" s="3"/>
      <c r="F46" s="7"/>
      <c r="G46" s="7"/>
      <c r="H46" s="8" t="str">
        <f t="shared" si="0"/>
        <v/>
      </c>
      <c r="I46" s="10" t="str">
        <f t="shared" si="1"/>
        <v/>
      </c>
      <c r="J46" s="14" t="str">
        <f t="shared" si="2"/>
        <v/>
      </c>
      <c r="K46" s="4"/>
      <c r="L46" s="8" t="str">
        <f>IFERROR(VLOOKUP(A46,KRX종목마스터!$A:$C,3,FALSE),"")</f>
        <v/>
      </c>
      <c r="M46" s="18" t="str">
        <f t="shared" si="3"/>
        <v/>
      </c>
      <c r="N46" s="4"/>
      <c r="O46" s="9"/>
    </row>
    <row r="47" spans="1:15" ht="18" customHeight="1" x14ac:dyDescent="0.45">
      <c r="A47" s="5"/>
      <c r="B47" s="6" t="str">
        <f>IFERROR(VLOOKUP(A47,KRX종목마스터!$A:$B,2,FALSE),"")</f>
        <v/>
      </c>
      <c r="C47" s="4"/>
      <c r="D47" s="7"/>
      <c r="E47" s="3"/>
      <c r="F47" s="7"/>
      <c r="G47" s="7"/>
      <c r="H47" s="8" t="str">
        <f t="shared" si="0"/>
        <v/>
      </c>
      <c r="I47" s="10" t="str">
        <f t="shared" si="1"/>
        <v/>
      </c>
      <c r="J47" s="14" t="str">
        <f t="shared" si="2"/>
        <v/>
      </c>
      <c r="K47" s="4"/>
      <c r="L47" s="8" t="str">
        <f>IFERROR(VLOOKUP(A47,KRX종목마스터!$A:$C,3,FALSE),"")</f>
        <v/>
      </c>
      <c r="M47" s="18" t="str">
        <f t="shared" si="3"/>
        <v/>
      </c>
      <c r="N47" s="4"/>
      <c r="O47" s="9"/>
    </row>
    <row r="48" spans="1:15" ht="18" customHeight="1" x14ac:dyDescent="0.45">
      <c r="A48" s="5"/>
      <c r="B48" s="6" t="str">
        <f>IFERROR(VLOOKUP(A48,KRX종목마스터!$A:$B,2,FALSE),"")</f>
        <v/>
      </c>
      <c r="C48" s="4"/>
      <c r="D48" s="7"/>
      <c r="E48" s="3"/>
      <c r="F48" s="7"/>
      <c r="G48" s="7"/>
      <c r="H48" s="8" t="str">
        <f t="shared" si="0"/>
        <v/>
      </c>
      <c r="I48" s="10" t="str">
        <f t="shared" si="1"/>
        <v/>
      </c>
      <c r="J48" s="14" t="str">
        <f t="shared" si="2"/>
        <v/>
      </c>
      <c r="K48" s="4"/>
      <c r="L48" s="8" t="str">
        <f>IFERROR(VLOOKUP(A48,KRX종목마스터!$A:$C,3,FALSE),"")</f>
        <v/>
      </c>
      <c r="M48" s="18" t="str">
        <f t="shared" si="3"/>
        <v/>
      </c>
      <c r="N48" s="4"/>
      <c r="O48" s="9"/>
    </row>
    <row r="49" spans="1:15" ht="18" customHeight="1" x14ac:dyDescent="0.45">
      <c r="A49" s="5"/>
      <c r="B49" s="6" t="str">
        <f>IFERROR(VLOOKUP(A49,KRX종목마스터!$A:$B,2,FALSE),"")</f>
        <v/>
      </c>
      <c r="C49" s="4"/>
      <c r="D49" s="7"/>
      <c r="E49" s="3"/>
      <c r="F49" s="7"/>
      <c r="G49" s="7"/>
      <c r="H49" s="8" t="str">
        <f t="shared" si="0"/>
        <v/>
      </c>
      <c r="I49" s="10" t="str">
        <f t="shared" si="1"/>
        <v/>
      </c>
      <c r="J49" s="14" t="str">
        <f t="shared" si="2"/>
        <v/>
      </c>
      <c r="K49" s="4"/>
      <c r="L49" s="8" t="str">
        <f>IFERROR(VLOOKUP(A49,KRX종목마스터!$A:$C,3,FALSE),"")</f>
        <v/>
      </c>
      <c r="M49" s="18" t="str">
        <f t="shared" si="3"/>
        <v/>
      </c>
      <c r="N49" s="4"/>
      <c r="O49" s="9"/>
    </row>
    <row r="50" spans="1:15" ht="18" customHeight="1" x14ac:dyDescent="0.45">
      <c r="A50" s="5"/>
      <c r="B50" s="6" t="str">
        <f>IFERROR(VLOOKUP(A50,KRX종목마스터!$A:$B,2,FALSE),"")</f>
        <v/>
      </c>
      <c r="C50" s="4"/>
      <c r="D50" s="7"/>
      <c r="E50" s="3"/>
      <c r="F50" s="7"/>
      <c r="G50" s="7"/>
      <c r="H50" s="8" t="str">
        <f t="shared" si="0"/>
        <v/>
      </c>
      <c r="I50" s="10" t="str">
        <f t="shared" si="1"/>
        <v/>
      </c>
      <c r="J50" s="14" t="str">
        <f t="shared" si="2"/>
        <v/>
      </c>
      <c r="K50" s="4"/>
      <c r="L50" s="8" t="str">
        <f>IFERROR(VLOOKUP(A50,KRX종목마스터!$A:$C,3,FALSE),"")</f>
        <v/>
      </c>
      <c r="M50" s="18" t="str">
        <f t="shared" si="3"/>
        <v/>
      </c>
      <c r="N50" s="4"/>
      <c r="O50" s="9"/>
    </row>
    <row r="51" spans="1:15" ht="18" customHeight="1" x14ac:dyDescent="0.45">
      <c r="A51" s="5"/>
      <c r="B51" s="6" t="str">
        <f>IFERROR(VLOOKUP(A51,KRX종목마스터!$A:$B,2,FALSE),"")</f>
        <v/>
      </c>
      <c r="C51" s="4"/>
      <c r="D51" s="7"/>
      <c r="E51" s="3"/>
      <c r="F51" s="7"/>
      <c r="G51" s="7"/>
      <c r="H51" s="8" t="str">
        <f t="shared" si="0"/>
        <v/>
      </c>
      <c r="I51" s="10" t="str">
        <f t="shared" si="1"/>
        <v/>
      </c>
      <c r="J51" s="14" t="str">
        <f t="shared" si="2"/>
        <v/>
      </c>
      <c r="K51" s="4"/>
      <c r="L51" s="8" t="str">
        <f>IFERROR(VLOOKUP(A51,KRX종목마스터!$A:$C,3,FALSE),"")</f>
        <v/>
      </c>
      <c r="M51" s="18" t="str">
        <f t="shared" si="3"/>
        <v/>
      </c>
      <c r="N51" s="4"/>
      <c r="O51" s="9"/>
    </row>
    <row r="52" spans="1:15" ht="18" customHeight="1" x14ac:dyDescent="0.45">
      <c r="A52" s="5"/>
      <c r="B52" s="6" t="str">
        <f>IFERROR(VLOOKUP(A52,KRX종목마스터!$A:$B,2,FALSE),"")</f>
        <v/>
      </c>
      <c r="C52" s="4"/>
      <c r="D52" s="7"/>
      <c r="E52" s="3"/>
      <c r="F52" s="7"/>
      <c r="G52" s="7"/>
      <c r="H52" s="8" t="str">
        <f t="shared" si="0"/>
        <v/>
      </c>
      <c r="I52" s="10" t="str">
        <f t="shared" si="1"/>
        <v/>
      </c>
      <c r="J52" s="14" t="str">
        <f t="shared" si="2"/>
        <v/>
      </c>
      <c r="K52" s="4"/>
      <c r="L52" s="8" t="str">
        <f>IFERROR(VLOOKUP(A52,KRX종목마스터!$A:$C,3,FALSE),"")</f>
        <v/>
      </c>
      <c r="M52" s="18" t="str">
        <f t="shared" si="3"/>
        <v/>
      </c>
      <c r="N52" s="4"/>
      <c r="O52" s="9"/>
    </row>
    <row r="53" spans="1:15" ht="18" customHeight="1" x14ac:dyDescent="0.45">
      <c r="A53" s="5"/>
      <c r="B53" s="6" t="str">
        <f>IFERROR(VLOOKUP(A53,KRX종목마스터!$A:$B,2,FALSE),"")</f>
        <v/>
      </c>
      <c r="C53" s="4"/>
      <c r="D53" s="7"/>
      <c r="E53" s="3"/>
      <c r="F53" s="7"/>
      <c r="G53" s="7"/>
      <c r="H53" s="8" t="str">
        <f t="shared" si="0"/>
        <v/>
      </c>
      <c r="I53" s="10" t="str">
        <f t="shared" si="1"/>
        <v/>
      </c>
      <c r="J53" s="14" t="str">
        <f t="shared" si="2"/>
        <v/>
      </c>
      <c r="K53" s="4"/>
      <c r="L53" s="8" t="str">
        <f>IFERROR(VLOOKUP(A53,KRX종목마스터!$A:$C,3,FALSE),"")</f>
        <v/>
      </c>
      <c r="M53" s="18" t="str">
        <f t="shared" si="3"/>
        <v/>
      </c>
      <c r="N53" s="4"/>
      <c r="O53" s="9"/>
    </row>
    <row r="54" spans="1:15" ht="18" customHeight="1" x14ac:dyDescent="0.45">
      <c r="A54" s="5"/>
      <c r="B54" s="6" t="str">
        <f>IFERROR(VLOOKUP(A54,KRX종목마스터!$A:$B,2,FALSE),"")</f>
        <v/>
      </c>
      <c r="C54" s="4"/>
      <c r="D54" s="7"/>
      <c r="E54" s="3"/>
      <c r="F54" s="7"/>
      <c r="G54" s="7"/>
      <c r="H54" s="8" t="str">
        <f t="shared" si="0"/>
        <v/>
      </c>
      <c r="I54" s="10" t="str">
        <f t="shared" si="1"/>
        <v/>
      </c>
      <c r="J54" s="14" t="str">
        <f t="shared" si="2"/>
        <v/>
      </c>
      <c r="K54" s="4"/>
      <c r="L54" s="8" t="str">
        <f>IFERROR(VLOOKUP(A54,KRX종목마스터!$A:$C,3,FALSE),"")</f>
        <v/>
      </c>
      <c r="M54" s="18" t="str">
        <f t="shared" si="3"/>
        <v/>
      </c>
      <c r="N54" s="4"/>
      <c r="O54" s="9"/>
    </row>
    <row r="55" spans="1:15" ht="18" customHeight="1" x14ac:dyDescent="0.45">
      <c r="A55" s="5"/>
      <c r="B55" s="6" t="str">
        <f>IFERROR(VLOOKUP(A55,KRX종목마스터!$A:$B,2,FALSE),"")</f>
        <v/>
      </c>
      <c r="C55" s="4"/>
      <c r="D55" s="7"/>
      <c r="E55" s="3"/>
      <c r="F55" s="7"/>
      <c r="G55" s="7"/>
      <c r="H55" s="8" t="str">
        <f t="shared" si="0"/>
        <v/>
      </c>
      <c r="I55" s="10" t="str">
        <f t="shared" si="1"/>
        <v/>
      </c>
      <c r="J55" s="14" t="str">
        <f t="shared" si="2"/>
        <v/>
      </c>
      <c r="K55" s="4"/>
      <c r="L55" s="8" t="str">
        <f>IFERROR(VLOOKUP(A55,KRX종목마스터!$A:$C,3,FALSE),"")</f>
        <v/>
      </c>
      <c r="M55" s="18" t="str">
        <f t="shared" si="3"/>
        <v/>
      </c>
      <c r="N55" s="4"/>
      <c r="O55" s="9"/>
    </row>
    <row r="56" spans="1:15" ht="18" customHeight="1" x14ac:dyDescent="0.45">
      <c r="A56" s="5"/>
      <c r="B56" s="6" t="str">
        <f>IFERROR(VLOOKUP(A56,KRX종목마스터!$A:$B,2,FALSE),"")</f>
        <v/>
      </c>
      <c r="C56" s="4"/>
      <c r="D56" s="7"/>
      <c r="E56" s="3"/>
      <c r="F56" s="7"/>
      <c r="G56" s="7"/>
      <c r="H56" s="8" t="str">
        <f t="shared" si="0"/>
        <v/>
      </c>
      <c r="I56" s="10" t="str">
        <f t="shared" si="1"/>
        <v/>
      </c>
      <c r="J56" s="14" t="str">
        <f t="shared" si="2"/>
        <v/>
      </c>
      <c r="K56" s="4"/>
      <c r="L56" s="8" t="str">
        <f>IFERROR(VLOOKUP(A56,KRX종목마스터!$A:$C,3,FALSE),"")</f>
        <v/>
      </c>
      <c r="M56" s="18" t="str">
        <f t="shared" si="3"/>
        <v/>
      </c>
      <c r="N56" s="4"/>
      <c r="O56" s="9"/>
    </row>
    <row r="57" spans="1:15" ht="18" customHeight="1" x14ac:dyDescent="0.45">
      <c r="A57" s="5"/>
      <c r="B57" s="6" t="str">
        <f>IFERROR(VLOOKUP(A57,KRX종목마스터!$A:$B,2,FALSE),"")</f>
        <v/>
      </c>
      <c r="C57" s="4"/>
      <c r="D57" s="7"/>
      <c r="E57" s="3"/>
      <c r="F57" s="7"/>
      <c r="G57" s="7"/>
      <c r="H57" s="8" t="str">
        <f t="shared" si="0"/>
        <v/>
      </c>
      <c r="I57" s="10" t="str">
        <f t="shared" si="1"/>
        <v/>
      </c>
      <c r="J57" s="14" t="str">
        <f t="shared" si="2"/>
        <v/>
      </c>
      <c r="K57" s="4"/>
      <c r="L57" s="8" t="str">
        <f>IFERROR(VLOOKUP(A57,KRX종목마스터!$A:$C,3,FALSE),"")</f>
        <v/>
      </c>
      <c r="M57" s="18" t="str">
        <f t="shared" si="3"/>
        <v/>
      </c>
      <c r="N57" s="4"/>
      <c r="O57" s="9"/>
    </row>
    <row r="58" spans="1:15" ht="18" customHeight="1" x14ac:dyDescent="0.45">
      <c r="A58" s="5"/>
      <c r="B58" s="6" t="str">
        <f>IFERROR(VLOOKUP(A58,KRX종목마스터!$A:$B,2,FALSE),"")</f>
        <v/>
      </c>
      <c r="C58" s="4"/>
      <c r="D58" s="7"/>
      <c r="E58" s="3"/>
      <c r="F58" s="7"/>
      <c r="G58" s="7"/>
      <c r="H58" s="8" t="str">
        <f t="shared" si="0"/>
        <v/>
      </c>
      <c r="I58" s="10" t="str">
        <f t="shared" si="1"/>
        <v/>
      </c>
      <c r="J58" s="14" t="str">
        <f t="shared" si="2"/>
        <v/>
      </c>
      <c r="K58" s="4"/>
      <c r="L58" s="8" t="str">
        <f>IFERROR(VLOOKUP(A58,KRX종목마스터!$A:$C,3,FALSE),"")</f>
        <v/>
      </c>
      <c r="M58" s="18" t="str">
        <f t="shared" si="3"/>
        <v/>
      </c>
      <c r="N58" s="4"/>
      <c r="O58" s="9"/>
    </row>
    <row r="59" spans="1:15" ht="18" customHeight="1" x14ac:dyDescent="0.45">
      <c r="A59" s="5"/>
      <c r="B59" s="6" t="str">
        <f>IFERROR(VLOOKUP(A59,KRX종목마스터!$A:$B,2,FALSE),"")</f>
        <v/>
      </c>
      <c r="C59" s="4"/>
      <c r="D59" s="7"/>
      <c r="E59" s="3"/>
      <c r="F59" s="7"/>
      <c r="G59" s="7"/>
      <c r="H59" s="8" t="str">
        <f t="shared" si="0"/>
        <v/>
      </c>
      <c r="I59" s="10" t="str">
        <f t="shared" si="1"/>
        <v/>
      </c>
      <c r="J59" s="14" t="str">
        <f t="shared" si="2"/>
        <v/>
      </c>
      <c r="K59" s="4"/>
      <c r="L59" s="8" t="str">
        <f>IFERROR(VLOOKUP(A59,KRX종목마스터!$A:$C,3,FALSE),"")</f>
        <v/>
      </c>
      <c r="M59" s="18" t="str">
        <f t="shared" si="3"/>
        <v/>
      </c>
      <c r="N59" s="4"/>
      <c r="O59" s="9"/>
    </row>
    <row r="60" spans="1:15" ht="18" customHeight="1" x14ac:dyDescent="0.45">
      <c r="A60" s="5"/>
      <c r="B60" s="6" t="str">
        <f>IFERROR(VLOOKUP(A60,KRX종목마스터!$A:$B,2,FALSE),"")</f>
        <v/>
      </c>
      <c r="C60" s="4"/>
      <c r="D60" s="7"/>
      <c r="E60" s="3"/>
      <c r="F60" s="7"/>
      <c r="G60" s="7"/>
      <c r="H60" s="8" t="str">
        <f t="shared" si="0"/>
        <v/>
      </c>
      <c r="I60" s="10" t="str">
        <f t="shared" si="1"/>
        <v/>
      </c>
      <c r="J60" s="14" t="str">
        <f t="shared" si="2"/>
        <v/>
      </c>
      <c r="K60" s="4"/>
      <c r="L60" s="8" t="str">
        <f>IFERROR(VLOOKUP(A60,KRX종목마스터!$A:$C,3,FALSE),"")</f>
        <v/>
      </c>
      <c r="M60" s="18" t="str">
        <f t="shared" si="3"/>
        <v/>
      </c>
      <c r="N60" s="4"/>
      <c r="O60" s="9"/>
    </row>
    <row r="61" spans="1:15" ht="18" customHeight="1" x14ac:dyDescent="0.45">
      <c r="A61" s="5"/>
      <c r="B61" s="6" t="str">
        <f>IFERROR(VLOOKUP(A61,KRX종목마스터!$A:$B,2,FALSE),"")</f>
        <v/>
      </c>
      <c r="C61" s="4"/>
      <c r="D61" s="7"/>
      <c r="E61" s="3"/>
      <c r="F61" s="7"/>
      <c r="G61" s="7"/>
      <c r="H61" s="8" t="str">
        <f t="shared" si="0"/>
        <v/>
      </c>
      <c r="I61" s="10" t="str">
        <f t="shared" si="1"/>
        <v/>
      </c>
      <c r="J61" s="14" t="str">
        <f t="shared" si="2"/>
        <v/>
      </c>
      <c r="K61" s="4"/>
      <c r="L61" s="8" t="str">
        <f>IFERROR(VLOOKUP(A61,KRX종목마스터!$A:$C,3,FALSE),"")</f>
        <v/>
      </c>
      <c r="M61" s="18" t="str">
        <f t="shared" si="3"/>
        <v/>
      </c>
      <c r="N61" s="4"/>
      <c r="O61" s="9"/>
    </row>
    <row r="62" spans="1:15" ht="18" customHeight="1" x14ac:dyDescent="0.45">
      <c r="A62" s="5"/>
      <c r="B62" s="6" t="str">
        <f>IFERROR(VLOOKUP(A62,KRX종목마스터!$A:$B,2,FALSE),"")</f>
        <v/>
      </c>
      <c r="C62" s="4"/>
      <c r="D62" s="7"/>
      <c r="E62" s="3"/>
      <c r="F62" s="7"/>
      <c r="G62" s="7"/>
      <c r="H62" s="8" t="str">
        <f t="shared" si="0"/>
        <v/>
      </c>
      <c r="I62" s="10" t="str">
        <f t="shared" si="1"/>
        <v/>
      </c>
      <c r="J62" s="14" t="str">
        <f t="shared" si="2"/>
        <v/>
      </c>
      <c r="K62" s="4"/>
      <c r="L62" s="8" t="str">
        <f>IFERROR(VLOOKUP(A62,KRX종목마스터!$A:$C,3,FALSE),"")</f>
        <v/>
      </c>
      <c r="M62" s="18" t="str">
        <f t="shared" si="3"/>
        <v/>
      </c>
      <c r="N62" s="4"/>
      <c r="O62" s="9"/>
    </row>
    <row r="63" spans="1:15" ht="18" customHeight="1" x14ac:dyDescent="0.45">
      <c r="A63" s="5"/>
      <c r="B63" s="6" t="str">
        <f>IFERROR(VLOOKUP(A63,KRX종목마스터!$A:$B,2,FALSE),"")</f>
        <v/>
      </c>
      <c r="C63" s="4"/>
      <c r="D63" s="7"/>
      <c r="E63" s="3"/>
      <c r="F63" s="7"/>
      <c r="G63" s="7"/>
      <c r="H63" s="8" t="str">
        <f t="shared" si="0"/>
        <v/>
      </c>
      <c r="I63" s="10" t="str">
        <f t="shared" si="1"/>
        <v/>
      </c>
      <c r="J63" s="14" t="str">
        <f t="shared" si="2"/>
        <v/>
      </c>
      <c r="K63" s="4"/>
      <c r="L63" s="8" t="str">
        <f>IFERROR(VLOOKUP(A63,KRX종목마스터!$A:$C,3,FALSE),"")</f>
        <v/>
      </c>
      <c r="M63" s="18" t="str">
        <f t="shared" si="3"/>
        <v/>
      </c>
      <c r="N63" s="4"/>
      <c r="O63" s="9"/>
    </row>
    <row r="64" spans="1:15" ht="18" customHeight="1" x14ac:dyDescent="0.45">
      <c r="A64" s="5"/>
      <c r="B64" s="6" t="str">
        <f>IFERROR(VLOOKUP(A64,KRX종목마스터!$A:$B,2,FALSE),"")</f>
        <v/>
      </c>
      <c r="C64" s="4"/>
      <c r="D64" s="7"/>
      <c r="E64" s="3"/>
      <c r="F64" s="7"/>
      <c r="G64" s="7"/>
      <c r="H64" s="8" t="str">
        <f t="shared" si="0"/>
        <v/>
      </c>
      <c r="I64" s="10" t="str">
        <f t="shared" si="1"/>
        <v/>
      </c>
      <c r="J64" s="14" t="str">
        <f t="shared" si="2"/>
        <v/>
      </c>
      <c r="K64" s="4"/>
      <c r="L64" s="8" t="str">
        <f>IFERROR(VLOOKUP(A64,KRX종목마스터!$A:$C,3,FALSE),"")</f>
        <v/>
      </c>
      <c r="M64" s="18" t="str">
        <f t="shared" si="3"/>
        <v/>
      </c>
      <c r="N64" s="4"/>
      <c r="O64" s="9"/>
    </row>
    <row r="65" spans="1:15" ht="18" customHeight="1" x14ac:dyDescent="0.45">
      <c r="A65" s="5"/>
      <c r="B65" s="6" t="str">
        <f>IFERROR(VLOOKUP(A65,KRX종목마스터!$A:$B,2,FALSE),"")</f>
        <v/>
      </c>
      <c r="C65" s="4"/>
      <c r="D65" s="7"/>
      <c r="E65" s="3"/>
      <c r="F65" s="7"/>
      <c r="G65" s="7"/>
      <c r="H65" s="8" t="str">
        <f t="shared" si="0"/>
        <v/>
      </c>
      <c r="I65" s="10" t="str">
        <f t="shared" si="1"/>
        <v/>
      </c>
      <c r="J65" s="14" t="str">
        <f t="shared" si="2"/>
        <v/>
      </c>
      <c r="K65" s="4"/>
      <c r="L65" s="8" t="str">
        <f>IFERROR(VLOOKUP(A65,KRX종목마스터!$A:$C,3,FALSE),"")</f>
        <v/>
      </c>
      <c r="M65" s="18" t="str">
        <f t="shared" si="3"/>
        <v/>
      </c>
      <c r="N65" s="4"/>
      <c r="O65" s="9"/>
    </row>
    <row r="66" spans="1:15" ht="18" customHeight="1" x14ac:dyDescent="0.45">
      <c r="A66" s="5"/>
      <c r="B66" s="6" t="str">
        <f>IFERROR(VLOOKUP(A66,KRX종목마스터!$A:$B,2,FALSE),"")</f>
        <v/>
      </c>
      <c r="C66" s="4"/>
      <c r="D66" s="7"/>
      <c r="E66" s="3"/>
      <c r="F66" s="7"/>
      <c r="G66" s="7"/>
      <c r="H66" s="8" t="str">
        <f t="shared" si="0"/>
        <v/>
      </c>
      <c r="I66" s="10" t="str">
        <f t="shared" si="1"/>
        <v/>
      </c>
      <c r="J66" s="14" t="str">
        <f t="shared" si="2"/>
        <v/>
      </c>
      <c r="K66" s="4"/>
      <c r="L66" s="8" t="str">
        <f>IFERROR(VLOOKUP(A66,KRX종목마스터!$A:$C,3,FALSE),"")</f>
        <v/>
      </c>
      <c r="M66" s="18" t="str">
        <f t="shared" si="3"/>
        <v/>
      </c>
      <c r="N66" s="4"/>
      <c r="O66" s="9"/>
    </row>
    <row r="67" spans="1:15" ht="18" customHeight="1" x14ac:dyDescent="0.45">
      <c r="A67" s="5"/>
      <c r="B67" s="6" t="str">
        <f>IFERROR(VLOOKUP(A67,KRX종목마스터!$A:$B,2,FALSE),"")</f>
        <v/>
      </c>
      <c r="C67" s="4"/>
      <c r="D67" s="7"/>
      <c r="E67" s="3"/>
      <c r="F67" s="7"/>
      <c r="G67" s="7"/>
      <c r="H67" s="8" t="str">
        <f t="shared" si="0"/>
        <v/>
      </c>
      <c r="I67" s="10" t="str">
        <f t="shared" si="1"/>
        <v/>
      </c>
      <c r="J67" s="14" t="str">
        <f t="shared" si="2"/>
        <v/>
      </c>
      <c r="K67" s="4"/>
      <c r="L67" s="8" t="str">
        <f>IFERROR(VLOOKUP(A67,KRX종목마스터!$A:$C,3,FALSE),"")</f>
        <v/>
      </c>
      <c r="M67" s="18" t="str">
        <f t="shared" si="3"/>
        <v/>
      </c>
      <c r="N67" s="4"/>
      <c r="O67" s="9"/>
    </row>
    <row r="68" spans="1:15" ht="18" customHeight="1" x14ac:dyDescent="0.45">
      <c r="A68" s="5"/>
      <c r="B68" s="6" t="str">
        <f>IFERROR(VLOOKUP(A68,KRX종목마스터!$A:$B,2,FALSE),"")</f>
        <v/>
      </c>
      <c r="C68" s="4"/>
      <c r="D68" s="7"/>
      <c r="E68" s="3"/>
      <c r="F68" s="7"/>
      <c r="G68" s="7"/>
      <c r="H68" s="8" t="str">
        <f t="shared" ref="H68:H131" si="4">IF(AND(F68&lt;&gt;"",G68&lt;&gt;""),F68*G68,"")</f>
        <v/>
      </c>
      <c r="I68" s="10" t="str">
        <f t="shared" ref="I68:I131" si="5">IF(OR(D68="",F68="",G68=""),"",(F68-D68)*G68)</f>
        <v/>
      </c>
      <c r="J68" s="14" t="str">
        <f t="shared" ref="J68:J131" si="6">IF(OR(D68="",F68=""),"",(F68-D68)/D68)</f>
        <v/>
      </c>
      <c r="K68" s="4"/>
      <c r="L68" s="8" t="str">
        <f>IFERROR(VLOOKUP(A68,KRX종목마스터!$A:$C,3,FALSE),"")</f>
        <v/>
      </c>
      <c r="M68" s="18" t="str">
        <f t="shared" ref="M68:M131" si="7">IF(OR(F68="",L68=""),"",(L68-F68)/F68)</f>
        <v/>
      </c>
      <c r="N68" s="4"/>
      <c r="O68" s="9"/>
    </row>
    <row r="69" spans="1:15" ht="18" customHeight="1" x14ac:dyDescent="0.45">
      <c r="A69" s="5"/>
      <c r="B69" s="6" t="str">
        <f>IFERROR(VLOOKUP(A69,KRX종목마스터!$A:$B,2,FALSE),"")</f>
        <v/>
      </c>
      <c r="C69" s="4"/>
      <c r="D69" s="7"/>
      <c r="E69" s="3"/>
      <c r="F69" s="7"/>
      <c r="G69" s="7"/>
      <c r="H69" s="8" t="str">
        <f t="shared" si="4"/>
        <v/>
      </c>
      <c r="I69" s="10" t="str">
        <f t="shared" si="5"/>
        <v/>
      </c>
      <c r="J69" s="14" t="str">
        <f t="shared" si="6"/>
        <v/>
      </c>
      <c r="K69" s="4"/>
      <c r="L69" s="8" t="str">
        <f>IFERROR(VLOOKUP(A69,KRX종목마스터!$A:$C,3,FALSE),"")</f>
        <v/>
      </c>
      <c r="M69" s="18" t="str">
        <f t="shared" si="7"/>
        <v/>
      </c>
      <c r="N69" s="4"/>
      <c r="O69" s="9"/>
    </row>
    <row r="70" spans="1:15" ht="18" customHeight="1" x14ac:dyDescent="0.45">
      <c r="A70" s="5"/>
      <c r="B70" s="6" t="str">
        <f>IFERROR(VLOOKUP(A70,KRX종목마스터!$A:$B,2,FALSE),"")</f>
        <v/>
      </c>
      <c r="C70" s="4"/>
      <c r="D70" s="7"/>
      <c r="E70" s="3"/>
      <c r="F70" s="7"/>
      <c r="G70" s="7"/>
      <c r="H70" s="8" t="str">
        <f t="shared" si="4"/>
        <v/>
      </c>
      <c r="I70" s="10" t="str">
        <f t="shared" si="5"/>
        <v/>
      </c>
      <c r="J70" s="14" t="str">
        <f t="shared" si="6"/>
        <v/>
      </c>
      <c r="K70" s="4"/>
      <c r="L70" s="8" t="str">
        <f>IFERROR(VLOOKUP(A70,KRX종목마스터!$A:$C,3,FALSE),"")</f>
        <v/>
      </c>
      <c r="M70" s="18" t="str">
        <f t="shared" si="7"/>
        <v/>
      </c>
      <c r="N70" s="4"/>
      <c r="O70" s="9"/>
    </row>
    <row r="71" spans="1:15" ht="18" customHeight="1" x14ac:dyDescent="0.45">
      <c r="A71" s="5"/>
      <c r="B71" s="6" t="str">
        <f>IFERROR(VLOOKUP(A71,KRX종목마스터!$A:$B,2,FALSE),"")</f>
        <v/>
      </c>
      <c r="C71" s="4"/>
      <c r="D71" s="7"/>
      <c r="E71" s="3"/>
      <c r="F71" s="7"/>
      <c r="G71" s="7"/>
      <c r="H71" s="8" t="str">
        <f t="shared" si="4"/>
        <v/>
      </c>
      <c r="I71" s="10" t="str">
        <f t="shared" si="5"/>
        <v/>
      </c>
      <c r="J71" s="14" t="str">
        <f t="shared" si="6"/>
        <v/>
      </c>
      <c r="K71" s="4"/>
      <c r="L71" s="8" t="str">
        <f>IFERROR(VLOOKUP(A71,KRX종목마스터!$A:$C,3,FALSE),"")</f>
        <v/>
      </c>
      <c r="M71" s="18" t="str">
        <f t="shared" si="7"/>
        <v/>
      </c>
      <c r="N71" s="4"/>
      <c r="O71" s="9"/>
    </row>
    <row r="72" spans="1:15" ht="18" customHeight="1" x14ac:dyDescent="0.45">
      <c r="A72" s="5"/>
      <c r="B72" s="6" t="str">
        <f>IFERROR(VLOOKUP(A72,KRX종목마스터!$A:$B,2,FALSE),"")</f>
        <v/>
      </c>
      <c r="C72" s="4"/>
      <c r="D72" s="7"/>
      <c r="E72" s="3"/>
      <c r="F72" s="7"/>
      <c r="G72" s="7"/>
      <c r="H72" s="8" t="str">
        <f t="shared" si="4"/>
        <v/>
      </c>
      <c r="I72" s="10" t="str">
        <f t="shared" si="5"/>
        <v/>
      </c>
      <c r="J72" s="14" t="str">
        <f t="shared" si="6"/>
        <v/>
      </c>
      <c r="K72" s="4"/>
      <c r="L72" s="8" t="str">
        <f>IFERROR(VLOOKUP(A72,KRX종목마스터!$A:$C,3,FALSE),"")</f>
        <v/>
      </c>
      <c r="M72" s="18" t="str">
        <f t="shared" si="7"/>
        <v/>
      </c>
      <c r="N72" s="4"/>
      <c r="O72" s="9"/>
    </row>
    <row r="73" spans="1:15" ht="18" customHeight="1" x14ac:dyDescent="0.45">
      <c r="A73" s="5"/>
      <c r="B73" s="6" t="str">
        <f>IFERROR(VLOOKUP(A73,KRX종목마스터!$A:$B,2,FALSE),"")</f>
        <v/>
      </c>
      <c r="C73" s="4"/>
      <c r="D73" s="7"/>
      <c r="E73" s="3"/>
      <c r="F73" s="7"/>
      <c r="G73" s="7"/>
      <c r="H73" s="8" t="str">
        <f t="shared" si="4"/>
        <v/>
      </c>
      <c r="I73" s="10" t="str">
        <f t="shared" si="5"/>
        <v/>
      </c>
      <c r="J73" s="14" t="str">
        <f t="shared" si="6"/>
        <v/>
      </c>
      <c r="K73" s="4"/>
      <c r="L73" s="8" t="str">
        <f>IFERROR(VLOOKUP(A73,KRX종목마스터!$A:$C,3,FALSE),"")</f>
        <v/>
      </c>
      <c r="M73" s="18" t="str">
        <f t="shared" si="7"/>
        <v/>
      </c>
      <c r="N73" s="4"/>
      <c r="O73" s="9"/>
    </row>
    <row r="74" spans="1:15" ht="18" customHeight="1" x14ac:dyDescent="0.45">
      <c r="A74" s="5"/>
      <c r="B74" s="6" t="str">
        <f>IFERROR(VLOOKUP(A74,KRX종목마스터!$A:$B,2,FALSE),"")</f>
        <v/>
      </c>
      <c r="C74" s="4"/>
      <c r="D74" s="7"/>
      <c r="E74" s="3"/>
      <c r="F74" s="7"/>
      <c r="G74" s="7"/>
      <c r="H74" s="8" t="str">
        <f t="shared" si="4"/>
        <v/>
      </c>
      <c r="I74" s="10" t="str">
        <f t="shared" si="5"/>
        <v/>
      </c>
      <c r="J74" s="14" t="str">
        <f t="shared" si="6"/>
        <v/>
      </c>
      <c r="K74" s="4"/>
      <c r="L74" s="8" t="str">
        <f>IFERROR(VLOOKUP(A74,KRX종목마스터!$A:$C,3,FALSE),"")</f>
        <v/>
      </c>
      <c r="M74" s="18" t="str">
        <f t="shared" si="7"/>
        <v/>
      </c>
      <c r="N74" s="4"/>
      <c r="O74" s="9"/>
    </row>
    <row r="75" spans="1:15" ht="18" customHeight="1" x14ac:dyDescent="0.45">
      <c r="A75" s="5"/>
      <c r="B75" s="6" t="str">
        <f>IFERROR(VLOOKUP(A75,KRX종목마스터!$A:$B,2,FALSE),"")</f>
        <v/>
      </c>
      <c r="C75" s="4"/>
      <c r="D75" s="7"/>
      <c r="E75" s="3"/>
      <c r="F75" s="7"/>
      <c r="G75" s="7"/>
      <c r="H75" s="8" t="str">
        <f t="shared" si="4"/>
        <v/>
      </c>
      <c r="I75" s="10" t="str">
        <f t="shared" si="5"/>
        <v/>
      </c>
      <c r="J75" s="14" t="str">
        <f t="shared" si="6"/>
        <v/>
      </c>
      <c r="K75" s="4"/>
      <c r="L75" s="8" t="str">
        <f>IFERROR(VLOOKUP(A75,KRX종목마스터!$A:$C,3,FALSE),"")</f>
        <v/>
      </c>
      <c r="M75" s="18" t="str">
        <f t="shared" si="7"/>
        <v/>
      </c>
      <c r="N75" s="4"/>
      <c r="O75" s="9"/>
    </row>
    <row r="76" spans="1:15" ht="18" customHeight="1" x14ac:dyDescent="0.45">
      <c r="A76" s="5"/>
      <c r="B76" s="6" t="str">
        <f>IFERROR(VLOOKUP(A76,KRX종목마스터!$A:$B,2,FALSE),"")</f>
        <v/>
      </c>
      <c r="C76" s="4"/>
      <c r="D76" s="7"/>
      <c r="E76" s="3"/>
      <c r="F76" s="7"/>
      <c r="G76" s="7"/>
      <c r="H76" s="8" t="str">
        <f t="shared" si="4"/>
        <v/>
      </c>
      <c r="I76" s="10" t="str">
        <f t="shared" si="5"/>
        <v/>
      </c>
      <c r="J76" s="14" t="str">
        <f t="shared" si="6"/>
        <v/>
      </c>
      <c r="K76" s="4"/>
      <c r="L76" s="8" t="str">
        <f>IFERROR(VLOOKUP(A76,KRX종목마스터!$A:$C,3,FALSE),"")</f>
        <v/>
      </c>
      <c r="M76" s="18" t="str">
        <f t="shared" si="7"/>
        <v/>
      </c>
      <c r="N76" s="4"/>
      <c r="O76" s="9"/>
    </row>
    <row r="77" spans="1:15" ht="18" customHeight="1" x14ac:dyDescent="0.45">
      <c r="A77" s="5"/>
      <c r="B77" s="6" t="str">
        <f>IFERROR(VLOOKUP(A77,KRX종목마스터!$A:$B,2,FALSE),"")</f>
        <v/>
      </c>
      <c r="C77" s="4"/>
      <c r="D77" s="7"/>
      <c r="E77" s="3"/>
      <c r="F77" s="7"/>
      <c r="G77" s="7"/>
      <c r="H77" s="8" t="str">
        <f t="shared" si="4"/>
        <v/>
      </c>
      <c r="I77" s="10" t="str">
        <f t="shared" si="5"/>
        <v/>
      </c>
      <c r="J77" s="14" t="str">
        <f t="shared" si="6"/>
        <v/>
      </c>
      <c r="K77" s="4"/>
      <c r="L77" s="8" t="str">
        <f>IFERROR(VLOOKUP(A77,KRX종목마스터!$A:$C,3,FALSE),"")</f>
        <v/>
      </c>
      <c r="M77" s="18" t="str">
        <f t="shared" si="7"/>
        <v/>
      </c>
      <c r="N77" s="4"/>
      <c r="O77" s="9"/>
    </row>
    <row r="78" spans="1:15" ht="18" customHeight="1" x14ac:dyDescent="0.45">
      <c r="A78" s="5"/>
      <c r="B78" s="6" t="str">
        <f>IFERROR(VLOOKUP(A78,KRX종목마스터!$A:$B,2,FALSE),"")</f>
        <v/>
      </c>
      <c r="C78" s="4"/>
      <c r="D78" s="7"/>
      <c r="E78" s="3"/>
      <c r="F78" s="7"/>
      <c r="G78" s="7"/>
      <c r="H78" s="8" t="str">
        <f t="shared" si="4"/>
        <v/>
      </c>
      <c r="I78" s="10" t="str">
        <f t="shared" si="5"/>
        <v/>
      </c>
      <c r="J78" s="14" t="str">
        <f t="shared" si="6"/>
        <v/>
      </c>
      <c r="K78" s="4"/>
      <c r="L78" s="8" t="str">
        <f>IFERROR(VLOOKUP(A78,KRX종목마스터!$A:$C,3,FALSE),"")</f>
        <v/>
      </c>
      <c r="M78" s="18" t="str">
        <f t="shared" si="7"/>
        <v/>
      </c>
      <c r="N78" s="4"/>
      <c r="O78" s="9"/>
    </row>
    <row r="79" spans="1:15" ht="18" customHeight="1" x14ac:dyDescent="0.45">
      <c r="A79" s="5"/>
      <c r="B79" s="6" t="str">
        <f>IFERROR(VLOOKUP(A79,KRX종목마스터!$A:$B,2,FALSE),"")</f>
        <v/>
      </c>
      <c r="C79" s="4"/>
      <c r="D79" s="7"/>
      <c r="E79" s="3"/>
      <c r="F79" s="7"/>
      <c r="G79" s="7"/>
      <c r="H79" s="8" t="str">
        <f t="shared" si="4"/>
        <v/>
      </c>
      <c r="I79" s="10" t="str">
        <f t="shared" si="5"/>
        <v/>
      </c>
      <c r="J79" s="14" t="str">
        <f t="shared" si="6"/>
        <v/>
      </c>
      <c r="K79" s="4"/>
      <c r="L79" s="8" t="str">
        <f>IFERROR(VLOOKUP(A79,KRX종목마스터!$A:$C,3,FALSE),"")</f>
        <v/>
      </c>
      <c r="M79" s="18" t="str">
        <f t="shared" si="7"/>
        <v/>
      </c>
      <c r="N79" s="4"/>
      <c r="O79" s="9"/>
    </row>
    <row r="80" spans="1:15" ht="18" customHeight="1" x14ac:dyDescent="0.45">
      <c r="A80" s="5"/>
      <c r="B80" s="6" t="str">
        <f>IFERROR(VLOOKUP(A80,KRX종목마스터!$A:$B,2,FALSE),"")</f>
        <v/>
      </c>
      <c r="C80" s="4"/>
      <c r="D80" s="7"/>
      <c r="E80" s="3"/>
      <c r="F80" s="7"/>
      <c r="G80" s="7"/>
      <c r="H80" s="8" t="str">
        <f t="shared" si="4"/>
        <v/>
      </c>
      <c r="I80" s="10" t="str">
        <f t="shared" si="5"/>
        <v/>
      </c>
      <c r="J80" s="14" t="str">
        <f t="shared" si="6"/>
        <v/>
      </c>
      <c r="K80" s="4"/>
      <c r="L80" s="8" t="str">
        <f>IFERROR(VLOOKUP(A80,KRX종목마스터!$A:$C,3,FALSE),"")</f>
        <v/>
      </c>
      <c r="M80" s="18" t="str">
        <f t="shared" si="7"/>
        <v/>
      </c>
      <c r="N80" s="4"/>
      <c r="O80" s="9"/>
    </row>
    <row r="81" spans="1:15" ht="18" customHeight="1" x14ac:dyDescent="0.45">
      <c r="A81" s="5"/>
      <c r="B81" s="6" t="str">
        <f>IFERROR(VLOOKUP(A81,KRX종목마스터!$A:$B,2,FALSE),"")</f>
        <v/>
      </c>
      <c r="C81" s="4"/>
      <c r="D81" s="7"/>
      <c r="E81" s="3"/>
      <c r="F81" s="7"/>
      <c r="G81" s="7"/>
      <c r="H81" s="8" t="str">
        <f t="shared" si="4"/>
        <v/>
      </c>
      <c r="I81" s="10" t="str">
        <f t="shared" si="5"/>
        <v/>
      </c>
      <c r="J81" s="14" t="str">
        <f t="shared" si="6"/>
        <v/>
      </c>
      <c r="K81" s="4"/>
      <c r="L81" s="8" t="str">
        <f>IFERROR(VLOOKUP(A81,KRX종목마스터!$A:$C,3,FALSE),"")</f>
        <v/>
      </c>
      <c r="M81" s="18" t="str">
        <f t="shared" si="7"/>
        <v/>
      </c>
      <c r="N81" s="4"/>
      <c r="O81" s="9"/>
    </row>
    <row r="82" spans="1:15" ht="18" customHeight="1" x14ac:dyDescent="0.45">
      <c r="A82" s="5"/>
      <c r="B82" s="6" t="str">
        <f>IFERROR(VLOOKUP(A82,KRX종목마스터!$A:$B,2,FALSE),"")</f>
        <v/>
      </c>
      <c r="C82" s="4"/>
      <c r="D82" s="7"/>
      <c r="E82" s="3"/>
      <c r="F82" s="7"/>
      <c r="G82" s="7"/>
      <c r="H82" s="8" t="str">
        <f t="shared" si="4"/>
        <v/>
      </c>
      <c r="I82" s="10" t="str">
        <f t="shared" si="5"/>
        <v/>
      </c>
      <c r="J82" s="14" t="str">
        <f t="shared" si="6"/>
        <v/>
      </c>
      <c r="K82" s="4"/>
      <c r="L82" s="8" t="str">
        <f>IFERROR(VLOOKUP(A82,KRX종목마스터!$A:$C,3,FALSE),"")</f>
        <v/>
      </c>
      <c r="M82" s="18" t="str">
        <f t="shared" si="7"/>
        <v/>
      </c>
      <c r="N82" s="4"/>
      <c r="O82" s="9"/>
    </row>
    <row r="83" spans="1:15" ht="18" customHeight="1" x14ac:dyDescent="0.45">
      <c r="A83" s="5"/>
      <c r="B83" s="6" t="str">
        <f>IFERROR(VLOOKUP(A83,KRX종목마스터!$A:$B,2,FALSE),"")</f>
        <v/>
      </c>
      <c r="C83" s="4"/>
      <c r="D83" s="7"/>
      <c r="E83" s="3"/>
      <c r="F83" s="7"/>
      <c r="G83" s="7"/>
      <c r="H83" s="8" t="str">
        <f t="shared" si="4"/>
        <v/>
      </c>
      <c r="I83" s="10" t="str">
        <f t="shared" si="5"/>
        <v/>
      </c>
      <c r="J83" s="14" t="str">
        <f t="shared" si="6"/>
        <v/>
      </c>
      <c r="K83" s="4"/>
      <c r="L83" s="8" t="str">
        <f>IFERROR(VLOOKUP(A83,KRX종목마스터!$A:$C,3,FALSE),"")</f>
        <v/>
      </c>
      <c r="M83" s="18" t="str">
        <f t="shared" si="7"/>
        <v/>
      </c>
      <c r="N83" s="4"/>
      <c r="O83" s="9"/>
    </row>
    <row r="84" spans="1:15" ht="18" customHeight="1" x14ac:dyDescent="0.45">
      <c r="A84" s="5"/>
      <c r="B84" s="6" t="str">
        <f>IFERROR(VLOOKUP(A84,KRX종목마스터!$A:$B,2,FALSE),"")</f>
        <v/>
      </c>
      <c r="C84" s="4"/>
      <c r="D84" s="7"/>
      <c r="E84" s="3"/>
      <c r="F84" s="7"/>
      <c r="G84" s="7"/>
      <c r="H84" s="8" t="str">
        <f t="shared" si="4"/>
        <v/>
      </c>
      <c r="I84" s="10" t="str">
        <f t="shared" si="5"/>
        <v/>
      </c>
      <c r="J84" s="14" t="str">
        <f t="shared" si="6"/>
        <v/>
      </c>
      <c r="K84" s="4"/>
      <c r="L84" s="8" t="str">
        <f>IFERROR(VLOOKUP(A84,KRX종목마스터!$A:$C,3,FALSE),"")</f>
        <v/>
      </c>
      <c r="M84" s="18" t="str">
        <f t="shared" si="7"/>
        <v/>
      </c>
      <c r="N84" s="4"/>
      <c r="O84" s="9"/>
    </row>
    <row r="85" spans="1:15" ht="18" customHeight="1" x14ac:dyDescent="0.45">
      <c r="A85" s="5"/>
      <c r="B85" s="6" t="str">
        <f>IFERROR(VLOOKUP(A85,KRX종목마스터!$A:$B,2,FALSE),"")</f>
        <v/>
      </c>
      <c r="C85" s="4"/>
      <c r="D85" s="7"/>
      <c r="E85" s="3"/>
      <c r="F85" s="7"/>
      <c r="G85" s="7"/>
      <c r="H85" s="8" t="str">
        <f t="shared" si="4"/>
        <v/>
      </c>
      <c r="I85" s="10" t="str">
        <f t="shared" si="5"/>
        <v/>
      </c>
      <c r="J85" s="14" t="str">
        <f t="shared" si="6"/>
        <v/>
      </c>
      <c r="K85" s="4"/>
      <c r="L85" s="8" t="str">
        <f>IFERROR(VLOOKUP(A85,KRX종목마스터!$A:$C,3,FALSE),"")</f>
        <v/>
      </c>
      <c r="M85" s="18" t="str">
        <f t="shared" si="7"/>
        <v/>
      </c>
      <c r="N85" s="4"/>
      <c r="O85" s="9"/>
    </row>
    <row r="86" spans="1:15" ht="18" customHeight="1" x14ac:dyDescent="0.45">
      <c r="A86" s="5"/>
      <c r="B86" s="6" t="str">
        <f>IFERROR(VLOOKUP(A86,KRX종목마스터!$A:$B,2,FALSE),"")</f>
        <v/>
      </c>
      <c r="C86" s="4"/>
      <c r="D86" s="7"/>
      <c r="E86" s="3"/>
      <c r="F86" s="7"/>
      <c r="G86" s="7"/>
      <c r="H86" s="8" t="str">
        <f t="shared" si="4"/>
        <v/>
      </c>
      <c r="I86" s="10" t="str">
        <f t="shared" si="5"/>
        <v/>
      </c>
      <c r="J86" s="14" t="str">
        <f t="shared" si="6"/>
        <v/>
      </c>
      <c r="K86" s="4"/>
      <c r="L86" s="8" t="str">
        <f>IFERROR(VLOOKUP(A86,KRX종목마스터!$A:$C,3,FALSE),"")</f>
        <v/>
      </c>
      <c r="M86" s="18" t="str">
        <f t="shared" si="7"/>
        <v/>
      </c>
      <c r="N86" s="4"/>
      <c r="O86" s="9"/>
    </row>
    <row r="87" spans="1:15" ht="18" customHeight="1" x14ac:dyDescent="0.45">
      <c r="A87" s="5"/>
      <c r="B87" s="6" t="str">
        <f>IFERROR(VLOOKUP(A87,KRX종목마스터!$A:$B,2,FALSE),"")</f>
        <v/>
      </c>
      <c r="C87" s="4"/>
      <c r="D87" s="7"/>
      <c r="E87" s="3"/>
      <c r="F87" s="7"/>
      <c r="G87" s="7"/>
      <c r="H87" s="8" t="str">
        <f t="shared" si="4"/>
        <v/>
      </c>
      <c r="I87" s="10" t="str">
        <f t="shared" si="5"/>
        <v/>
      </c>
      <c r="J87" s="14" t="str">
        <f t="shared" si="6"/>
        <v/>
      </c>
      <c r="K87" s="4"/>
      <c r="L87" s="8" t="str">
        <f>IFERROR(VLOOKUP(A87,KRX종목마스터!$A:$C,3,FALSE),"")</f>
        <v/>
      </c>
      <c r="M87" s="18" t="str">
        <f t="shared" si="7"/>
        <v/>
      </c>
      <c r="N87" s="4"/>
      <c r="O87" s="9"/>
    </row>
    <row r="88" spans="1:15" ht="18" customHeight="1" x14ac:dyDescent="0.45">
      <c r="A88" s="5"/>
      <c r="B88" s="6" t="str">
        <f>IFERROR(VLOOKUP(A88,KRX종목마스터!$A:$B,2,FALSE),"")</f>
        <v/>
      </c>
      <c r="C88" s="4"/>
      <c r="D88" s="7"/>
      <c r="E88" s="3"/>
      <c r="F88" s="7"/>
      <c r="G88" s="7"/>
      <c r="H88" s="8" t="str">
        <f t="shared" si="4"/>
        <v/>
      </c>
      <c r="I88" s="10" t="str">
        <f t="shared" si="5"/>
        <v/>
      </c>
      <c r="J88" s="14" t="str">
        <f t="shared" si="6"/>
        <v/>
      </c>
      <c r="K88" s="4"/>
      <c r="L88" s="8" t="str">
        <f>IFERROR(VLOOKUP(A88,KRX종목마스터!$A:$C,3,FALSE),"")</f>
        <v/>
      </c>
      <c r="M88" s="18" t="str">
        <f t="shared" si="7"/>
        <v/>
      </c>
      <c r="N88" s="4"/>
      <c r="O88" s="9"/>
    </row>
    <row r="89" spans="1:15" ht="18" customHeight="1" x14ac:dyDescent="0.45">
      <c r="A89" s="5"/>
      <c r="B89" s="6" t="str">
        <f>IFERROR(VLOOKUP(A89,KRX종목마스터!$A:$B,2,FALSE),"")</f>
        <v/>
      </c>
      <c r="C89" s="4"/>
      <c r="D89" s="7"/>
      <c r="E89" s="3"/>
      <c r="F89" s="7"/>
      <c r="G89" s="7"/>
      <c r="H89" s="8" t="str">
        <f t="shared" si="4"/>
        <v/>
      </c>
      <c r="I89" s="10" t="str">
        <f t="shared" si="5"/>
        <v/>
      </c>
      <c r="J89" s="14" t="str">
        <f t="shared" si="6"/>
        <v/>
      </c>
      <c r="K89" s="4"/>
      <c r="L89" s="8" t="str">
        <f>IFERROR(VLOOKUP(A89,KRX종목마스터!$A:$C,3,FALSE),"")</f>
        <v/>
      </c>
      <c r="M89" s="18" t="str">
        <f t="shared" si="7"/>
        <v/>
      </c>
      <c r="N89" s="4"/>
      <c r="O89" s="9"/>
    </row>
    <row r="90" spans="1:15" ht="18" customHeight="1" x14ac:dyDescent="0.45">
      <c r="A90" s="5"/>
      <c r="B90" s="6" t="str">
        <f>IFERROR(VLOOKUP(A90,KRX종목마스터!$A:$B,2,FALSE),"")</f>
        <v/>
      </c>
      <c r="C90" s="4"/>
      <c r="D90" s="7"/>
      <c r="E90" s="3"/>
      <c r="F90" s="7"/>
      <c r="G90" s="7"/>
      <c r="H90" s="8" t="str">
        <f t="shared" si="4"/>
        <v/>
      </c>
      <c r="I90" s="10" t="str">
        <f t="shared" si="5"/>
        <v/>
      </c>
      <c r="J90" s="14" t="str">
        <f t="shared" si="6"/>
        <v/>
      </c>
      <c r="K90" s="4"/>
      <c r="L90" s="8" t="str">
        <f>IFERROR(VLOOKUP(A90,KRX종목마스터!$A:$C,3,FALSE),"")</f>
        <v/>
      </c>
      <c r="M90" s="18" t="str">
        <f t="shared" si="7"/>
        <v/>
      </c>
      <c r="N90" s="4"/>
      <c r="O90" s="9"/>
    </row>
    <row r="91" spans="1:15" ht="18" customHeight="1" x14ac:dyDescent="0.45">
      <c r="A91" s="5"/>
      <c r="B91" s="6" t="str">
        <f>IFERROR(VLOOKUP(A91,KRX종목마스터!$A:$B,2,FALSE),"")</f>
        <v/>
      </c>
      <c r="C91" s="4"/>
      <c r="D91" s="7"/>
      <c r="E91" s="3"/>
      <c r="F91" s="7"/>
      <c r="G91" s="7"/>
      <c r="H91" s="8" t="str">
        <f t="shared" si="4"/>
        <v/>
      </c>
      <c r="I91" s="10" t="str">
        <f t="shared" si="5"/>
        <v/>
      </c>
      <c r="J91" s="14" t="str">
        <f t="shared" si="6"/>
        <v/>
      </c>
      <c r="K91" s="4"/>
      <c r="L91" s="8" t="str">
        <f>IFERROR(VLOOKUP(A91,KRX종목마스터!$A:$C,3,FALSE),"")</f>
        <v/>
      </c>
      <c r="M91" s="18" t="str">
        <f t="shared" si="7"/>
        <v/>
      </c>
      <c r="N91" s="4"/>
      <c r="O91" s="9"/>
    </row>
    <row r="92" spans="1:15" ht="18" customHeight="1" x14ac:dyDescent="0.45">
      <c r="A92" s="5"/>
      <c r="B92" s="6" t="str">
        <f>IFERROR(VLOOKUP(A92,KRX종목마스터!$A:$B,2,FALSE),"")</f>
        <v/>
      </c>
      <c r="C92" s="4"/>
      <c r="D92" s="7"/>
      <c r="E92" s="3"/>
      <c r="F92" s="7"/>
      <c r="G92" s="7"/>
      <c r="H92" s="8" t="str">
        <f t="shared" si="4"/>
        <v/>
      </c>
      <c r="I92" s="10" t="str">
        <f t="shared" si="5"/>
        <v/>
      </c>
      <c r="J92" s="14" t="str">
        <f t="shared" si="6"/>
        <v/>
      </c>
      <c r="K92" s="4"/>
      <c r="L92" s="8" t="str">
        <f>IFERROR(VLOOKUP(A92,KRX종목마스터!$A:$C,3,FALSE),"")</f>
        <v/>
      </c>
      <c r="M92" s="18" t="str">
        <f t="shared" si="7"/>
        <v/>
      </c>
      <c r="N92" s="4"/>
      <c r="O92" s="9"/>
    </row>
    <row r="93" spans="1:15" ht="18" customHeight="1" x14ac:dyDescent="0.45">
      <c r="A93" s="5"/>
      <c r="B93" s="6" t="str">
        <f>IFERROR(VLOOKUP(A93,KRX종목마스터!$A:$B,2,FALSE),"")</f>
        <v/>
      </c>
      <c r="C93" s="4"/>
      <c r="D93" s="7"/>
      <c r="E93" s="3"/>
      <c r="F93" s="7"/>
      <c r="G93" s="7"/>
      <c r="H93" s="8" t="str">
        <f t="shared" si="4"/>
        <v/>
      </c>
      <c r="I93" s="10" t="str">
        <f t="shared" si="5"/>
        <v/>
      </c>
      <c r="J93" s="14" t="str">
        <f t="shared" si="6"/>
        <v/>
      </c>
      <c r="K93" s="4"/>
      <c r="L93" s="8" t="str">
        <f>IFERROR(VLOOKUP(A93,KRX종목마스터!$A:$C,3,FALSE),"")</f>
        <v/>
      </c>
      <c r="M93" s="18" t="str">
        <f t="shared" si="7"/>
        <v/>
      </c>
      <c r="N93" s="4"/>
      <c r="O93" s="9"/>
    </row>
    <row r="94" spans="1:15" ht="18" customHeight="1" x14ac:dyDescent="0.45">
      <c r="A94" s="5"/>
      <c r="B94" s="6" t="str">
        <f>IFERROR(VLOOKUP(A94,KRX종목마스터!$A:$B,2,FALSE),"")</f>
        <v/>
      </c>
      <c r="C94" s="4"/>
      <c r="D94" s="7"/>
      <c r="E94" s="3"/>
      <c r="F94" s="7"/>
      <c r="G94" s="7"/>
      <c r="H94" s="8" t="str">
        <f t="shared" si="4"/>
        <v/>
      </c>
      <c r="I94" s="10" t="str">
        <f t="shared" si="5"/>
        <v/>
      </c>
      <c r="J94" s="14" t="str">
        <f t="shared" si="6"/>
        <v/>
      </c>
      <c r="K94" s="4"/>
      <c r="L94" s="8" t="str">
        <f>IFERROR(VLOOKUP(A94,KRX종목마스터!$A:$C,3,FALSE),"")</f>
        <v/>
      </c>
      <c r="M94" s="18" t="str">
        <f t="shared" si="7"/>
        <v/>
      </c>
      <c r="N94" s="4"/>
      <c r="O94" s="9"/>
    </row>
    <row r="95" spans="1:15" ht="18" customHeight="1" x14ac:dyDescent="0.45">
      <c r="A95" s="5"/>
      <c r="B95" s="6" t="str">
        <f>IFERROR(VLOOKUP(A95,KRX종목마스터!$A:$B,2,FALSE),"")</f>
        <v/>
      </c>
      <c r="C95" s="4"/>
      <c r="D95" s="7"/>
      <c r="E95" s="3"/>
      <c r="F95" s="7"/>
      <c r="G95" s="7"/>
      <c r="H95" s="8" t="str">
        <f t="shared" si="4"/>
        <v/>
      </c>
      <c r="I95" s="10" t="str">
        <f t="shared" si="5"/>
        <v/>
      </c>
      <c r="J95" s="14" t="str">
        <f t="shared" si="6"/>
        <v/>
      </c>
      <c r="K95" s="4"/>
      <c r="L95" s="8" t="str">
        <f>IFERROR(VLOOKUP(A95,KRX종목마스터!$A:$C,3,FALSE),"")</f>
        <v/>
      </c>
      <c r="M95" s="18" t="str">
        <f t="shared" si="7"/>
        <v/>
      </c>
      <c r="N95" s="4"/>
      <c r="O95" s="9"/>
    </row>
    <row r="96" spans="1:15" ht="18" customHeight="1" x14ac:dyDescent="0.45">
      <c r="A96" s="5"/>
      <c r="B96" s="6" t="str">
        <f>IFERROR(VLOOKUP(A96,KRX종목마스터!$A:$B,2,FALSE),"")</f>
        <v/>
      </c>
      <c r="C96" s="4"/>
      <c r="D96" s="7"/>
      <c r="E96" s="3"/>
      <c r="F96" s="7"/>
      <c r="G96" s="7"/>
      <c r="H96" s="8" t="str">
        <f t="shared" si="4"/>
        <v/>
      </c>
      <c r="I96" s="10" t="str">
        <f t="shared" si="5"/>
        <v/>
      </c>
      <c r="J96" s="14" t="str">
        <f t="shared" si="6"/>
        <v/>
      </c>
      <c r="K96" s="4"/>
      <c r="L96" s="8" t="str">
        <f>IFERROR(VLOOKUP(A96,KRX종목마스터!$A:$C,3,FALSE),"")</f>
        <v/>
      </c>
      <c r="M96" s="18" t="str">
        <f t="shared" si="7"/>
        <v/>
      </c>
      <c r="N96" s="4"/>
      <c r="O96" s="9"/>
    </row>
    <row r="97" spans="1:15" ht="18" customHeight="1" x14ac:dyDescent="0.45">
      <c r="A97" s="5"/>
      <c r="B97" s="6" t="str">
        <f>IFERROR(VLOOKUP(A97,KRX종목마스터!$A:$B,2,FALSE),"")</f>
        <v/>
      </c>
      <c r="C97" s="4"/>
      <c r="D97" s="7"/>
      <c r="E97" s="3"/>
      <c r="F97" s="7"/>
      <c r="G97" s="7"/>
      <c r="H97" s="8" t="str">
        <f t="shared" si="4"/>
        <v/>
      </c>
      <c r="I97" s="10" t="str">
        <f t="shared" si="5"/>
        <v/>
      </c>
      <c r="J97" s="14" t="str">
        <f t="shared" si="6"/>
        <v/>
      </c>
      <c r="K97" s="4"/>
      <c r="L97" s="8" t="str">
        <f>IFERROR(VLOOKUP(A97,KRX종목마스터!$A:$C,3,FALSE),"")</f>
        <v/>
      </c>
      <c r="M97" s="18" t="str">
        <f t="shared" si="7"/>
        <v/>
      </c>
      <c r="N97" s="4"/>
      <c r="O97" s="9"/>
    </row>
    <row r="98" spans="1:15" ht="18" customHeight="1" x14ac:dyDescent="0.45">
      <c r="A98" s="5"/>
      <c r="B98" s="6" t="str">
        <f>IFERROR(VLOOKUP(A98,KRX종목마스터!$A:$B,2,FALSE),"")</f>
        <v/>
      </c>
      <c r="C98" s="4"/>
      <c r="D98" s="7"/>
      <c r="E98" s="3"/>
      <c r="F98" s="7"/>
      <c r="G98" s="7"/>
      <c r="H98" s="8" t="str">
        <f t="shared" si="4"/>
        <v/>
      </c>
      <c r="I98" s="10" t="str">
        <f t="shared" si="5"/>
        <v/>
      </c>
      <c r="J98" s="14" t="str">
        <f t="shared" si="6"/>
        <v/>
      </c>
      <c r="K98" s="4"/>
      <c r="L98" s="8" t="str">
        <f>IFERROR(VLOOKUP(A98,KRX종목마스터!$A:$C,3,FALSE),"")</f>
        <v/>
      </c>
      <c r="M98" s="18" t="str">
        <f t="shared" si="7"/>
        <v/>
      </c>
      <c r="N98" s="4"/>
      <c r="O98" s="9"/>
    </row>
    <row r="99" spans="1:15" ht="18" customHeight="1" x14ac:dyDescent="0.45">
      <c r="A99" s="5"/>
      <c r="B99" s="6" t="str">
        <f>IFERROR(VLOOKUP(A99,KRX종목마스터!$A:$B,2,FALSE),"")</f>
        <v/>
      </c>
      <c r="C99" s="4"/>
      <c r="D99" s="7"/>
      <c r="E99" s="3"/>
      <c r="F99" s="7"/>
      <c r="G99" s="7"/>
      <c r="H99" s="8" t="str">
        <f t="shared" si="4"/>
        <v/>
      </c>
      <c r="I99" s="10" t="str">
        <f t="shared" si="5"/>
        <v/>
      </c>
      <c r="J99" s="14" t="str">
        <f t="shared" si="6"/>
        <v/>
      </c>
      <c r="K99" s="4"/>
      <c r="L99" s="8" t="str">
        <f>IFERROR(VLOOKUP(A99,KRX종목마스터!$A:$C,3,FALSE),"")</f>
        <v/>
      </c>
      <c r="M99" s="18" t="str">
        <f t="shared" si="7"/>
        <v/>
      </c>
      <c r="N99" s="4"/>
      <c r="O99" s="9"/>
    </row>
    <row r="100" spans="1:15" ht="18" customHeight="1" x14ac:dyDescent="0.45">
      <c r="A100" s="5"/>
      <c r="B100" s="6" t="str">
        <f>IFERROR(VLOOKUP(A100,KRX종목마스터!$A:$B,2,FALSE),"")</f>
        <v/>
      </c>
      <c r="C100" s="4"/>
      <c r="D100" s="7"/>
      <c r="E100" s="3"/>
      <c r="F100" s="7"/>
      <c r="G100" s="7"/>
      <c r="H100" s="8" t="str">
        <f t="shared" si="4"/>
        <v/>
      </c>
      <c r="I100" s="10" t="str">
        <f t="shared" si="5"/>
        <v/>
      </c>
      <c r="J100" s="14" t="str">
        <f t="shared" si="6"/>
        <v/>
      </c>
      <c r="K100" s="4"/>
      <c r="L100" s="8" t="str">
        <f>IFERROR(VLOOKUP(A100,KRX종목마스터!$A:$C,3,FALSE),"")</f>
        <v/>
      </c>
      <c r="M100" s="18" t="str">
        <f t="shared" si="7"/>
        <v/>
      </c>
      <c r="N100" s="4"/>
      <c r="O100" s="9"/>
    </row>
    <row r="101" spans="1:15" ht="18" customHeight="1" x14ac:dyDescent="0.45">
      <c r="A101" s="5"/>
      <c r="B101" s="6" t="str">
        <f>IFERROR(VLOOKUP(A101,KRX종목마스터!$A:$B,2,FALSE),"")</f>
        <v/>
      </c>
      <c r="C101" s="4"/>
      <c r="D101" s="7"/>
      <c r="E101" s="3"/>
      <c r="F101" s="7"/>
      <c r="G101" s="7"/>
      <c r="H101" s="8" t="str">
        <f t="shared" si="4"/>
        <v/>
      </c>
      <c r="I101" s="10" t="str">
        <f t="shared" si="5"/>
        <v/>
      </c>
      <c r="J101" s="14" t="str">
        <f t="shared" si="6"/>
        <v/>
      </c>
      <c r="K101" s="4"/>
      <c r="L101" s="8" t="str">
        <f>IFERROR(VLOOKUP(A101,KRX종목마스터!$A:$C,3,FALSE),"")</f>
        <v/>
      </c>
      <c r="M101" s="18" t="str">
        <f t="shared" si="7"/>
        <v/>
      </c>
      <c r="N101" s="4"/>
      <c r="O101" s="9"/>
    </row>
    <row r="102" spans="1:15" ht="18" customHeight="1" x14ac:dyDescent="0.45">
      <c r="A102" s="5"/>
      <c r="B102" s="6" t="str">
        <f>IFERROR(VLOOKUP(A102,KRX종목마스터!$A:$B,2,FALSE),"")</f>
        <v/>
      </c>
      <c r="C102" s="4"/>
      <c r="D102" s="7"/>
      <c r="E102" s="3"/>
      <c r="F102" s="7"/>
      <c r="G102" s="7"/>
      <c r="H102" s="8" t="str">
        <f t="shared" si="4"/>
        <v/>
      </c>
      <c r="I102" s="10" t="str">
        <f t="shared" si="5"/>
        <v/>
      </c>
      <c r="J102" s="14" t="str">
        <f t="shared" si="6"/>
        <v/>
      </c>
      <c r="K102" s="4"/>
      <c r="L102" s="8" t="str">
        <f>IFERROR(VLOOKUP(A102,KRX종목마스터!$A:$C,3,FALSE),"")</f>
        <v/>
      </c>
      <c r="M102" s="18" t="str">
        <f t="shared" si="7"/>
        <v/>
      </c>
      <c r="N102" s="4"/>
      <c r="O102" s="9"/>
    </row>
    <row r="103" spans="1:15" ht="18" customHeight="1" x14ac:dyDescent="0.45">
      <c r="A103" s="5"/>
      <c r="B103" s="6" t="str">
        <f>IFERROR(VLOOKUP(A103,KRX종목마스터!$A:$B,2,FALSE),"")</f>
        <v/>
      </c>
      <c r="C103" s="4"/>
      <c r="D103" s="7"/>
      <c r="E103" s="3"/>
      <c r="F103" s="7"/>
      <c r="G103" s="7"/>
      <c r="H103" s="8" t="str">
        <f t="shared" si="4"/>
        <v/>
      </c>
      <c r="I103" s="10" t="str">
        <f t="shared" si="5"/>
        <v/>
      </c>
      <c r="J103" s="14" t="str">
        <f t="shared" si="6"/>
        <v/>
      </c>
      <c r="K103" s="4"/>
      <c r="L103" s="8" t="str">
        <f>IFERROR(VLOOKUP(A103,KRX종목마스터!$A:$C,3,FALSE),"")</f>
        <v/>
      </c>
      <c r="M103" s="18" t="str">
        <f t="shared" si="7"/>
        <v/>
      </c>
      <c r="N103" s="4"/>
      <c r="O103" s="9"/>
    </row>
    <row r="104" spans="1:15" ht="18" customHeight="1" x14ac:dyDescent="0.45">
      <c r="A104" s="5"/>
      <c r="B104" s="6" t="str">
        <f>IFERROR(VLOOKUP(A104,KRX종목마스터!$A:$B,2,FALSE),"")</f>
        <v/>
      </c>
      <c r="C104" s="4"/>
      <c r="D104" s="7"/>
      <c r="E104" s="3"/>
      <c r="F104" s="7"/>
      <c r="G104" s="7"/>
      <c r="H104" s="8" t="str">
        <f t="shared" si="4"/>
        <v/>
      </c>
      <c r="I104" s="10" t="str">
        <f t="shared" si="5"/>
        <v/>
      </c>
      <c r="J104" s="14" t="str">
        <f t="shared" si="6"/>
        <v/>
      </c>
      <c r="K104" s="4"/>
      <c r="L104" s="8" t="str">
        <f>IFERROR(VLOOKUP(A104,KRX종목마스터!$A:$C,3,FALSE),"")</f>
        <v/>
      </c>
      <c r="M104" s="18" t="str">
        <f t="shared" si="7"/>
        <v/>
      </c>
      <c r="N104" s="4"/>
      <c r="O104" s="9"/>
    </row>
    <row r="105" spans="1:15" ht="18" customHeight="1" x14ac:dyDescent="0.45">
      <c r="A105" s="5"/>
      <c r="B105" s="6" t="str">
        <f>IFERROR(VLOOKUP(A105,KRX종목마스터!$A:$B,2,FALSE),"")</f>
        <v/>
      </c>
      <c r="C105" s="4"/>
      <c r="D105" s="7"/>
      <c r="E105" s="3"/>
      <c r="F105" s="7"/>
      <c r="G105" s="7"/>
      <c r="H105" s="8" t="str">
        <f t="shared" si="4"/>
        <v/>
      </c>
      <c r="I105" s="10" t="str">
        <f t="shared" si="5"/>
        <v/>
      </c>
      <c r="J105" s="14" t="str">
        <f t="shared" si="6"/>
        <v/>
      </c>
      <c r="K105" s="4"/>
      <c r="L105" s="8" t="str">
        <f>IFERROR(VLOOKUP(A105,KRX종목마스터!$A:$C,3,FALSE),"")</f>
        <v/>
      </c>
      <c r="M105" s="18" t="str">
        <f t="shared" si="7"/>
        <v/>
      </c>
      <c r="N105" s="4"/>
      <c r="O105" s="9"/>
    </row>
    <row r="106" spans="1:15" ht="18" customHeight="1" x14ac:dyDescent="0.45">
      <c r="A106" s="5"/>
      <c r="B106" s="6" t="str">
        <f>IFERROR(VLOOKUP(A106,KRX종목마스터!$A:$B,2,FALSE),"")</f>
        <v/>
      </c>
      <c r="C106" s="4"/>
      <c r="D106" s="7"/>
      <c r="E106" s="3"/>
      <c r="F106" s="7"/>
      <c r="G106" s="7"/>
      <c r="H106" s="8" t="str">
        <f t="shared" si="4"/>
        <v/>
      </c>
      <c r="I106" s="10" t="str">
        <f t="shared" si="5"/>
        <v/>
      </c>
      <c r="J106" s="14" t="str">
        <f t="shared" si="6"/>
        <v/>
      </c>
      <c r="K106" s="4"/>
      <c r="L106" s="8" t="str">
        <f>IFERROR(VLOOKUP(A106,KRX종목마스터!$A:$C,3,FALSE),"")</f>
        <v/>
      </c>
      <c r="M106" s="18" t="str">
        <f t="shared" si="7"/>
        <v/>
      </c>
      <c r="N106" s="4"/>
      <c r="O106" s="9"/>
    </row>
    <row r="107" spans="1:15" ht="18" customHeight="1" x14ac:dyDescent="0.45">
      <c r="A107" s="5"/>
      <c r="B107" s="6" t="str">
        <f>IFERROR(VLOOKUP(A107,KRX종목마스터!$A:$B,2,FALSE),"")</f>
        <v/>
      </c>
      <c r="C107" s="4"/>
      <c r="D107" s="7"/>
      <c r="E107" s="3"/>
      <c r="F107" s="7"/>
      <c r="G107" s="7"/>
      <c r="H107" s="8" t="str">
        <f t="shared" si="4"/>
        <v/>
      </c>
      <c r="I107" s="10" t="str">
        <f t="shared" si="5"/>
        <v/>
      </c>
      <c r="J107" s="14" t="str">
        <f t="shared" si="6"/>
        <v/>
      </c>
      <c r="K107" s="4"/>
      <c r="L107" s="8" t="str">
        <f>IFERROR(VLOOKUP(A107,KRX종목마스터!$A:$C,3,FALSE),"")</f>
        <v/>
      </c>
      <c r="M107" s="18" t="str">
        <f t="shared" si="7"/>
        <v/>
      </c>
      <c r="N107" s="4"/>
      <c r="O107" s="9"/>
    </row>
    <row r="108" spans="1:15" ht="18" customHeight="1" x14ac:dyDescent="0.45">
      <c r="A108" s="5"/>
      <c r="B108" s="6" t="str">
        <f>IFERROR(VLOOKUP(A108,KRX종목마스터!$A:$B,2,FALSE),"")</f>
        <v/>
      </c>
      <c r="C108" s="4"/>
      <c r="D108" s="7"/>
      <c r="E108" s="3"/>
      <c r="F108" s="7"/>
      <c r="G108" s="7"/>
      <c r="H108" s="8" t="str">
        <f t="shared" si="4"/>
        <v/>
      </c>
      <c r="I108" s="10" t="str">
        <f t="shared" si="5"/>
        <v/>
      </c>
      <c r="J108" s="14" t="str">
        <f t="shared" si="6"/>
        <v/>
      </c>
      <c r="K108" s="4"/>
      <c r="L108" s="8" t="str">
        <f>IFERROR(VLOOKUP(A108,KRX종목마스터!$A:$C,3,FALSE),"")</f>
        <v/>
      </c>
      <c r="M108" s="18" t="str">
        <f t="shared" si="7"/>
        <v/>
      </c>
      <c r="N108" s="4"/>
      <c r="O108" s="9"/>
    </row>
    <row r="109" spans="1:15" ht="18" customHeight="1" x14ac:dyDescent="0.45">
      <c r="A109" s="5"/>
      <c r="B109" s="6" t="str">
        <f>IFERROR(VLOOKUP(A109,KRX종목마스터!$A:$B,2,FALSE),"")</f>
        <v/>
      </c>
      <c r="C109" s="4"/>
      <c r="D109" s="7"/>
      <c r="E109" s="3"/>
      <c r="F109" s="7"/>
      <c r="G109" s="7"/>
      <c r="H109" s="8" t="str">
        <f t="shared" si="4"/>
        <v/>
      </c>
      <c r="I109" s="10" t="str">
        <f t="shared" si="5"/>
        <v/>
      </c>
      <c r="J109" s="14" t="str">
        <f t="shared" si="6"/>
        <v/>
      </c>
      <c r="K109" s="4"/>
      <c r="L109" s="8" t="str">
        <f>IFERROR(VLOOKUP(A109,KRX종목마스터!$A:$C,3,FALSE),"")</f>
        <v/>
      </c>
      <c r="M109" s="18" t="str">
        <f t="shared" si="7"/>
        <v/>
      </c>
      <c r="N109" s="4"/>
      <c r="O109" s="9"/>
    </row>
    <row r="110" spans="1:15" ht="18" customHeight="1" x14ac:dyDescent="0.45">
      <c r="A110" s="5"/>
      <c r="B110" s="6" t="str">
        <f>IFERROR(VLOOKUP(A110,KRX종목마스터!$A:$B,2,FALSE),"")</f>
        <v/>
      </c>
      <c r="C110" s="4"/>
      <c r="D110" s="7"/>
      <c r="E110" s="3"/>
      <c r="F110" s="7"/>
      <c r="G110" s="7"/>
      <c r="H110" s="8" t="str">
        <f t="shared" si="4"/>
        <v/>
      </c>
      <c r="I110" s="10" t="str">
        <f t="shared" si="5"/>
        <v/>
      </c>
      <c r="J110" s="14" t="str">
        <f t="shared" si="6"/>
        <v/>
      </c>
      <c r="K110" s="4"/>
      <c r="L110" s="8" t="str">
        <f>IFERROR(VLOOKUP(A110,KRX종목마스터!$A:$C,3,FALSE),"")</f>
        <v/>
      </c>
      <c r="M110" s="18" t="str">
        <f t="shared" si="7"/>
        <v/>
      </c>
      <c r="N110" s="4"/>
      <c r="O110" s="9"/>
    </row>
    <row r="111" spans="1:15" ht="18" customHeight="1" x14ac:dyDescent="0.45">
      <c r="A111" s="5"/>
      <c r="B111" s="6" t="str">
        <f>IFERROR(VLOOKUP(A111,KRX종목마스터!$A:$B,2,FALSE),"")</f>
        <v/>
      </c>
      <c r="C111" s="4"/>
      <c r="D111" s="7"/>
      <c r="E111" s="3"/>
      <c r="F111" s="7"/>
      <c r="G111" s="7"/>
      <c r="H111" s="8" t="str">
        <f t="shared" si="4"/>
        <v/>
      </c>
      <c r="I111" s="10" t="str">
        <f t="shared" si="5"/>
        <v/>
      </c>
      <c r="J111" s="14" t="str">
        <f t="shared" si="6"/>
        <v/>
      </c>
      <c r="K111" s="4"/>
      <c r="L111" s="8" t="str">
        <f>IFERROR(VLOOKUP(A111,KRX종목마스터!$A:$C,3,FALSE),"")</f>
        <v/>
      </c>
      <c r="M111" s="18" t="str">
        <f t="shared" si="7"/>
        <v/>
      </c>
      <c r="N111" s="4"/>
      <c r="O111" s="9"/>
    </row>
    <row r="112" spans="1:15" ht="18" customHeight="1" x14ac:dyDescent="0.45">
      <c r="A112" s="5"/>
      <c r="B112" s="6" t="str">
        <f>IFERROR(VLOOKUP(A112,KRX종목마스터!$A:$B,2,FALSE),"")</f>
        <v/>
      </c>
      <c r="C112" s="4"/>
      <c r="D112" s="7"/>
      <c r="E112" s="3"/>
      <c r="F112" s="7"/>
      <c r="G112" s="7"/>
      <c r="H112" s="8" t="str">
        <f t="shared" si="4"/>
        <v/>
      </c>
      <c r="I112" s="10" t="str">
        <f t="shared" si="5"/>
        <v/>
      </c>
      <c r="J112" s="14" t="str">
        <f t="shared" si="6"/>
        <v/>
      </c>
      <c r="K112" s="4"/>
      <c r="L112" s="8" t="str">
        <f>IFERROR(VLOOKUP(A112,KRX종목마스터!$A:$C,3,FALSE),"")</f>
        <v/>
      </c>
      <c r="M112" s="18" t="str">
        <f t="shared" si="7"/>
        <v/>
      </c>
      <c r="N112" s="4"/>
      <c r="O112" s="9"/>
    </row>
    <row r="113" spans="1:15" ht="18" customHeight="1" x14ac:dyDescent="0.45">
      <c r="A113" s="5"/>
      <c r="B113" s="6" t="str">
        <f>IFERROR(VLOOKUP(A113,KRX종목마스터!$A:$B,2,FALSE),"")</f>
        <v/>
      </c>
      <c r="C113" s="4"/>
      <c r="D113" s="7"/>
      <c r="E113" s="3"/>
      <c r="F113" s="7"/>
      <c r="G113" s="7"/>
      <c r="H113" s="8" t="str">
        <f t="shared" si="4"/>
        <v/>
      </c>
      <c r="I113" s="10" t="str">
        <f t="shared" si="5"/>
        <v/>
      </c>
      <c r="J113" s="14" t="str">
        <f t="shared" si="6"/>
        <v/>
      </c>
      <c r="K113" s="4"/>
      <c r="L113" s="8" t="str">
        <f>IFERROR(VLOOKUP(A113,KRX종목마스터!$A:$C,3,FALSE),"")</f>
        <v/>
      </c>
      <c r="M113" s="18" t="str">
        <f t="shared" si="7"/>
        <v/>
      </c>
      <c r="N113" s="4"/>
      <c r="O113" s="9"/>
    </row>
    <row r="114" spans="1:15" ht="18" customHeight="1" x14ac:dyDescent="0.45">
      <c r="A114" s="5"/>
      <c r="B114" s="6" t="str">
        <f>IFERROR(VLOOKUP(A114,KRX종목마스터!$A:$B,2,FALSE),"")</f>
        <v/>
      </c>
      <c r="C114" s="4"/>
      <c r="D114" s="7"/>
      <c r="E114" s="3"/>
      <c r="F114" s="7"/>
      <c r="G114" s="7"/>
      <c r="H114" s="8" t="str">
        <f t="shared" si="4"/>
        <v/>
      </c>
      <c r="I114" s="10" t="str">
        <f t="shared" si="5"/>
        <v/>
      </c>
      <c r="J114" s="14" t="str">
        <f t="shared" si="6"/>
        <v/>
      </c>
      <c r="K114" s="4"/>
      <c r="L114" s="8" t="str">
        <f>IFERROR(VLOOKUP(A114,KRX종목마스터!$A:$C,3,FALSE),"")</f>
        <v/>
      </c>
      <c r="M114" s="18" t="str">
        <f t="shared" si="7"/>
        <v/>
      </c>
      <c r="N114" s="4"/>
      <c r="O114" s="9"/>
    </row>
    <row r="115" spans="1:15" ht="18" customHeight="1" x14ac:dyDescent="0.45">
      <c r="A115" s="5"/>
      <c r="B115" s="6" t="str">
        <f>IFERROR(VLOOKUP(A115,KRX종목마스터!$A:$B,2,FALSE),"")</f>
        <v/>
      </c>
      <c r="C115" s="4"/>
      <c r="D115" s="7"/>
      <c r="E115" s="3"/>
      <c r="F115" s="7"/>
      <c r="G115" s="7"/>
      <c r="H115" s="8" t="str">
        <f t="shared" si="4"/>
        <v/>
      </c>
      <c r="I115" s="10" t="str">
        <f t="shared" si="5"/>
        <v/>
      </c>
      <c r="J115" s="14" t="str">
        <f t="shared" si="6"/>
        <v/>
      </c>
      <c r="K115" s="4"/>
      <c r="L115" s="8" t="str">
        <f>IFERROR(VLOOKUP(A115,KRX종목마스터!$A:$C,3,FALSE),"")</f>
        <v/>
      </c>
      <c r="M115" s="18" t="str">
        <f t="shared" si="7"/>
        <v/>
      </c>
      <c r="N115" s="4"/>
      <c r="O115" s="9"/>
    </row>
    <row r="116" spans="1:15" ht="18" customHeight="1" x14ac:dyDescent="0.45">
      <c r="A116" s="5"/>
      <c r="B116" s="6" t="str">
        <f>IFERROR(VLOOKUP(A116,KRX종목마스터!$A:$B,2,FALSE),"")</f>
        <v/>
      </c>
      <c r="C116" s="4"/>
      <c r="D116" s="7"/>
      <c r="E116" s="3"/>
      <c r="F116" s="7"/>
      <c r="G116" s="7"/>
      <c r="H116" s="8" t="str">
        <f t="shared" si="4"/>
        <v/>
      </c>
      <c r="I116" s="10" t="str">
        <f t="shared" si="5"/>
        <v/>
      </c>
      <c r="J116" s="14" t="str">
        <f t="shared" si="6"/>
        <v/>
      </c>
      <c r="K116" s="4"/>
      <c r="L116" s="8" t="str">
        <f>IFERROR(VLOOKUP(A116,KRX종목마스터!$A:$C,3,FALSE),"")</f>
        <v/>
      </c>
      <c r="M116" s="18" t="str">
        <f t="shared" si="7"/>
        <v/>
      </c>
      <c r="N116" s="4"/>
      <c r="O116" s="9"/>
    </row>
    <row r="117" spans="1:15" ht="18" customHeight="1" x14ac:dyDescent="0.45">
      <c r="A117" s="5"/>
      <c r="B117" s="6" t="str">
        <f>IFERROR(VLOOKUP(A117,KRX종목마스터!$A:$B,2,FALSE),"")</f>
        <v/>
      </c>
      <c r="C117" s="4"/>
      <c r="D117" s="7"/>
      <c r="E117" s="3"/>
      <c r="F117" s="7"/>
      <c r="G117" s="7"/>
      <c r="H117" s="8" t="str">
        <f t="shared" si="4"/>
        <v/>
      </c>
      <c r="I117" s="10" t="str">
        <f t="shared" si="5"/>
        <v/>
      </c>
      <c r="J117" s="14" t="str">
        <f t="shared" si="6"/>
        <v/>
      </c>
      <c r="K117" s="4"/>
      <c r="L117" s="8" t="str">
        <f>IFERROR(VLOOKUP(A117,KRX종목마스터!$A:$C,3,FALSE),"")</f>
        <v/>
      </c>
      <c r="M117" s="18" t="str">
        <f t="shared" si="7"/>
        <v/>
      </c>
      <c r="N117" s="4"/>
      <c r="O117" s="9"/>
    </row>
    <row r="118" spans="1:15" ht="18" customHeight="1" x14ac:dyDescent="0.45">
      <c r="A118" s="5"/>
      <c r="B118" s="6" t="str">
        <f>IFERROR(VLOOKUP(A118,KRX종목마스터!$A:$B,2,FALSE),"")</f>
        <v/>
      </c>
      <c r="C118" s="4"/>
      <c r="D118" s="7"/>
      <c r="E118" s="3"/>
      <c r="F118" s="7"/>
      <c r="G118" s="7"/>
      <c r="H118" s="8" t="str">
        <f t="shared" si="4"/>
        <v/>
      </c>
      <c r="I118" s="10" t="str">
        <f t="shared" si="5"/>
        <v/>
      </c>
      <c r="J118" s="14" t="str">
        <f t="shared" si="6"/>
        <v/>
      </c>
      <c r="K118" s="4"/>
      <c r="L118" s="8" t="str">
        <f>IFERROR(VLOOKUP(A118,KRX종목마스터!$A:$C,3,FALSE),"")</f>
        <v/>
      </c>
      <c r="M118" s="18" t="str">
        <f t="shared" si="7"/>
        <v/>
      </c>
      <c r="N118" s="4"/>
      <c r="O118" s="9"/>
    </row>
    <row r="119" spans="1:15" ht="18" customHeight="1" x14ac:dyDescent="0.45">
      <c r="A119" s="5"/>
      <c r="B119" s="6" t="str">
        <f>IFERROR(VLOOKUP(A119,KRX종목마스터!$A:$B,2,FALSE),"")</f>
        <v/>
      </c>
      <c r="C119" s="4"/>
      <c r="D119" s="7"/>
      <c r="E119" s="3"/>
      <c r="F119" s="7"/>
      <c r="G119" s="7"/>
      <c r="H119" s="8" t="str">
        <f t="shared" si="4"/>
        <v/>
      </c>
      <c r="I119" s="10" t="str">
        <f t="shared" si="5"/>
        <v/>
      </c>
      <c r="J119" s="14" t="str">
        <f t="shared" si="6"/>
        <v/>
      </c>
      <c r="K119" s="4"/>
      <c r="L119" s="8" t="str">
        <f>IFERROR(VLOOKUP(A119,KRX종목마스터!$A:$C,3,FALSE),"")</f>
        <v/>
      </c>
      <c r="M119" s="18" t="str">
        <f t="shared" si="7"/>
        <v/>
      </c>
      <c r="N119" s="4"/>
      <c r="O119" s="9"/>
    </row>
    <row r="120" spans="1:15" ht="18" customHeight="1" x14ac:dyDescent="0.45">
      <c r="A120" s="5"/>
      <c r="B120" s="6" t="str">
        <f>IFERROR(VLOOKUP(A120,KRX종목마스터!$A:$B,2,FALSE),"")</f>
        <v/>
      </c>
      <c r="C120" s="4"/>
      <c r="D120" s="7"/>
      <c r="E120" s="3"/>
      <c r="F120" s="7"/>
      <c r="G120" s="7"/>
      <c r="H120" s="8" t="str">
        <f t="shared" si="4"/>
        <v/>
      </c>
      <c r="I120" s="10" t="str">
        <f t="shared" si="5"/>
        <v/>
      </c>
      <c r="J120" s="14" t="str">
        <f t="shared" si="6"/>
        <v/>
      </c>
      <c r="K120" s="4"/>
      <c r="L120" s="8" t="str">
        <f>IFERROR(VLOOKUP(A120,KRX종목마스터!$A:$C,3,FALSE),"")</f>
        <v/>
      </c>
      <c r="M120" s="18" t="str">
        <f t="shared" si="7"/>
        <v/>
      </c>
      <c r="N120" s="4"/>
      <c r="O120" s="9"/>
    </row>
    <row r="121" spans="1:15" ht="18" customHeight="1" x14ac:dyDescent="0.45">
      <c r="A121" s="5"/>
      <c r="B121" s="6" t="str">
        <f>IFERROR(VLOOKUP(A121,KRX종목마스터!$A:$B,2,FALSE),"")</f>
        <v/>
      </c>
      <c r="C121" s="4"/>
      <c r="D121" s="7"/>
      <c r="E121" s="3"/>
      <c r="F121" s="7"/>
      <c r="G121" s="7"/>
      <c r="H121" s="8" t="str">
        <f t="shared" si="4"/>
        <v/>
      </c>
      <c r="I121" s="10" t="str">
        <f t="shared" si="5"/>
        <v/>
      </c>
      <c r="J121" s="14" t="str">
        <f t="shared" si="6"/>
        <v/>
      </c>
      <c r="K121" s="4"/>
      <c r="L121" s="8" t="str">
        <f>IFERROR(VLOOKUP(A121,KRX종목마스터!$A:$C,3,FALSE),"")</f>
        <v/>
      </c>
      <c r="M121" s="18" t="str">
        <f t="shared" si="7"/>
        <v/>
      </c>
      <c r="N121" s="4"/>
      <c r="O121" s="9"/>
    </row>
    <row r="122" spans="1:15" ht="18" customHeight="1" x14ac:dyDescent="0.45">
      <c r="A122" s="5"/>
      <c r="B122" s="6" t="str">
        <f>IFERROR(VLOOKUP(A122,KRX종목마스터!$A:$B,2,FALSE),"")</f>
        <v/>
      </c>
      <c r="C122" s="4"/>
      <c r="D122" s="7"/>
      <c r="E122" s="3"/>
      <c r="F122" s="7"/>
      <c r="G122" s="7"/>
      <c r="H122" s="8" t="str">
        <f t="shared" si="4"/>
        <v/>
      </c>
      <c r="I122" s="10" t="str">
        <f t="shared" si="5"/>
        <v/>
      </c>
      <c r="J122" s="14" t="str">
        <f t="shared" si="6"/>
        <v/>
      </c>
      <c r="K122" s="4"/>
      <c r="L122" s="8" t="str">
        <f>IFERROR(VLOOKUP(A122,KRX종목마스터!$A:$C,3,FALSE),"")</f>
        <v/>
      </c>
      <c r="M122" s="18" t="str">
        <f t="shared" si="7"/>
        <v/>
      </c>
      <c r="N122" s="4"/>
      <c r="O122" s="9"/>
    </row>
    <row r="123" spans="1:15" ht="18" customHeight="1" x14ac:dyDescent="0.45">
      <c r="A123" s="5"/>
      <c r="B123" s="6" t="str">
        <f>IFERROR(VLOOKUP(A123,KRX종목마스터!$A:$B,2,FALSE),"")</f>
        <v/>
      </c>
      <c r="C123" s="4"/>
      <c r="D123" s="7"/>
      <c r="E123" s="3"/>
      <c r="F123" s="7"/>
      <c r="G123" s="7"/>
      <c r="H123" s="8" t="str">
        <f t="shared" si="4"/>
        <v/>
      </c>
      <c r="I123" s="10" t="str">
        <f t="shared" si="5"/>
        <v/>
      </c>
      <c r="J123" s="14" t="str">
        <f t="shared" si="6"/>
        <v/>
      </c>
      <c r="K123" s="4"/>
      <c r="L123" s="8" t="str">
        <f>IFERROR(VLOOKUP(A123,KRX종목마스터!$A:$C,3,FALSE),"")</f>
        <v/>
      </c>
      <c r="M123" s="18" t="str">
        <f t="shared" si="7"/>
        <v/>
      </c>
      <c r="N123" s="4"/>
      <c r="O123" s="9"/>
    </row>
    <row r="124" spans="1:15" ht="18" customHeight="1" x14ac:dyDescent="0.45">
      <c r="A124" s="5"/>
      <c r="B124" s="6" t="str">
        <f>IFERROR(VLOOKUP(A124,KRX종목마스터!$A:$B,2,FALSE),"")</f>
        <v/>
      </c>
      <c r="C124" s="4"/>
      <c r="D124" s="7"/>
      <c r="E124" s="3"/>
      <c r="F124" s="7"/>
      <c r="G124" s="7"/>
      <c r="H124" s="8" t="str">
        <f t="shared" si="4"/>
        <v/>
      </c>
      <c r="I124" s="10" t="str">
        <f t="shared" si="5"/>
        <v/>
      </c>
      <c r="J124" s="14" t="str">
        <f t="shared" si="6"/>
        <v/>
      </c>
      <c r="K124" s="4"/>
      <c r="L124" s="8" t="str">
        <f>IFERROR(VLOOKUP(A124,KRX종목마스터!$A:$C,3,FALSE),"")</f>
        <v/>
      </c>
      <c r="M124" s="18" t="str">
        <f t="shared" si="7"/>
        <v/>
      </c>
      <c r="N124" s="4"/>
      <c r="O124" s="9"/>
    </row>
    <row r="125" spans="1:15" ht="18" customHeight="1" x14ac:dyDescent="0.45">
      <c r="A125" s="5"/>
      <c r="B125" s="6" t="str">
        <f>IFERROR(VLOOKUP(A125,KRX종목마스터!$A:$B,2,FALSE),"")</f>
        <v/>
      </c>
      <c r="C125" s="4"/>
      <c r="D125" s="7"/>
      <c r="E125" s="3"/>
      <c r="F125" s="7"/>
      <c r="G125" s="7"/>
      <c r="H125" s="8" t="str">
        <f t="shared" si="4"/>
        <v/>
      </c>
      <c r="I125" s="10" t="str">
        <f t="shared" si="5"/>
        <v/>
      </c>
      <c r="J125" s="14" t="str">
        <f t="shared" si="6"/>
        <v/>
      </c>
      <c r="K125" s="4"/>
      <c r="L125" s="8" t="str">
        <f>IFERROR(VLOOKUP(A125,KRX종목마스터!$A:$C,3,FALSE),"")</f>
        <v/>
      </c>
      <c r="M125" s="18" t="str">
        <f t="shared" si="7"/>
        <v/>
      </c>
      <c r="N125" s="4"/>
      <c r="O125" s="9"/>
    </row>
    <row r="126" spans="1:15" ht="18" customHeight="1" x14ac:dyDescent="0.45">
      <c r="A126" s="5"/>
      <c r="B126" s="6" t="str">
        <f>IFERROR(VLOOKUP(A126,KRX종목마스터!$A:$B,2,FALSE),"")</f>
        <v/>
      </c>
      <c r="C126" s="4"/>
      <c r="D126" s="7"/>
      <c r="E126" s="3"/>
      <c r="F126" s="7"/>
      <c r="G126" s="7"/>
      <c r="H126" s="8" t="str">
        <f t="shared" si="4"/>
        <v/>
      </c>
      <c r="I126" s="10" t="str">
        <f t="shared" si="5"/>
        <v/>
      </c>
      <c r="J126" s="14" t="str">
        <f t="shared" si="6"/>
        <v/>
      </c>
      <c r="K126" s="4"/>
      <c r="L126" s="8" t="str">
        <f>IFERROR(VLOOKUP(A126,KRX종목마스터!$A:$C,3,FALSE),"")</f>
        <v/>
      </c>
      <c r="M126" s="18" t="str">
        <f t="shared" si="7"/>
        <v/>
      </c>
      <c r="N126" s="4"/>
      <c r="O126" s="9"/>
    </row>
    <row r="127" spans="1:15" ht="18" customHeight="1" x14ac:dyDescent="0.45">
      <c r="A127" s="5"/>
      <c r="B127" s="6" t="str">
        <f>IFERROR(VLOOKUP(A127,KRX종목마스터!$A:$B,2,FALSE),"")</f>
        <v/>
      </c>
      <c r="C127" s="4"/>
      <c r="D127" s="7"/>
      <c r="E127" s="3"/>
      <c r="F127" s="7"/>
      <c r="G127" s="7"/>
      <c r="H127" s="8" t="str">
        <f t="shared" si="4"/>
        <v/>
      </c>
      <c r="I127" s="10" t="str">
        <f t="shared" si="5"/>
        <v/>
      </c>
      <c r="J127" s="14" t="str">
        <f t="shared" si="6"/>
        <v/>
      </c>
      <c r="K127" s="4"/>
      <c r="L127" s="8" t="str">
        <f>IFERROR(VLOOKUP(A127,KRX종목마스터!$A:$C,3,FALSE),"")</f>
        <v/>
      </c>
      <c r="M127" s="18" t="str">
        <f t="shared" si="7"/>
        <v/>
      </c>
      <c r="N127" s="4"/>
      <c r="O127" s="9"/>
    </row>
    <row r="128" spans="1:15" ht="18" customHeight="1" x14ac:dyDescent="0.45">
      <c r="A128" s="5"/>
      <c r="B128" s="6" t="str">
        <f>IFERROR(VLOOKUP(A128,KRX종목마스터!$A:$B,2,FALSE),"")</f>
        <v/>
      </c>
      <c r="C128" s="4"/>
      <c r="D128" s="7"/>
      <c r="E128" s="3"/>
      <c r="F128" s="7"/>
      <c r="G128" s="7"/>
      <c r="H128" s="8" t="str">
        <f t="shared" si="4"/>
        <v/>
      </c>
      <c r="I128" s="10" t="str">
        <f t="shared" si="5"/>
        <v/>
      </c>
      <c r="J128" s="14" t="str">
        <f t="shared" si="6"/>
        <v/>
      </c>
      <c r="K128" s="4"/>
      <c r="L128" s="8" t="str">
        <f>IFERROR(VLOOKUP(A128,KRX종목마스터!$A:$C,3,FALSE),"")</f>
        <v/>
      </c>
      <c r="M128" s="18" t="str">
        <f t="shared" si="7"/>
        <v/>
      </c>
      <c r="N128" s="4"/>
      <c r="O128" s="9"/>
    </row>
    <row r="129" spans="1:15" ht="18" customHeight="1" x14ac:dyDescent="0.45">
      <c r="A129" s="5"/>
      <c r="B129" s="6" t="str">
        <f>IFERROR(VLOOKUP(A129,KRX종목마스터!$A:$B,2,FALSE),"")</f>
        <v/>
      </c>
      <c r="C129" s="4"/>
      <c r="D129" s="7"/>
      <c r="E129" s="3"/>
      <c r="F129" s="7"/>
      <c r="G129" s="7"/>
      <c r="H129" s="8" t="str">
        <f t="shared" si="4"/>
        <v/>
      </c>
      <c r="I129" s="10" t="str">
        <f t="shared" si="5"/>
        <v/>
      </c>
      <c r="J129" s="14" t="str">
        <f t="shared" si="6"/>
        <v/>
      </c>
      <c r="K129" s="4"/>
      <c r="L129" s="8" t="str">
        <f>IFERROR(VLOOKUP(A129,KRX종목마스터!$A:$C,3,FALSE),"")</f>
        <v/>
      </c>
      <c r="M129" s="18" t="str">
        <f t="shared" si="7"/>
        <v/>
      </c>
      <c r="N129" s="4"/>
      <c r="O129" s="9"/>
    </row>
    <row r="130" spans="1:15" ht="18" customHeight="1" x14ac:dyDescent="0.45">
      <c r="A130" s="5"/>
      <c r="B130" s="6" t="str">
        <f>IFERROR(VLOOKUP(A130,KRX종목마스터!$A:$B,2,FALSE),"")</f>
        <v/>
      </c>
      <c r="C130" s="4"/>
      <c r="D130" s="7"/>
      <c r="E130" s="3"/>
      <c r="F130" s="7"/>
      <c r="G130" s="7"/>
      <c r="H130" s="8" t="str">
        <f t="shared" si="4"/>
        <v/>
      </c>
      <c r="I130" s="10" t="str">
        <f t="shared" si="5"/>
        <v/>
      </c>
      <c r="J130" s="14" t="str">
        <f t="shared" si="6"/>
        <v/>
      </c>
      <c r="K130" s="4"/>
      <c r="L130" s="8" t="str">
        <f>IFERROR(VLOOKUP(A130,KRX종목마스터!$A:$C,3,FALSE),"")</f>
        <v/>
      </c>
      <c r="M130" s="18" t="str">
        <f t="shared" si="7"/>
        <v/>
      </c>
      <c r="N130" s="4"/>
      <c r="O130" s="9"/>
    </row>
    <row r="131" spans="1:15" ht="18" customHeight="1" x14ac:dyDescent="0.45">
      <c r="A131" s="5"/>
      <c r="B131" s="6" t="str">
        <f>IFERROR(VLOOKUP(A131,KRX종목마스터!$A:$B,2,FALSE),"")</f>
        <v/>
      </c>
      <c r="C131" s="4"/>
      <c r="D131" s="7"/>
      <c r="E131" s="3"/>
      <c r="F131" s="7"/>
      <c r="G131" s="7"/>
      <c r="H131" s="8" t="str">
        <f t="shared" si="4"/>
        <v/>
      </c>
      <c r="I131" s="10" t="str">
        <f t="shared" si="5"/>
        <v/>
      </c>
      <c r="J131" s="14" t="str">
        <f t="shared" si="6"/>
        <v/>
      </c>
      <c r="K131" s="4"/>
      <c r="L131" s="8" t="str">
        <f>IFERROR(VLOOKUP(A131,KRX종목마스터!$A:$C,3,FALSE),"")</f>
        <v/>
      </c>
      <c r="M131" s="18" t="str">
        <f t="shared" si="7"/>
        <v/>
      </c>
      <c r="N131" s="4"/>
      <c r="O131" s="9"/>
    </row>
    <row r="132" spans="1:15" ht="18" customHeight="1" x14ac:dyDescent="0.45">
      <c r="A132" s="5"/>
      <c r="B132" s="6" t="str">
        <f>IFERROR(VLOOKUP(A132,KRX종목마스터!$A:$B,2,FALSE),"")</f>
        <v/>
      </c>
      <c r="C132" s="4"/>
      <c r="D132" s="7"/>
      <c r="E132" s="3"/>
      <c r="F132" s="7"/>
      <c r="G132" s="7"/>
      <c r="H132" s="8" t="str">
        <f t="shared" ref="H132:H195" si="8">IF(AND(F132&lt;&gt;"",G132&lt;&gt;""),F132*G132,"")</f>
        <v/>
      </c>
      <c r="I132" s="10" t="str">
        <f t="shared" ref="I132:I195" si="9">IF(OR(D132="",F132="",G132=""),"",(F132-D132)*G132)</f>
        <v/>
      </c>
      <c r="J132" s="14" t="str">
        <f t="shared" ref="J132:J195" si="10">IF(OR(D132="",F132=""),"",(F132-D132)/D132)</f>
        <v/>
      </c>
      <c r="K132" s="4"/>
      <c r="L132" s="8" t="str">
        <f>IFERROR(VLOOKUP(A132,KRX종목마스터!$A:$C,3,FALSE),"")</f>
        <v/>
      </c>
      <c r="M132" s="18" t="str">
        <f t="shared" ref="M132:M195" si="11">IF(OR(F132="",L132=""),"",(L132-F132)/F132)</f>
        <v/>
      </c>
      <c r="N132" s="4"/>
      <c r="O132" s="9"/>
    </row>
    <row r="133" spans="1:15" ht="18" customHeight="1" x14ac:dyDescent="0.45">
      <c r="A133" s="5"/>
      <c r="B133" s="6" t="str">
        <f>IFERROR(VLOOKUP(A133,KRX종목마스터!$A:$B,2,FALSE),"")</f>
        <v/>
      </c>
      <c r="C133" s="4"/>
      <c r="D133" s="7"/>
      <c r="E133" s="3"/>
      <c r="F133" s="7"/>
      <c r="G133" s="7"/>
      <c r="H133" s="8" t="str">
        <f t="shared" si="8"/>
        <v/>
      </c>
      <c r="I133" s="10" t="str">
        <f t="shared" si="9"/>
        <v/>
      </c>
      <c r="J133" s="14" t="str">
        <f t="shared" si="10"/>
        <v/>
      </c>
      <c r="K133" s="4"/>
      <c r="L133" s="8" t="str">
        <f>IFERROR(VLOOKUP(A133,KRX종목마스터!$A:$C,3,FALSE),"")</f>
        <v/>
      </c>
      <c r="M133" s="18" t="str">
        <f t="shared" si="11"/>
        <v/>
      </c>
      <c r="N133" s="4"/>
      <c r="O133" s="9"/>
    </row>
    <row r="134" spans="1:15" ht="18" customHeight="1" x14ac:dyDescent="0.45">
      <c r="A134" s="5"/>
      <c r="B134" s="6" t="str">
        <f>IFERROR(VLOOKUP(A134,KRX종목마스터!$A:$B,2,FALSE),"")</f>
        <v/>
      </c>
      <c r="C134" s="4"/>
      <c r="D134" s="7"/>
      <c r="E134" s="3"/>
      <c r="F134" s="7"/>
      <c r="G134" s="7"/>
      <c r="H134" s="8" t="str">
        <f t="shared" si="8"/>
        <v/>
      </c>
      <c r="I134" s="10" t="str">
        <f t="shared" si="9"/>
        <v/>
      </c>
      <c r="J134" s="14" t="str">
        <f t="shared" si="10"/>
        <v/>
      </c>
      <c r="K134" s="4"/>
      <c r="L134" s="8" t="str">
        <f>IFERROR(VLOOKUP(A134,KRX종목마스터!$A:$C,3,FALSE),"")</f>
        <v/>
      </c>
      <c r="M134" s="18" t="str">
        <f t="shared" si="11"/>
        <v/>
      </c>
      <c r="N134" s="4"/>
      <c r="O134" s="9"/>
    </row>
    <row r="135" spans="1:15" ht="18" customHeight="1" x14ac:dyDescent="0.45">
      <c r="A135" s="5"/>
      <c r="B135" s="6" t="str">
        <f>IFERROR(VLOOKUP(A135,KRX종목마스터!$A:$B,2,FALSE),"")</f>
        <v/>
      </c>
      <c r="C135" s="4"/>
      <c r="D135" s="7"/>
      <c r="E135" s="3"/>
      <c r="F135" s="7"/>
      <c r="G135" s="7"/>
      <c r="H135" s="8" t="str">
        <f t="shared" si="8"/>
        <v/>
      </c>
      <c r="I135" s="10" t="str">
        <f t="shared" si="9"/>
        <v/>
      </c>
      <c r="J135" s="14" t="str">
        <f t="shared" si="10"/>
        <v/>
      </c>
      <c r="K135" s="4"/>
      <c r="L135" s="8" t="str">
        <f>IFERROR(VLOOKUP(A135,KRX종목마스터!$A:$C,3,FALSE),"")</f>
        <v/>
      </c>
      <c r="M135" s="18" t="str">
        <f t="shared" si="11"/>
        <v/>
      </c>
      <c r="N135" s="4"/>
      <c r="O135" s="9"/>
    </row>
    <row r="136" spans="1:15" ht="18" customHeight="1" x14ac:dyDescent="0.45">
      <c r="A136" s="5"/>
      <c r="B136" s="6" t="str">
        <f>IFERROR(VLOOKUP(A136,KRX종목마스터!$A:$B,2,FALSE),"")</f>
        <v/>
      </c>
      <c r="C136" s="4"/>
      <c r="D136" s="7"/>
      <c r="E136" s="3"/>
      <c r="F136" s="7"/>
      <c r="G136" s="7"/>
      <c r="H136" s="8" t="str">
        <f t="shared" si="8"/>
        <v/>
      </c>
      <c r="I136" s="10" t="str">
        <f t="shared" si="9"/>
        <v/>
      </c>
      <c r="J136" s="14" t="str">
        <f t="shared" si="10"/>
        <v/>
      </c>
      <c r="K136" s="4"/>
      <c r="L136" s="8" t="str">
        <f>IFERROR(VLOOKUP(A136,KRX종목마스터!$A:$C,3,FALSE),"")</f>
        <v/>
      </c>
      <c r="M136" s="18" t="str">
        <f t="shared" si="11"/>
        <v/>
      </c>
      <c r="N136" s="4"/>
      <c r="O136" s="9"/>
    </row>
    <row r="137" spans="1:15" ht="18" customHeight="1" x14ac:dyDescent="0.45">
      <c r="A137" s="5"/>
      <c r="B137" s="6" t="str">
        <f>IFERROR(VLOOKUP(A137,KRX종목마스터!$A:$B,2,FALSE),"")</f>
        <v/>
      </c>
      <c r="C137" s="4"/>
      <c r="D137" s="7"/>
      <c r="E137" s="3"/>
      <c r="F137" s="7"/>
      <c r="G137" s="7"/>
      <c r="H137" s="8" t="str">
        <f t="shared" si="8"/>
        <v/>
      </c>
      <c r="I137" s="10" t="str">
        <f t="shared" si="9"/>
        <v/>
      </c>
      <c r="J137" s="14" t="str">
        <f t="shared" si="10"/>
        <v/>
      </c>
      <c r="K137" s="4"/>
      <c r="L137" s="8" t="str">
        <f>IFERROR(VLOOKUP(A137,KRX종목마스터!$A:$C,3,FALSE),"")</f>
        <v/>
      </c>
      <c r="M137" s="18" t="str">
        <f t="shared" si="11"/>
        <v/>
      </c>
      <c r="N137" s="4"/>
      <c r="O137" s="9"/>
    </row>
    <row r="138" spans="1:15" ht="18" customHeight="1" x14ac:dyDescent="0.45">
      <c r="A138" s="5"/>
      <c r="B138" s="6" t="str">
        <f>IFERROR(VLOOKUP(A138,KRX종목마스터!$A:$B,2,FALSE),"")</f>
        <v/>
      </c>
      <c r="C138" s="4"/>
      <c r="D138" s="7"/>
      <c r="E138" s="3"/>
      <c r="F138" s="7"/>
      <c r="G138" s="7"/>
      <c r="H138" s="8" t="str">
        <f t="shared" si="8"/>
        <v/>
      </c>
      <c r="I138" s="10" t="str">
        <f t="shared" si="9"/>
        <v/>
      </c>
      <c r="J138" s="14" t="str">
        <f t="shared" si="10"/>
        <v/>
      </c>
      <c r="K138" s="4"/>
      <c r="L138" s="8" t="str">
        <f>IFERROR(VLOOKUP(A138,KRX종목마스터!$A:$C,3,FALSE),"")</f>
        <v/>
      </c>
      <c r="M138" s="18" t="str">
        <f t="shared" si="11"/>
        <v/>
      </c>
      <c r="N138" s="4"/>
      <c r="O138" s="9"/>
    </row>
    <row r="139" spans="1:15" ht="18" customHeight="1" x14ac:dyDescent="0.45">
      <c r="A139" s="5"/>
      <c r="B139" s="6" t="str">
        <f>IFERROR(VLOOKUP(A139,KRX종목마스터!$A:$B,2,FALSE),"")</f>
        <v/>
      </c>
      <c r="C139" s="4"/>
      <c r="D139" s="7"/>
      <c r="E139" s="3"/>
      <c r="F139" s="7"/>
      <c r="G139" s="7"/>
      <c r="H139" s="8" t="str">
        <f t="shared" si="8"/>
        <v/>
      </c>
      <c r="I139" s="10" t="str">
        <f t="shared" si="9"/>
        <v/>
      </c>
      <c r="J139" s="14" t="str">
        <f t="shared" si="10"/>
        <v/>
      </c>
      <c r="K139" s="4"/>
      <c r="L139" s="8" t="str">
        <f>IFERROR(VLOOKUP(A139,KRX종목마스터!$A:$C,3,FALSE),"")</f>
        <v/>
      </c>
      <c r="M139" s="18" t="str">
        <f t="shared" si="11"/>
        <v/>
      </c>
      <c r="N139" s="4"/>
      <c r="O139" s="9"/>
    </row>
    <row r="140" spans="1:15" ht="18" customHeight="1" x14ac:dyDescent="0.45">
      <c r="A140" s="5"/>
      <c r="B140" s="6" t="str">
        <f>IFERROR(VLOOKUP(A140,KRX종목마스터!$A:$B,2,FALSE),"")</f>
        <v/>
      </c>
      <c r="C140" s="4"/>
      <c r="D140" s="7"/>
      <c r="E140" s="3"/>
      <c r="F140" s="7"/>
      <c r="G140" s="7"/>
      <c r="H140" s="8" t="str">
        <f t="shared" si="8"/>
        <v/>
      </c>
      <c r="I140" s="10" t="str">
        <f t="shared" si="9"/>
        <v/>
      </c>
      <c r="J140" s="14" t="str">
        <f t="shared" si="10"/>
        <v/>
      </c>
      <c r="K140" s="4"/>
      <c r="L140" s="8" t="str">
        <f>IFERROR(VLOOKUP(A140,KRX종목마스터!$A:$C,3,FALSE),"")</f>
        <v/>
      </c>
      <c r="M140" s="18" t="str">
        <f t="shared" si="11"/>
        <v/>
      </c>
      <c r="N140" s="4"/>
      <c r="O140" s="9"/>
    </row>
    <row r="141" spans="1:15" ht="18" customHeight="1" x14ac:dyDescent="0.45">
      <c r="A141" s="5"/>
      <c r="B141" s="6" t="str">
        <f>IFERROR(VLOOKUP(A141,KRX종목마스터!$A:$B,2,FALSE),"")</f>
        <v/>
      </c>
      <c r="C141" s="4"/>
      <c r="D141" s="7"/>
      <c r="E141" s="3"/>
      <c r="F141" s="7"/>
      <c r="G141" s="7"/>
      <c r="H141" s="8" t="str">
        <f t="shared" si="8"/>
        <v/>
      </c>
      <c r="I141" s="10" t="str">
        <f t="shared" si="9"/>
        <v/>
      </c>
      <c r="J141" s="14" t="str">
        <f t="shared" si="10"/>
        <v/>
      </c>
      <c r="K141" s="4"/>
      <c r="L141" s="8" t="str">
        <f>IFERROR(VLOOKUP(A141,KRX종목마스터!$A:$C,3,FALSE),"")</f>
        <v/>
      </c>
      <c r="M141" s="18" t="str">
        <f t="shared" si="11"/>
        <v/>
      </c>
      <c r="N141" s="4"/>
      <c r="O141" s="9"/>
    </row>
    <row r="142" spans="1:15" ht="18" customHeight="1" x14ac:dyDescent="0.45">
      <c r="A142" s="5"/>
      <c r="B142" s="6" t="str">
        <f>IFERROR(VLOOKUP(A142,KRX종목마스터!$A:$B,2,FALSE),"")</f>
        <v/>
      </c>
      <c r="C142" s="4"/>
      <c r="D142" s="7"/>
      <c r="E142" s="3"/>
      <c r="F142" s="7"/>
      <c r="G142" s="7"/>
      <c r="H142" s="8" t="str">
        <f t="shared" si="8"/>
        <v/>
      </c>
      <c r="I142" s="10" t="str">
        <f t="shared" si="9"/>
        <v/>
      </c>
      <c r="J142" s="14" t="str">
        <f t="shared" si="10"/>
        <v/>
      </c>
      <c r="K142" s="4"/>
      <c r="L142" s="8" t="str">
        <f>IFERROR(VLOOKUP(A142,KRX종목마스터!$A:$C,3,FALSE),"")</f>
        <v/>
      </c>
      <c r="M142" s="18" t="str">
        <f t="shared" si="11"/>
        <v/>
      </c>
      <c r="N142" s="4"/>
      <c r="O142" s="9"/>
    </row>
    <row r="143" spans="1:15" ht="18" customHeight="1" x14ac:dyDescent="0.45">
      <c r="A143" s="5"/>
      <c r="B143" s="6" t="str">
        <f>IFERROR(VLOOKUP(A143,KRX종목마스터!$A:$B,2,FALSE),"")</f>
        <v/>
      </c>
      <c r="C143" s="4"/>
      <c r="D143" s="7"/>
      <c r="E143" s="3"/>
      <c r="F143" s="7"/>
      <c r="G143" s="7"/>
      <c r="H143" s="8" t="str">
        <f t="shared" si="8"/>
        <v/>
      </c>
      <c r="I143" s="10" t="str">
        <f t="shared" si="9"/>
        <v/>
      </c>
      <c r="J143" s="14" t="str">
        <f t="shared" si="10"/>
        <v/>
      </c>
      <c r="K143" s="4"/>
      <c r="L143" s="8" t="str">
        <f>IFERROR(VLOOKUP(A143,KRX종목마스터!$A:$C,3,FALSE),"")</f>
        <v/>
      </c>
      <c r="M143" s="18" t="str">
        <f t="shared" si="11"/>
        <v/>
      </c>
      <c r="N143" s="4"/>
      <c r="O143" s="9"/>
    </row>
    <row r="144" spans="1:15" ht="18" customHeight="1" x14ac:dyDescent="0.45">
      <c r="A144" s="5"/>
      <c r="B144" s="6" t="str">
        <f>IFERROR(VLOOKUP(A144,KRX종목마스터!$A:$B,2,FALSE),"")</f>
        <v/>
      </c>
      <c r="C144" s="4"/>
      <c r="D144" s="7"/>
      <c r="E144" s="3"/>
      <c r="F144" s="7"/>
      <c r="G144" s="7"/>
      <c r="H144" s="8" t="str">
        <f t="shared" si="8"/>
        <v/>
      </c>
      <c r="I144" s="10" t="str">
        <f t="shared" si="9"/>
        <v/>
      </c>
      <c r="J144" s="14" t="str">
        <f t="shared" si="10"/>
        <v/>
      </c>
      <c r="K144" s="4"/>
      <c r="L144" s="8" t="str">
        <f>IFERROR(VLOOKUP(A144,KRX종목마스터!$A:$C,3,FALSE),"")</f>
        <v/>
      </c>
      <c r="M144" s="18" t="str">
        <f t="shared" si="11"/>
        <v/>
      </c>
      <c r="N144" s="4"/>
      <c r="O144" s="9"/>
    </row>
    <row r="145" spans="1:15" ht="18" customHeight="1" x14ac:dyDescent="0.45">
      <c r="A145" s="5"/>
      <c r="B145" s="6" t="str">
        <f>IFERROR(VLOOKUP(A145,KRX종목마스터!$A:$B,2,FALSE),"")</f>
        <v/>
      </c>
      <c r="C145" s="4"/>
      <c r="D145" s="7"/>
      <c r="E145" s="3"/>
      <c r="F145" s="7"/>
      <c r="G145" s="7"/>
      <c r="H145" s="8" t="str">
        <f t="shared" si="8"/>
        <v/>
      </c>
      <c r="I145" s="10" t="str">
        <f t="shared" si="9"/>
        <v/>
      </c>
      <c r="J145" s="14" t="str">
        <f t="shared" si="10"/>
        <v/>
      </c>
      <c r="K145" s="4"/>
      <c r="L145" s="8" t="str">
        <f>IFERROR(VLOOKUP(A145,KRX종목마스터!$A:$C,3,FALSE),"")</f>
        <v/>
      </c>
      <c r="M145" s="18" t="str">
        <f t="shared" si="11"/>
        <v/>
      </c>
      <c r="N145" s="4"/>
      <c r="O145" s="9"/>
    </row>
    <row r="146" spans="1:15" ht="18" customHeight="1" x14ac:dyDescent="0.45">
      <c r="A146" s="5"/>
      <c r="B146" s="6" t="str">
        <f>IFERROR(VLOOKUP(A146,KRX종목마스터!$A:$B,2,FALSE),"")</f>
        <v/>
      </c>
      <c r="C146" s="4"/>
      <c r="D146" s="7"/>
      <c r="E146" s="3"/>
      <c r="F146" s="7"/>
      <c r="G146" s="7"/>
      <c r="H146" s="8" t="str">
        <f t="shared" si="8"/>
        <v/>
      </c>
      <c r="I146" s="10" t="str">
        <f t="shared" si="9"/>
        <v/>
      </c>
      <c r="J146" s="14" t="str">
        <f t="shared" si="10"/>
        <v/>
      </c>
      <c r="K146" s="4"/>
      <c r="L146" s="8" t="str">
        <f>IFERROR(VLOOKUP(A146,KRX종목마스터!$A:$C,3,FALSE),"")</f>
        <v/>
      </c>
      <c r="M146" s="18" t="str">
        <f t="shared" si="11"/>
        <v/>
      </c>
      <c r="N146" s="4"/>
      <c r="O146" s="9"/>
    </row>
    <row r="147" spans="1:15" ht="18" customHeight="1" x14ac:dyDescent="0.45">
      <c r="A147" s="5"/>
      <c r="B147" s="6" t="str">
        <f>IFERROR(VLOOKUP(A147,KRX종목마스터!$A:$B,2,FALSE),"")</f>
        <v/>
      </c>
      <c r="C147" s="4"/>
      <c r="D147" s="7"/>
      <c r="E147" s="3"/>
      <c r="F147" s="7"/>
      <c r="G147" s="7"/>
      <c r="H147" s="8" t="str">
        <f t="shared" si="8"/>
        <v/>
      </c>
      <c r="I147" s="10" t="str">
        <f t="shared" si="9"/>
        <v/>
      </c>
      <c r="J147" s="14" t="str">
        <f t="shared" si="10"/>
        <v/>
      </c>
      <c r="K147" s="4"/>
      <c r="L147" s="8" t="str">
        <f>IFERROR(VLOOKUP(A147,KRX종목마스터!$A:$C,3,FALSE),"")</f>
        <v/>
      </c>
      <c r="M147" s="18" t="str">
        <f t="shared" si="11"/>
        <v/>
      </c>
      <c r="N147" s="4"/>
      <c r="O147" s="9"/>
    </row>
    <row r="148" spans="1:15" ht="18" customHeight="1" x14ac:dyDescent="0.45">
      <c r="A148" s="5"/>
      <c r="B148" s="6" t="str">
        <f>IFERROR(VLOOKUP(A148,KRX종목마스터!$A:$B,2,FALSE),"")</f>
        <v/>
      </c>
      <c r="C148" s="4"/>
      <c r="D148" s="7"/>
      <c r="E148" s="3"/>
      <c r="F148" s="7"/>
      <c r="G148" s="7"/>
      <c r="H148" s="8" t="str">
        <f t="shared" si="8"/>
        <v/>
      </c>
      <c r="I148" s="10" t="str">
        <f t="shared" si="9"/>
        <v/>
      </c>
      <c r="J148" s="14" t="str">
        <f t="shared" si="10"/>
        <v/>
      </c>
      <c r="K148" s="4"/>
      <c r="L148" s="8" t="str">
        <f>IFERROR(VLOOKUP(A148,KRX종목마스터!$A:$C,3,FALSE),"")</f>
        <v/>
      </c>
      <c r="M148" s="18" t="str">
        <f t="shared" si="11"/>
        <v/>
      </c>
      <c r="N148" s="4"/>
      <c r="O148" s="9"/>
    </row>
    <row r="149" spans="1:15" ht="18" customHeight="1" x14ac:dyDescent="0.45">
      <c r="A149" s="5"/>
      <c r="B149" s="6" t="str">
        <f>IFERROR(VLOOKUP(A149,KRX종목마스터!$A:$B,2,FALSE),"")</f>
        <v/>
      </c>
      <c r="C149" s="4"/>
      <c r="D149" s="7"/>
      <c r="E149" s="3"/>
      <c r="F149" s="7"/>
      <c r="G149" s="7"/>
      <c r="H149" s="8" t="str">
        <f t="shared" si="8"/>
        <v/>
      </c>
      <c r="I149" s="10" t="str">
        <f t="shared" si="9"/>
        <v/>
      </c>
      <c r="J149" s="14" t="str">
        <f t="shared" si="10"/>
        <v/>
      </c>
      <c r="K149" s="4"/>
      <c r="L149" s="8" t="str">
        <f>IFERROR(VLOOKUP(A149,KRX종목마스터!$A:$C,3,FALSE),"")</f>
        <v/>
      </c>
      <c r="M149" s="18" t="str">
        <f t="shared" si="11"/>
        <v/>
      </c>
      <c r="N149" s="4"/>
      <c r="O149" s="9"/>
    </row>
    <row r="150" spans="1:15" ht="18" customHeight="1" x14ac:dyDescent="0.45">
      <c r="A150" s="5"/>
      <c r="B150" s="6" t="str">
        <f>IFERROR(VLOOKUP(A150,KRX종목마스터!$A:$B,2,FALSE),"")</f>
        <v/>
      </c>
      <c r="C150" s="4"/>
      <c r="D150" s="7"/>
      <c r="E150" s="3"/>
      <c r="F150" s="7"/>
      <c r="G150" s="7"/>
      <c r="H150" s="8" t="str">
        <f t="shared" si="8"/>
        <v/>
      </c>
      <c r="I150" s="10" t="str">
        <f t="shared" si="9"/>
        <v/>
      </c>
      <c r="J150" s="14" t="str">
        <f t="shared" si="10"/>
        <v/>
      </c>
      <c r="K150" s="4"/>
      <c r="L150" s="8" t="str">
        <f>IFERROR(VLOOKUP(A150,KRX종목마스터!$A:$C,3,FALSE),"")</f>
        <v/>
      </c>
      <c r="M150" s="18" t="str">
        <f t="shared" si="11"/>
        <v/>
      </c>
      <c r="N150" s="4"/>
      <c r="O150" s="9"/>
    </row>
    <row r="151" spans="1:15" ht="18" customHeight="1" x14ac:dyDescent="0.45">
      <c r="A151" s="5"/>
      <c r="B151" s="6" t="str">
        <f>IFERROR(VLOOKUP(A151,KRX종목마스터!$A:$B,2,FALSE),"")</f>
        <v/>
      </c>
      <c r="C151" s="4"/>
      <c r="D151" s="7"/>
      <c r="E151" s="3"/>
      <c r="F151" s="7"/>
      <c r="G151" s="7"/>
      <c r="H151" s="8" t="str">
        <f t="shared" si="8"/>
        <v/>
      </c>
      <c r="I151" s="10" t="str">
        <f t="shared" si="9"/>
        <v/>
      </c>
      <c r="J151" s="14" t="str">
        <f t="shared" si="10"/>
        <v/>
      </c>
      <c r="K151" s="4"/>
      <c r="L151" s="8" t="str">
        <f>IFERROR(VLOOKUP(A151,KRX종목마스터!$A:$C,3,FALSE),"")</f>
        <v/>
      </c>
      <c r="M151" s="18" t="str">
        <f t="shared" si="11"/>
        <v/>
      </c>
      <c r="N151" s="4"/>
      <c r="O151" s="9"/>
    </row>
    <row r="152" spans="1:15" ht="18" customHeight="1" x14ac:dyDescent="0.45">
      <c r="A152" s="5"/>
      <c r="B152" s="6" t="str">
        <f>IFERROR(VLOOKUP(A152,KRX종목마스터!$A:$B,2,FALSE),"")</f>
        <v/>
      </c>
      <c r="C152" s="4"/>
      <c r="D152" s="7"/>
      <c r="E152" s="3"/>
      <c r="F152" s="7"/>
      <c r="G152" s="7"/>
      <c r="H152" s="8" t="str">
        <f t="shared" si="8"/>
        <v/>
      </c>
      <c r="I152" s="10" t="str">
        <f t="shared" si="9"/>
        <v/>
      </c>
      <c r="J152" s="14" t="str">
        <f t="shared" si="10"/>
        <v/>
      </c>
      <c r="K152" s="4"/>
      <c r="L152" s="8" t="str">
        <f>IFERROR(VLOOKUP(A152,KRX종목마스터!$A:$C,3,FALSE),"")</f>
        <v/>
      </c>
      <c r="M152" s="18" t="str">
        <f t="shared" si="11"/>
        <v/>
      </c>
      <c r="N152" s="4"/>
      <c r="O152" s="9"/>
    </row>
    <row r="153" spans="1:15" ht="18" customHeight="1" x14ac:dyDescent="0.45">
      <c r="A153" s="5"/>
      <c r="B153" s="6" t="str">
        <f>IFERROR(VLOOKUP(A153,KRX종목마스터!$A:$B,2,FALSE),"")</f>
        <v/>
      </c>
      <c r="C153" s="4"/>
      <c r="D153" s="7"/>
      <c r="E153" s="3"/>
      <c r="F153" s="7"/>
      <c r="G153" s="7"/>
      <c r="H153" s="8" t="str">
        <f t="shared" si="8"/>
        <v/>
      </c>
      <c r="I153" s="10" t="str">
        <f t="shared" si="9"/>
        <v/>
      </c>
      <c r="J153" s="14" t="str">
        <f t="shared" si="10"/>
        <v/>
      </c>
      <c r="K153" s="4"/>
      <c r="L153" s="8" t="str">
        <f>IFERROR(VLOOKUP(A153,KRX종목마스터!$A:$C,3,FALSE),"")</f>
        <v/>
      </c>
      <c r="M153" s="18" t="str">
        <f t="shared" si="11"/>
        <v/>
      </c>
      <c r="N153" s="4"/>
      <c r="O153" s="9"/>
    </row>
    <row r="154" spans="1:15" ht="18" customHeight="1" x14ac:dyDescent="0.45">
      <c r="A154" s="5"/>
      <c r="B154" s="6" t="str">
        <f>IFERROR(VLOOKUP(A154,KRX종목마스터!$A:$B,2,FALSE),"")</f>
        <v/>
      </c>
      <c r="C154" s="4"/>
      <c r="D154" s="7"/>
      <c r="E154" s="3"/>
      <c r="F154" s="7"/>
      <c r="G154" s="7"/>
      <c r="H154" s="8" t="str">
        <f t="shared" si="8"/>
        <v/>
      </c>
      <c r="I154" s="10" t="str">
        <f t="shared" si="9"/>
        <v/>
      </c>
      <c r="J154" s="14" t="str">
        <f t="shared" si="10"/>
        <v/>
      </c>
      <c r="K154" s="4"/>
      <c r="L154" s="8" t="str">
        <f>IFERROR(VLOOKUP(A154,KRX종목마스터!$A:$C,3,FALSE),"")</f>
        <v/>
      </c>
      <c r="M154" s="18" t="str">
        <f t="shared" si="11"/>
        <v/>
      </c>
      <c r="N154" s="4"/>
      <c r="O154" s="9"/>
    </row>
    <row r="155" spans="1:15" ht="18" customHeight="1" x14ac:dyDescent="0.45">
      <c r="A155" s="5"/>
      <c r="B155" s="6" t="str">
        <f>IFERROR(VLOOKUP(A155,KRX종목마스터!$A:$B,2,FALSE),"")</f>
        <v/>
      </c>
      <c r="C155" s="4"/>
      <c r="D155" s="7"/>
      <c r="E155" s="3"/>
      <c r="F155" s="7"/>
      <c r="G155" s="7"/>
      <c r="H155" s="8" t="str">
        <f t="shared" si="8"/>
        <v/>
      </c>
      <c r="I155" s="10" t="str">
        <f t="shared" si="9"/>
        <v/>
      </c>
      <c r="J155" s="14" t="str">
        <f t="shared" si="10"/>
        <v/>
      </c>
      <c r="K155" s="4"/>
      <c r="L155" s="8" t="str">
        <f>IFERROR(VLOOKUP(A155,KRX종목마스터!$A:$C,3,FALSE),"")</f>
        <v/>
      </c>
      <c r="M155" s="18" t="str">
        <f t="shared" si="11"/>
        <v/>
      </c>
      <c r="N155" s="4"/>
      <c r="O155" s="9"/>
    </row>
    <row r="156" spans="1:15" ht="18" customHeight="1" x14ac:dyDescent="0.45">
      <c r="A156" s="5"/>
      <c r="B156" s="6" t="str">
        <f>IFERROR(VLOOKUP(A156,KRX종목마스터!$A:$B,2,FALSE),"")</f>
        <v/>
      </c>
      <c r="C156" s="4"/>
      <c r="D156" s="7"/>
      <c r="E156" s="3"/>
      <c r="F156" s="7"/>
      <c r="G156" s="7"/>
      <c r="H156" s="8" t="str">
        <f t="shared" si="8"/>
        <v/>
      </c>
      <c r="I156" s="10" t="str">
        <f t="shared" si="9"/>
        <v/>
      </c>
      <c r="J156" s="14" t="str">
        <f t="shared" si="10"/>
        <v/>
      </c>
      <c r="K156" s="4"/>
      <c r="L156" s="8" t="str">
        <f>IFERROR(VLOOKUP(A156,KRX종목마스터!$A:$C,3,FALSE),"")</f>
        <v/>
      </c>
      <c r="M156" s="18" t="str">
        <f t="shared" si="11"/>
        <v/>
      </c>
      <c r="N156" s="4"/>
      <c r="O156" s="9"/>
    </row>
    <row r="157" spans="1:15" ht="18" customHeight="1" x14ac:dyDescent="0.45">
      <c r="A157" s="5"/>
      <c r="B157" s="6" t="str">
        <f>IFERROR(VLOOKUP(A157,KRX종목마스터!$A:$B,2,FALSE),"")</f>
        <v/>
      </c>
      <c r="C157" s="4"/>
      <c r="D157" s="7"/>
      <c r="E157" s="3"/>
      <c r="F157" s="7"/>
      <c r="G157" s="7"/>
      <c r="H157" s="8" t="str">
        <f t="shared" si="8"/>
        <v/>
      </c>
      <c r="I157" s="10" t="str">
        <f t="shared" si="9"/>
        <v/>
      </c>
      <c r="J157" s="14" t="str">
        <f t="shared" si="10"/>
        <v/>
      </c>
      <c r="K157" s="4"/>
      <c r="L157" s="8" t="str">
        <f>IFERROR(VLOOKUP(A157,KRX종목마스터!$A:$C,3,FALSE),"")</f>
        <v/>
      </c>
      <c r="M157" s="18" t="str">
        <f t="shared" si="11"/>
        <v/>
      </c>
      <c r="N157" s="4"/>
      <c r="O157" s="9"/>
    </row>
    <row r="158" spans="1:15" ht="18" customHeight="1" x14ac:dyDescent="0.45">
      <c r="A158" s="5"/>
      <c r="B158" s="6" t="str">
        <f>IFERROR(VLOOKUP(A158,KRX종목마스터!$A:$B,2,FALSE),"")</f>
        <v/>
      </c>
      <c r="C158" s="4"/>
      <c r="D158" s="7"/>
      <c r="E158" s="3"/>
      <c r="F158" s="7"/>
      <c r="G158" s="7"/>
      <c r="H158" s="8" t="str">
        <f t="shared" si="8"/>
        <v/>
      </c>
      <c r="I158" s="10" t="str">
        <f t="shared" si="9"/>
        <v/>
      </c>
      <c r="J158" s="14" t="str">
        <f t="shared" si="10"/>
        <v/>
      </c>
      <c r="K158" s="4"/>
      <c r="L158" s="8" t="str">
        <f>IFERROR(VLOOKUP(A158,KRX종목마스터!$A:$C,3,FALSE),"")</f>
        <v/>
      </c>
      <c r="M158" s="18" t="str">
        <f t="shared" si="11"/>
        <v/>
      </c>
      <c r="N158" s="4"/>
      <c r="O158" s="9"/>
    </row>
    <row r="159" spans="1:15" ht="18" customHeight="1" x14ac:dyDescent="0.45">
      <c r="A159" s="5"/>
      <c r="B159" s="6" t="str">
        <f>IFERROR(VLOOKUP(A159,KRX종목마스터!$A:$B,2,FALSE),"")</f>
        <v/>
      </c>
      <c r="C159" s="4"/>
      <c r="D159" s="7"/>
      <c r="E159" s="3"/>
      <c r="F159" s="7"/>
      <c r="G159" s="7"/>
      <c r="H159" s="8" t="str">
        <f t="shared" si="8"/>
        <v/>
      </c>
      <c r="I159" s="10" t="str">
        <f t="shared" si="9"/>
        <v/>
      </c>
      <c r="J159" s="14" t="str">
        <f t="shared" si="10"/>
        <v/>
      </c>
      <c r="K159" s="4"/>
      <c r="L159" s="8" t="str">
        <f>IFERROR(VLOOKUP(A159,KRX종목마스터!$A:$C,3,FALSE),"")</f>
        <v/>
      </c>
      <c r="M159" s="18" t="str">
        <f t="shared" si="11"/>
        <v/>
      </c>
      <c r="N159" s="4"/>
      <c r="O159" s="9"/>
    </row>
    <row r="160" spans="1:15" ht="18" customHeight="1" x14ac:dyDescent="0.45">
      <c r="A160" s="5"/>
      <c r="B160" s="6" t="str">
        <f>IFERROR(VLOOKUP(A160,KRX종목마스터!$A:$B,2,FALSE),"")</f>
        <v/>
      </c>
      <c r="C160" s="4"/>
      <c r="D160" s="7"/>
      <c r="E160" s="3"/>
      <c r="F160" s="7"/>
      <c r="G160" s="7"/>
      <c r="H160" s="8" t="str">
        <f t="shared" si="8"/>
        <v/>
      </c>
      <c r="I160" s="10" t="str">
        <f t="shared" si="9"/>
        <v/>
      </c>
      <c r="J160" s="14" t="str">
        <f t="shared" si="10"/>
        <v/>
      </c>
      <c r="K160" s="4"/>
      <c r="L160" s="8" t="str">
        <f>IFERROR(VLOOKUP(A160,KRX종목마스터!$A:$C,3,FALSE),"")</f>
        <v/>
      </c>
      <c r="M160" s="18" t="str">
        <f t="shared" si="11"/>
        <v/>
      </c>
      <c r="N160" s="4"/>
      <c r="O160" s="9"/>
    </row>
    <row r="161" spans="1:15" ht="18" customHeight="1" x14ac:dyDescent="0.45">
      <c r="A161" s="5"/>
      <c r="B161" s="6" t="str">
        <f>IFERROR(VLOOKUP(A161,KRX종목마스터!$A:$B,2,FALSE),"")</f>
        <v/>
      </c>
      <c r="C161" s="4"/>
      <c r="D161" s="7"/>
      <c r="E161" s="3"/>
      <c r="F161" s="7"/>
      <c r="G161" s="7"/>
      <c r="H161" s="8" t="str">
        <f t="shared" si="8"/>
        <v/>
      </c>
      <c r="I161" s="10" t="str">
        <f t="shared" si="9"/>
        <v/>
      </c>
      <c r="J161" s="14" t="str">
        <f t="shared" si="10"/>
        <v/>
      </c>
      <c r="K161" s="4"/>
      <c r="L161" s="8" t="str">
        <f>IFERROR(VLOOKUP(A161,KRX종목마스터!$A:$C,3,FALSE),"")</f>
        <v/>
      </c>
      <c r="M161" s="18" t="str">
        <f t="shared" si="11"/>
        <v/>
      </c>
      <c r="N161" s="4"/>
      <c r="O161" s="9"/>
    </row>
    <row r="162" spans="1:15" ht="18" customHeight="1" x14ac:dyDescent="0.45">
      <c r="A162" s="5"/>
      <c r="B162" s="6" t="str">
        <f>IFERROR(VLOOKUP(A162,KRX종목마스터!$A:$B,2,FALSE),"")</f>
        <v/>
      </c>
      <c r="C162" s="4"/>
      <c r="D162" s="7"/>
      <c r="E162" s="3"/>
      <c r="F162" s="7"/>
      <c r="G162" s="7"/>
      <c r="H162" s="8" t="str">
        <f t="shared" si="8"/>
        <v/>
      </c>
      <c r="I162" s="10" t="str">
        <f t="shared" si="9"/>
        <v/>
      </c>
      <c r="J162" s="14" t="str">
        <f t="shared" si="10"/>
        <v/>
      </c>
      <c r="K162" s="4"/>
      <c r="L162" s="8" t="str">
        <f>IFERROR(VLOOKUP(A162,KRX종목마스터!$A:$C,3,FALSE),"")</f>
        <v/>
      </c>
      <c r="M162" s="18" t="str">
        <f t="shared" si="11"/>
        <v/>
      </c>
      <c r="N162" s="4"/>
      <c r="O162" s="9"/>
    </row>
    <row r="163" spans="1:15" ht="18" customHeight="1" x14ac:dyDescent="0.45">
      <c r="A163" s="5"/>
      <c r="B163" s="6" t="str">
        <f>IFERROR(VLOOKUP(A163,KRX종목마스터!$A:$B,2,FALSE),"")</f>
        <v/>
      </c>
      <c r="C163" s="4"/>
      <c r="D163" s="7"/>
      <c r="E163" s="3"/>
      <c r="F163" s="7"/>
      <c r="G163" s="7"/>
      <c r="H163" s="8" t="str">
        <f t="shared" si="8"/>
        <v/>
      </c>
      <c r="I163" s="10" t="str">
        <f t="shared" si="9"/>
        <v/>
      </c>
      <c r="J163" s="14" t="str">
        <f t="shared" si="10"/>
        <v/>
      </c>
      <c r="K163" s="4"/>
      <c r="L163" s="8" t="str">
        <f>IFERROR(VLOOKUP(A163,KRX종목마스터!$A:$C,3,FALSE),"")</f>
        <v/>
      </c>
      <c r="M163" s="18" t="str">
        <f t="shared" si="11"/>
        <v/>
      </c>
      <c r="N163" s="4"/>
      <c r="O163" s="9"/>
    </row>
    <row r="164" spans="1:15" ht="18" customHeight="1" x14ac:dyDescent="0.45">
      <c r="A164" s="5"/>
      <c r="B164" s="6" t="str">
        <f>IFERROR(VLOOKUP(A164,KRX종목마스터!$A:$B,2,FALSE),"")</f>
        <v/>
      </c>
      <c r="C164" s="4"/>
      <c r="D164" s="7"/>
      <c r="E164" s="3"/>
      <c r="F164" s="7"/>
      <c r="G164" s="7"/>
      <c r="H164" s="8" t="str">
        <f t="shared" si="8"/>
        <v/>
      </c>
      <c r="I164" s="10" t="str">
        <f t="shared" si="9"/>
        <v/>
      </c>
      <c r="J164" s="14" t="str">
        <f t="shared" si="10"/>
        <v/>
      </c>
      <c r="K164" s="4"/>
      <c r="L164" s="8" t="str">
        <f>IFERROR(VLOOKUP(A164,KRX종목마스터!$A:$C,3,FALSE),"")</f>
        <v/>
      </c>
      <c r="M164" s="18" t="str">
        <f t="shared" si="11"/>
        <v/>
      </c>
      <c r="N164" s="4"/>
      <c r="O164" s="9"/>
    </row>
    <row r="165" spans="1:15" ht="18" customHeight="1" x14ac:dyDescent="0.45">
      <c r="A165" s="5"/>
      <c r="B165" s="6" t="str">
        <f>IFERROR(VLOOKUP(A165,KRX종목마스터!$A:$B,2,FALSE),"")</f>
        <v/>
      </c>
      <c r="C165" s="4"/>
      <c r="D165" s="7"/>
      <c r="E165" s="3"/>
      <c r="F165" s="7"/>
      <c r="G165" s="7"/>
      <c r="H165" s="8" t="str">
        <f t="shared" si="8"/>
        <v/>
      </c>
      <c r="I165" s="10" t="str">
        <f t="shared" si="9"/>
        <v/>
      </c>
      <c r="J165" s="14" t="str">
        <f t="shared" si="10"/>
        <v/>
      </c>
      <c r="K165" s="4"/>
      <c r="L165" s="8" t="str">
        <f>IFERROR(VLOOKUP(A165,KRX종목마스터!$A:$C,3,FALSE),"")</f>
        <v/>
      </c>
      <c r="M165" s="18" t="str">
        <f t="shared" si="11"/>
        <v/>
      </c>
      <c r="N165" s="4"/>
      <c r="O165" s="9"/>
    </row>
    <row r="166" spans="1:15" ht="18" customHeight="1" x14ac:dyDescent="0.45">
      <c r="A166" s="5"/>
      <c r="B166" s="6" t="str">
        <f>IFERROR(VLOOKUP(A166,KRX종목마스터!$A:$B,2,FALSE),"")</f>
        <v/>
      </c>
      <c r="C166" s="4"/>
      <c r="D166" s="7"/>
      <c r="E166" s="3"/>
      <c r="F166" s="7"/>
      <c r="G166" s="7"/>
      <c r="H166" s="8" t="str">
        <f t="shared" si="8"/>
        <v/>
      </c>
      <c r="I166" s="10" t="str">
        <f t="shared" si="9"/>
        <v/>
      </c>
      <c r="J166" s="14" t="str">
        <f t="shared" si="10"/>
        <v/>
      </c>
      <c r="K166" s="4"/>
      <c r="L166" s="8" t="str">
        <f>IFERROR(VLOOKUP(A166,KRX종목마스터!$A:$C,3,FALSE),"")</f>
        <v/>
      </c>
      <c r="M166" s="18" t="str">
        <f t="shared" si="11"/>
        <v/>
      </c>
      <c r="N166" s="4"/>
      <c r="O166" s="9"/>
    </row>
    <row r="167" spans="1:15" ht="18" customHeight="1" x14ac:dyDescent="0.45">
      <c r="A167" s="5"/>
      <c r="B167" s="6" t="str">
        <f>IFERROR(VLOOKUP(A167,KRX종목마스터!$A:$B,2,FALSE),"")</f>
        <v/>
      </c>
      <c r="C167" s="4"/>
      <c r="D167" s="7"/>
      <c r="E167" s="3"/>
      <c r="F167" s="7"/>
      <c r="G167" s="7"/>
      <c r="H167" s="8" t="str">
        <f t="shared" si="8"/>
        <v/>
      </c>
      <c r="I167" s="10" t="str">
        <f t="shared" si="9"/>
        <v/>
      </c>
      <c r="J167" s="14" t="str">
        <f t="shared" si="10"/>
        <v/>
      </c>
      <c r="K167" s="4"/>
      <c r="L167" s="8" t="str">
        <f>IFERROR(VLOOKUP(A167,KRX종목마스터!$A:$C,3,FALSE),"")</f>
        <v/>
      </c>
      <c r="M167" s="18" t="str">
        <f t="shared" si="11"/>
        <v/>
      </c>
      <c r="N167" s="4"/>
      <c r="O167" s="9"/>
    </row>
    <row r="168" spans="1:15" ht="18" customHeight="1" x14ac:dyDescent="0.45">
      <c r="A168" s="5"/>
      <c r="B168" s="6" t="str">
        <f>IFERROR(VLOOKUP(A168,KRX종목마스터!$A:$B,2,FALSE),"")</f>
        <v/>
      </c>
      <c r="C168" s="4"/>
      <c r="D168" s="7"/>
      <c r="E168" s="3"/>
      <c r="F168" s="7"/>
      <c r="G168" s="7"/>
      <c r="H168" s="8" t="str">
        <f t="shared" si="8"/>
        <v/>
      </c>
      <c r="I168" s="10" t="str">
        <f t="shared" si="9"/>
        <v/>
      </c>
      <c r="J168" s="14" t="str">
        <f t="shared" si="10"/>
        <v/>
      </c>
      <c r="K168" s="4"/>
      <c r="L168" s="8" t="str">
        <f>IFERROR(VLOOKUP(A168,KRX종목마스터!$A:$C,3,FALSE),"")</f>
        <v/>
      </c>
      <c r="M168" s="18" t="str">
        <f t="shared" si="11"/>
        <v/>
      </c>
      <c r="N168" s="4"/>
      <c r="O168" s="9"/>
    </row>
    <row r="169" spans="1:15" ht="18" customHeight="1" x14ac:dyDescent="0.45">
      <c r="A169" s="5"/>
      <c r="B169" s="6" t="str">
        <f>IFERROR(VLOOKUP(A169,KRX종목마스터!$A:$B,2,FALSE),"")</f>
        <v/>
      </c>
      <c r="C169" s="4"/>
      <c r="D169" s="7"/>
      <c r="E169" s="3"/>
      <c r="F169" s="7"/>
      <c r="G169" s="7"/>
      <c r="H169" s="8" t="str">
        <f t="shared" si="8"/>
        <v/>
      </c>
      <c r="I169" s="10" t="str">
        <f t="shared" si="9"/>
        <v/>
      </c>
      <c r="J169" s="14" t="str">
        <f t="shared" si="10"/>
        <v/>
      </c>
      <c r="K169" s="4"/>
      <c r="L169" s="8" t="str">
        <f>IFERROR(VLOOKUP(A169,KRX종목마스터!$A:$C,3,FALSE),"")</f>
        <v/>
      </c>
      <c r="M169" s="18" t="str">
        <f t="shared" si="11"/>
        <v/>
      </c>
      <c r="N169" s="4"/>
      <c r="O169" s="9"/>
    </row>
    <row r="170" spans="1:15" ht="18" customHeight="1" x14ac:dyDescent="0.45">
      <c r="A170" s="5"/>
      <c r="B170" s="6" t="str">
        <f>IFERROR(VLOOKUP(A170,KRX종목마스터!$A:$B,2,FALSE),"")</f>
        <v/>
      </c>
      <c r="C170" s="4"/>
      <c r="D170" s="7"/>
      <c r="E170" s="3"/>
      <c r="F170" s="7"/>
      <c r="G170" s="7"/>
      <c r="H170" s="8" t="str">
        <f t="shared" si="8"/>
        <v/>
      </c>
      <c r="I170" s="10" t="str">
        <f t="shared" si="9"/>
        <v/>
      </c>
      <c r="J170" s="14" t="str">
        <f t="shared" si="10"/>
        <v/>
      </c>
      <c r="K170" s="4"/>
      <c r="L170" s="8" t="str">
        <f>IFERROR(VLOOKUP(A170,KRX종목마스터!$A:$C,3,FALSE),"")</f>
        <v/>
      </c>
      <c r="M170" s="18" t="str">
        <f t="shared" si="11"/>
        <v/>
      </c>
      <c r="N170" s="4"/>
      <c r="O170" s="9"/>
    </row>
    <row r="171" spans="1:15" ht="18" customHeight="1" x14ac:dyDescent="0.45">
      <c r="A171" s="5"/>
      <c r="B171" s="6" t="str">
        <f>IFERROR(VLOOKUP(A171,KRX종목마스터!$A:$B,2,FALSE),"")</f>
        <v/>
      </c>
      <c r="C171" s="4"/>
      <c r="D171" s="7"/>
      <c r="E171" s="3"/>
      <c r="F171" s="7"/>
      <c r="G171" s="7"/>
      <c r="H171" s="8" t="str">
        <f t="shared" si="8"/>
        <v/>
      </c>
      <c r="I171" s="10" t="str">
        <f t="shared" si="9"/>
        <v/>
      </c>
      <c r="J171" s="14" t="str">
        <f t="shared" si="10"/>
        <v/>
      </c>
      <c r="K171" s="4"/>
      <c r="L171" s="8" t="str">
        <f>IFERROR(VLOOKUP(A171,KRX종목마스터!$A:$C,3,FALSE),"")</f>
        <v/>
      </c>
      <c r="M171" s="18" t="str">
        <f t="shared" si="11"/>
        <v/>
      </c>
      <c r="N171" s="4"/>
      <c r="O171" s="9"/>
    </row>
    <row r="172" spans="1:15" ht="18" customHeight="1" x14ac:dyDescent="0.45">
      <c r="A172" s="5"/>
      <c r="B172" s="6" t="str">
        <f>IFERROR(VLOOKUP(A172,KRX종목마스터!$A:$B,2,FALSE),"")</f>
        <v/>
      </c>
      <c r="C172" s="4"/>
      <c r="D172" s="7"/>
      <c r="E172" s="3"/>
      <c r="F172" s="7"/>
      <c r="G172" s="7"/>
      <c r="H172" s="8" t="str">
        <f t="shared" si="8"/>
        <v/>
      </c>
      <c r="I172" s="10" t="str">
        <f t="shared" si="9"/>
        <v/>
      </c>
      <c r="J172" s="14" t="str">
        <f t="shared" si="10"/>
        <v/>
      </c>
      <c r="K172" s="4"/>
      <c r="L172" s="8" t="str">
        <f>IFERROR(VLOOKUP(A172,KRX종목마스터!$A:$C,3,FALSE),"")</f>
        <v/>
      </c>
      <c r="M172" s="18" t="str">
        <f t="shared" si="11"/>
        <v/>
      </c>
      <c r="N172" s="4"/>
      <c r="O172" s="9"/>
    </row>
    <row r="173" spans="1:15" ht="18" customHeight="1" x14ac:dyDescent="0.45">
      <c r="A173" s="5"/>
      <c r="B173" s="6" t="str">
        <f>IFERROR(VLOOKUP(A173,KRX종목마스터!$A:$B,2,FALSE),"")</f>
        <v/>
      </c>
      <c r="C173" s="4"/>
      <c r="D173" s="7"/>
      <c r="E173" s="3"/>
      <c r="F173" s="7"/>
      <c r="G173" s="7"/>
      <c r="H173" s="8" t="str">
        <f t="shared" si="8"/>
        <v/>
      </c>
      <c r="I173" s="10" t="str">
        <f t="shared" si="9"/>
        <v/>
      </c>
      <c r="J173" s="14" t="str">
        <f t="shared" si="10"/>
        <v/>
      </c>
      <c r="K173" s="4"/>
      <c r="L173" s="8" t="str">
        <f>IFERROR(VLOOKUP(A173,KRX종목마스터!$A:$C,3,FALSE),"")</f>
        <v/>
      </c>
      <c r="M173" s="18" t="str">
        <f t="shared" si="11"/>
        <v/>
      </c>
      <c r="N173" s="4"/>
      <c r="O173" s="9"/>
    </row>
    <row r="174" spans="1:15" ht="18" customHeight="1" x14ac:dyDescent="0.45">
      <c r="A174" s="5"/>
      <c r="B174" s="6" t="str">
        <f>IFERROR(VLOOKUP(A174,KRX종목마스터!$A:$B,2,FALSE),"")</f>
        <v/>
      </c>
      <c r="C174" s="4"/>
      <c r="D174" s="7"/>
      <c r="E174" s="3"/>
      <c r="F174" s="7"/>
      <c r="G174" s="7"/>
      <c r="H174" s="8" t="str">
        <f t="shared" si="8"/>
        <v/>
      </c>
      <c r="I174" s="10" t="str">
        <f t="shared" si="9"/>
        <v/>
      </c>
      <c r="J174" s="14" t="str">
        <f t="shared" si="10"/>
        <v/>
      </c>
      <c r="K174" s="4"/>
      <c r="L174" s="8" t="str">
        <f>IFERROR(VLOOKUP(A174,KRX종목마스터!$A:$C,3,FALSE),"")</f>
        <v/>
      </c>
      <c r="M174" s="18" t="str">
        <f t="shared" si="11"/>
        <v/>
      </c>
      <c r="N174" s="4"/>
      <c r="O174" s="9"/>
    </row>
    <row r="175" spans="1:15" ht="18" customHeight="1" x14ac:dyDescent="0.45">
      <c r="A175" s="5"/>
      <c r="B175" s="6" t="str">
        <f>IFERROR(VLOOKUP(A175,KRX종목마스터!$A:$B,2,FALSE),"")</f>
        <v/>
      </c>
      <c r="C175" s="4"/>
      <c r="D175" s="7"/>
      <c r="E175" s="3"/>
      <c r="F175" s="7"/>
      <c r="G175" s="7"/>
      <c r="H175" s="8" t="str">
        <f t="shared" si="8"/>
        <v/>
      </c>
      <c r="I175" s="10" t="str">
        <f t="shared" si="9"/>
        <v/>
      </c>
      <c r="J175" s="14" t="str">
        <f t="shared" si="10"/>
        <v/>
      </c>
      <c r="K175" s="4"/>
      <c r="L175" s="8" t="str">
        <f>IFERROR(VLOOKUP(A175,KRX종목마스터!$A:$C,3,FALSE),"")</f>
        <v/>
      </c>
      <c r="M175" s="18" t="str">
        <f t="shared" si="11"/>
        <v/>
      </c>
      <c r="N175" s="4"/>
      <c r="O175" s="9"/>
    </row>
    <row r="176" spans="1:15" ht="18" customHeight="1" x14ac:dyDescent="0.45">
      <c r="A176" s="5"/>
      <c r="B176" s="6" t="str">
        <f>IFERROR(VLOOKUP(A176,KRX종목마스터!$A:$B,2,FALSE),"")</f>
        <v/>
      </c>
      <c r="C176" s="4"/>
      <c r="D176" s="7"/>
      <c r="E176" s="3"/>
      <c r="F176" s="7"/>
      <c r="G176" s="7"/>
      <c r="H176" s="8" t="str">
        <f t="shared" si="8"/>
        <v/>
      </c>
      <c r="I176" s="10" t="str">
        <f t="shared" si="9"/>
        <v/>
      </c>
      <c r="J176" s="14" t="str">
        <f t="shared" si="10"/>
        <v/>
      </c>
      <c r="K176" s="4"/>
      <c r="L176" s="8" t="str">
        <f>IFERROR(VLOOKUP(A176,KRX종목마스터!$A:$C,3,FALSE),"")</f>
        <v/>
      </c>
      <c r="M176" s="18" t="str">
        <f t="shared" si="11"/>
        <v/>
      </c>
      <c r="N176" s="4"/>
      <c r="O176" s="9"/>
    </row>
    <row r="177" spans="1:15" ht="18" customHeight="1" x14ac:dyDescent="0.45">
      <c r="A177" s="5"/>
      <c r="B177" s="6" t="str">
        <f>IFERROR(VLOOKUP(A177,KRX종목마스터!$A:$B,2,FALSE),"")</f>
        <v/>
      </c>
      <c r="C177" s="4"/>
      <c r="D177" s="7"/>
      <c r="E177" s="3"/>
      <c r="F177" s="7"/>
      <c r="G177" s="7"/>
      <c r="H177" s="8" t="str">
        <f t="shared" si="8"/>
        <v/>
      </c>
      <c r="I177" s="10" t="str">
        <f t="shared" si="9"/>
        <v/>
      </c>
      <c r="J177" s="14" t="str">
        <f t="shared" si="10"/>
        <v/>
      </c>
      <c r="K177" s="4"/>
      <c r="L177" s="8" t="str">
        <f>IFERROR(VLOOKUP(A177,KRX종목마스터!$A:$C,3,FALSE),"")</f>
        <v/>
      </c>
      <c r="M177" s="18" t="str">
        <f t="shared" si="11"/>
        <v/>
      </c>
      <c r="N177" s="4"/>
      <c r="O177" s="9"/>
    </row>
    <row r="178" spans="1:15" ht="18" customHeight="1" x14ac:dyDescent="0.45">
      <c r="A178" s="5"/>
      <c r="B178" s="6" t="str">
        <f>IFERROR(VLOOKUP(A178,KRX종목마스터!$A:$B,2,FALSE),"")</f>
        <v/>
      </c>
      <c r="C178" s="4"/>
      <c r="D178" s="7"/>
      <c r="E178" s="3"/>
      <c r="F178" s="7"/>
      <c r="G178" s="7"/>
      <c r="H178" s="8" t="str">
        <f t="shared" si="8"/>
        <v/>
      </c>
      <c r="I178" s="10" t="str">
        <f t="shared" si="9"/>
        <v/>
      </c>
      <c r="J178" s="14" t="str">
        <f t="shared" si="10"/>
        <v/>
      </c>
      <c r="K178" s="4"/>
      <c r="L178" s="8" t="str">
        <f>IFERROR(VLOOKUP(A178,KRX종목마스터!$A:$C,3,FALSE),"")</f>
        <v/>
      </c>
      <c r="M178" s="18" t="str">
        <f t="shared" si="11"/>
        <v/>
      </c>
      <c r="N178" s="4"/>
      <c r="O178" s="9"/>
    </row>
    <row r="179" spans="1:15" ht="18" customHeight="1" x14ac:dyDescent="0.45">
      <c r="A179" s="5"/>
      <c r="B179" s="6" t="str">
        <f>IFERROR(VLOOKUP(A179,KRX종목마스터!$A:$B,2,FALSE),"")</f>
        <v/>
      </c>
      <c r="C179" s="4"/>
      <c r="D179" s="7"/>
      <c r="E179" s="3"/>
      <c r="F179" s="7"/>
      <c r="G179" s="7"/>
      <c r="H179" s="8" t="str">
        <f t="shared" si="8"/>
        <v/>
      </c>
      <c r="I179" s="10" t="str">
        <f t="shared" si="9"/>
        <v/>
      </c>
      <c r="J179" s="14" t="str">
        <f t="shared" si="10"/>
        <v/>
      </c>
      <c r="K179" s="4"/>
      <c r="L179" s="8" t="str">
        <f>IFERROR(VLOOKUP(A179,KRX종목마스터!$A:$C,3,FALSE),"")</f>
        <v/>
      </c>
      <c r="M179" s="18" t="str">
        <f t="shared" si="11"/>
        <v/>
      </c>
      <c r="N179" s="4"/>
      <c r="O179" s="9"/>
    </row>
    <row r="180" spans="1:15" ht="18" customHeight="1" x14ac:dyDescent="0.45">
      <c r="A180" s="5"/>
      <c r="B180" s="6" t="str">
        <f>IFERROR(VLOOKUP(A180,KRX종목마스터!$A:$B,2,FALSE),"")</f>
        <v/>
      </c>
      <c r="C180" s="4"/>
      <c r="D180" s="7"/>
      <c r="E180" s="3"/>
      <c r="F180" s="7"/>
      <c r="G180" s="7"/>
      <c r="H180" s="8" t="str">
        <f t="shared" si="8"/>
        <v/>
      </c>
      <c r="I180" s="10" t="str">
        <f t="shared" si="9"/>
        <v/>
      </c>
      <c r="J180" s="14" t="str">
        <f t="shared" si="10"/>
        <v/>
      </c>
      <c r="K180" s="4"/>
      <c r="L180" s="8" t="str">
        <f>IFERROR(VLOOKUP(A180,KRX종목마스터!$A:$C,3,FALSE),"")</f>
        <v/>
      </c>
      <c r="M180" s="18" t="str">
        <f t="shared" si="11"/>
        <v/>
      </c>
      <c r="N180" s="4"/>
      <c r="O180" s="9"/>
    </row>
    <row r="181" spans="1:15" ht="18" customHeight="1" x14ac:dyDescent="0.45">
      <c r="A181" s="5"/>
      <c r="B181" s="6" t="str">
        <f>IFERROR(VLOOKUP(A181,KRX종목마스터!$A:$B,2,FALSE),"")</f>
        <v/>
      </c>
      <c r="C181" s="4"/>
      <c r="D181" s="7"/>
      <c r="E181" s="3"/>
      <c r="F181" s="7"/>
      <c r="G181" s="7"/>
      <c r="H181" s="8" t="str">
        <f t="shared" si="8"/>
        <v/>
      </c>
      <c r="I181" s="10" t="str">
        <f t="shared" si="9"/>
        <v/>
      </c>
      <c r="J181" s="14" t="str">
        <f t="shared" si="10"/>
        <v/>
      </c>
      <c r="K181" s="4"/>
      <c r="L181" s="8" t="str">
        <f>IFERROR(VLOOKUP(A181,KRX종목마스터!$A:$C,3,FALSE),"")</f>
        <v/>
      </c>
      <c r="M181" s="18" t="str">
        <f t="shared" si="11"/>
        <v/>
      </c>
      <c r="N181" s="4"/>
      <c r="O181" s="9"/>
    </row>
    <row r="182" spans="1:15" ht="18" customHeight="1" x14ac:dyDescent="0.45">
      <c r="A182" s="5"/>
      <c r="B182" s="6" t="str">
        <f>IFERROR(VLOOKUP(A182,KRX종목마스터!$A:$B,2,FALSE),"")</f>
        <v/>
      </c>
      <c r="C182" s="4"/>
      <c r="D182" s="7"/>
      <c r="E182" s="3"/>
      <c r="F182" s="7"/>
      <c r="G182" s="7"/>
      <c r="H182" s="8" t="str">
        <f t="shared" si="8"/>
        <v/>
      </c>
      <c r="I182" s="10" t="str">
        <f t="shared" si="9"/>
        <v/>
      </c>
      <c r="J182" s="14" t="str">
        <f t="shared" si="10"/>
        <v/>
      </c>
      <c r="K182" s="4"/>
      <c r="L182" s="8" t="str">
        <f>IFERROR(VLOOKUP(A182,KRX종목마스터!$A:$C,3,FALSE),"")</f>
        <v/>
      </c>
      <c r="M182" s="18" t="str">
        <f t="shared" si="11"/>
        <v/>
      </c>
      <c r="N182" s="4"/>
      <c r="O182" s="9"/>
    </row>
    <row r="183" spans="1:15" ht="18" customHeight="1" x14ac:dyDescent="0.45">
      <c r="A183" s="5"/>
      <c r="B183" s="6" t="str">
        <f>IFERROR(VLOOKUP(A183,KRX종목마스터!$A:$B,2,FALSE),"")</f>
        <v/>
      </c>
      <c r="C183" s="4"/>
      <c r="D183" s="7"/>
      <c r="E183" s="3"/>
      <c r="F183" s="7"/>
      <c r="G183" s="7"/>
      <c r="H183" s="8" t="str">
        <f t="shared" si="8"/>
        <v/>
      </c>
      <c r="I183" s="10" t="str">
        <f t="shared" si="9"/>
        <v/>
      </c>
      <c r="J183" s="14" t="str">
        <f t="shared" si="10"/>
        <v/>
      </c>
      <c r="K183" s="4"/>
      <c r="L183" s="8" t="str">
        <f>IFERROR(VLOOKUP(A183,KRX종목마스터!$A:$C,3,FALSE),"")</f>
        <v/>
      </c>
      <c r="M183" s="18" t="str">
        <f t="shared" si="11"/>
        <v/>
      </c>
      <c r="N183" s="4"/>
      <c r="O183" s="9"/>
    </row>
    <row r="184" spans="1:15" ht="18" customHeight="1" x14ac:dyDescent="0.45">
      <c r="A184" s="5"/>
      <c r="B184" s="6" t="str">
        <f>IFERROR(VLOOKUP(A184,KRX종목마스터!$A:$B,2,FALSE),"")</f>
        <v/>
      </c>
      <c r="C184" s="4"/>
      <c r="D184" s="7"/>
      <c r="E184" s="3"/>
      <c r="F184" s="7"/>
      <c r="G184" s="7"/>
      <c r="H184" s="8" t="str">
        <f t="shared" si="8"/>
        <v/>
      </c>
      <c r="I184" s="10" t="str">
        <f t="shared" si="9"/>
        <v/>
      </c>
      <c r="J184" s="14" t="str">
        <f t="shared" si="10"/>
        <v/>
      </c>
      <c r="K184" s="4"/>
      <c r="L184" s="8" t="str">
        <f>IFERROR(VLOOKUP(A184,KRX종목마스터!$A:$C,3,FALSE),"")</f>
        <v/>
      </c>
      <c r="M184" s="18" t="str">
        <f t="shared" si="11"/>
        <v/>
      </c>
      <c r="N184" s="4"/>
      <c r="O184" s="9"/>
    </row>
    <row r="185" spans="1:15" ht="18" customHeight="1" x14ac:dyDescent="0.45">
      <c r="A185" s="5"/>
      <c r="B185" s="6" t="str">
        <f>IFERROR(VLOOKUP(A185,KRX종목마스터!$A:$B,2,FALSE),"")</f>
        <v/>
      </c>
      <c r="C185" s="4"/>
      <c r="D185" s="7"/>
      <c r="E185" s="3"/>
      <c r="F185" s="7"/>
      <c r="G185" s="7"/>
      <c r="H185" s="8" t="str">
        <f t="shared" si="8"/>
        <v/>
      </c>
      <c r="I185" s="10" t="str">
        <f t="shared" si="9"/>
        <v/>
      </c>
      <c r="J185" s="14" t="str">
        <f t="shared" si="10"/>
        <v/>
      </c>
      <c r="K185" s="4"/>
      <c r="L185" s="8" t="str">
        <f>IFERROR(VLOOKUP(A185,KRX종목마스터!$A:$C,3,FALSE),"")</f>
        <v/>
      </c>
      <c r="M185" s="18" t="str">
        <f t="shared" si="11"/>
        <v/>
      </c>
      <c r="N185" s="4"/>
      <c r="O185" s="9"/>
    </row>
    <row r="186" spans="1:15" ht="18" customHeight="1" x14ac:dyDescent="0.45">
      <c r="A186" s="5"/>
      <c r="B186" s="6" t="str">
        <f>IFERROR(VLOOKUP(A186,KRX종목마스터!$A:$B,2,FALSE),"")</f>
        <v/>
      </c>
      <c r="C186" s="4"/>
      <c r="D186" s="7"/>
      <c r="E186" s="3"/>
      <c r="F186" s="7"/>
      <c r="G186" s="7"/>
      <c r="H186" s="8" t="str">
        <f t="shared" si="8"/>
        <v/>
      </c>
      <c r="I186" s="10" t="str">
        <f t="shared" si="9"/>
        <v/>
      </c>
      <c r="J186" s="14" t="str">
        <f t="shared" si="10"/>
        <v/>
      </c>
      <c r="K186" s="4"/>
      <c r="L186" s="8" t="str">
        <f>IFERROR(VLOOKUP(A186,KRX종목마스터!$A:$C,3,FALSE),"")</f>
        <v/>
      </c>
      <c r="M186" s="18" t="str">
        <f t="shared" si="11"/>
        <v/>
      </c>
      <c r="N186" s="4"/>
      <c r="O186" s="9"/>
    </row>
    <row r="187" spans="1:15" ht="18" customHeight="1" x14ac:dyDescent="0.45">
      <c r="A187" s="5"/>
      <c r="B187" s="6" t="str">
        <f>IFERROR(VLOOKUP(A187,KRX종목마스터!$A:$B,2,FALSE),"")</f>
        <v/>
      </c>
      <c r="C187" s="4"/>
      <c r="D187" s="7"/>
      <c r="E187" s="3"/>
      <c r="F187" s="7"/>
      <c r="G187" s="7"/>
      <c r="H187" s="8" t="str">
        <f t="shared" si="8"/>
        <v/>
      </c>
      <c r="I187" s="10" t="str">
        <f t="shared" si="9"/>
        <v/>
      </c>
      <c r="J187" s="14" t="str">
        <f t="shared" si="10"/>
        <v/>
      </c>
      <c r="K187" s="4"/>
      <c r="L187" s="8" t="str">
        <f>IFERROR(VLOOKUP(A187,KRX종목마스터!$A:$C,3,FALSE),"")</f>
        <v/>
      </c>
      <c r="M187" s="18" t="str">
        <f t="shared" si="11"/>
        <v/>
      </c>
      <c r="N187" s="4"/>
      <c r="O187" s="9"/>
    </row>
    <row r="188" spans="1:15" ht="18" customHeight="1" x14ac:dyDescent="0.45">
      <c r="A188" s="5"/>
      <c r="B188" s="6" t="str">
        <f>IFERROR(VLOOKUP(A188,KRX종목마스터!$A:$B,2,FALSE),"")</f>
        <v/>
      </c>
      <c r="C188" s="4"/>
      <c r="D188" s="7"/>
      <c r="E188" s="3"/>
      <c r="F188" s="7"/>
      <c r="G188" s="7"/>
      <c r="H188" s="8" t="str">
        <f t="shared" si="8"/>
        <v/>
      </c>
      <c r="I188" s="10" t="str">
        <f t="shared" si="9"/>
        <v/>
      </c>
      <c r="J188" s="14" t="str">
        <f t="shared" si="10"/>
        <v/>
      </c>
      <c r="K188" s="4"/>
      <c r="L188" s="8" t="str">
        <f>IFERROR(VLOOKUP(A188,KRX종목마스터!$A:$C,3,FALSE),"")</f>
        <v/>
      </c>
      <c r="M188" s="18" t="str">
        <f t="shared" si="11"/>
        <v/>
      </c>
      <c r="N188" s="4"/>
      <c r="O188" s="9"/>
    </row>
    <row r="189" spans="1:15" ht="18" customHeight="1" x14ac:dyDescent="0.45">
      <c r="A189" s="5"/>
      <c r="B189" s="6" t="str">
        <f>IFERROR(VLOOKUP(A189,KRX종목마스터!$A:$B,2,FALSE),"")</f>
        <v/>
      </c>
      <c r="C189" s="4"/>
      <c r="D189" s="7"/>
      <c r="E189" s="3"/>
      <c r="F189" s="7"/>
      <c r="G189" s="7"/>
      <c r="H189" s="8" t="str">
        <f t="shared" si="8"/>
        <v/>
      </c>
      <c r="I189" s="10" t="str">
        <f t="shared" si="9"/>
        <v/>
      </c>
      <c r="J189" s="14" t="str">
        <f t="shared" si="10"/>
        <v/>
      </c>
      <c r="K189" s="4"/>
      <c r="L189" s="8" t="str">
        <f>IFERROR(VLOOKUP(A189,KRX종목마스터!$A:$C,3,FALSE),"")</f>
        <v/>
      </c>
      <c r="M189" s="18" t="str">
        <f t="shared" si="11"/>
        <v/>
      </c>
      <c r="N189" s="4"/>
      <c r="O189" s="9"/>
    </row>
    <row r="190" spans="1:15" ht="18" customHeight="1" x14ac:dyDescent="0.45">
      <c r="A190" s="5"/>
      <c r="B190" s="6" t="str">
        <f>IFERROR(VLOOKUP(A190,KRX종목마스터!$A:$B,2,FALSE),"")</f>
        <v/>
      </c>
      <c r="C190" s="4"/>
      <c r="D190" s="7"/>
      <c r="E190" s="3"/>
      <c r="F190" s="7"/>
      <c r="G190" s="7"/>
      <c r="H190" s="8" t="str">
        <f t="shared" si="8"/>
        <v/>
      </c>
      <c r="I190" s="10" t="str">
        <f t="shared" si="9"/>
        <v/>
      </c>
      <c r="J190" s="14" t="str">
        <f t="shared" si="10"/>
        <v/>
      </c>
      <c r="K190" s="4"/>
      <c r="L190" s="8" t="str">
        <f>IFERROR(VLOOKUP(A190,KRX종목마스터!$A:$C,3,FALSE),"")</f>
        <v/>
      </c>
      <c r="M190" s="18" t="str">
        <f t="shared" si="11"/>
        <v/>
      </c>
      <c r="N190" s="4"/>
      <c r="O190" s="9"/>
    </row>
    <row r="191" spans="1:15" ht="18" customHeight="1" x14ac:dyDescent="0.45">
      <c r="A191" s="5"/>
      <c r="B191" s="6" t="str">
        <f>IFERROR(VLOOKUP(A191,KRX종목마스터!$A:$B,2,FALSE),"")</f>
        <v/>
      </c>
      <c r="C191" s="4"/>
      <c r="D191" s="7"/>
      <c r="E191" s="3"/>
      <c r="F191" s="7"/>
      <c r="G191" s="7"/>
      <c r="H191" s="8" t="str">
        <f t="shared" si="8"/>
        <v/>
      </c>
      <c r="I191" s="10" t="str">
        <f t="shared" si="9"/>
        <v/>
      </c>
      <c r="J191" s="14" t="str">
        <f t="shared" si="10"/>
        <v/>
      </c>
      <c r="K191" s="4"/>
      <c r="L191" s="8" t="str">
        <f>IFERROR(VLOOKUP(A191,KRX종목마스터!$A:$C,3,FALSE),"")</f>
        <v/>
      </c>
      <c r="M191" s="18" t="str">
        <f t="shared" si="11"/>
        <v/>
      </c>
      <c r="N191" s="4"/>
      <c r="O191" s="9"/>
    </row>
    <row r="192" spans="1:15" ht="18" customHeight="1" x14ac:dyDescent="0.45">
      <c r="A192" s="5"/>
      <c r="B192" s="6" t="str">
        <f>IFERROR(VLOOKUP(A192,KRX종목마스터!$A:$B,2,FALSE),"")</f>
        <v/>
      </c>
      <c r="C192" s="4"/>
      <c r="D192" s="7"/>
      <c r="E192" s="3"/>
      <c r="F192" s="7"/>
      <c r="G192" s="7"/>
      <c r="H192" s="8" t="str">
        <f t="shared" si="8"/>
        <v/>
      </c>
      <c r="I192" s="10" t="str">
        <f t="shared" si="9"/>
        <v/>
      </c>
      <c r="J192" s="14" t="str">
        <f t="shared" si="10"/>
        <v/>
      </c>
      <c r="K192" s="4"/>
      <c r="L192" s="8" t="str">
        <f>IFERROR(VLOOKUP(A192,KRX종목마스터!$A:$C,3,FALSE),"")</f>
        <v/>
      </c>
      <c r="M192" s="18" t="str">
        <f t="shared" si="11"/>
        <v/>
      </c>
      <c r="N192" s="4"/>
      <c r="O192" s="9"/>
    </row>
    <row r="193" spans="1:15" ht="18" customHeight="1" x14ac:dyDescent="0.45">
      <c r="A193" s="5"/>
      <c r="B193" s="6" t="str">
        <f>IFERROR(VLOOKUP(A193,KRX종목마스터!$A:$B,2,FALSE),"")</f>
        <v/>
      </c>
      <c r="C193" s="4"/>
      <c r="D193" s="7"/>
      <c r="E193" s="3"/>
      <c r="F193" s="7"/>
      <c r="G193" s="7"/>
      <c r="H193" s="8" t="str">
        <f t="shared" si="8"/>
        <v/>
      </c>
      <c r="I193" s="10" t="str">
        <f t="shared" si="9"/>
        <v/>
      </c>
      <c r="J193" s="14" t="str">
        <f t="shared" si="10"/>
        <v/>
      </c>
      <c r="K193" s="4"/>
      <c r="L193" s="8" t="str">
        <f>IFERROR(VLOOKUP(A193,KRX종목마스터!$A:$C,3,FALSE),"")</f>
        <v/>
      </c>
      <c r="M193" s="18" t="str">
        <f t="shared" si="11"/>
        <v/>
      </c>
      <c r="N193" s="4"/>
      <c r="O193" s="9"/>
    </row>
    <row r="194" spans="1:15" ht="18" customHeight="1" x14ac:dyDescent="0.45">
      <c r="A194" s="5"/>
      <c r="B194" s="6" t="str">
        <f>IFERROR(VLOOKUP(A194,KRX종목마스터!$A:$B,2,FALSE),"")</f>
        <v/>
      </c>
      <c r="C194" s="4"/>
      <c r="D194" s="7"/>
      <c r="E194" s="3"/>
      <c r="F194" s="7"/>
      <c r="G194" s="7"/>
      <c r="H194" s="8" t="str">
        <f t="shared" si="8"/>
        <v/>
      </c>
      <c r="I194" s="10" t="str">
        <f t="shared" si="9"/>
        <v/>
      </c>
      <c r="J194" s="14" t="str">
        <f t="shared" si="10"/>
        <v/>
      </c>
      <c r="K194" s="4"/>
      <c r="L194" s="8" t="str">
        <f>IFERROR(VLOOKUP(A194,KRX종목마스터!$A:$C,3,FALSE),"")</f>
        <v/>
      </c>
      <c r="M194" s="18" t="str">
        <f t="shared" si="11"/>
        <v/>
      </c>
      <c r="N194" s="4"/>
      <c r="O194" s="9"/>
    </row>
    <row r="195" spans="1:15" ht="18" customHeight="1" x14ac:dyDescent="0.45">
      <c r="A195" s="5"/>
      <c r="B195" s="6" t="str">
        <f>IFERROR(VLOOKUP(A195,KRX종목마스터!$A:$B,2,FALSE),"")</f>
        <v/>
      </c>
      <c r="C195" s="4"/>
      <c r="D195" s="7"/>
      <c r="E195" s="3"/>
      <c r="F195" s="7"/>
      <c r="G195" s="7"/>
      <c r="H195" s="8" t="str">
        <f t="shared" si="8"/>
        <v/>
      </c>
      <c r="I195" s="10" t="str">
        <f t="shared" si="9"/>
        <v/>
      </c>
      <c r="J195" s="14" t="str">
        <f t="shared" si="10"/>
        <v/>
      </c>
      <c r="K195" s="4"/>
      <c r="L195" s="8" t="str">
        <f>IFERROR(VLOOKUP(A195,KRX종목마스터!$A:$C,3,FALSE),"")</f>
        <v/>
      </c>
      <c r="M195" s="18" t="str">
        <f t="shared" si="11"/>
        <v/>
      </c>
      <c r="N195" s="4"/>
      <c r="O195" s="9"/>
    </row>
    <row r="196" spans="1:15" ht="18" customHeight="1" x14ac:dyDescent="0.45">
      <c r="A196" s="5"/>
      <c r="B196" s="6" t="str">
        <f>IFERROR(VLOOKUP(A196,KRX종목마스터!$A:$B,2,FALSE),"")</f>
        <v/>
      </c>
      <c r="C196" s="4"/>
      <c r="D196" s="7"/>
      <c r="E196" s="3"/>
      <c r="F196" s="7"/>
      <c r="G196" s="7"/>
      <c r="H196" s="8" t="str">
        <f t="shared" ref="H196:H259" si="12">IF(AND(F196&lt;&gt;"",G196&lt;&gt;""),F196*G196,"")</f>
        <v/>
      </c>
      <c r="I196" s="10" t="str">
        <f t="shared" ref="I196:I259" si="13">IF(OR(D196="",F196="",G196=""),"",(F196-D196)*G196)</f>
        <v/>
      </c>
      <c r="J196" s="14" t="str">
        <f t="shared" ref="J196:J259" si="14">IF(OR(D196="",F196=""),"",(F196-D196)/D196)</f>
        <v/>
      </c>
      <c r="K196" s="4"/>
      <c r="L196" s="8" t="str">
        <f>IFERROR(VLOOKUP(A196,KRX종목마스터!$A:$C,3,FALSE),"")</f>
        <v/>
      </c>
      <c r="M196" s="18" t="str">
        <f t="shared" ref="M196:M259" si="15">IF(OR(F196="",L196=""),"",(L196-F196)/F196)</f>
        <v/>
      </c>
      <c r="N196" s="4"/>
      <c r="O196" s="9"/>
    </row>
    <row r="197" spans="1:15" ht="18" customHeight="1" x14ac:dyDescent="0.45">
      <c r="A197" s="5"/>
      <c r="B197" s="6" t="str">
        <f>IFERROR(VLOOKUP(A197,KRX종목마스터!$A:$B,2,FALSE),"")</f>
        <v/>
      </c>
      <c r="C197" s="4"/>
      <c r="D197" s="7"/>
      <c r="E197" s="3"/>
      <c r="F197" s="7"/>
      <c r="G197" s="7"/>
      <c r="H197" s="8" t="str">
        <f t="shared" si="12"/>
        <v/>
      </c>
      <c r="I197" s="10" t="str">
        <f t="shared" si="13"/>
        <v/>
      </c>
      <c r="J197" s="14" t="str">
        <f t="shared" si="14"/>
        <v/>
      </c>
      <c r="K197" s="4"/>
      <c r="L197" s="8" t="str">
        <f>IFERROR(VLOOKUP(A197,KRX종목마스터!$A:$C,3,FALSE),"")</f>
        <v/>
      </c>
      <c r="M197" s="18" t="str">
        <f t="shared" si="15"/>
        <v/>
      </c>
      <c r="N197" s="4"/>
      <c r="O197" s="9"/>
    </row>
    <row r="198" spans="1:15" ht="18" customHeight="1" x14ac:dyDescent="0.45">
      <c r="A198" s="5"/>
      <c r="B198" s="6" t="str">
        <f>IFERROR(VLOOKUP(A198,KRX종목마스터!$A:$B,2,FALSE),"")</f>
        <v/>
      </c>
      <c r="C198" s="4"/>
      <c r="D198" s="7"/>
      <c r="E198" s="3"/>
      <c r="F198" s="7"/>
      <c r="G198" s="7"/>
      <c r="H198" s="8" t="str">
        <f t="shared" si="12"/>
        <v/>
      </c>
      <c r="I198" s="10" t="str">
        <f t="shared" si="13"/>
        <v/>
      </c>
      <c r="J198" s="14" t="str">
        <f t="shared" si="14"/>
        <v/>
      </c>
      <c r="K198" s="4"/>
      <c r="L198" s="8" t="str">
        <f>IFERROR(VLOOKUP(A198,KRX종목마스터!$A:$C,3,FALSE),"")</f>
        <v/>
      </c>
      <c r="M198" s="18" t="str">
        <f t="shared" si="15"/>
        <v/>
      </c>
      <c r="N198" s="4"/>
      <c r="O198" s="9"/>
    </row>
    <row r="199" spans="1:15" ht="18" customHeight="1" x14ac:dyDescent="0.45">
      <c r="A199" s="5"/>
      <c r="B199" s="6" t="str">
        <f>IFERROR(VLOOKUP(A199,KRX종목마스터!$A:$B,2,FALSE),"")</f>
        <v/>
      </c>
      <c r="C199" s="4"/>
      <c r="D199" s="7"/>
      <c r="E199" s="3"/>
      <c r="F199" s="7"/>
      <c r="G199" s="7"/>
      <c r="H199" s="8" t="str">
        <f t="shared" si="12"/>
        <v/>
      </c>
      <c r="I199" s="10" t="str">
        <f t="shared" si="13"/>
        <v/>
      </c>
      <c r="J199" s="14" t="str">
        <f t="shared" si="14"/>
        <v/>
      </c>
      <c r="K199" s="4"/>
      <c r="L199" s="8" t="str">
        <f>IFERROR(VLOOKUP(A199,KRX종목마스터!$A:$C,3,FALSE),"")</f>
        <v/>
      </c>
      <c r="M199" s="18" t="str">
        <f t="shared" si="15"/>
        <v/>
      </c>
      <c r="N199" s="4"/>
      <c r="O199" s="9"/>
    </row>
    <row r="200" spans="1:15" ht="18" customHeight="1" x14ac:dyDescent="0.45">
      <c r="A200" s="5"/>
      <c r="B200" s="6" t="str">
        <f>IFERROR(VLOOKUP(A200,KRX종목마스터!$A:$B,2,FALSE),"")</f>
        <v/>
      </c>
      <c r="C200" s="4"/>
      <c r="D200" s="7"/>
      <c r="E200" s="3"/>
      <c r="F200" s="7"/>
      <c r="G200" s="7"/>
      <c r="H200" s="8" t="str">
        <f t="shared" si="12"/>
        <v/>
      </c>
      <c r="I200" s="10" t="str">
        <f t="shared" si="13"/>
        <v/>
      </c>
      <c r="J200" s="14" t="str">
        <f t="shared" si="14"/>
        <v/>
      </c>
      <c r="K200" s="4"/>
      <c r="L200" s="8" t="str">
        <f>IFERROR(VLOOKUP(A200,KRX종목마스터!$A:$C,3,FALSE),"")</f>
        <v/>
      </c>
      <c r="M200" s="18" t="str">
        <f t="shared" si="15"/>
        <v/>
      </c>
      <c r="N200" s="4"/>
      <c r="O200" s="9"/>
    </row>
    <row r="201" spans="1:15" ht="18" customHeight="1" x14ac:dyDescent="0.45">
      <c r="A201" s="5"/>
      <c r="B201" s="6" t="str">
        <f>IFERROR(VLOOKUP(A201,KRX종목마스터!$A:$B,2,FALSE),"")</f>
        <v/>
      </c>
      <c r="C201" s="4"/>
      <c r="D201" s="7"/>
      <c r="E201" s="3"/>
      <c r="F201" s="7"/>
      <c r="G201" s="7"/>
      <c r="H201" s="8" t="str">
        <f t="shared" si="12"/>
        <v/>
      </c>
      <c r="I201" s="10" t="str">
        <f t="shared" si="13"/>
        <v/>
      </c>
      <c r="J201" s="14" t="str">
        <f t="shared" si="14"/>
        <v/>
      </c>
      <c r="K201" s="4"/>
      <c r="L201" s="8" t="str">
        <f>IFERROR(VLOOKUP(A201,KRX종목마스터!$A:$C,3,FALSE),"")</f>
        <v/>
      </c>
      <c r="M201" s="18" t="str">
        <f t="shared" si="15"/>
        <v/>
      </c>
      <c r="N201" s="4"/>
      <c r="O201" s="9"/>
    </row>
    <row r="202" spans="1:15" ht="18" customHeight="1" x14ac:dyDescent="0.45">
      <c r="A202" s="5"/>
      <c r="B202" s="6" t="str">
        <f>IFERROR(VLOOKUP(A202,KRX종목마스터!$A:$B,2,FALSE),"")</f>
        <v/>
      </c>
      <c r="C202" s="4"/>
      <c r="D202" s="7"/>
      <c r="E202" s="3"/>
      <c r="F202" s="7"/>
      <c r="G202" s="7"/>
      <c r="H202" s="8" t="str">
        <f t="shared" si="12"/>
        <v/>
      </c>
      <c r="I202" s="10" t="str">
        <f t="shared" si="13"/>
        <v/>
      </c>
      <c r="J202" s="14" t="str">
        <f t="shared" si="14"/>
        <v/>
      </c>
      <c r="K202" s="4"/>
      <c r="L202" s="8" t="str">
        <f>IFERROR(VLOOKUP(A202,KRX종목마스터!$A:$C,3,FALSE),"")</f>
        <v/>
      </c>
      <c r="M202" s="18" t="str">
        <f t="shared" si="15"/>
        <v/>
      </c>
      <c r="N202" s="4"/>
      <c r="O202" s="9"/>
    </row>
    <row r="203" spans="1:15" ht="18" customHeight="1" x14ac:dyDescent="0.45">
      <c r="A203" s="5"/>
      <c r="B203" s="6" t="str">
        <f>IFERROR(VLOOKUP(A203,KRX종목마스터!$A:$B,2,FALSE),"")</f>
        <v/>
      </c>
      <c r="C203" s="4"/>
      <c r="D203" s="7"/>
      <c r="E203" s="3"/>
      <c r="F203" s="7"/>
      <c r="G203" s="7"/>
      <c r="H203" s="8" t="str">
        <f t="shared" si="12"/>
        <v/>
      </c>
      <c r="I203" s="10" t="str">
        <f t="shared" si="13"/>
        <v/>
      </c>
      <c r="J203" s="14" t="str">
        <f t="shared" si="14"/>
        <v/>
      </c>
      <c r="K203" s="4"/>
      <c r="L203" s="8" t="str">
        <f>IFERROR(VLOOKUP(A203,KRX종목마스터!$A:$C,3,FALSE),"")</f>
        <v/>
      </c>
      <c r="M203" s="18" t="str">
        <f t="shared" si="15"/>
        <v/>
      </c>
      <c r="N203" s="4"/>
      <c r="O203" s="9"/>
    </row>
    <row r="204" spans="1:15" ht="18" customHeight="1" x14ac:dyDescent="0.45">
      <c r="A204" s="5"/>
      <c r="B204" s="6" t="str">
        <f>IFERROR(VLOOKUP(A204,KRX종목마스터!$A:$B,2,FALSE),"")</f>
        <v/>
      </c>
      <c r="C204" s="4"/>
      <c r="D204" s="7"/>
      <c r="E204" s="3"/>
      <c r="F204" s="7"/>
      <c r="G204" s="7"/>
      <c r="H204" s="8" t="str">
        <f t="shared" si="12"/>
        <v/>
      </c>
      <c r="I204" s="10" t="str">
        <f t="shared" si="13"/>
        <v/>
      </c>
      <c r="J204" s="14" t="str">
        <f t="shared" si="14"/>
        <v/>
      </c>
      <c r="K204" s="4"/>
      <c r="L204" s="8" t="str">
        <f>IFERROR(VLOOKUP(A204,KRX종목마스터!$A:$C,3,FALSE),"")</f>
        <v/>
      </c>
      <c r="M204" s="18" t="str">
        <f t="shared" si="15"/>
        <v/>
      </c>
      <c r="N204" s="4"/>
      <c r="O204" s="9"/>
    </row>
    <row r="205" spans="1:15" ht="18" customHeight="1" x14ac:dyDescent="0.45">
      <c r="A205" s="5"/>
      <c r="B205" s="6" t="str">
        <f>IFERROR(VLOOKUP(A205,KRX종목마스터!$A:$B,2,FALSE),"")</f>
        <v/>
      </c>
      <c r="C205" s="4"/>
      <c r="D205" s="7"/>
      <c r="E205" s="3"/>
      <c r="F205" s="7"/>
      <c r="G205" s="7"/>
      <c r="H205" s="8" t="str">
        <f t="shared" si="12"/>
        <v/>
      </c>
      <c r="I205" s="10" t="str">
        <f t="shared" si="13"/>
        <v/>
      </c>
      <c r="J205" s="14" t="str">
        <f t="shared" si="14"/>
        <v/>
      </c>
      <c r="K205" s="4"/>
      <c r="L205" s="8" t="str">
        <f>IFERROR(VLOOKUP(A205,KRX종목마스터!$A:$C,3,FALSE),"")</f>
        <v/>
      </c>
      <c r="M205" s="18" t="str">
        <f t="shared" si="15"/>
        <v/>
      </c>
      <c r="N205" s="4"/>
      <c r="O205" s="9"/>
    </row>
    <row r="206" spans="1:15" ht="18" customHeight="1" x14ac:dyDescent="0.45">
      <c r="A206" s="5"/>
      <c r="B206" s="6" t="str">
        <f>IFERROR(VLOOKUP(A206,KRX종목마스터!$A:$B,2,FALSE),"")</f>
        <v/>
      </c>
      <c r="C206" s="4"/>
      <c r="D206" s="7"/>
      <c r="E206" s="3"/>
      <c r="F206" s="7"/>
      <c r="G206" s="7"/>
      <c r="H206" s="8" t="str">
        <f t="shared" si="12"/>
        <v/>
      </c>
      <c r="I206" s="10" t="str">
        <f t="shared" si="13"/>
        <v/>
      </c>
      <c r="J206" s="14" t="str">
        <f t="shared" si="14"/>
        <v/>
      </c>
      <c r="K206" s="4"/>
      <c r="L206" s="8" t="str">
        <f>IFERROR(VLOOKUP(A206,KRX종목마스터!$A:$C,3,FALSE),"")</f>
        <v/>
      </c>
      <c r="M206" s="18" t="str">
        <f t="shared" si="15"/>
        <v/>
      </c>
      <c r="N206" s="4"/>
      <c r="O206" s="9"/>
    </row>
    <row r="207" spans="1:15" ht="18" customHeight="1" x14ac:dyDescent="0.45">
      <c r="A207" s="5"/>
      <c r="B207" s="6" t="str">
        <f>IFERROR(VLOOKUP(A207,KRX종목마스터!$A:$B,2,FALSE),"")</f>
        <v/>
      </c>
      <c r="C207" s="4"/>
      <c r="D207" s="7"/>
      <c r="E207" s="3"/>
      <c r="F207" s="7"/>
      <c r="G207" s="7"/>
      <c r="H207" s="8" t="str">
        <f t="shared" si="12"/>
        <v/>
      </c>
      <c r="I207" s="10" t="str">
        <f t="shared" si="13"/>
        <v/>
      </c>
      <c r="J207" s="14" t="str">
        <f t="shared" si="14"/>
        <v/>
      </c>
      <c r="K207" s="4"/>
      <c r="L207" s="8" t="str">
        <f>IFERROR(VLOOKUP(A207,KRX종목마스터!$A:$C,3,FALSE),"")</f>
        <v/>
      </c>
      <c r="M207" s="18" t="str">
        <f t="shared" si="15"/>
        <v/>
      </c>
      <c r="N207" s="4"/>
      <c r="O207" s="9"/>
    </row>
    <row r="208" spans="1:15" ht="18" customHeight="1" x14ac:dyDescent="0.45">
      <c r="A208" s="5"/>
      <c r="B208" s="6" t="str">
        <f>IFERROR(VLOOKUP(A208,KRX종목마스터!$A:$B,2,FALSE),"")</f>
        <v/>
      </c>
      <c r="C208" s="4"/>
      <c r="D208" s="7"/>
      <c r="E208" s="3"/>
      <c r="F208" s="7"/>
      <c r="G208" s="7"/>
      <c r="H208" s="8" t="str">
        <f t="shared" si="12"/>
        <v/>
      </c>
      <c r="I208" s="10" t="str">
        <f t="shared" si="13"/>
        <v/>
      </c>
      <c r="J208" s="14" t="str">
        <f t="shared" si="14"/>
        <v/>
      </c>
      <c r="K208" s="4"/>
      <c r="L208" s="8" t="str">
        <f>IFERROR(VLOOKUP(A208,KRX종목마스터!$A:$C,3,FALSE),"")</f>
        <v/>
      </c>
      <c r="M208" s="18" t="str">
        <f t="shared" si="15"/>
        <v/>
      </c>
      <c r="N208" s="4"/>
      <c r="O208" s="9"/>
    </row>
    <row r="209" spans="1:15" ht="18" customHeight="1" x14ac:dyDescent="0.45">
      <c r="A209" s="5"/>
      <c r="B209" s="6" t="str">
        <f>IFERROR(VLOOKUP(A209,KRX종목마스터!$A:$B,2,FALSE),"")</f>
        <v/>
      </c>
      <c r="C209" s="4"/>
      <c r="D209" s="7"/>
      <c r="E209" s="3"/>
      <c r="F209" s="7"/>
      <c r="G209" s="7"/>
      <c r="H209" s="8" t="str">
        <f t="shared" si="12"/>
        <v/>
      </c>
      <c r="I209" s="10" t="str">
        <f t="shared" si="13"/>
        <v/>
      </c>
      <c r="J209" s="14" t="str">
        <f t="shared" si="14"/>
        <v/>
      </c>
      <c r="K209" s="4"/>
      <c r="L209" s="8" t="str">
        <f>IFERROR(VLOOKUP(A209,KRX종목마스터!$A:$C,3,FALSE),"")</f>
        <v/>
      </c>
      <c r="M209" s="18" t="str">
        <f t="shared" si="15"/>
        <v/>
      </c>
      <c r="N209" s="4"/>
      <c r="O209" s="9"/>
    </row>
    <row r="210" spans="1:15" ht="18" customHeight="1" x14ac:dyDescent="0.45">
      <c r="A210" s="5"/>
      <c r="B210" s="6" t="str">
        <f>IFERROR(VLOOKUP(A210,KRX종목마스터!$A:$B,2,FALSE),"")</f>
        <v/>
      </c>
      <c r="C210" s="4"/>
      <c r="D210" s="7"/>
      <c r="E210" s="3"/>
      <c r="F210" s="7"/>
      <c r="G210" s="7"/>
      <c r="H210" s="8" t="str">
        <f t="shared" si="12"/>
        <v/>
      </c>
      <c r="I210" s="10" t="str">
        <f t="shared" si="13"/>
        <v/>
      </c>
      <c r="J210" s="14" t="str">
        <f t="shared" si="14"/>
        <v/>
      </c>
      <c r="K210" s="4"/>
      <c r="L210" s="8" t="str">
        <f>IFERROR(VLOOKUP(A210,KRX종목마스터!$A:$C,3,FALSE),"")</f>
        <v/>
      </c>
      <c r="M210" s="18" t="str">
        <f t="shared" si="15"/>
        <v/>
      </c>
      <c r="N210" s="4"/>
      <c r="O210" s="9"/>
    </row>
    <row r="211" spans="1:15" ht="18" customHeight="1" x14ac:dyDescent="0.45">
      <c r="A211" s="5"/>
      <c r="B211" s="6" t="str">
        <f>IFERROR(VLOOKUP(A211,KRX종목마스터!$A:$B,2,FALSE),"")</f>
        <v/>
      </c>
      <c r="C211" s="4"/>
      <c r="D211" s="7"/>
      <c r="E211" s="3"/>
      <c r="F211" s="7"/>
      <c r="G211" s="7"/>
      <c r="H211" s="8" t="str">
        <f t="shared" si="12"/>
        <v/>
      </c>
      <c r="I211" s="10" t="str">
        <f t="shared" si="13"/>
        <v/>
      </c>
      <c r="J211" s="14" t="str">
        <f t="shared" si="14"/>
        <v/>
      </c>
      <c r="K211" s="4"/>
      <c r="L211" s="8" t="str">
        <f>IFERROR(VLOOKUP(A211,KRX종목마스터!$A:$C,3,FALSE),"")</f>
        <v/>
      </c>
      <c r="M211" s="18" t="str">
        <f t="shared" si="15"/>
        <v/>
      </c>
      <c r="N211" s="4"/>
      <c r="O211" s="9"/>
    </row>
    <row r="212" spans="1:15" ht="18" customHeight="1" x14ac:dyDescent="0.45">
      <c r="A212" s="5"/>
      <c r="B212" s="6" t="str">
        <f>IFERROR(VLOOKUP(A212,KRX종목마스터!$A:$B,2,FALSE),"")</f>
        <v/>
      </c>
      <c r="C212" s="4"/>
      <c r="D212" s="7"/>
      <c r="E212" s="3"/>
      <c r="F212" s="7"/>
      <c r="G212" s="7"/>
      <c r="H212" s="8" t="str">
        <f t="shared" si="12"/>
        <v/>
      </c>
      <c r="I212" s="10" t="str">
        <f t="shared" si="13"/>
        <v/>
      </c>
      <c r="J212" s="14" t="str">
        <f t="shared" si="14"/>
        <v/>
      </c>
      <c r="K212" s="4"/>
      <c r="L212" s="8" t="str">
        <f>IFERROR(VLOOKUP(A212,KRX종목마스터!$A:$C,3,FALSE),"")</f>
        <v/>
      </c>
      <c r="M212" s="18" t="str">
        <f t="shared" si="15"/>
        <v/>
      </c>
      <c r="N212" s="4"/>
      <c r="O212" s="9"/>
    </row>
    <row r="213" spans="1:15" ht="18" customHeight="1" x14ac:dyDescent="0.45">
      <c r="A213" s="5"/>
      <c r="B213" s="6" t="str">
        <f>IFERROR(VLOOKUP(A213,KRX종목마스터!$A:$B,2,FALSE),"")</f>
        <v/>
      </c>
      <c r="C213" s="4"/>
      <c r="D213" s="7"/>
      <c r="E213" s="3"/>
      <c r="F213" s="7"/>
      <c r="G213" s="7"/>
      <c r="H213" s="8" t="str">
        <f t="shared" si="12"/>
        <v/>
      </c>
      <c r="I213" s="10" t="str">
        <f t="shared" si="13"/>
        <v/>
      </c>
      <c r="J213" s="14" t="str">
        <f t="shared" si="14"/>
        <v/>
      </c>
      <c r="K213" s="4"/>
      <c r="L213" s="8" t="str">
        <f>IFERROR(VLOOKUP(A213,KRX종목마스터!$A:$C,3,FALSE),"")</f>
        <v/>
      </c>
      <c r="M213" s="18" t="str">
        <f t="shared" si="15"/>
        <v/>
      </c>
      <c r="N213" s="4"/>
      <c r="O213" s="9"/>
    </row>
    <row r="214" spans="1:15" ht="18" customHeight="1" x14ac:dyDescent="0.45">
      <c r="A214" s="5"/>
      <c r="B214" s="6" t="str">
        <f>IFERROR(VLOOKUP(A214,KRX종목마스터!$A:$B,2,FALSE),"")</f>
        <v/>
      </c>
      <c r="C214" s="4"/>
      <c r="D214" s="7"/>
      <c r="E214" s="3"/>
      <c r="F214" s="7"/>
      <c r="G214" s="7"/>
      <c r="H214" s="8" t="str">
        <f t="shared" si="12"/>
        <v/>
      </c>
      <c r="I214" s="10" t="str">
        <f t="shared" si="13"/>
        <v/>
      </c>
      <c r="J214" s="14" t="str">
        <f t="shared" si="14"/>
        <v/>
      </c>
      <c r="K214" s="4"/>
      <c r="L214" s="8" t="str">
        <f>IFERROR(VLOOKUP(A214,KRX종목마스터!$A:$C,3,FALSE),"")</f>
        <v/>
      </c>
      <c r="M214" s="18" t="str">
        <f t="shared" si="15"/>
        <v/>
      </c>
      <c r="N214" s="4"/>
      <c r="O214" s="9"/>
    </row>
    <row r="215" spans="1:15" ht="18" customHeight="1" x14ac:dyDescent="0.45">
      <c r="A215" s="5"/>
      <c r="B215" s="6" t="str">
        <f>IFERROR(VLOOKUP(A215,KRX종목마스터!$A:$B,2,FALSE),"")</f>
        <v/>
      </c>
      <c r="C215" s="4"/>
      <c r="D215" s="7"/>
      <c r="E215" s="3"/>
      <c r="F215" s="7"/>
      <c r="G215" s="7"/>
      <c r="H215" s="8" t="str">
        <f t="shared" si="12"/>
        <v/>
      </c>
      <c r="I215" s="10" t="str">
        <f t="shared" si="13"/>
        <v/>
      </c>
      <c r="J215" s="14" t="str">
        <f t="shared" si="14"/>
        <v/>
      </c>
      <c r="K215" s="4"/>
      <c r="L215" s="8" t="str">
        <f>IFERROR(VLOOKUP(A215,KRX종목마스터!$A:$C,3,FALSE),"")</f>
        <v/>
      </c>
      <c r="M215" s="18" t="str">
        <f t="shared" si="15"/>
        <v/>
      </c>
      <c r="N215" s="4"/>
      <c r="O215" s="9"/>
    </row>
    <row r="216" spans="1:15" ht="18" customHeight="1" x14ac:dyDescent="0.45">
      <c r="A216" s="5"/>
      <c r="B216" s="6" t="str">
        <f>IFERROR(VLOOKUP(A216,KRX종목마스터!$A:$B,2,FALSE),"")</f>
        <v/>
      </c>
      <c r="C216" s="4"/>
      <c r="D216" s="7"/>
      <c r="E216" s="3"/>
      <c r="F216" s="7"/>
      <c r="G216" s="7"/>
      <c r="H216" s="8" t="str">
        <f t="shared" si="12"/>
        <v/>
      </c>
      <c r="I216" s="10" t="str">
        <f t="shared" si="13"/>
        <v/>
      </c>
      <c r="J216" s="14" t="str">
        <f t="shared" si="14"/>
        <v/>
      </c>
      <c r="K216" s="4"/>
      <c r="L216" s="8" t="str">
        <f>IFERROR(VLOOKUP(A216,KRX종목마스터!$A:$C,3,FALSE),"")</f>
        <v/>
      </c>
      <c r="M216" s="18" t="str">
        <f t="shared" si="15"/>
        <v/>
      </c>
      <c r="N216" s="4"/>
      <c r="O216" s="9"/>
    </row>
    <row r="217" spans="1:15" ht="18" customHeight="1" x14ac:dyDescent="0.45">
      <c r="A217" s="5"/>
      <c r="B217" s="6" t="str">
        <f>IFERROR(VLOOKUP(A217,KRX종목마스터!$A:$B,2,FALSE),"")</f>
        <v/>
      </c>
      <c r="C217" s="4"/>
      <c r="D217" s="7"/>
      <c r="E217" s="3"/>
      <c r="F217" s="7"/>
      <c r="G217" s="7"/>
      <c r="H217" s="8" t="str">
        <f t="shared" si="12"/>
        <v/>
      </c>
      <c r="I217" s="10" t="str">
        <f t="shared" si="13"/>
        <v/>
      </c>
      <c r="J217" s="14" t="str">
        <f t="shared" si="14"/>
        <v/>
      </c>
      <c r="K217" s="4"/>
      <c r="L217" s="8" t="str">
        <f>IFERROR(VLOOKUP(A217,KRX종목마스터!$A:$C,3,FALSE),"")</f>
        <v/>
      </c>
      <c r="M217" s="18" t="str">
        <f t="shared" si="15"/>
        <v/>
      </c>
      <c r="N217" s="4"/>
      <c r="O217" s="9"/>
    </row>
    <row r="218" spans="1:15" ht="18" customHeight="1" x14ac:dyDescent="0.45">
      <c r="A218" s="5"/>
      <c r="B218" s="6" t="str">
        <f>IFERROR(VLOOKUP(A218,KRX종목마스터!$A:$B,2,FALSE),"")</f>
        <v/>
      </c>
      <c r="C218" s="4"/>
      <c r="D218" s="7"/>
      <c r="E218" s="3"/>
      <c r="F218" s="7"/>
      <c r="G218" s="7"/>
      <c r="H218" s="8" t="str">
        <f t="shared" si="12"/>
        <v/>
      </c>
      <c r="I218" s="10" t="str">
        <f t="shared" si="13"/>
        <v/>
      </c>
      <c r="J218" s="14" t="str">
        <f t="shared" si="14"/>
        <v/>
      </c>
      <c r="K218" s="4"/>
      <c r="L218" s="8" t="str">
        <f>IFERROR(VLOOKUP(A218,KRX종목마스터!$A:$C,3,FALSE),"")</f>
        <v/>
      </c>
      <c r="M218" s="18" t="str">
        <f t="shared" si="15"/>
        <v/>
      </c>
      <c r="N218" s="4"/>
      <c r="O218" s="9"/>
    </row>
    <row r="219" spans="1:15" ht="18" customHeight="1" x14ac:dyDescent="0.45">
      <c r="A219" s="5"/>
      <c r="B219" s="6" t="str">
        <f>IFERROR(VLOOKUP(A219,KRX종목마스터!$A:$B,2,FALSE),"")</f>
        <v/>
      </c>
      <c r="C219" s="4"/>
      <c r="D219" s="7"/>
      <c r="E219" s="3"/>
      <c r="F219" s="7"/>
      <c r="G219" s="7"/>
      <c r="H219" s="8" t="str">
        <f t="shared" si="12"/>
        <v/>
      </c>
      <c r="I219" s="10" t="str">
        <f t="shared" si="13"/>
        <v/>
      </c>
      <c r="J219" s="14" t="str">
        <f t="shared" si="14"/>
        <v/>
      </c>
      <c r="K219" s="4"/>
      <c r="L219" s="8" t="str">
        <f>IFERROR(VLOOKUP(A219,KRX종목마스터!$A:$C,3,FALSE),"")</f>
        <v/>
      </c>
      <c r="M219" s="18" t="str">
        <f t="shared" si="15"/>
        <v/>
      </c>
      <c r="N219" s="4"/>
      <c r="O219" s="9"/>
    </row>
    <row r="220" spans="1:15" ht="18" customHeight="1" x14ac:dyDescent="0.45">
      <c r="A220" s="5"/>
      <c r="B220" s="6" t="str">
        <f>IFERROR(VLOOKUP(A220,KRX종목마스터!$A:$B,2,FALSE),"")</f>
        <v/>
      </c>
      <c r="C220" s="4"/>
      <c r="D220" s="7"/>
      <c r="E220" s="3"/>
      <c r="F220" s="7"/>
      <c r="G220" s="7"/>
      <c r="H220" s="8" t="str">
        <f t="shared" si="12"/>
        <v/>
      </c>
      <c r="I220" s="10" t="str">
        <f t="shared" si="13"/>
        <v/>
      </c>
      <c r="J220" s="14" t="str">
        <f t="shared" si="14"/>
        <v/>
      </c>
      <c r="K220" s="4"/>
      <c r="L220" s="8" t="str">
        <f>IFERROR(VLOOKUP(A220,KRX종목마스터!$A:$C,3,FALSE),"")</f>
        <v/>
      </c>
      <c r="M220" s="18" t="str">
        <f t="shared" si="15"/>
        <v/>
      </c>
      <c r="N220" s="4"/>
      <c r="O220" s="9"/>
    </row>
    <row r="221" spans="1:15" ht="18" customHeight="1" x14ac:dyDescent="0.45">
      <c r="A221" s="5"/>
      <c r="B221" s="6" t="str">
        <f>IFERROR(VLOOKUP(A221,KRX종목마스터!$A:$B,2,FALSE),"")</f>
        <v/>
      </c>
      <c r="C221" s="4"/>
      <c r="D221" s="7"/>
      <c r="E221" s="3"/>
      <c r="F221" s="7"/>
      <c r="G221" s="7"/>
      <c r="H221" s="8" t="str">
        <f t="shared" si="12"/>
        <v/>
      </c>
      <c r="I221" s="10" t="str">
        <f t="shared" si="13"/>
        <v/>
      </c>
      <c r="J221" s="14" t="str">
        <f t="shared" si="14"/>
        <v/>
      </c>
      <c r="K221" s="4"/>
      <c r="L221" s="8" t="str">
        <f>IFERROR(VLOOKUP(A221,KRX종목마스터!$A:$C,3,FALSE),"")</f>
        <v/>
      </c>
      <c r="M221" s="18" t="str">
        <f t="shared" si="15"/>
        <v/>
      </c>
      <c r="N221" s="4"/>
      <c r="O221" s="9"/>
    </row>
    <row r="222" spans="1:15" ht="18" customHeight="1" x14ac:dyDescent="0.45">
      <c r="A222" s="5"/>
      <c r="B222" s="6" t="str">
        <f>IFERROR(VLOOKUP(A222,KRX종목마스터!$A:$B,2,FALSE),"")</f>
        <v/>
      </c>
      <c r="C222" s="4"/>
      <c r="D222" s="7"/>
      <c r="E222" s="3"/>
      <c r="F222" s="7"/>
      <c r="G222" s="7"/>
      <c r="H222" s="8" t="str">
        <f t="shared" si="12"/>
        <v/>
      </c>
      <c r="I222" s="10" t="str">
        <f t="shared" si="13"/>
        <v/>
      </c>
      <c r="J222" s="14" t="str">
        <f t="shared" si="14"/>
        <v/>
      </c>
      <c r="K222" s="4"/>
      <c r="L222" s="8" t="str">
        <f>IFERROR(VLOOKUP(A222,KRX종목마스터!$A:$C,3,FALSE),"")</f>
        <v/>
      </c>
      <c r="M222" s="18" t="str">
        <f t="shared" si="15"/>
        <v/>
      </c>
      <c r="N222" s="4"/>
      <c r="O222" s="9"/>
    </row>
    <row r="223" spans="1:15" ht="18" customHeight="1" x14ac:dyDescent="0.45">
      <c r="A223" s="5"/>
      <c r="B223" s="6" t="str">
        <f>IFERROR(VLOOKUP(A223,KRX종목마스터!$A:$B,2,FALSE),"")</f>
        <v/>
      </c>
      <c r="C223" s="4"/>
      <c r="D223" s="7"/>
      <c r="E223" s="3"/>
      <c r="F223" s="7"/>
      <c r="G223" s="7"/>
      <c r="H223" s="8" t="str">
        <f t="shared" si="12"/>
        <v/>
      </c>
      <c r="I223" s="10" t="str">
        <f t="shared" si="13"/>
        <v/>
      </c>
      <c r="J223" s="14" t="str">
        <f t="shared" si="14"/>
        <v/>
      </c>
      <c r="K223" s="4"/>
      <c r="L223" s="8" t="str">
        <f>IFERROR(VLOOKUP(A223,KRX종목마스터!$A:$C,3,FALSE),"")</f>
        <v/>
      </c>
      <c r="M223" s="18" t="str">
        <f t="shared" si="15"/>
        <v/>
      </c>
      <c r="N223" s="4"/>
      <c r="O223" s="9"/>
    </row>
    <row r="224" spans="1:15" ht="18" customHeight="1" x14ac:dyDescent="0.45">
      <c r="A224" s="5"/>
      <c r="B224" s="6" t="str">
        <f>IFERROR(VLOOKUP(A224,KRX종목마스터!$A:$B,2,FALSE),"")</f>
        <v/>
      </c>
      <c r="C224" s="4"/>
      <c r="D224" s="7"/>
      <c r="E224" s="3"/>
      <c r="F224" s="7"/>
      <c r="G224" s="7"/>
      <c r="H224" s="8" t="str">
        <f t="shared" si="12"/>
        <v/>
      </c>
      <c r="I224" s="10" t="str">
        <f t="shared" si="13"/>
        <v/>
      </c>
      <c r="J224" s="14" t="str">
        <f t="shared" si="14"/>
        <v/>
      </c>
      <c r="K224" s="4"/>
      <c r="L224" s="8" t="str">
        <f>IFERROR(VLOOKUP(A224,KRX종목마스터!$A:$C,3,FALSE),"")</f>
        <v/>
      </c>
      <c r="M224" s="18" t="str">
        <f t="shared" si="15"/>
        <v/>
      </c>
      <c r="N224" s="4"/>
      <c r="O224" s="9"/>
    </row>
    <row r="225" spans="1:15" ht="18" customHeight="1" x14ac:dyDescent="0.45">
      <c r="A225" s="5"/>
      <c r="B225" s="6" t="str">
        <f>IFERROR(VLOOKUP(A225,KRX종목마스터!$A:$B,2,FALSE),"")</f>
        <v/>
      </c>
      <c r="C225" s="4"/>
      <c r="D225" s="7"/>
      <c r="E225" s="3"/>
      <c r="F225" s="7"/>
      <c r="G225" s="7"/>
      <c r="H225" s="8" t="str">
        <f t="shared" si="12"/>
        <v/>
      </c>
      <c r="I225" s="10" t="str">
        <f t="shared" si="13"/>
        <v/>
      </c>
      <c r="J225" s="14" t="str">
        <f t="shared" si="14"/>
        <v/>
      </c>
      <c r="K225" s="4"/>
      <c r="L225" s="8" t="str">
        <f>IFERROR(VLOOKUP(A225,KRX종목마스터!$A:$C,3,FALSE),"")</f>
        <v/>
      </c>
      <c r="M225" s="18" t="str">
        <f t="shared" si="15"/>
        <v/>
      </c>
      <c r="N225" s="4"/>
      <c r="O225" s="9"/>
    </row>
    <row r="226" spans="1:15" ht="18" customHeight="1" x14ac:dyDescent="0.45">
      <c r="A226" s="5"/>
      <c r="B226" s="6" t="str">
        <f>IFERROR(VLOOKUP(A226,KRX종목마스터!$A:$B,2,FALSE),"")</f>
        <v/>
      </c>
      <c r="C226" s="4"/>
      <c r="D226" s="7"/>
      <c r="E226" s="3"/>
      <c r="F226" s="7"/>
      <c r="G226" s="7"/>
      <c r="H226" s="8" t="str">
        <f t="shared" si="12"/>
        <v/>
      </c>
      <c r="I226" s="10" t="str">
        <f t="shared" si="13"/>
        <v/>
      </c>
      <c r="J226" s="14" t="str">
        <f t="shared" si="14"/>
        <v/>
      </c>
      <c r="K226" s="4"/>
      <c r="L226" s="8" t="str">
        <f>IFERROR(VLOOKUP(A226,KRX종목마스터!$A:$C,3,FALSE),"")</f>
        <v/>
      </c>
      <c r="M226" s="18" t="str">
        <f t="shared" si="15"/>
        <v/>
      </c>
      <c r="N226" s="4"/>
      <c r="O226" s="9"/>
    </row>
    <row r="227" spans="1:15" ht="18" customHeight="1" x14ac:dyDescent="0.45">
      <c r="A227" s="5"/>
      <c r="B227" s="6" t="str">
        <f>IFERROR(VLOOKUP(A227,KRX종목마스터!$A:$B,2,FALSE),"")</f>
        <v/>
      </c>
      <c r="C227" s="4"/>
      <c r="D227" s="7"/>
      <c r="E227" s="3"/>
      <c r="F227" s="7"/>
      <c r="G227" s="7"/>
      <c r="H227" s="8" t="str">
        <f t="shared" si="12"/>
        <v/>
      </c>
      <c r="I227" s="10" t="str">
        <f t="shared" si="13"/>
        <v/>
      </c>
      <c r="J227" s="14" t="str">
        <f t="shared" si="14"/>
        <v/>
      </c>
      <c r="K227" s="4"/>
      <c r="L227" s="8" t="str">
        <f>IFERROR(VLOOKUP(A227,KRX종목마스터!$A:$C,3,FALSE),"")</f>
        <v/>
      </c>
      <c r="M227" s="18" t="str">
        <f t="shared" si="15"/>
        <v/>
      </c>
      <c r="N227" s="4"/>
      <c r="O227" s="9"/>
    </row>
    <row r="228" spans="1:15" ht="18" customHeight="1" x14ac:dyDescent="0.45">
      <c r="A228" s="5"/>
      <c r="B228" s="6" t="str">
        <f>IFERROR(VLOOKUP(A228,KRX종목마스터!$A:$B,2,FALSE),"")</f>
        <v/>
      </c>
      <c r="C228" s="4"/>
      <c r="D228" s="7"/>
      <c r="E228" s="3"/>
      <c r="F228" s="7"/>
      <c r="G228" s="7"/>
      <c r="H228" s="8" t="str">
        <f t="shared" si="12"/>
        <v/>
      </c>
      <c r="I228" s="10" t="str">
        <f t="shared" si="13"/>
        <v/>
      </c>
      <c r="J228" s="14" t="str">
        <f t="shared" si="14"/>
        <v/>
      </c>
      <c r="K228" s="4"/>
      <c r="L228" s="8" t="str">
        <f>IFERROR(VLOOKUP(A228,KRX종목마스터!$A:$C,3,FALSE),"")</f>
        <v/>
      </c>
      <c r="M228" s="18" t="str">
        <f t="shared" si="15"/>
        <v/>
      </c>
      <c r="N228" s="4"/>
      <c r="O228" s="9"/>
    </row>
    <row r="229" spans="1:15" ht="18" customHeight="1" x14ac:dyDescent="0.45">
      <c r="A229" s="5"/>
      <c r="B229" s="6" t="str">
        <f>IFERROR(VLOOKUP(A229,KRX종목마스터!$A:$B,2,FALSE),"")</f>
        <v/>
      </c>
      <c r="C229" s="4"/>
      <c r="D229" s="7"/>
      <c r="E229" s="3"/>
      <c r="F229" s="7"/>
      <c r="G229" s="7"/>
      <c r="H229" s="8" t="str">
        <f t="shared" si="12"/>
        <v/>
      </c>
      <c r="I229" s="10" t="str">
        <f t="shared" si="13"/>
        <v/>
      </c>
      <c r="J229" s="14" t="str">
        <f t="shared" si="14"/>
        <v/>
      </c>
      <c r="K229" s="4"/>
      <c r="L229" s="8" t="str">
        <f>IFERROR(VLOOKUP(A229,KRX종목마스터!$A:$C,3,FALSE),"")</f>
        <v/>
      </c>
      <c r="M229" s="18" t="str">
        <f t="shared" si="15"/>
        <v/>
      </c>
      <c r="N229" s="4"/>
      <c r="O229" s="9"/>
    </row>
    <row r="230" spans="1:15" ht="18" customHeight="1" x14ac:dyDescent="0.45">
      <c r="A230" s="5"/>
      <c r="B230" s="6" t="str">
        <f>IFERROR(VLOOKUP(A230,KRX종목마스터!$A:$B,2,FALSE),"")</f>
        <v/>
      </c>
      <c r="C230" s="4"/>
      <c r="D230" s="7"/>
      <c r="E230" s="3"/>
      <c r="F230" s="7"/>
      <c r="G230" s="7"/>
      <c r="H230" s="8" t="str">
        <f t="shared" si="12"/>
        <v/>
      </c>
      <c r="I230" s="10" t="str">
        <f t="shared" si="13"/>
        <v/>
      </c>
      <c r="J230" s="14" t="str">
        <f t="shared" si="14"/>
        <v/>
      </c>
      <c r="K230" s="4"/>
      <c r="L230" s="8" t="str">
        <f>IFERROR(VLOOKUP(A230,KRX종목마스터!$A:$C,3,FALSE),"")</f>
        <v/>
      </c>
      <c r="M230" s="18" t="str">
        <f t="shared" si="15"/>
        <v/>
      </c>
      <c r="N230" s="4"/>
      <c r="O230" s="9"/>
    </row>
    <row r="231" spans="1:15" ht="18" customHeight="1" x14ac:dyDescent="0.45">
      <c r="A231" s="5"/>
      <c r="B231" s="6" t="str">
        <f>IFERROR(VLOOKUP(A231,KRX종목마스터!$A:$B,2,FALSE),"")</f>
        <v/>
      </c>
      <c r="C231" s="4"/>
      <c r="D231" s="7"/>
      <c r="E231" s="3"/>
      <c r="F231" s="7"/>
      <c r="G231" s="7"/>
      <c r="H231" s="8" t="str">
        <f t="shared" si="12"/>
        <v/>
      </c>
      <c r="I231" s="10" t="str">
        <f t="shared" si="13"/>
        <v/>
      </c>
      <c r="J231" s="14" t="str">
        <f t="shared" si="14"/>
        <v/>
      </c>
      <c r="K231" s="4"/>
      <c r="L231" s="8" t="str">
        <f>IFERROR(VLOOKUP(A231,KRX종목마스터!$A:$C,3,FALSE),"")</f>
        <v/>
      </c>
      <c r="M231" s="18" t="str">
        <f t="shared" si="15"/>
        <v/>
      </c>
      <c r="N231" s="4"/>
      <c r="O231" s="9"/>
    </row>
    <row r="232" spans="1:15" ht="18" customHeight="1" x14ac:dyDescent="0.45">
      <c r="A232" s="5"/>
      <c r="B232" s="6" t="str">
        <f>IFERROR(VLOOKUP(A232,KRX종목마스터!$A:$B,2,FALSE),"")</f>
        <v/>
      </c>
      <c r="C232" s="4"/>
      <c r="D232" s="7"/>
      <c r="E232" s="3"/>
      <c r="F232" s="7"/>
      <c r="G232" s="7"/>
      <c r="H232" s="8" t="str">
        <f t="shared" si="12"/>
        <v/>
      </c>
      <c r="I232" s="10" t="str">
        <f t="shared" si="13"/>
        <v/>
      </c>
      <c r="J232" s="14" t="str">
        <f t="shared" si="14"/>
        <v/>
      </c>
      <c r="K232" s="4"/>
      <c r="L232" s="8" t="str">
        <f>IFERROR(VLOOKUP(A232,KRX종목마스터!$A:$C,3,FALSE),"")</f>
        <v/>
      </c>
      <c r="M232" s="18" t="str">
        <f t="shared" si="15"/>
        <v/>
      </c>
      <c r="N232" s="4"/>
      <c r="O232" s="9"/>
    </row>
    <row r="233" spans="1:15" ht="18" customHeight="1" x14ac:dyDescent="0.45">
      <c r="A233" s="5"/>
      <c r="B233" s="6" t="str">
        <f>IFERROR(VLOOKUP(A233,KRX종목마스터!$A:$B,2,FALSE),"")</f>
        <v/>
      </c>
      <c r="C233" s="4"/>
      <c r="D233" s="7"/>
      <c r="E233" s="3"/>
      <c r="F233" s="7"/>
      <c r="G233" s="7"/>
      <c r="H233" s="8" t="str">
        <f t="shared" si="12"/>
        <v/>
      </c>
      <c r="I233" s="10" t="str">
        <f t="shared" si="13"/>
        <v/>
      </c>
      <c r="J233" s="14" t="str">
        <f t="shared" si="14"/>
        <v/>
      </c>
      <c r="K233" s="4"/>
      <c r="L233" s="8" t="str">
        <f>IFERROR(VLOOKUP(A233,KRX종목마스터!$A:$C,3,FALSE),"")</f>
        <v/>
      </c>
      <c r="M233" s="18" t="str">
        <f t="shared" si="15"/>
        <v/>
      </c>
      <c r="N233" s="4"/>
      <c r="O233" s="9"/>
    </row>
    <row r="234" spans="1:15" ht="18" customHeight="1" x14ac:dyDescent="0.45">
      <c r="A234" s="5"/>
      <c r="B234" s="6" t="str">
        <f>IFERROR(VLOOKUP(A234,KRX종목마스터!$A:$B,2,FALSE),"")</f>
        <v/>
      </c>
      <c r="C234" s="4"/>
      <c r="D234" s="7"/>
      <c r="E234" s="3"/>
      <c r="F234" s="7"/>
      <c r="G234" s="7"/>
      <c r="H234" s="8" t="str">
        <f t="shared" si="12"/>
        <v/>
      </c>
      <c r="I234" s="10" t="str">
        <f t="shared" si="13"/>
        <v/>
      </c>
      <c r="J234" s="14" t="str">
        <f t="shared" si="14"/>
        <v/>
      </c>
      <c r="K234" s="4"/>
      <c r="L234" s="8" t="str">
        <f>IFERROR(VLOOKUP(A234,KRX종목마스터!$A:$C,3,FALSE),"")</f>
        <v/>
      </c>
      <c r="M234" s="18" t="str">
        <f t="shared" si="15"/>
        <v/>
      </c>
      <c r="N234" s="4"/>
      <c r="O234" s="9"/>
    </row>
    <row r="235" spans="1:15" ht="18" customHeight="1" x14ac:dyDescent="0.45">
      <c r="A235" s="5"/>
      <c r="B235" s="6" t="str">
        <f>IFERROR(VLOOKUP(A235,KRX종목마스터!$A:$B,2,FALSE),"")</f>
        <v/>
      </c>
      <c r="C235" s="4"/>
      <c r="D235" s="7"/>
      <c r="E235" s="3"/>
      <c r="F235" s="7"/>
      <c r="G235" s="7"/>
      <c r="H235" s="8" t="str">
        <f t="shared" si="12"/>
        <v/>
      </c>
      <c r="I235" s="10" t="str">
        <f t="shared" si="13"/>
        <v/>
      </c>
      <c r="J235" s="14" t="str">
        <f t="shared" si="14"/>
        <v/>
      </c>
      <c r="K235" s="4"/>
      <c r="L235" s="8" t="str">
        <f>IFERROR(VLOOKUP(A235,KRX종목마스터!$A:$C,3,FALSE),"")</f>
        <v/>
      </c>
      <c r="M235" s="18" t="str">
        <f t="shared" si="15"/>
        <v/>
      </c>
      <c r="N235" s="4"/>
      <c r="O235" s="9"/>
    </row>
    <row r="236" spans="1:15" ht="18" customHeight="1" x14ac:dyDescent="0.45">
      <c r="A236" s="5"/>
      <c r="B236" s="6" t="str">
        <f>IFERROR(VLOOKUP(A236,KRX종목마스터!$A:$B,2,FALSE),"")</f>
        <v/>
      </c>
      <c r="C236" s="4"/>
      <c r="D236" s="7"/>
      <c r="E236" s="3"/>
      <c r="F236" s="7"/>
      <c r="G236" s="7"/>
      <c r="H236" s="8" t="str">
        <f t="shared" si="12"/>
        <v/>
      </c>
      <c r="I236" s="10" t="str">
        <f t="shared" si="13"/>
        <v/>
      </c>
      <c r="J236" s="14" t="str">
        <f t="shared" si="14"/>
        <v/>
      </c>
      <c r="K236" s="4"/>
      <c r="L236" s="8" t="str">
        <f>IFERROR(VLOOKUP(A236,KRX종목마스터!$A:$C,3,FALSE),"")</f>
        <v/>
      </c>
      <c r="M236" s="18" t="str">
        <f t="shared" si="15"/>
        <v/>
      </c>
      <c r="N236" s="4"/>
      <c r="O236" s="9"/>
    </row>
    <row r="237" spans="1:15" ht="18" customHeight="1" x14ac:dyDescent="0.45">
      <c r="A237" s="5"/>
      <c r="B237" s="6" t="str">
        <f>IFERROR(VLOOKUP(A237,KRX종목마스터!$A:$B,2,FALSE),"")</f>
        <v/>
      </c>
      <c r="C237" s="4"/>
      <c r="D237" s="7"/>
      <c r="E237" s="3"/>
      <c r="F237" s="7"/>
      <c r="G237" s="7"/>
      <c r="H237" s="8" t="str">
        <f t="shared" si="12"/>
        <v/>
      </c>
      <c r="I237" s="10" t="str">
        <f t="shared" si="13"/>
        <v/>
      </c>
      <c r="J237" s="14" t="str">
        <f t="shared" si="14"/>
        <v/>
      </c>
      <c r="K237" s="4"/>
      <c r="L237" s="8" t="str">
        <f>IFERROR(VLOOKUP(A237,KRX종목마스터!$A:$C,3,FALSE),"")</f>
        <v/>
      </c>
      <c r="M237" s="18" t="str">
        <f t="shared" si="15"/>
        <v/>
      </c>
      <c r="N237" s="4"/>
      <c r="O237" s="9"/>
    </row>
    <row r="238" spans="1:15" ht="18" customHeight="1" x14ac:dyDescent="0.45">
      <c r="A238" s="5"/>
      <c r="B238" s="6" t="str">
        <f>IFERROR(VLOOKUP(A238,KRX종목마스터!$A:$B,2,FALSE),"")</f>
        <v/>
      </c>
      <c r="C238" s="4"/>
      <c r="D238" s="7"/>
      <c r="E238" s="3"/>
      <c r="F238" s="7"/>
      <c r="G238" s="7"/>
      <c r="H238" s="8" t="str">
        <f t="shared" si="12"/>
        <v/>
      </c>
      <c r="I238" s="10" t="str">
        <f t="shared" si="13"/>
        <v/>
      </c>
      <c r="J238" s="14" t="str">
        <f t="shared" si="14"/>
        <v/>
      </c>
      <c r="K238" s="4"/>
      <c r="L238" s="8" t="str">
        <f>IFERROR(VLOOKUP(A238,KRX종목마스터!$A:$C,3,FALSE),"")</f>
        <v/>
      </c>
      <c r="M238" s="18" t="str">
        <f t="shared" si="15"/>
        <v/>
      </c>
      <c r="N238" s="4"/>
      <c r="O238" s="9"/>
    </row>
    <row r="239" spans="1:15" ht="18" customHeight="1" x14ac:dyDescent="0.45">
      <c r="A239" s="5"/>
      <c r="B239" s="6" t="str">
        <f>IFERROR(VLOOKUP(A239,KRX종목마스터!$A:$B,2,FALSE),"")</f>
        <v/>
      </c>
      <c r="C239" s="4"/>
      <c r="D239" s="7"/>
      <c r="E239" s="3"/>
      <c r="F239" s="7"/>
      <c r="G239" s="7"/>
      <c r="H239" s="8" t="str">
        <f t="shared" si="12"/>
        <v/>
      </c>
      <c r="I239" s="10" t="str">
        <f t="shared" si="13"/>
        <v/>
      </c>
      <c r="J239" s="14" t="str">
        <f t="shared" si="14"/>
        <v/>
      </c>
      <c r="K239" s="4"/>
      <c r="L239" s="8" t="str">
        <f>IFERROR(VLOOKUP(A239,KRX종목마스터!$A:$C,3,FALSE),"")</f>
        <v/>
      </c>
      <c r="M239" s="18" t="str">
        <f t="shared" si="15"/>
        <v/>
      </c>
      <c r="N239" s="4"/>
      <c r="O239" s="9"/>
    </row>
    <row r="240" spans="1:15" ht="18" customHeight="1" x14ac:dyDescent="0.45">
      <c r="A240" s="5"/>
      <c r="B240" s="6" t="str">
        <f>IFERROR(VLOOKUP(A240,KRX종목마스터!$A:$B,2,FALSE),"")</f>
        <v/>
      </c>
      <c r="C240" s="4"/>
      <c r="D240" s="7"/>
      <c r="E240" s="3"/>
      <c r="F240" s="7"/>
      <c r="G240" s="7"/>
      <c r="H240" s="8" t="str">
        <f t="shared" si="12"/>
        <v/>
      </c>
      <c r="I240" s="10" t="str">
        <f t="shared" si="13"/>
        <v/>
      </c>
      <c r="J240" s="14" t="str">
        <f t="shared" si="14"/>
        <v/>
      </c>
      <c r="K240" s="4"/>
      <c r="L240" s="8" t="str">
        <f>IFERROR(VLOOKUP(A240,KRX종목마스터!$A:$C,3,FALSE),"")</f>
        <v/>
      </c>
      <c r="M240" s="18" t="str">
        <f t="shared" si="15"/>
        <v/>
      </c>
      <c r="N240" s="4"/>
      <c r="O240" s="9"/>
    </row>
    <row r="241" spans="1:15" ht="18" customHeight="1" x14ac:dyDescent="0.45">
      <c r="A241" s="5"/>
      <c r="B241" s="6" t="str">
        <f>IFERROR(VLOOKUP(A241,KRX종목마스터!$A:$B,2,FALSE),"")</f>
        <v/>
      </c>
      <c r="C241" s="4"/>
      <c r="D241" s="7"/>
      <c r="E241" s="3"/>
      <c r="F241" s="7"/>
      <c r="G241" s="7"/>
      <c r="H241" s="8" t="str">
        <f t="shared" si="12"/>
        <v/>
      </c>
      <c r="I241" s="10" t="str">
        <f t="shared" si="13"/>
        <v/>
      </c>
      <c r="J241" s="14" t="str">
        <f t="shared" si="14"/>
        <v/>
      </c>
      <c r="K241" s="4"/>
      <c r="L241" s="8" t="str">
        <f>IFERROR(VLOOKUP(A241,KRX종목마스터!$A:$C,3,FALSE),"")</f>
        <v/>
      </c>
      <c r="M241" s="18" t="str">
        <f t="shared" si="15"/>
        <v/>
      </c>
      <c r="N241" s="4"/>
      <c r="O241" s="9"/>
    </row>
    <row r="242" spans="1:15" ht="18" customHeight="1" x14ac:dyDescent="0.45">
      <c r="A242" s="5"/>
      <c r="B242" s="6" t="str">
        <f>IFERROR(VLOOKUP(A242,KRX종목마스터!$A:$B,2,FALSE),"")</f>
        <v/>
      </c>
      <c r="C242" s="4"/>
      <c r="D242" s="7"/>
      <c r="E242" s="3"/>
      <c r="F242" s="7"/>
      <c r="G242" s="7"/>
      <c r="H242" s="8" t="str">
        <f t="shared" si="12"/>
        <v/>
      </c>
      <c r="I242" s="10" t="str">
        <f t="shared" si="13"/>
        <v/>
      </c>
      <c r="J242" s="14" t="str">
        <f t="shared" si="14"/>
        <v/>
      </c>
      <c r="K242" s="4"/>
      <c r="L242" s="8" t="str">
        <f>IFERROR(VLOOKUP(A242,KRX종목마스터!$A:$C,3,FALSE),"")</f>
        <v/>
      </c>
      <c r="M242" s="18" t="str">
        <f t="shared" si="15"/>
        <v/>
      </c>
      <c r="N242" s="4"/>
      <c r="O242" s="9"/>
    </row>
    <row r="243" spans="1:15" ht="18" customHeight="1" x14ac:dyDescent="0.45">
      <c r="A243" s="5"/>
      <c r="B243" s="6" t="str">
        <f>IFERROR(VLOOKUP(A243,KRX종목마스터!$A:$B,2,FALSE),"")</f>
        <v/>
      </c>
      <c r="C243" s="4"/>
      <c r="D243" s="7"/>
      <c r="E243" s="3"/>
      <c r="F243" s="7"/>
      <c r="G243" s="7"/>
      <c r="H243" s="8" t="str">
        <f t="shared" si="12"/>
        <v/>
      </c>
      <c r="I243" s="10" t="str">
        <f t="shared" si="13"/>
        <v/>
      </c>
      <c r="J243" s="14" t="str">
        <f t="shared" si="14"/>
        <v/>
      </c>
      <c r="K243" s="4"/>
      <c r="L243" s="8" t="str">
        <f>IFERROR(VLOOKUP(A243,KRX종목마스터!$A:$C,3,FALSE),"")</f>
        <v/>
      </c>
      <c r="M243" s="18" t="str">
        <f t="shared" si="15"/>
        <v/>
      </c>
      <c r="N243" s="4"/>
      <c r="O243" s="9"/>
    </row>
    <row r="244" spans="1:15" ht="18" customHeight="1" x14ac:dyDescent="0.45">
      <c r="A244" s="5"/>
      <c r="B244" s="6" t="str">
        <f>IFERROR(VLOOKUP(A244,KRX종목마스터!$A:$B,2,FALSE),"")</f>
        <v/>
      </c>
      <c r="C244" s="4"/>
      <c r="D244" s="7"/>
      <c r="E244" s="3"/>
      <c r="F244" s="7"/>
      <c r="G244" s="7"/>
      <c r="H244" s="8" t="str">
        <f t="shared" si="12"/>
        <v/>
      </c>
      <c r="I244" s="10" t="str">
        <f t="shared" si="13"/>
        <v/>
      </c>
      <c r="J244" s="14" t="str">
        <f t="shared" si="14"/>
        <v/>
      </c>
      <c r="K244" s="4"/>
      <c r="L244" s="8" t="str">
        <f>IFERROR(VLOOKUP(A244,KRX종목마스터!$A:$C,3,FALSE),"")</f>
        <v/>
      </c>
      <c r="M244" s="18" t="str">
        <f t="shared" si="15"/>
        <v/>
      </c>
      <c r="N244" s="4"/>
      <c r="O244" s="9"/>
    </row>
    <row r="245" spans="1:15" ht="18" customHeight="1" x14ac:dyDescent="0.45">
      <c r="A245" s="5"/>
      <c r="B245" s="6" t="str">
        <f>IFERROR(VLOOKUP(A245,KRX종목마스터!$A:$B,2,FALSE),"")</f>
        <v/>
      </c>
      <c r="C245" s="4"/>
      <c r="D245" s="7"/>
      <c r="E245" s="3"/>
      <c r="F245" s="7"/>
      <c r="G245" s="7"/>
      <c r="H245" s="8" t="str">
        <f t="shared" si="12"/>
        <v/>
      </c>
      <c r="I245" s="10" t="str">
        <f t="shared" si="13"/>
        <v/>
      </c>
      <c r="J245" s="14" t="str">
        <f t="shared" si="14"/>
        <v/>
      </c>
      <c r="K245" s="4"/>
      <c r="L245" s="8" t="str">
        <f>IFERROR(VLOOKUP(A245,KRX종목마스터!$A:$C,3,FALSE),"")</f>
        <v/>
      </c>
      <c r="M245" s="18" t="str">
        <f t="shared" si="15"/>
        <v/>
      </c>
      <c r="N245" s="4"/>
      <c r="O245" s="9"/>
    </row>
    <row r="246" spans="1:15" ht="18" customHeight="1" x14ac:dyDescent="0.45">
      <c r="A246" s="5"/>
      <c r="B246" s="6" t="str">
        <f>IFERROR(VLOOKUP(A246,KRX종목마스터!$A:$B,2,FALSE),"")</f>
        <v/>
      </c>
      <c r="C246" s="4"/>
      <c r="D246" s="7"/>
      <c r="E246" s="3"/>
      <c r="F246" s="7"/>
      <c r="G246" s="7"/>
      <c r="H246" s="8" t="str">
        <f t="shared" si="12"/>
        <v/>
      </c>
      <c r="I246" s="10" t="str">
        <f t="shared" si="13"/>
        <v/>
      </c>
      <c r="J246" s="14" t="str">
        <f t="shared" si="14"/>
        <v/>
      </c>
      <c r="K246" s="4"/>
      <c r="L246" s="8" t="str">
        <f>IFERROR(VLOOKUP(A246,KRX종목마스터!$A:$C,3,FALSE),"")</f>
        <v/>
      </c>
      <c r="M246" s="18" t="str">
        <f t="shared" si="15"/>
        <v/>
      </c>
      <c r="N246" s="4"/>
      <c r="O246" s="9"/>
    </row>
    <row r="247" spans="1:15" ht="18" customHeight="1" x14ac:dyDescent="0.45">
      <c r="A247" s="5"/>
      <c r="B247" s="6" t="str">
        <f>IFERROR(VLOOKUP(A247,KRX종목마스터!$A:$B,2,FALSE),"")</f>
        <v/>
      </c>
      <c r="C247" s="4"/>
      <c r="D247" s="7"/>
      <c r="E247" s="3"/>
      <c r="F247" s="7"/>
      <c r="G247" s="7"/>
      <c r="H247" s="8" t="str">
        <f t="shared" si="12"/>
        <v/>
      </c>
      <c r="I247" s="10" t="str">
        <f t="shared" si="13"/>
        <v/>
      </c>
      <c r="J247" s="14" t="str">
        <f t="shared" si="14"/>
        <v/>
      </c>
      <c r="K247" s="4"/>
      <c r="L247" s="8" t="str">
        <f>IFERROR(VLOOKUP(A247,KRX종목마스터!$A:$C,3,FALSE),"")</f>
        <v/>
      </c>
      <c r="M247" s="18" t="str">
        <f t="shared" si="15"/>
        <v/>
      </c>
      <c r="N247" s="4"/>
      <c r="O247" s="9"/>
    </row>
    <row r="248" spans="1:15" ht="18" customHeight="1" x14ac:dyDescent="0.45">
      <c r="A248" s="5"/>
      <c r="B248" s="6" t="str">
        <f>IFERROR(VLOOKUP(A248,KRX종목마스터!$A:$B,2,FALSE),"")</f>
        <v/>
      </c>
      <c r="C248" s="4"/>
      <c r="D248" s="7"/>
      <c r="E248" s="3"/>
      <c r="F248" s="7"/>
      <c r="G248" s="7"/>
      <c r="H248" s="8" t="str">
        <f t="shared" si="12"/>
        <v/>
      </c>
      <c r="I248" s="10" t="str">
        <f t="shared" si="13"/>
        <v/>
      </c>
      <c r="J248" s="14" t="str">
        <f t="shared" si="14"/>
        <v/>
      </c>
      <c r="K248" s="4"/>
      <c r="L248" s="8" t="str">
        <f>IFERROR(VLOOKUP(A248,KRX종목마스터!$A:$C,3,FALSE),"")</f>
        <v/>
      </c>
      <c r="M248" s="18" t="str">
        <f t="shared" si="15"/>
        <v/>
      </c>
      <c r="N248" s="4"/>
      <c r="O248" s="9"/>
    </row>
    <row r="249" spans="1:15" ht="18" customHeight="1" x14ac:dyDescent="0.45">
      <c r="A249" s="5"/>
      <c r="B249" s="6" t="str">
        <f>IFERROR(VLOOKUP(A249,KRX종목마스터!$A:$B,2,FALSE),"")</f>
        <v/>
      </c>
      <c r="C249" s="4"/>
      <c r="D249" s="7"/>
      <c r="E249" s="3"/>
      <c r="F249" s="7"/>
      <c r="G249" s="7"/>
      <c r="H249" s="8" t="str">
        <f t="shared" si="12"/>
        <v/>
      </c>
      <c r="I249" s="10" t="str">
        <f t="shared" si="13"/>
        <v/>
      </c>
      <c r="J249" s="14" t="str">
        <f t="shared" si="14"/>
        <v/>
      </c>
      <c r="K249" s="4"/>
      <c r="L249" s="8" t="str">
        <f>IFERROR(VLOOKUP(A249,KRX종목마스터!$A:$C,3,FALSE),"")</f>
        <v/>
      </c>
      <c r="M249" s="18" t="str">
        <f t="shared" si="15"/>
        <v/>
      </c>
      <c r="N249" s="4"/>
      <c r="O249" s="9"/>
    </row>
    <row r="250" spans="1:15" ht="18" customHeight="1" x14ac:dyDescent="0.45">
      <c r="A250" s="5"/>
      <c r="B250" s="6" t="str">
        <f>IFERROR(VLOOKUP(A250,KRX종목마스터!$A:$B,2,FALSE),"")</f>
        <v/>
      </c>
      <c r="C250" s="4"/>
      <c r="D250" s="7"/>
      <c r="E250" s="3"/>
      <c r="F250" s="7"/>
      <c r="G250" s="7"/>
      <c r="H250" s="8" t="str">
        <f t="shared" si="12"/>
        <v/>
      </c>
      <c r="I250" s="10" t="str">
        <f t="shared" si="13"/>
        <v/>
      </c>
      <c r="J250" s="14" t="str">
        <f t="shared" si="14"/>
        <v/>
      </c>
      <c r="K250" s="4"/>
      <c r="L250" s="8" t="str">
        <f>IFERROR(VLOOKUP(A250,KRX종목마스터!$A:$C,3,FALSE),"")</f>
        <v/>
      </c>
      <c r="M250" s="18" t="str">
        <f t="shared" si="15"/>
        <v/>
      </c>
      <c r="N250" s="4"/>
      <c r="O250" s="9"/>
    </row>
    <row r="251" spans="1:15" ht="18" customHeight="1" x14ac:dyDescent="0.45">
      <c r="A251" s="5"/>
      <c r="B251" s="6" t="str">
        <f>IFERROR(VLOOKUP(A251,KRX종목마스터!$A:$B,2,FALSE),"")</f>
        <v/>
      </c>
      <c r="C251" s="4"/>
      <c r="D251" s="7"/>
      <c r="E251" s="3"/>
      <c r="F251" s="7"/>
      <c r="G251" s="7"/>
      <c r="H251" s="8" t="str">
        <f t="shared" si="12"/>
        <v/>
      </c>
      <c r="I251" s="10" t="str">
        <f t="shared" si="13"/>
        <v/>
      </c>
      <c r="J251" s="14" t="str">
        <f t="shared" si="14"/>
        <v/>
      </c>
      <c r="K251" s="4"/>
      <c r="L251" s="8" t="str">
        <f>IFERROR(VLOOKUP(A251,KRX종목마스터!$A:$C,3,FALSE),"")</f>
        <v/>
      </c>
      <c r="M251" s="18" t="str">
        <f t="shared" si="15"/>
        <v/>
      </c>
      <c r="N251" s="4"/>
      <c r="O251" s="9"/>
    </row>
    <row r="252" spans="1:15" ht="18" customHeight="1" x14ac:dyDescent="0.45">
      <c r="A252" s="5"/>
      <c r="B252" s="6" t="str">
        <f>IFERROR(VLOOKUP(A252,KRX종목마스터!$A:$B,2,FALSE),"")</f>
        <v/>
      </c>
      <c r="C252" s="4"/>
      <c r="D252" s="7"/>
      <c r="E252" s="3"/>
      <c r="F252" s="7"/>
      <c r="G252" s="7"/>
      <c r="H252" s="8" t="str">
        <f t="shared" si="12"/>
        <v/>
      </c>
      <c r="I252" s="10" t="str">
        <f t="shared" si="13"/>
        <v/>
      </c>
      <c r="J252" s="14" t="str">
        <f t="shared" si="14"/>
        <v/>
      </c>
      <c r="K252" s="4"/>
      <c r="L252" s="8" t="str">
        <f>IFERROR(VLOOKUP(A252,KRX종목마스터!$A:$C,3,FALSE),"")</f>
        <v/>
      </c>
      <c r="M252" s="18" t="str">
        <f t="shared" si="15"/>
        <v/>
      </c>
      <c r="N252" s="4"/>
      <c r="O252" s="9"/>
    </row>
    <row r="253" spans="1:15" ht="18" customHeight="1" x14ac:dyDescent="0.45">
      <c r="A253" s="5"/>
      <c r="B253" s="6" t="str">
        <f>IFERROR(VLOOKUP(A253,KRX종목마스터!$A:$B,2,FALSE),"")</f>
        <v/>
      </c>
      <c r="C253" s="4"/>
      <c r="D253" s="7"/>
      <c r="E253" s="3"/>
      <c r="F253" s="7"/>
      <c r="G253" s="7"/>
      <c r="H253" s="8" t="str">
        <f t="shared" si="12"/>
        <v/>
      </c>
      <c r="I253" s="10" t="str">
        <f t="shared" si="13"/>
        <v/>
      </c>
      <c r="J253" s="14" t="str">
        <f t="shared" si="14"/>
        <v/>
      </c>
      <c r="K253" s="4"/>
      <c r="L253" s="8" t="str">
        <f>IFERROR(VLOOKUP(A253,KRX종목마스터!$A:$C,3,FALSE),"")</f>
        <v/>
      </c>
      <c r="M253" s="18" t="str">
        <f t="shared" si="15"/>
        <v/>
      </c>
      <c r="N253" s="4"/>
      <c r="O253" s="9"/>
    </row>
    <row r="254" spans="1:15" ht="18" customHeight="1" x14ac:dyDescent="0.45">
      <c r="A254" s="5"/>
      <c r="B254" s="6" t="str">
        <f>IFERROR(VLOOKUP(A254,KRX종목마스터!$A:$B,2,FALSE),"")</f>
        <v/>
      </c>
      <c r="C254" s="4"/>
      <c r="D254" s="7"/>
      <c r="E254" s="3"/>
      <c r="F254" s="7"/>
      <c r="G254" s="7"/>
      <c r="H254" s="8" t="str">
        <f t="shared" si="12"/>
        <v/>
      </c>
      <c r="I254" s="10" t="str">
        <f t="shared" si="13"/>
        <v/>
      </c>
      <c r="J254" s="14" t="str">
        <f t="shared" si="14"/>
        <v/>
      </c>
      <c r="K254" s="4"/>
      <c r="L254" s="8" t="str">
        <f>IFERROR(VLOOKUP(A254,KRX종목마스터!$A:$C,3,FALSE),"")</f>
        <v/>
      </c>
      <c r="M254" s="18" t="str">
        <f t="shared" si="15"/>
        <v/>
      </c>
      <c r="N254" s="4"/>
      <c r="O254" s="9"/>
    </row>
    <row r="255" spans="1:15" ht="18" customHeight="1" x14ac:dyDescent="0.45">
      <c r="A255" s="5"/>
      <c r="B255" s="6" t="str">
        <f>IFERROR(VLOOKUP(A255,KRX종목마스터!$A:$B,2,FALSE),"")</f>
        <v/>
      </c>
      <c r="C255" s="4"/>
      <c r="D255" s="7"/>
      <c r="E255" s="3"/>
      <c r="F255" s="7"/>
      <c r="G255" s="7"/>
      <c r="H255" s="8" t="str">
        <f t="shared" si="12"/>
        <v/>
      </c>
      <c r="I255" s="10" t="str">
        <f t="shared" si="13"/>
        <v/>
      </c>
      <c r="J255" s="14" t="str">
        <f t="shared" si="14"/>
        <v/>
      </c>
      <c r="K255" s="4"/>
      <c r="L255" s="8" t="str">
        <f>IFERROR(VLOOKUP(A255,KRX종목마스터!$A:$C,3,FALSE),"")</f>
        <v/>
      </c>
      <c r="M255" s="18" t="str">
        <f t="shared" si="15"/>
        <v/>
      </c>
      <c r="N255" s="4"/>
      <c r="O255" s="9"/>
    </row>
    <row r="256" spans="1:15" ht="18" customHeight="1" x14ac:dyDescent="0.45">
      <c r="A256" s="5"/>
      <c r="B256" s="6" t="str">
        <f>IFERROR(VLOOKUP(A256,KRX종목마스터!$A:$B,2,FALSE),"")</f>
        <v/>
      </c>
      <c r="C256" s="4"/>
      <c r="D256" s="7"/>
      <c r="E256" s="3"/>
      <c r="F256" s="7"/>
      <c r="G256" s="7"/>
      <c r="H256" s="8" t="str">
        <f t="shared" si="12"/>
        <v/>
      </c>
      <c r="I256" s="10" t="str">
        <f t="shared" si="13"/>
        <v/>
      </c>
      <c r="J256" s="14" t="str">
        <f t="shared" si="14"/>
        <v/>
      </c>
      <c r="K256" s="4"/>
      <c r="L256" s="8" t="str">
        <f>IFERROR(VLOOKUP(A256,KRX종목마스터!$A:$C,3,FALSE),"")</f>
        <v/>
      </c>
      <c r="M256" s="18" t="str">
        <f t="shared" si="15"/>
        <v/>
      </c>
      <c r="N256" s="4"/>
      <c r="O256" s="9"/>
    </row>
    <row r="257" spans="1:15" ht="18" customHeight="1" x14ac:dyDescent="0.45">
      <c r="A257" s="5"/>
      <c r="B257" s="6" t="str">
        <f>IFERROR(VLOOKUP(A257,KRX종목마스터!$A:$B,2,FALSE),"")</f>
        <v/>
      </c>
      <c r="C257" s="4"/>
      <c r="D257" s="7"/>
      <c r="E257" s="3"/>
      <c r="F257" s="7"/>
      <c r="G257" s="7"/>
      <c r="H257" s="8" t="str">
        <f t="shared" si="12"/>
        <v/>
      </c>
      <c r="I257" s="10" t="str">
        <f t="shared" si="13"/>
        <v/>
      </c>
      <c r="J257" s="14" t="str">
        <f t="shared" si="14"/>
        <v/>
      </c>
      <c r="K257" s="4"/>
      <c r="L257" s="8" t="str">
        <f>IFERROR(VLOOKUP(A257,KRX종목마스터!$A:$C,3,FALSE),"")</f>
        <v/>
      </c>
      <c r="M257" s="18" t="str">
        <f t="shared" si="15"/>
        <v/>
      </c>
      <c r="N257" s="4"/>
      <c r="O257" s="9"/>
    </row>
    <row r="258" spans="1:15" ht="18" customHeight="1" x14ac:dyDescent="0.45">
      <c r="A258" s="5"/>
      <c r="B258" s="6" t="str">
        <f>IFERROR(VLOOKUP(A258,KRX종목마스터!$A:$B,2,FALSE),"")</f>
        <v/>
      </c>
      <c r="C258" s="4"/>
      <c r="D258" s="7"/>
      <c r="E258" s="3"/>
      <c r="F258" s="7"/>
      <c r="G258" s="7"/>
      <c r="H258" s="8" t="str">
        <f t="shared" si="12"/>
        <v/>
      </c>
      <c r="I258" s="10" t="str">
        <f t="shared" si="13"/>
        <v/>
      </c>
      <c r="J258" s="14" t="str">
        <f t="shared" si="14"/>
        <v/>
      </c>
      <c r="K258" s="4"/>
      <c r="L258" s="8" t="str">
        <f>IFERROR(VLOOKUP(A258,KRX종목마스터!$A:$C,3,FALSE),"")</f>
        <v/>
      </c>
      <c r="M258" s="18" t="str">
        <f t="shared" si="15"/>
        <v/>
      </c>
      <c r="N258" s="4"/>
      <c r="O258" s="9"/>
    </row>
    <row r="259" spans="1:15" ht="18" customHeight="1" x14ac:dyDescent="0.45">
      <c r="A259" s="5"/>
      <c r="B259" s="6" t="str">
        <f>IFERROR(VLOOKUP(A259,KRX종목마스터!$A:$B,2,FALSE),"")</f>
        <v/>
      </c>
      <c r="C259" s="4"/>
      <c r="D259" s="7"/>
      <c r="E259" s="3"/>
      <c r="F259" s="7"/>
      <c r="G259" s="7"/>
      <c r="H259" s="8" t="str">
        <f t="shared" si="12"/>
        <v/>
      </c>
      <c r="I259" s="10" t="str">
        <f t="shared" si="13"/>
        <v/>
      </c>
      <c r="J259" s="14" t="str">
        <f t="shared" si="14"/>
        <v/>
      </c>
      <c r="K259" s="4"/>
      <c r="L259" s="8" t="str">
        <f>IFERROR(VLOOKUP(A259,KRX종목마스터!$A:$C,3,FALSE),"")</f>
        <v/>
      </c>
      <c r="M259" s="18" t="str">
        <f t="shared" si="15"/>
        <v/>
      </c>
      <c r="N259" s="4"/>
      <c r="O259" s="9"/>
    </row>
    <row r="260" spans="1:15" ht="18" customHeight="1" x14ac:dyDescent="0.45">
      <c r="A260" s="5"/>
      <c r="B260" s="6" t="str">
        <f>IFERROR(VLOOKUP(A260,KRX종목마스터!$A:$B,2,FALSE),"")</f>
        <v/>
      </c>
      <c r="C260" s="4"/>
      <c r="D260" s="7"/>
      <c r="E260" s="3"/>
      <c r="F260" s="7"/>
      <c r="G260" s="7"/>
      <c r="H260" s="8" t="str">
        <f t="shared" ref="H260:H323" si="16">IF(AND(F260&lt;&gt;"",G260&lt;&gt;""),F260*G260,"")</f>
        <v/>
      </c>
      <c r="I260" s="10" t="str">
        <f t="shared" ref="I260:I303" si="17">IF(OR(D260="",F260="",G260=""),"",(F260-D260)*G260)</f>
        <v/>
      </c>
      <c r="J260" s="14" t="str">
        <f t="shared" ref="J260:J303" si="18">IF(OR(D260="",F260=""),"",(F260-D260)/D260)</f>
        <v/>
      </c>
      <c r="K260" s="4"/>
      <c r="L260" s="8" t="str">
        <f>IFERROR(VLOOKUP(A260,KRX종목마스터!$A:$C,3,FALSE),"")</f>
        <v/>
      </c>
      <c r="M260" s="18" t="str">
        <f t="shared" ref="M260:M323" si="19">IF(OR(F260="",L260=""),"",(L260-F260)/F260)</f>
        <v/>
      </c>
      <c r="N260" s="4"/>
      <c r="O260" s="9"/>
    </row>
    <row r="261" spans="1:15" ht="18" customHeight="1" x14ac:dyDescent="0.45">
      <c r="A261" s="5"/>
      <c r="B261" s="6" t="str">
        <f>IFERROR(VLOOKUP(A261,KRX종목마스터!$A:$B,2,FALSE),"")</f>
        <v/>
      </c>
      <c r="C261" s="4"/>
      <c r="D261" s="7"/>
      <c r="E261" s="3"/>
      <c r="F261" s="7"/>
      <c r="G261" s="7"/>
      <c r="H261" s="8" t="str">
        <f t="shared" si="16"/>
        <v/>
      </c>
      <c r="I261" s="10" t="str">
        <f t="shared" si="17"/>
        <v/>
      </c>
      <c r="J261" s="14" t="str">
        <f t="shared" si="18"/>
        <v/>
      </c>
      <c r="K261" s="4"/>
      <c r="L261" s="8" t="str">
        <f>IFERROR(VLOOKUP(A261,KRX종목마스터!$A:$C,3,FALSE),"")</f>
        <v/>
      </c>
      <c r="M261" s="18" t="str">
        <f t="shared" si="19"/>
        <v/>
      </c>
      <c r="N261" s="4"/>
      <c r="O261" s="9"/>
    </row>
    <row r="262" spans="1:15" ht="18" customHeight="1" x14ac:dyDescent="0.45">
      <c r="A262" s="5"/>
      <c r="B262" s="6" t="str">
        <f>IFERROR(VLOOKUP(A262,KRX종목마스터!$A:$B,2,FALSE),"")</f>
        <v/>
      </c>
      <c r="C262" s="4"/>
      <c r="D262" s="7"/>
      <c r="E262" s="3"/>
      <c r="F262" s="7"/>
      <c r="G262" s="7"/>
      <c r="H262" s="8" t="str">
        <f t="shared" si="16"/>
        <v/>
      </c>
      <c r="I262" s="10" t="str">
        <f t="shared" si="17"/>
        <v/>
      </c>
      <c r="J262" s="14" t="str">
        <f t="shared" si="18"/>
        <v/>
      </c>
      <c r="K262" s="4"/>
      <c r="L262" s="8" t="str">
        <f>IFERROR(VLOOKUP(A262,KRX종목마스터!$A:$C,3,FALSE),"")</f>
        <v/>
      </c>
      <c r="M262" s="18" t="str">
        <f t="shared" si="19"/>
        <v/>
      </c>
      <c r="N262" s="4"/>
      <c r="O262" s="9"/>
    </row>
    <row r="263" spans="1:15" ht="18" customHeight="1" x14ac:dyDescent="0.45">
      <c r="A263" s="5"/>
      <c r="B263" s="6" t="str">
        <f>IFERROR(VLOOKUP(A263,KRX종목마스터!$A:$B,2,FALSE),"")</f>
        <v/>
      </c>
      <c r="C263" s="4"/>
      <c r="D263" s="7"/>
      <c r="E263" s="3"/>
      <c r="F263" s="7"/>
      <c r="G263" s="7"/>
      <c r="H263" s="8" t="str">
        <f t="shared" si="16"/>
        <v/>
      </c>
      <c r="I263" s="10" t="str">
        <f t="shared" si="17"/>
        <v/>
      </c>
      <c r="J263" s="14" t="str">
        <f t="shared" si="18"/>
        <v/>
      </c>
      <c r="K263" s="4"/>
      <c r="L263" s="8" t="str">
        <f>IFERROR(VLOOKUP(A263,KRX종목마스터!$A:$C,3,FALSE),"")</f>
        <v/>
      </c>
      <c r="M263" s="18" t="str">
        <f t="shared" si="19"/>
        <v/>
      </c>
      <c r="N263" s="4"/>
      <c r="O263" s="9"/>
    </row>
    <row r="264" spans="1:15" ht="18" customHeight="1" x14ac:dyDescent="0.45">
      <c r="A264" s="5"/>
      <c r="B264" s="6" t="str">
        <f>IFERROR(VLOOKUP(A264,KRX종목마스터!$A:$B,2,FALSE),"")</f>
        <v/>
      </c>
      <c r="C264" s="4"/>
      <c r="D264" s="7"/>
      <c r="E264" s="3"/>
      <c r="F264" s="7"/>
      <c r="G264" s="7"/>
      <c r="H264" s="8" t="str">
        <f t="shared" si="16"/>
        <v/>
      </c>
      <c r="I264" s="10" t="str">
        <f t="shared" si="17"/>
        <v/>
      </c>
      <c r="J264" s="14" t="str">
        <f t="shared" si="18"/>
        <v/>
      </c>
      <c r="K264" s="4"/>
      <c r="L264" s="8" t="str">
        <f>IFERROR(VLOOKUP(A264,KRX종목마스터!$A:$C,3,FALSE),"")</f>
        <v/>
      </c>
      <c r="M264" s="18" t="str">
        <f t="shared" si="19"/>
        <v/>
      </c>
      <c r="N264" s="4"/>
      <c r="O264" s="9"/>
    </row>
    <row r="265" spans="1:15" ht="18" customHeight="1" x14ac:dyDescent="0.45">
      <c r="A265" s="5"/>
      <c r="B265" s="6" t="str">
        <f>IFERROR(VLOOKUP(A265,KRX종목마스터!$A:$B,2,FALSE),"")</f>
        <v/>
      </c>
      <c r="C265" s="4"/>
      <c r="D265" s="7"/>
      <c r="E265" s="3"/>
      <c r="F265" s="7"/>
      <c r="G265" s="7"/>
      <c r="H265" s="8" t="str">
        <f t="shared" si="16"/>
        <v/>
      </c>
      <c r="I265" s="10" t="str">
        <f t="shared" si="17"/>
        <v/>
      </c>
      <c r="J265" s="14" t="str">
        <f t="shared" si="18"/>
        <v/>
      </c>
      <c r="K265" s="4"/>
      <c r="L265" s="8" t="str">
        <f>IFERROR(VLOOKUP(A265,KRX종목마스터!$A:$C,3,FALSE),"")</f>
        <v/>
      </c>
      <c r="M265" s="18" t="str">
        <f t="shared" si="19"/>
        <v/>
      </c>
      <c r="N265" s="4"/>
      <c r="O265" s="9"/>
    </row>
    <row r="266" spans="1:15" ht="18" customHeight="1" x14ac:dyDescent="0.45">
      <c r="A266" s="5"/>
      <c r="B266" s="6" t="str">
        <f>IFERROR(VLOOKUP(A266,KRX종목마스터!$A:$B,2,FALSE),"")</f>
        <v/>
      </c>
      <c r="C266" s="4"/>
      <c r="D266" s="7"/>
      <c r="E266" s="3"/>
      <c r="F266" s="7"/>
      <c r="G266" s="7"/>
      <c r="H266" s="8" t="str">
        <f t="shared" si="16"/>
        <v/>
      </c>
      <c r="I266" s="10" t="str">
        <f t="shared" si="17"/>
        <v/>
      </c>
      <c r="J266" s="14" t="str">
        <f t="shared" si="18"/>
        <v/>
      </c>
      <c r="K266" s="4"/>
      <c r="L266" s="8" t="str">
        <f>IFERROR(VLOOKUP(A266,KRX종목마스터!$A:$C,3,FALSE),"")</f>
        <v/>
      </c>
      <c r="M266" s="18" t="str">
        <f t="shared" si="19"/>
        <v/>
      </c>
      <c r="N266" s="4"/>
      <c r="O266" s="9"/>
    </row>
    <row r="267" spans="1:15" ht="18" customHeight="1" x14ac:dyDescent="0.45">
      <c r="A267" s="5"/>
      <c r="B267" s="6" t="str">
        <f>IFERROR(VLOOKUP(A267,KRX종목마스터!$A:$B,2,FALSE),"")</f>
        <v/>
      </c>
      <c r="C267" s="4"/>
      <c r="D267" s="7"/>
      <c r="E267" s="3"/>
      <c r="F267" s="7"/>
      <c r="G267" s="7"/>
      <c r="H267" s="8" t="str">
        <f t="shared" si="16"/>
        <v/>
      </c>
      <c r="I267" s="10" t="str">
        <f t="shared" si="17"/>
        <v/>
      </c>
      <c r="J267" s="14" t="str">
        <f t="shared" si="18"/>
        <v/>
      </c>
      <c r="K267" s="4"/>
      <c r="L267" s="8" t="str">
        <f>IFERROR(VLOOKUP(A267,KRX종목마스터!$A:$C,3,FALSE),"")</f>
        <v/>
      </c>
      <c r="M267" s="18" t="str">
        <f t="shared" si="19"/>
        <v/>
      </c>
      <c r="N267" s="4"/>
      <c r="O267" s="9"/>
    </row>
    <row r="268" spans="1:15" ht="18" customHeight="1" x14ac:dyDescent="0.45">
      <c r="A268" s="5"/>
      <c r="B268" s="6" t="str">
        <f>IFERROR(VLOOKUP(A268,KRX종목마스터!$A:$B,2,FALSE),"")</f>
        <v/>
      </c>
      <c r="C268" s="4"/>
      <c r="D268" s="7"/>
      <c r="E268" s="3"/>
      <c r="F268" s="7"/>
      <c r="G268" s="7"/>
      <c r="H268" s="8" t="str">
        <f t="shared" si="16"/>
        <v/>
      </c>
      <c r="I268" s="10" t="str">
        <f t="shared" si="17"/>
        <v/>
      </c>
      <c r="J268" s="14" t="str">
        <f t="shared" si="18"/>
        <v/>
      </c>
      <c r="K268" s="4"/>
      <c r="L268" s="8" t="str">
        <f>IFERROR(VLOOKUP(A268,KRX종목마스터!$A:$C,3,FALSE),"")</f>
        <v/>
      </c>
      <c r="M268" s="18" t="str">
        <f t="shared" si="19"/>
        <v/>
      </c>
      <c r="N268" s="4"/>
      <c r="O268" s="9"/>
    </row>
    <row r="269" spans="1:15" ht="18" customHeight="1" x14ac:dyDescent="0.45">
      <c r="A269" s="5"/>
      <c r="B269" s="6" t="str">
        <f>IFERROR(VLOOKUP(A269,KRX종목마스터!$A:$B,2,FALSE),"")</f>
        <v/>
      </c>
      <c r="C269" s="4"/>
      <c r="D269" s="7"/>
      <c r="E269" s="3"/>
      <c r="F269" s="7"/>
      <c r="G269" s="7"/>
      <c r="H269" s="8" t="str">
        <f t="shared" si="16"/>
        <v/>
      </c>
      <c r="I269" s="10" t="str">
        <f t="shared" si="17"/>
        <v/>
      </c>
      <c r="J269" s="14" t="str">
        <f t="shared" si="18"/>
        <v/>
      </c>
      <c r="K269" s="4"/>
      <c r="L269" s="8" t="str">
        <f>IFERROR(VLOOKUP(A269,KRX종목마스터!$A:$C,3,FALSE),"")</f>
        <v/>
      </c>
      <c r="M269" s="18" t="str">
        <f t="shared" si="19"/>
        <v/>
      </c>
      <c r="N269" s="4"/>
      <c r="O269" s="9"/>
    </row>
    <row r="270" spans="1:15" ht="18" customHeight="1" x14ac:dyDescent="0.45">
      <c r="A270" s="5"/>
      <c r="B270" s="6" t="str">
        <f>IFERROR(VLOOKUP(A270,KRX종목마스터!$A:$B,2,FALSE),"")</f>
        <v/>
      </c>
      <c r="C270" s="4"/>
      <c r="D270" s="7"/>
      <c r="E270" s="3"/>
      <c r="F270" s="7"/>
      <c r="G270" s="7"/>
      <c r="H270" s="8" t="str">
        <f t="shared" si="16"/>
        <v/>
      </c>
      <c r="I270" s="10" t="str">
        <f t="shared" si="17"/>
        <v/>
      </c>
      <c r="J270" s="14" t="str">
        <f t="shared" si="18"/>
        <v/>
      </c>
      <c r="K270" s="4"/>
      <c r="L270" s="8" t="str">
        <f>IFERROR(VLOOKUP(A270,KRX종목마스터!$A:$C,3,FALSE),"")</f>
        <v/>
      </c>
      <c r="M270" s="18" t="str">
        <f t="shared" si="19"/>
        <v/>
      </c>
      <c r="N270" s="4"/>
      <c r="O270" s="9"/>
    </row>
    <row r="271" spans="1:15" ht="18" customHeight="1" x14ac:dyDescent="0.45">
      <c r="A271" s="5"/>
      <c r="B271" s="6" t="str">
        <f>IFERROR(VLOOKUP(A271,KRX종목마스터!$A:$B,2,FALSE),"")</f>
        <v/>
      </c>
      <c r="C271" s="4"/>
      <c r="D271" s="7"/>
      <c r="E271" s="3"/>
      <c r="F271" s="7"/>
      <c r="G271" s="7"/>
      <c r="H271" s="8" t="str">
        <f t="shared" si="16"/>
        <v/>
      </c>
      <c r="I271" s="10" t="str">
        <f t="shared" si="17"/>
        <v/>
      </c>
      <c r="J271" s="14" t="str">
        <f t="shared" si="18"/>
        <v/>
      </c>
      <c r="K271" s="4"/>
      <c r="L271" s="8" t="str">
        <f>IFERROR(VLOOKUP(A271,KRX종목마스터!$A:$C,3,FALSE),"")</f>
        <v/>
      </c>
      <c r="M271" s="18" t="str">
        <f t="shared" si="19"/>
        <v/>
      </c>
      <c r="N271" s="4"/>
      <c r="O271" s="9"/>
    </row>
    <row r="272" spans="1:15" ht="18" customHeight="1" x14ac:dyDescent="0.45">
      <c r="A272" s="5"/>
      <c r="B272" s="6" t="str">
        <f>IFERROR(VLOOKUP(A272,KRX종목마스터!$A:$B,2,FALSE),"")</f>
        <v/>
      </c>
      <c r="C272" s="4"/>
      <c r="D272" s="7"/>
      <c r="E272" s="3"/>
      <c r="F272" s="7"/>
      <c r="G272" s="7"/>
      <c r="H272" s="8" t="str">
        <f t="shared" si="16"/>
        <v/>
      </c>
      <c r="I272" s="10" t="str">
        <f t="shared" si="17"/>
        <v/>
      </c>
      <c r="J272" s="14" t="str">
        <f t="shared" si="18"/>
        <v/>
      </c>
      <c r="K272" s="4"/>
      <c r="L272" s="8" t="str">
        <f>IFERROR(VLOOKUP(A272,KRX종목마스터!$A:$C,3,FALSE),"")</f>
        <v/>
      </c>
      <c r="M272" s="18" t="str">
        <f t="shared" si="19"/>
        <v/>
      </c>
      <c r="N272" s="4"/>
      <c r="O272" s="9"/>
    </row>
    <row r="273" spans="1:15" ht="18" customHeight="1" x14ac:dyDescent="0.45">
      <c r="A273" s="5"/>
      <c r="B273" s="6" t="str">
        <f>IFERROR(VLOOKUP(A273,KRX종목마스터!$A:$B,2,FALSE),"")</f>
        <v/>
      </c>
      <c r="C273" s="4"/>
      <c r="D273" s="7"/>
      <c r="E273" s="3"/>
      <c r="F273" s="7"/>
      <c r="G273" s="7"/>
      <c r="H273" s="8" t="str">
        <f t="shared" si="16"/>
        <v/>
      </c>
      <c r="I273" s="10" t="str">
        <f t="shared" si="17"/>
        <v/>
      </c>
      <c r="J273" s="14" t="str">
        <f t="shared" si="18"/>
        <v/>
      </c>
      <c r="K273" s="4"/>
      <c r="L273" s="8" t="str">
        <f>IFERROR(VLOOKUP(A273,KRX종목마스터!$A:$C,3,FALSE),"")</f>
        <v/>
      </c>
      <c r="M273" s="18" t="str">
        <f t="shared" si="19"/>
        <v/>
      </c>
      <c r="N273" s="4"/>
      <c r="O273" s="9"/>
    </row>
    <row r="274" spans="1:15" ht="18" customHeight="1" x14ac:dyDescent="0.45">
      <c r="A274" s="5"/>
      <c r="B274" s="6" t="str">
        <f>IFERROR(VLOOKUP(A274,KRX종목마스터!$A:$B,2,FALSE),"")</f>
        <v/>
      </c>
      <c r="C274" s="4"/>
      <c r="D274" s="7"/>
      <c r="E274" s="3"/>
      <c r="F274" s="7"/>
      <c r="G274" s="7"/>
      <c r="H274" s="8" t="str">
        <f t="shared" si="16"/>
        <v/>
      </c>
      <c r="I274" s="10" t="str">
        <f t="shared" si="17"/>
        <v/>
      </c>
      <c r="J274" s="14" t="str">
        <f t="shared" si="18"/>
        <v/>
      </c>
      <c r="K274" s="4"/>
      <c r="L274" s="8" t="str">
        <f>IFERROR(VLOOKUP(A274,KRX종목마스터!$A:$C,3,FALSE),"")</f>
        <v/>
      </c>
      <c r="M274" s="18" t="str">
        <f t="shared" si="19"/>
        <v/>
      </c>
      <c r="N274" s="4"/>
      <c r="O274" s="9"/>
    </row>
    <row r="275" spans="1:15" ht="18" customHeight="1" x14ac:dyDescent="0.45">
      <c r="A275" s="5"/>
      <c r="B275" s="6" t="str">
        <f>IFERROR(VLOOKUP(A275,KRX종목마스터!$A:$B,2,FALSE),"")</f>
        <v/>
      </c>
      <c r="C275" s="4"/>
      <c r="D275" s="7"/>
      <c r="E275" s="3"/>
      <c r="F275" s="7"/>
      <c r="G275" s="7"/>
      <c r="H275" s="8" t="str">
        <f t="shared" si="16"/>
        <v/>
      </c>
      <c r="I275" s="10" t="str">
        <f t="shared" si="17"/>
        <v/>
      </c>
      <c r="J275" s="14" t="str">
        <f t="shared" si="18"/>
        <v/>
      </c>
      <c r="K275" s="4"/>
      <c r="L275" s="8" t="str">
        <f>IFERROR(VLOOKUP(A275,KRX종목마스터!$A:$C,3,FALSE),"")</f>
        <v/>
      </c>
      <c r="M275" s="18" t="str">
        <f t="shared" si="19"/>
        <v/>
      </c>
      <c r="N275" s="4"/>
      <c r="O275" s="9"/>
    </row>
    <row r="276" spans="1:15" ht="18" customHeight="1" x14ac:dyDescent="0.45">
      <c r="A276" s="5"/>
      <c r="B276" s="6" t="str">
        <f>IFERROR(VLOOKUP(A276,KRX종목마스터!$A:$B,2,FALSE),"")</f>
        <v/>
      </c>
      <c r="C276" s="4"/>
      <c r="D276" s="7"/>
      <c r="E276" s="3"/>
      <c r="F276" s="7"/>
      <c r="G276" s="7"/>
      <c r="H276" s="8" t="str">
        <f t="shared" si="16"/>
        <v/>
      </c>
      <c r="I276" s="10" t="str">
        <f t="shared" si="17"/>
        <v/>
      </c>
      <c r="J276" s="14" t="str">
        <f t="shared" si="18"/>
        <v/>
      </c>
      <c r="K276" s="4"/>
      <c r="L276" s="8" t="str">
        <f>IFERROR(VLOOKUP(A276,KRX종목마스터!$A:$C,3,FALSE),"")</f>
        <v/>
      </c>
      <c r="M276" s="18" t="str">
        <f t="shared" si="19"/>
        <v/>
      </c>
      <c r="N276" s="4"/>
      <c r="O276" s="9"/>
    </row>
    <row r="277" spans="1:15" ht="18" customHeight="1" x14ac:dyDescent="0.45">
      <c r="A277" s="5"/>
      <c r="B277" s="6" t="str">
        <f>IFERROR(VLOOKUP(A277,KRX종목마스터!$A:$B,2,FALSE),"")</f>
        <v/>
      </c>
      <c r="C277" s="4"/>
      <c r="D277" s="7"/>
      <c r="E277" s="3"/>
      <c r="F277" s="7"/>
      <c r="G277" s="7"/>
      <c r="H277" s="8" t="str">
        <f t="shared" si="16"/>
        <v/>
      </c>
      <c r="I277" s="10" t="str">
        <f t="shared" si="17"/>
        <v/>
      </c>
      <c r="J277" s="14" t="str">
        <f t="shared" si="18"/>
        <v/>
      </c>
      <c r="K277" s="4"/>
      <c r="L277" s="8" t="str">
        <f>IFERROR(VLOOKUP(A277,KRX종목마스터!$A:$C,3,FALSE),"")</f>
        <v/>
      </c>
      <c r="M277" s="18" t="str">
        <f t="shared" si="19"/>
        <v/>
      </c>
      <c r="N277" s="4"/>
      <c r="O277" s="9"/>
    </row>
    <row r="278" spans="1:15" ht="18" customHeight="1" x14ac:dyDescent="0.45">
      <c r="A278" s="5"/>
      <c r="B278" s="6" t="str">
        <f>IFERROR(VLOOKUP(A278,KRX종목마스터!$A:$B,2,FALSE),"")</f>
        <v/>
      </c>
      <c r="C278" s="4"/>
      <c r="D278" s="7"/>
      <c r="E278" s="3"/>
      <c r="F278" s="7"/>
      <c r="G278" s="7"/>
      <c r="H278" s="8" t="str">
        <f t="shared" si="16"/>
        <v/>
      </c>
      <c r="I278" s="10" t="str">
        <f t="shared" si="17"/>
        <v/>
      </c>
      <c r="J278" s="14" t="str">
        <f t="shared" si="18"/>
        <v/>
      </c>
      <c r="K278" s="4"/>
      <c r="L278" s="8" t="str">
        <f>IFERROR(VLOOKUP(A278,KRX종목마스터!$A:$C,3,FALSE),"")</f>
        <v/>
      </c>
      <c r="M278" s="18" t="str">
        <f t="shared" si="19"/>
        <v/>
      </c>
      <c r="N278" s="4"/>
      <c r="O278" s="9"/>
    </row>
    <row r="279" spans="1:15" ht="18" customHeight="1" x14ac:dyDescent="0.45">
      <c r="A279" s="5"/>
      <c r="B279" s="6" t="str">
        <f>IFERROR(VLOOKUP(A279,KRX종목마스터!$A:$B,2,FALSE),"")</f>
        <v/>
      </c>
      <c r="C279" s="4"/>
      <c r="D279" s="7"/>
      <c r="E279" s="3"/>
      <c r="F279" s="7"/>
      <c r="G279" s="7"/>
      <c r="H279" s="8" t="str">
        <f t="shared" si="16"/>
        <v/>
      </c>
      <c r="I279" s="10" t="str">
        <f t="shared" si="17"/>
        <v/>
      </c>
      <c r="J279" s="14" t="str">
        <f t="shared" si="18"/>
        <v/>
      </c>
      <c r="K279" s="4"/>
      <c r="L279" s="8" t="str">
        <f>IFERROR(VLOOKUP(A279,KRX종목마스터!$A:$C,3,FALSE),"")</f>
        <v/>
      </c>
      <c r="M279" s="18" t="str">
        <f t="shared" si="19"/>
        <v/>
      </c>
      <c r="N279" s="4"/>
      <c r="O279" s="9"/>
    </row>
    <row r="280" spans="1:15" ht="18" customHeight="1" x14ac:dyDescent="0.45">
      <c r="A280" s="5"/>
      <c r="B280" s="6" t="str">
        <f>IFERROR(VLOOKUP(A280,KRX종목마스터!$A:$B,2,FALSE),"")</f>
        <v/>
      </c>
      <c r="C280" s="4"/>
      <c r="D280" s="7"/>
      <c r="E280" s="3"/>
      <c r="F280" s="7"/>
      <c r="G280" s="7"/>
      <c r="H280" s="8" t="str">
        <f t="shared" si="16"/>
        <v/>
      </c>
      <c r="I280" s="10" t="str">
        <f t="shared" si="17"/>
        <v/>
      </c>
      <c r="J280" s="14" t="str">
        <f t="shared" si="18"/>
        <v/>
      </c>
      <c r="K280" s="4"/>
      <c r="L280" s="8" t="str">
        <f>IFERROR(VLOOKUP(A280,KRX종목마스터!$A:$C,3,FALSE),"")</f>
        <v/>
      </c>
      <c r="M280" s="18" t="str">
        <f t="shared" si="19"/>
        <v/>
      </c>
      <c r="N280" s="4"/>
      <c r="O280" s="9"/>
    </row>
    <row r="281" spans="1:15" ht="18" customHeight="1" x14ac:dyDescent="0.45">
      <c r="A281" s="5"/>
      <c r="B281" s="6" t="str">
        <f>IFERROR(VLOOKUP(A281,KRX종목마스터!$A:$B,2,FALSE),"")</f>
        <v/>
      </c>
      <c r="C281" s="4"/>
      <c r="D281" s="7"/>
      <c r="E281" s="3"/>
      <c r="F281" s="7"/>
      <c r="G281" s="7"/>
      <c r="H281" s="8" t="str">
        <f t="shared" si="16"/>
        <v/>
      </c>
      <c r="I281" s="10" t="str">
        <f t="shared" si="17"/>
        <v/>
      </c>
      <c r="J281" s="14" t="str">
        <f t="shared" si="18"/>
        <v/>
      </c>
      <c r="K281" s="4"/>
      <c r="L281" s="8" t="str">
        <f>IFERROR(VLOOKUP(A281,KRX종목마스터!$A:$C,3,FALSE),"")</f>
        <v/>
      </c>
      <c r="M281" s="18" t="str">
        <f t="shared" si="19"/>
        <v/>
      </c>
      <c r="N281" s="4"/>
      <c r="O281" s="9"/>
    </row>
    <row r="282" spans="1:15" ht="18" customHeight="1" x14ac:dyDescent="0.45">
      <c r="A282" s="5"/>
      <c r="B282" s="6" t="str">
        <f>IFERROR(VLOOKUP(A282,KRX종목마스터!$A:$B,2,FALSE),"")</f>
        <v/>
      </c>
      <c r="C282" s="4"/>
      <c r="D282" s="7"/>
      <c r="E282" s="3"/>
      <c r="F282" s="7"/>
      <c r="G282" s="7"/>
      <c r="H282" s="8" t="str">
        <f t="shared" si="16"/>
        <v/>
      </c>
      <c r="I282" s="10" t="str">
        <f t="shared" si="17"/>
        <v/>
      </c>
      <c r="J282" s="14" t="str">
        <f t="shared" si="18"/>
        <v/>
      </c>
      <c r="K282" s="4"/>
      <c r="L282" s="8" t="str">
        <f>IFERROR(VLOOKUP(A282,KRX종목마스터!$A:$C,3,FALSE),"")</f>
        <v/>
      </c>
      <c r="M282" s="18" t="str">
        <f t="shared" si="19"/>
        <v/>
      </c>
      <c r="N282" s="4"/>
      <c r="O282" s="9"/>
    </row>
    <row r="283" spans="1:15" ht="18" customHeight="1" x14ac:dyDescent="0.45">
      <c r="A283" s="5"/>
      <c r="B283" s="6" t="str">
        <f>IFERROR(VLOOKUP(A283,KRX종목마스터!$A:$B,2,FALSE),"")</f>
        <v/>
      </c>
      <c r="C283" s="4"/>
      <c r="D283" s="7"/>
      <c r="E283" s="3"/>
      <c r="F283" s="7"/>
      <c r="G283" s="7"/>
      <c r="H283" s="8" t="str">
        <f t="shared" si="16"/>
        <v/>
      </c>
      <c r="I283" s="10" t="str">
        <f t="shared" si="17"/>
        <v/>
      </c>
      <c r="J283" s="14" t="str">
        <f t="shared" si="18"/>
        <v/>
      </c>
      <c r="K283" s="4"/>
      <c r="L283" s="8" t="str">
        <f>IFERROR(VLOOKUP(A283,KRX종목마스터!$A:$C,3,FALSE),"")</f>
        <v/>
      </c>
      <c r="M283" s="18" t="str">
        <f t="shared" si="19"/>
        <v/>
      </c>
      <c r="N283" s="4"/>
      <c r="O283" s="9"/>
    </row>
    <row r="284" spans="1:15" ht="18" customHeight="1" x14ac:dyDescent="0.45">
      <c r="A284" s="5"/>
      <c r="B284" s="6" t="str">
        <f>IFERROR(VLOOKUP(A284,KRX종목마스터!$A:$B,2,FALSE),"")</f>
        <v/>
      </c>
      <c r="C284" s="4"/>
      <c r="D284" s="7"/>
      <c r="E284" s="3"/>
      <c r="F284" s="7"/>
      <c r="G284" s="7"/>
      <c r="H284" s="8" t="str">
        <f t="shared" si="16"/>
        <v/>
      </c>
      <c r="I284" s="10" t="str">
        <f t="shared" si="17"/>
        <v/>
      </c>
      <c r="J284" s="14" t="str">
        <f t="shared" si="18"/>
        <v/>
      </c>
      <c r="K284" s="4"/>
      <c r="L284" s="8" t="str">
        <f>IFERROR(VLOOKUP(A284,KRX종목마스터!$A:$C,3,FALSE),"")</f>
        <v/>
      </c>
      <c r="M284" s="18" t="str">
        <f t="shared" si="19"/>
        <v/>
      </c>
      <c r="N284" s="4"/>
      <c r="O284" s="9"/>
    </row>
    <row r="285" spans="1:15" ht="18" customHeight="1" x14ac:dyDescent="0.45">
      <c r="A285" s="5"/>
      <c r="B285" s="6" t="str">
        <f>IFERROR(VLOOKUP(A285,KRX종목마스터!$A:$B,2,FALSE),"")</f>
        <v/>
      </c>
      <c r="C285" s="4"/>
      <c r="D285" s="7"/>
      <c r="E285" s="3"/>
      <c r="F285" s="7"/>
      <c r="G285" s="7"/>
      <c r="H285" s="8" t="str">
        <f t="shared" si="16"/>
        <v/>
      </c>
      <c r="I285" s="10" t="str">
        <f t="shared" si="17"/>
        <v/>
      </c>
      <c r="J285" s="14" t="str">
        <f t="shared" si="18"/>
        <v/>
      </c>
      <c r="K285" s="4"/>
      <c r="L285" s="8" t="str">
        <f>IFERROR(VLOOKUP(A285,KRX종목마스터!$A:$C,3,FALSE),"")</f>
        <v/>
      </c>
      <c r="M285" s="18" t="str">
        <f t="shared" si="19"/>
        <v/>
      </c>
      <c r="N285" s="4"/>
      <c r="O285" s="9"/>
    </row>
    <row r="286" spans="1:15" ht="18" customHeight="1" x14ac:dyDescent="0.45">
      <c r="A286" s="5"/>
      <c r="B286" s="6" t="str">
        <f>IFERROR(VLOOKUP(A286,KRX종목마스터!$A:$B,2,FALSE),"")</f>
        <v/>
      </c>
      <c r="C286" s="4"/>
      <c r="D286" s="7"/>
      <c r="E286" s="3"/>
      <c r="F286" s="7"/>
      <c r="G286" s="7"/>
      <c r="H286" s="8" t="str">
        <f t="shared" si="16"/>
        <v/>
      </c>
      <c r="I286" s="10" t="str">
        <f t="shared" si="17"/>
        <v/>
      </c>
      <c r="J286" s="14" t="str">
        <f t="shared" si="18"/>
        <v/>
      </c>
      <c r="K286" s="4"/>
      <c r="L286" s="8" t="str">
        <f>IFERROR(VLOOKUP(A286,KRX종목마스터!$A:$C,3,FALSE),"")</f>
        <v/>
      </c>
      <c r="M286" s="18" t="str">
        <f t="shared" si="19"/>
        <v/>
      </c>
      <c r="N286" s="4"/>
      <c r="O286" s="9"/>
    </row>
    <row r="287" spans="1:15" ht="18" customHeight="1" x14ac:dyDescent="0.45">
      <c r="A287" s="5"/>
      <c r="B287" s="6" t="str">
        <f>IFERROR(VLOOKUP(A287,KRX종목마스터!$A:$B,2,FALSE),"")</f>
        <v/>
      </c>
      <c r="C287" s="4"/>
      <c r="D287" s="7"/>
      <c r="E287" s="3"/>
      <c r="F287" s="7"/>
      <c r="G287" s="7"/>
      <c r="H287" s="8" t="str">
        <f t="shared" si="16"/>
        <v/>
      </c>
      <c r="I287" s="10" t="str">
        <f t="shared" si="17"/>
        <v/>
      </c>
      <c r="J287" s="14" t="str">
        <f t="shared" si="18"/>
        <v/>
      </c>
      <c r="K287" s="4"/>
      <c r="L287" s="8" t="str">
        <f>IFERROR(VLOOKUP(A287,KRX종목마스터!$A:$C,3,FALSE),"")</f>
        <v/>
      </c>
      <c r="M287" s="18" t="str">
        <f t="shared" si="19"/>
        <v/>
      </c>
      <c r="N287" s="4"/>
      <c r="O287" s="9"/>
    </row>
    <row r="288" spans="1:15" ht="18" customHeight="1" x14ac:dyDescent="0.45">
      <c r="A288" s="5"/>
      <c r="B288" s="6" t="str">
        <f>IFERROR(VLOOKUP(A288,KRX종목마스터!$A:$B,2,FALSE),"")</f>
        <v/>
      </c>
      <c r="C288" s="4"/>
      <c r="D288" s="7"/>
      <c r="E288" s="3"/>
      <c r="F288" s="7"/>
      <c r="G288" s="7"/>
      <c r="H288" s="8" t="str">
        <f t="shared" si="16"/>
        <v/>
      </c>
      <c r="I288" s="10" t="str">
        <f t="shared" si="17"/>
        <v/>
      </c>
      <c r="J288" s="14" t="str">
        <f t="shared" si="18"/>
        <v/>
      </c>
      <c r="K288" s="4"/>
      <c r="L288" s="8" t="str">
        <f>IFERROR(VLOOKUP(A288,KRX종목마스터!$A:$C,3,FALSE),"")</f>
        <v/>
      </c>
      <c r="M288" s="18" t="str">
        <f t="shared" si="19"/>
        <v/>
      </c>
      <c r="N288" s="4"/>
      <c r="O288" s="9"/>
    </row>
    <row r="289" spans="1:15" ht="18" customHeight="1" x14ac:dyDescent="0.45">
      <c r="A289" s="5"/>
      <c r="B289" s="6" t="str">
        <f>IFERROR(VLOOKUP(A289,KRX종목마스터!$A:$B,2,FALSE),"")</f>
        <v/>
      </c>
      <c r="C289" s="4"/>
      <c r="D289" s="7"/>
      <c r="E289" s="3"/>
      <c r="F289" s="7"/>
      <c r="G289" s="7"/>
      <c r="H289" s="8" t="str">
        <f t="shared" si="16"/>
        <v/>
      </c>
      <c r="I289" s="10" t="str">
        <f t="shared" si="17"/>
        <v/>
      </c>
      <c r="J289" s="14" t="str">
        <f t="shared" si="18"/>
        <v/>
      </c>
      <c r="K289" s="4"/>
      <c r="L289" s="8" t="str">
        <f>IFERROR(VLOOKUP(A289,KRX종목마스터!$A:$C,3,FALSE),"")</f>
        <v/>
      </c>
      <c r="M289" s="18" t="str">
        <f t="shared" si="19"/>
        <v/>
      </c>
      <c r="N289" s="4"/>
      <c r="O289" s="9"/>
    </row>
    <row r="290" spans="1:15" ht="18" customHeight="1" x14ac:dyDescent="0.45">
      <c r="A290" s="5"/>
      <c r="B290" s="6" t="str">
        <f>IFERROR(VLOOKUP(A290,KRX종목마스터!$A:$B,2,FALSE),"")</f>
        <v/>
      </c>
      <c r="C290" s="4"/>
      <c r="D290" s="7"/>
      <c r="E290" s="3"/>
      <c r="F290" s="7"/>
      <c r="G290" s="7"/>
      <c r="H290" s="8" t="str">
        <f t="shared" si="16"/>
        <v/>
      </c>
      <c r="I290" s="10" t="str">
        <f t="shared" si="17"/>
        <v/>
      </c>
      <c r="J290" s="14" t="str">
        <f t="shared" si="18"/>
        <v/>
      </c>
      <c r="K290" s="4"/>
      <c r="L290" s="8" t="str">
        <f>IFERROR(VLOOKUP(A290,KRX종목마스터!$A:$C,3,FALSE),"")</f>
        <v/>
      </c>
      <c r="M290" s="18" t="str">
        <f t="shared" si="19"/>
        <v/>
      </c>
      <c r="N290" s="4"/>
      <c r="O290" s="9"/>
    </row>
    <row r="291" spans="1:15" ht="18" customHeight="1" x14ac:dyDescent="0.45">
      <c r="A291" s="5"/>
      <c r="B291" s="6" t="str">
        <f>IFERROR(VLOOKUP(A291,KRX종목마스터!$A:$B,2,FALSE),"")</f>
        <v/>
      </c>
      <c r="C291" s="4"/>
      <c r="D291" s="7"/>
      <c r="E291" s="3"/>
      <c r="F291" s="7"/>
      <c r="G291" s="7"/>
      <c r="H291" s="8" t="str">
        <f t="shared" si="16"/>
        <v/>
      </c>
      <c r="I291" s="10" t="str">
        <f t="shared" si="17"/>
        <v/>
      </c>
      <c r="J291" s="14" t="str">
        <f t="shared" si="18"/>
        <v/>
      </c>
      <c r="K291" s="4"/>
      <c r="L291" s="8" t="str">
        <f>IFERROR(VLOOKUP(A291,KRX종목마스터!$A:$C,3,FALSE),"")</f>
        <v/>
      </c>
      <c r="M291" s="18" t="str">
        <f t="shared" si="19"/>
        <v/>
      </c>
      <c r="N291" s="4"/>
      <c r="O291" s="9"/>
    </row>
    <row r="292" spans="1:15" ht="18" customHeight="1" x14ac:dyDescent="0.45">
      <c r="A292" s="5"/>
      <c r="B292" s="6" t="str">
        <f>IFERROR(VLOOKUP(A292,KRX종목마스터!$A:$B,2,FALSE),"")</f>
        <v/>
      </c>
      <c r="C292" s="4"/>
      <c r="D292" s="7"/>
      <c r="E292" s="3"/>
      <c r="F292" s="7"/>
      <c r="G292" s="7"/>
      <c r="H292" s="8" t="str">
        <f t="shared" si="16"/>
        <v/>
      </c>
      <c r="I292" s="10" t="str">
        <f t="shared" si="17"/>
        <v/>
      </c>
      <c r="J292" s="14" t="str">
        <f t="shared" si="18"/>
        <v/>
      </c>
      <c r="K292" s="4"/>
      <c r="L292" s="8" t="str">
        <f>IFERROR(VLOOKUP(A292,KRX종목마스터!$A:$C,3,FALSE),"")</f>
        <v/>
      </c>
      <c r="M292" s="18" t="str">
        <f t="shared" si="19"/>
        <v/>
      </c>
      <c r="N292" s="4"/>
      <c r="O292" s="9"/>
    </row>
    <row r="293" spans="1:15" ht="18" customHeight="1" x14ac:dyDescent="0.45">
      <c r="A293" s="5"/>
      <c r="B293" s="6" t="str">
        <f>IFERROR(VLOOKUP(A293,KRX종목마스터!$A:$B,2,FALSE),"")</f>
        <v/>
      </c>
      <c r="C293" s="4"/>
      <c r="D293" s="7"/>
      <c r="E293" s="3"/>
      <c r="F293" s="7"/>
      <c r="G293" s="7"/>
      <c r="H293" s="8" t="str">
        <f t="shared" si="16"/>
        <v/>
      </c>
      <c r="I293" s="10" t="str">
        <f t="shared" si="17"/>
        <v/>
      </c>
      <c r="J293" s="14" t="str">
        <f t="shared" si="18"/>
        <v/>
      </c>
      <c r="K293" s="4"/>
      <c r="L293" s="8" t="str">
        <f>IFERROR(VLOOKUP(A293,KRX종목마스터!$A:$C,3,FALSE),"")</f>
        <v/>
      </c>
      <c r="M293" s="18" t="str">
        <f t="shared" si="19"/>
        <v/>
      </c>
      <c r="N293" s="4"/>
      <c r="O293" s="9"/>
    </row>
    <row r="294" spans="1:15" ht="18" customHeight="1" x14ac:dyDescent="0.45">
      <c r="A294" s="5"/>
      <c r="B294" s="6" t="str">
        <f>IFERROR(VLOOKUP(A294,KRX종목마스터!$A:$B,2,FALSE),"")</f>
        <v/>
      </c>
      <c r="C294" s="4"/>
      <c r="D294" s="7"/>
      <c r="E294" s="3"/>
      <c r="F294" s="7"/>
      <c r="G294" s="7"/>
      <c r="H294" s="8" t="str">
        <f t="shared" si="16"/>
        <v/>
      </c>
      <c r="I294" s="10" t="str">
        <f t="shared" si="17"/>
        <v/>
      </c>
      <c r="J294" s="14" t="str">
        <f t="shared" si="18"/>
        <v/>
      </c>
      <c r="K294" s="4"/>
      <c r="L294" s="8" t="str">
        <f>IFERROR(VLOOKUP(A294,KRX종목마스터!$A:$C,3,FALSE),"")</f>
        <v/>
      </c>
      <c r="M294" s="18" t="str">
        <f t="shared" si="19"/>
        <v/>
      </c>
      <c r="N294" s="4"/>
      <c r="O294" s="9"/>
    </row>
    <row r="295" spans="1:15" ht="18" customHeight="1" x14ac:dyDescent="0.45">
      <c r="A295" s="5"/>
      <c r="B295" s="6" t="str">
        <f>IFERROR(VLOOKUP(A295,KRX종목마스터!$A:$B,2,FALSE),"")</f>
        <v/>
      </c>
      <c r="C295" s="4"/>
      <c r="D295" s="7"/>
      <c r="E295" s="3"/>
      <c r="F295" s="7"/>
      <c r="G295" s="7"/>
      <c r="H295" s="8" t="str">
        <f t="shared" si="16"/>
        <v/>
      </c>
      <c r="I295" s="10" t="str">
        <f t="shared" si="17"/>
        <v/>
      </c>
      <c r="J295" s="14" t="str">
        <f t="shared" si="18"/>
        <v/>
      </c>
      <c r="K295" s="4"/>
      <c r="L295" s="8" t="str">
        <f>IFERROR(VLOOKUP(A295,KRX종목마스터!$A:$C,3,FALSE),"")</f>
        <v/>
      </c>
      <c r="M295" s="18" t="str">
        <f t="shared" si="19"/>
        <v/>
      </c>
      <c r="N295" s="4"/>
      <c r="O295" s="9"/>
    </row>
    <row r="296" spans="1:15" ht="18" customHeight="1" x14ac:dyDescent="0.45">
      <c r="A296" s="5"/>
      <c r="B296" s="6" t="str">
        <f>IFERROR(VLOOKUP(A296,KRX종목마스터!$A:$B,2,FALSE),"")</f>
        <v/>
      </c>
      <c r="C296" s="4"/>
      <c r="D296" s="7"/>
      <c r="E296" s="3"/>
      <c r="F296" s="7"/>
      <c r="G296" s="7"/>
      <c r="H296" s="8" t="str">
        <f t="shared" si="16"/>
        <v/>
      </c>
      <c r="I296" s="10" t="str">
        <f t="shared" si="17"/>
        <v/>
      </c>
      <c r="J296" s="14" t="str">
        <f t="shared" si="18"/>
        <v/>
      </c>
      <c r="K296" s="4"/>
      <c r="L296" s="8" t="str">
        <f>IFERROR(VLOOKUP(A296,KRX종목마스터!$A:$C,3,FALSE),"")</f>
        <v/>
      </c>
      <c r="M296" s="18" t="str">
        <f t="shared" si="19"/>
        <v/>
      </c>
      <c r="N296" s="4"/>
      <c r="O296" s="9"/>
    </row>
    <row r="297" spans="1:15" ht="18" customHeight="1" x14ac:dyDescent="0.45">
      <c r="A297" s="5"/>
      <c r="B297" s="6" t="str">
        <f>IFERROR(VLOOKUP(A297,KRX종목마스터!$A:$B,2,FALSE),"")</f>
        <v/>
      </c>
      <c r="C297" s="4"/>
      <c r="D297" s="7"/>
      <c r="E297" s="3"/>
      <c r="F297" s="7"/>
      <c r="G297" s="7"/>
      <c r="H297" s="8" t="str">
        <f t="shared" si="16"/>
        <v/>
      </c>
      <c r="I297" s="10" t="str">
        <f t="shared" si="17"/>
        <v/>
      </c>
      <c r="J297" s="14" t="str">
        <f t="shared" si="18"/>
        <v/>
      </c>
      <c r="K297" s="4"/>
      <c r="L297" s="8" t="str">
        <f>IFERROR(VLOOKUP(A297,KRX종목마스터!$A:$C,3,FALSE),"")</f>
        <v/>
      </c>
      <c r="M297" s="18" t="str">
        <f t="shared" si="19"/>
        <v/>
      </c>
      <c r="N297" s="4"/>
      <c r="O297" s="9"/>
    </row>
    <row r="298" spans="1:15" ht="18" customHeight="1" x14ac:dyDescent="0.45">
      <c r="A298" s="5"/>
      <c r="B298" s="6" t="str">
        <f>IFERROR(VLOOKUP(A298,KRX종목마스터!$A:$B,2,FALSE),"")</f>
        <v/>
      </c>
      <c r="C298" s="4"/>
      <c r="D298" s="7"/>
      <c r="E298" s="3"/>
      <c r="F298" s="7"/>
      <c r="G298" s="7"/>
      <c r="H298" s="8" t="str">
        <f t="shared" si="16"/>
        <v/>
      </c>
      <c r="I298" s="10" t="str">
        <f t="shared" si="17"/>
        <v/>
      </c>
      <c r="J298" s="14" t="str">
        <f t="shared" si="18"/>
        <v/>
      </c>
      <c r="K298" s="4"/>
      <c r="L298" s="8" t="str">
        <f>IFERROR(VLOOKUP(A298,KRX종목마스터!$A:$C,3,FALSE),"")</f>
        <v/>
      </c>
      <c r="M298" s="18" t="str">
        <f t="shared" si="19"/>
        <v/>
      </c>
      <c r="N298" s="4"/>
      <c r="O298" s="9"/>
    </row>
    <row r="299" spans="1:15" ht="18" customHeight="1" x14ac:dyDescent="0.45">
      <c r="A299" s="5"/>
      <c r="B299" s="6" t="str">
        <f>IFERROR(VLOOKUP(A299,KRX종목마스터!$A:$B,2,FALSE),"")</f>
        <v/>
      </c>
      <c r="C299" s="4"/>
      <c r="D299" s="7"/>
      <c r="E299" s="3"/>
      <c r="F299" s="7"/>
      <c r="G299" s="7"/>
      <c r="H299" s="8" t="str">
        <f t="shared" si="16"/>
        <v/>
      </c>
      <c r="I299" s="10" t="str">
        <f t="shared" si="17"/>
        <v/>
      </c>
      <c r="J299" s="14" t="str">
        <f t="shared" si="18"/>
        <v/>
      </c>
      <c r="K299" s="4"/>
      <c r="L299" s="8" t="str">
        <f>IFERROR(VLOOKUP(A299,KRX종목마스터!$A:$C,3,FALSE),"")</f>
        <v/>
      </c>
      <c r="M299" s="18" t="str">
        <f t="shared" si="19"/>
        <v/>
      </c>
      <c r="N299" s="4"/>
      <c r="O299" s="9"/>
    </row>
    <row r="300" spans="1:15" ht="18" customHeight="1" x14ac:dyDescent="0.45">
      <c r="A300" s="5"/>
      <c r="B300" s="6" t="str">
        <f>IFERROR(VLOOKUP(A300,KRX종목마스터!$A:$B,2,FALSE),"")</f>
        <v/>
      </c>
      <c r="C300" s="4"/>
      <c r="D300" s="7"/>
      <c r="E300" s="3"/>
      <c r="F300" s="7"/>
      <c r="G300" s="7"/>
      <c r="H300" s="8" t="str">
        <f t="shared" si="16"/>
        <v/>
      </c>
      <c r="I300" s="10" t="str">
        <f t="shared" si="17"/>
        <v/>
      </c>
      <c r="J300" s="14" t="str">
        <f t="shared" si="18"/>
        <v/>
      </c>
      <c r="K300" s="4"/>
      <c r="L300" s="8" t="str">
        <f>IFERROR(VLOOKUP(A300,KRX종목마스터!$A:$C,3,FALSE),"")</f>
        <v/>
      </c>
      <c r="M300" s="18" t="str">
        <f t="shared" si="19"/>
        <v/>
      </c>
      <c r="N300" s="4"/>
      <c r="O300" s="9"/>
    </row>
    <row r="301" spans="1:15" ht="18" customHeight="1" x14ac:dyDescent="0.45">
      <c r="A301" s="5"/>
      <c r="B301" s="6" t="str">
        <f>IFERROR(VLOOKUP(A301,KRX종목마스터!$A:$B,2,FALSE),"")</f>
        <v/>
      </c>
      <c r="C301" s="4"/>
      <c r="D301" s="7"/>
      <c r="E301" s="3"/>
      <c r="F301" s="7"/>
      <c r="G301" s="7"/>
      <c r="H301" s="8" t="str">
        <f t="shared" si="16"/>
        <v/>
      </c>
      <c r="I301" s="10" t="str">
        <f t="shared" si="17"/>
        <v/>
      </c>
      <c r="J301" s="14" t="str">
        <f t="shared" si="18"/>
        <v/>
      </c>
      <c r="K301" s="4"/>
      <c r="L301" s="8" t="str">
        <f>IFERROR(VLOOKUP(A301,KRX종목마스터!$A:$C,3,FALSE),"")</f>
        <v/>
      </c>
      <c r="M301" s="18" t="str">
        <f t="shared" si="19"/>
        <v/>
      </c>
      <c r="N301" s="4"/>
      <c r="O301" s="9"/>
    </row>
    <row r="302" spans="1:15" ht="18" customHeight="1" x14ac:dyDescent="0.45">
      <c r="A302" s="5"/>
      <c r="B302" s="6" t="str">
        <f>IFERROR(VLOOKUP(A302,KRX종목마스터!$A:$B,2,FALSE),"")</f>
        <v/>
      </c>
      <c r="C302" s="4"/>
      <c r="D302" s="7"/>
      <c r="E302" s="3"/>
      <c r="F302" s="7"/>
      <c r="G302" s="7"/>
      <c r="H302" s="8" t="str">
        <f t="shared" si="16"/>
        <v/>
      </c>
      <c r="I302" s="10" t="str">
        <f t="shared" si="17"/>
        <v/>
      </c>
      <c r="J302" s="14" t="str">
        <f t="shared" si="18"/>
        <v/>
      </c>
      <c r="K302" s="4"/>
      <c r="L302" s="8" t="str">
        <f>IFERROR(VLOOKUP(A302,KRX종목마스터!$A:$C,3,FALSE),"")</f>
        <v/>
      </c>
      <c r="M302" s="18" t="str">
        <f t="shared" si="19"/>
        <v/>
      </c>
      <c r="N302" s="4"/>
      <c r="O302" s="9"/>
    </row>
    <row r="303" spans="1:15" ht="18" customHeight="1" x14ac:dyDescent="0.45">
      <c r="A303" s="5"/>
      <c r="B303" s="6" t="str">
        <f>IFERROR(VLOOKUP(A303,KRX종목마스터!$A:$B,2,FALSE),"")</f>
        <v/>
      </c>
      <c r="C303" s="4"/>
      <c r="D303" s="7"/>
      <c r="E303" s="3"/>
      <c r="F303" s="7"/>
      <c r="G303" s="7"/>
      <c r="H303" s="8" t="str">
        <f t="shared" si="16"/>
        <v/>
      </c>
      <c r="I303" s="10" t="str">
        <f t="shared" si="17"/>
        <v/>
      </c>
      <c r="J303" s="14" t="str">
        <f t="shared" si="18"/>
        <v/>
      </c>
      <c r="K303" s="4"/>
      <c r="L303" s="8" t="str">
        <f>IFERROR(VLOOKUP(A303,KRX종목마스터!$A:$C,3,FALSE),"")</f>
        <v/>
      </c>
      <c r="M303" s="18" t="str">
        <f t="shared" si="19"/>
        <v/>
      </c>
      <c r="N303" s="4"/>
      <c r="O303" s="9"/>
    </row>
  </sheetData>
  <autoFilter ref="A3:O3" xr:uid="{00000000-0009-0000-0000-000005000000}"/>
  <mergeCells count="1">
    <mergeCell ref="A1:O1"/>
  </mergeCells>
  <phoneticPr fontId="10" type="noConversion"/>
  <dataValidations count="3">
    <dataValidation type="list" allowBlank="1" showErrorMessage="1" sqref="C4:C303" xr:uid="{00000000-0002-0000-0500-000000000000}">
      <formula1>"신한증권,토스증권,한화투자,연금저축(한화),IRP(한화),ISA(한화),기타"</formula1>
    </dataValidation>
    <dataValidation type="list" allowBlank="1" showErrorMessage="1" sqref="K4:K303" xr:uid="{00000000-0002-0000-0500-000001000000}">
      <formula1>"목표가달성,손절,리밸런싱,급전필요,전략변경,기타"</formula1>
    </dataValidation>
    <dataValidation type="list" allowBlank="1" showErrorMessage="1" sqref="N4:N303" xr:uid="{00000000-0002-0000-0500-000002000000}">
      <formula1>"재매수검토,관망,기회없음,재매수완료"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884"/>
  <sheetViews>
    <sheetView workbookViewId="0">
      <pane ySplit="3" topLeftCell="A4" activePane="bottomLeft" state="frozen"/>
      <selection pane="bottomLeft" activeCell="E18" sqref="E18"/>
    </sheetView>
  </sheetViews>
  <sheetFormatPr defaultRowHeight="17" x14ac:dyDescent="0.45"/>
  <cols>
    <col min="1" max="1" width="12" customWidth="1"/>
    <col min="2" max="2" width="22" customWidth="1"/>
    <col min="3" max="3" width="12" customWidth="1"/>
    <col min="4" max="6" width="10" customWidth="1"/>
  </cols>
  <sheetData>
    <row r="1" spans="1:6" ht="26" customHeight="1" x14ac:dyDescent="0.45">
      <c r="A1" s="70" t="s">
        <v>118</v>
      </c>
      <c r="B1" s="59"/>
      <c r="C1" s="59"/>
      <c r="D1" s="59"/>
      <c r="E1" s="59"/>
      <c r="F1" s="59"/>
    </row>
    <row r="2" spans="1:6" x14ac:dyDescent="0.45">
      <c r="A2" s="1" t="s">
        <v>119</v>
      </c>
    </row>
    <row r="3" spans="1:6" ht="20" customHeight="1" x14ac:dyDescent="0.45">
      <c r="A3" s="2" t="s">
        <v>6</v>
      </c>
      <c r="B3" s="2" t="s">
        <v>7</v>
      </c>
      <c r="C3" s="2" t="s">
        <v>61</v>
      </c>
      <c r="D3" s="2" t="s">
        <v>120</v>
      </c>
      <c r="E3" s="2" t="s">
        <v>121</v>
      </c>
      <c r="F3" s="2" t="s">
        <v>122</v>
      </c>
    </row>
    <row r="4" spans="1:6" ht="16" customHeight="1" x14ac:dyDescent="0.45">
      <c r="A4" s="19" t="s">
        <v>123</v>
      </c>
      <c r="B4" s="20" t="s">
        <v>124</v>
      </c>
      <c r="C4" s="21">
        <v>1716</v>
      </c>
      <c r="D4" s="22"/>
      <c r="E4" s="23">
        <v>0.12520000457763669</v>
      </c>
      <c r="F4" s="24" t="s">
        <v>125</v>
      </c>
    </row>
    <row r="5" spans="1:6" ht="16" customHeight="1" x14ac:dyDescent="0.45">
      <c r="A5" s="19" t="s">
        <v>126</v>
      </c>
      <c r="B5" s="20" t="s">
        <v>127</v>
      </c>
      <c r="C5" s="21">
        <v>4940</v>
      </c>
      <c r="D5" s="22"/>
      <c r="E5" s="23">
        <v>-2.9500000476837158E-2</v>
      </c>
      <c r="F5" s="24" t="s">
        <v>128</v>
      </c>
    </row>
    <row r="6" spans="1:6" ht="16" customHeight="1" x14ac:dyDescent="0.45">
      <c r="A6" s="19" t="s">
        <v>129</v>
      </c>
      <c r="B6" s="20" t="s">
        <v>130</v>
      </c>
      <c r="C6" s="21">
        <v>8160</v>
      </c>
      <c r="D6" s="22"/>
      <c r="E6" s="23">
        <v>-2.740000009536743E-2</v>
      </c>
      <c r="F6" s="24" t="s">
        <v>128</v>
      </c>
    </row>
    <row r="7" spans="1:6" ht="16" customHeight="1" x14ac:dyDescent="0.45">
      <c r="A7" s="19" t="s">
        <v>131</v>
      </c>
      <c r="B7" s="20" t="s">
        <v>132</v>
      </c>
      <c r="C7" s="21">
        <v>6780</v>
      </c>
      <c r="D7" s="22"/>
      <c r="E7" s="23">
        <v>-1.600000023841858E-2</v>
      </c>
      <c r="F7" s="24" t="s">
        <v>125</v>
      </c>
    </row>
    <row r="8" spans="1:6" ht="16" customHeight="1" x14ac:dyDescent="0.45">
      <c r="A8" s="19" t="s">
        <v>133</v>
      </c>
      <c r="B8" s="20" t="s">
        <v>134</v>
      </c>
      <c r="C8" s="21">
        <v>6210</v>
      </c>
      <c r="D8" s="22"/>
      <c r="E8" s="23">
        <v>-4.9000000953674322E-2</v>
      </c>
      <c r="F8" s="24" t="s">
        <v>125</v>
      </c>
    </row>
    <row r="9" spans="1:6" ht="16" customHeight="1" x14ac:dyDescent="0.45">
      <c r="A9" s="19" t="s">
        <v>135</v>
      </c>
      <c r="B9" s="20" t="s">
        <v>136</v>
      </c>
      <c r="C9" s="21">
        <v>26700</v>
      </c>
      <c r="D9" s="22"/>
      <c r="E9" s="23">
        <v>2.5000000000000001E-2</v>
      </c>
      <c r="F9" s="24" t="s">
        <v>125</v>
      </c>
    </row>
    <row r="10" spans="1:6" ht="16" customHeight="1" x14ac:dyDescent="0.45">
      <c r="A10" s="19" t="s">
        <v>137</v>
      </c>
      <c r="B10" s="20" t="s">
        <v>138</v>
      </c>
      <c r="C10" s="21">
        <v>17630</v>
      </c>
      <c r="D10" s="22"/>
      <c r="E10" s="23">
        <v>8.0000001192092902E-3</v>
      </c>
      <c r="F10" s="24" t="s">
        <v>125</v>
      </c>
    </row>
    <row r="11" spans="1:6" ht="16" customHeight="1" x14ac:dyDescent="0.45">
      <c r="A11" s="19" t="s">
        <v>139</v>
      </c>
      <c r="B11" s="20" t="s">
        <v>140</v>
      </c>
      <c r="C11" s="21">
        <v>490</v>
      </c>
      <c r="D11" s="22"/>
      <c r="E11" s="23">
        <v>0.13430000305175779</v>
      </c>
      <c r="F11" s="24" t="s">
        <v>125</v>
      </c>
    </row>
    <row r="12" spans="1:6" ht="16" customHeight="1" x14ac:dyDescent="0.45">
      <c r="A12" s="19" t="s">
        <v>141</v>
      </c>
      <c r="B12" s="20" t="s">
        <v>142</v>
      </c>
      <c r="C12" s="21">
        <v>5290</v>
      </c>
      <c r="D12" s="22"/>
      <c r="E12" s="23">
        <v>0</v>
      </c>
      <c r="F12" s="24" t="s">
        <v>128</v>
      </c>
    </row>
    <row r="13" spans="1:6" ht="16" customHeight="1" x14ac:dyDescent="0.45">
      <c r="A13" s="19" t="s">
        <v>143</v>
      </c>
      <c r="B13" s="20" t="s">
        <v>144</v>
      </c>
      <c r="C13" s="21">
        <v>130700</v>
      </c>
      <c r="D13" s="22"/>
      <c r="E13" s="23">
        <v>-1.2799999713897701E-2</v>
      </c>
      <c r="F13" s="24" t="s">
        <v>128</v>
      </c>
    </row>
    <row r="14" spans="1:6" ht="16" customHeight="1" x14ac:dyDescent="0.45">
      <c r="A14" s="19" t="s">
        <v>145</v>
      </c>
      <c r="B14" s="20" t="s">
        <v>146</v>
      </c>
      <c r="C14" s="21">
        <v>4155</v>
      </c>
      <c r="D14" s="22"/>
      <c r="E14" s="23">
        <v>-2.2400000095367429E-2</v>
      </c>
      <c r="F14" s="24" t="s">
        <v>125</v>
      </c>
    </row>
    <row r="15" spans="1:6" ht="16" customHeight="1" x14ac:dyDescent="0.45">
      <c r="A15" s="19" t="s">
        <v>147</v>
      </c>
      <c r="B15" s="20" t="s">
        <v>148</v>
      </c>
      <c r="C15" s="21">
        <v>18300</v>
      </c>
      <c r="D15" s="22"/>
      <c r="E15" s="23">
        <v>5.5000001192092897E-3</v>
      </c>
      <c r="F15" s="24" t="s">
        <v>128</v>
      </c>
    </row>
    <row r="16" spans="1:6" ht="16" customHeight="1" x14ac:dyDescent="0.45">
      <c r="A16" s="19" t="s">
        <v>149</v>
      </c>
      <c r="B16" s="20" t="s">
        <v>150</v>
      </c>
      <c r="C16" s="21">
        <v>49950</v>
      </c>
      <c r="D16" s="22"/>
      <c r="E16" s="23">
        <v>-1.6699999570846561E-2</v>
      </c>
      <c r="F16" s="24" t="s">
        <v>128</v>
      </c>
    </row>
    <row r="17" spans="1:6" ht="16" customHeight="1" x14ac:dyDescent="0.45">
      <c r="A17" s="19" t="s">
        <v>151</v>
      </c>
      <c r="B17" s="20" t="s">
        <v>152</v>
      </c>
      <c r="C17" s="21">
        <v>33200</v>
      </c>
      <c r="D17" s="22"/>
      <c r="E17" s="23">
        <v>-2.0599999427795411E-2</v>
      </c>
      <c r="F17" s="24" t="s">
        <v>128</v>
      </c>
    </row>
    <row r="18" spans="1:6" ht="16" customHeight="1" x14ac:dyDescent="0.45">
      <c r="A18" s="19" t="s">
        <v>153</v>
      </c>
      <c r="B18" s="20" t="s">
        <v>154</v>
      </c>
      <c r="C18" s="21">
        <v>1161</v>
      </c>
      <c r="D18" s="22"/>
      <c r="E18" s="23">
        <v>-4.0500001907348628E-2</v>
      </c>
      <c r="F18" s="24" t="s">
        <v>125</v>
      </c>
    </row>
    <row r="19" spans="1:6" ht="16" customHeight="1" x14ac:dyDescent="0.45">
      <c r="A19" s="19" t="s">
        <v>155</v>
      </c>
      <c r="B19" s="20" t="s">
        <v>156</v>
      </c>
      <c r="C19" s="21">
        <v>221500</v>
      </c>
      <c r="D19" s="22"/>
      <c r="E19" s="23">
        <v>-1.340000033378601E-2</v>
      </c>
      <c r="F19" s="24" t="s">
        <v>128</v>
      </c>
    </row>
    <row r="20" spans="1:6" ht="16" customHeight="1" x14ac:dyDescent="0.45">
      <c r="A20" s="19" t="s">
        <v>157</v>
      </c>
      <c r="B20" s="20" t="s">
        <v>158</v>
      </c>
      <c r="C20" s="21">
        <v>4805</v>
      </c>
      <c r="D20" s="22"/>
      <c r="E20" s="23">
        <v>-3.2200000286102287E-2</v>
      </c>
      <c r="F20" s="24" t="s">
        <v>128</v>
      </c>
    </row>
    <row r="21" spans="1:6" ht="16" customHeight="1" x14ac:dyDescent="0.45">
      <c r="A21" s="19" t="s">
        <v>159</v>
      </c>
      <c r="B21" s="20" t="s">
        <v>160</v>
      </c>
      <c r="C21" s="21">
        <v>53200</v>
      </c>
      <c r="D21" s="22"/>
      <c r="E21" s="23">
        <v>-1.8500000238418579E-2</v>
      </c>
      <c r="F21" s="24" t="s">
        <v>125</v>
      </c>
    </row>
    <row r="22" spans="1:6" ht="16" customHeight="1" x14ac:dyDescent="0.45">
      <c r="A22" s="19" t="s">
        <v>161</v>
      </c>
      <c r="B22" s="20" t="s">
        <v>162</v>
      </c>
      <c r="C22" s="21">
        <v>7620</v>
      </c>
      <c r="D22" s="22"/>
      <c r="E22" s="23">
        <v>-2.8099999427795411E-2</v>
      </c>
      <c r="F22" s="24" t="s">
        <v>125</v>
      </c>
    </row>
    <row r="23" spans="1:6" ht="16" customHeight="1" x14ac:dyDescent="0.45">
      <c r="A23" s="19" t="s">
        <v>163</v>
      </c>
      <c r="B23" s="20" t="s">
        <v>164</v>
      </c>
      <c r="C23" s="21">
        <v>188200</v>
      </c>
      <c r="D23" s="22"/>
      <c r="E23" s="23">
        <v>-2.4900000095367431E-2</v>
      </c>
      <c r="F23" s="24" t="s">
        <v>128</v>
      </c>
    </row>
    <row r="24" spans="1:6" ht="16" customHeight="1" x14ac:dyDescent="0.45">
      <c r="A24" s="19" t="s">
        <v>165</v>
      </c>
      <c r="B24" s="20" t="s">
        <v>166</v>
      </c>
      <c r="C24" s="21">
        <v>100200</v>
      </c>
      <c r="D24" s="22"/>
      <c r="E24" s="23">
        <v>-1.0900000333786009E-2</v>
      </c>
      <c r="F24" s="24" t="s">
        <v>128</v>
      </c>
    </row>
    <row r="25" spans="1:6" ht="16" customHeight="1" x14ac:dyDescent="0.45">
      <c r="A25" s="19" t="s">
        <v>167</v>
      </c>
      <c r="B25" s="20" t="s">
        <v>168</v>
      </c>
      <c r="C25" s="21">
        <v>2665</v>
      </c>
      <c r="D25" s="22"/>
      <c r="E25" s="23">
        <v>-1.2999999523162839E-2</v>
      </c>
      <c r="F25" s="24" t="s">
        <v>128</v>
      </c>
    </row>
    <row r="26" spans="1:6" ht="16" customHeight="1" x14ac:dyDescent="0.45">
      <c r="A26" s="19" t="s">
        <v>169</v>
      </c>
      <c r="B26" s="20" t="s">
        <v>170</v>
      </c>
      <c r="C26" s="21">
        <v>13100</v>
      </c>
      <c r="D26" s="22"/>
      <c r="E26" s="23">
        <v>-1.1299999952316279E-2</v>
      </c>
      <c r="F26" s="24" t="s">
        <v>128</v>
      </c>
    </row>
    <row r="27" spans="1:6" ht="16" customHeight="1" x14ac:dyDescent="0.45">
      <c r="A27" s="19" t="s">
        <v>171</v>
      </c>
      <c r="B27" s="20" t="s">
        <v>172</v>
      </c>
      <c r="C27" s="21">
        <v>89500</v>
      </c>
      <c r="D27" s="22"/>
      <c r="E27" s="23">
        <v>-1.4299999475479131E-2</v>
      </c>
      <c r="F27" s="24" t="s">
        <v>128</v>
      </c>
    </row>
    <row r="28" spans="1:6" ht="16" customHeight="1" x14ac:dyDescent="0.45">
      <c r="A28" s="19" t="s">
        <v>173</v>
      </c>
      <c r="B28" s="20" t="s">
        <v>174</v>
      </c>
      <c r="C28" s="21">
        <v>232500</v>
      </c>
      <c r="D28" s="22"/>
      <c r="E28" s="23">
        <v>-3.5299999713897703E-2</v>
      </c>
      <c r="F28" s="24" t="s">
        <v>128</v>
      </c>
    </row>
    <row r="29" spans="1:6" ht="16" customHeight="1" x14ac:dyDescent="0.45">
      <c r="A29" s="19" t="s">
        <v>175</v>
      </c>
      <c r="B29" s="20" t="s">
        <v>176</v>
      </c>
      <c r="C29" s="21">
        <v>136200</v>
      </c>
      <c r="D29" s="22"/>
      <c r="E29" s="23">
        <v>-1.159999966621399E-2</v>
      </c>
      <c r="F29" s="24" t="s">
        <v>128</v>
      </c>
    </row>
    <row r="30" spans="1:6" ht="16" customHeight="1" x14ac:dyDescent="0.45">
      <c r="A30" s="19" t="s">
        <v>177</v>
      </c>
      <c r="B30" s="20" t="s">
        <v>178</v>
      </c>
      <c r="C30" s="21">
        <v>26950</v>
      </c>
      <c r="D30" s="22"/>
      <c r="E30" s="23">
        <v>-3.9200000762939453E-2</v>
      </c>
      <c r="F30" s="24" t="s">
        <v>125</v>
      </c>
    </row>
    <row r="31" spans="1:6" ht="16" customHeight="1" x14ac:dyDescent="0.45">
      <c r="A31" s="19" t="s">
        <v>179</v>
      </c>
      <c r="B31" s="20" t="s">
        <v>180</v>
      </c>
      <c r="C31" s="21">
        <v>1684</v>
      </c>
      <c r="D31" s="22"/>
      <c r="E31" s="23">
        <v>-1.8600000143051149E-2</v>
      </c>
      <c r="F31" s="24" t="s">
        <v>125</v>
      </c>
    </row>
    <row r="32" spans="1:6" ht="16" customHeight="1" x14ac:dyDescent="0.45">
      <c r="A32" s="19" t="s">
        <v>181</v>
      </c>
      <c r="B32" s="20" t="s">
        <v>182</v>
      </c>
      <c r="C32" s="21">
        <v>514</v>
      </c>
      <c r="D32" s="22"/>
      <c r="E32" s="23">
        <v>0</v>
      </c>
      <c r="F32" s="24" t="s">
        <v>125</v>
      </c>
    </row>
    <row r="33" spans="1:6" ht="16" customHeight="1" x14ac:dyDescent="0.45">
      <c r="A33" s="19" t="s">
        <v>183</v>
      </c>
      <c r="B33" s="20" t="s">
        <v>184</v>
      </c>
      <c r="C33" s="21">
        <v>5020</v>
      </c>
      <c r="D33" s="22"/>
      <c r="E33" s="23">
        <v>-4.0000000596046451E-3</v>
      </c>
      <c r="F33" s="24" t="s">
        <v>128</v>
      </c>
    </row>
    <row r="34" spans="1:6" ht="16" customHeight="1" x14ac:dyDescent="0.45">
      <c r="A34" s="19" t="s">
        <v>185</v>
      </c>
      <c r="B34" s="20" t="s">
        <v>186</v>
      </c>
      <c r="C34" s="21">
        <v>1584</v>
      </c>
      <c r="D34" s="22"/>
      <c r="E34" s="23">
        <v>0</v>
      </c>
      <c r="F34" s="24" t="s">
        <v>125</v>
      </c>
    </row>
    <row r="35" spans="1:6" ht="16" customHeight="1" x14ac:dyDescent="0.45">
      <c r="A35" s="19" t="s">
        <v>187</v>
      </c>
      <c r="B35" s="20" t="s">
        <v>188</v>
      </c>
      <c r="C35" s="21">
        <v>359</v>
      </c>
      <c r="D35" s="22"/>
      <c r="E35" s="23">
        <v>-8.6499996185302741E-2</v>
      </c>
      <c r="F35" s="24" t="s">
        <v>125</v>
      </c>
    </row>
    <row r="36" spans="1:6" ht="16" customHeight="1" x14ac:dyDescent="0.45">
      <c r="A36" s="19" t="s">
        <v>189</v>
      </c>
      <c r="B36" s="20" t="s">
        <v>190</v>
      </c>
      <c r="C36" s="21">
        <v>80100</v>
      </c>
      <c r="D36" s="22"/>
      <c r="E36" s="23">
        <v>-1.19999997317791E-3</v>
      </c>
      <c r="F36" s="24" t="s">
        <v>128</v>
      </c>
    </row>
    <row r="37" spans="1:6" ht="16" customHeight="1" x14ac:dyDescent="0.45">
      <c r="A37" s="19" t="s">
        <v>191</v>
      </c>
      <c r="B37" s="20" t="s">
        <v>192</v>
      </c>
      <c r="C37" s="21">
        <v>1957</v>
      </c>
      <c r="D37" s="22"/>
      <c r="E37" s="23">
        <v>-6.6000002622604373E-3</v>
      </c>
      <c r="F37" s="24" t="s">
        <v>128</v>
      </c>
    </row>
    <row r="38" spans="1:6" ht="16" customHeight="1" x14ac:dyDescent="0.45">
      <c r="A38" s="19" t="s">
        <v>193</v>
      </c>
      <c r="B38" s="20" t="s">
        <v>194</v>
      </c>
      <c r="C38" s="21">
        <v>2230</v>
      </c>
      <c r="D38" s="22"/>
      <c r="E38" s="23">
        <v>0</v>
      </c>
      <c r="F38" s="24" t="s">
        <v>125</v>
      </c>
    </row>
    <row r="39" spans="1:6" ht="16" customHeight="1" x14ac:dyDescent="0.45">
      <c r="A39" s="19" t="s">
        <v>195</v>
      </c>
      <c r="B39" s="20" t="s">
        <v>196</v>
      </c>
      <c r="C39" s="21">
        <v>162300</v>
      </c>
      <c r="D39" s="22"/>
      <c r="E39" s="23">
        <v>-2.700000047683716E-2</v>
      </c>
      <c r="F39" s="24" t="s">
        <v>128</v>
      </c>
    </row>
    <row r="40" spans="1:6" ht="16" customHeight="1" x14ac:dyDescent="0.45">
      <c r="A40" s="19" t="s">
        <v>197</v>
      </c>
      <c r="B40" s="20" t="s">
        <v>198</v>
      </c>
      <c r="C40" s="21">
        <v>15760</v>
      </c>
      <c r="D40" s="22"/>
      <c r="E40" s="23">
        <v>8.609999656677246E-2</v>
      </c>
      <c r="F40" s="24" t="s">
        <v>128</v>
      </c>
    </row>
    <row r="41" spans="1:6" ht="16" customHeight="1" x14ac:dyDescent="0.45">
      <c r="A41" s="19" t="s">
        <v>199</v>
      </c>
      <c r="B41" s="20" t="s">
        <v>200</v>
      </c>
      <c r="C41" s="21">
        <v>159800</v>
      </c>
      <c r="D41" s="22"/>
      <c r="E41" s="23">
        <v>-1.179999947547913E-2</v>
      </c>
      <c r="F41" s="24" t="s">
        <v>128</v>
      </c>
    </row>
    <row r="42" spans="1:6" ht="16" customHeight="1" x14ac:dyDescent="0.45">
      <c r="A42" s="19" t="s">
        <v>201</v>
      </c>
      <c r="B42" s="20" t="s">
        <v>202</v>
      </c>
      <c r="C42" s="21">
        <v>1284</v>
      </c>
      <c r="D42" s="22"/>
      <c r="E42" s="23">
        <v>0</v>
      </c>
      <c r="F42" s="24" t="s">
        <v>125</v>
      </c>
    </row>
    <row r="43" spans="1:6" ht="16" customHeight="1" x14ac:dyDescent="0.45">
      <c r="A43" s="19" t="s">
        <v>203</v>
      </c>
      <c r="B43" s="20" t="s">
        <v>204</v>
      </c>
      <c r="C43" s="21">
        <v>4200</v>
      </c>
      <c r="D43" s="22"/>
      <c r="E43" s="23">
        <v>0</v>
      </c>
      <c r="F43" s="24" t="s">
        <v>128</v>
      </c>
    </row>
    <row r="44" spans="1:6" ht="16" customHeight="1" x14ac:dyDescent="0.45">
      <c r="A44" s="19" t="s">
        <v>205</v>
      </c>
      <c r="B44" s="20" t="s">
        <v>206</v>
      </c>
      <c r="C44" s="21">
        <v>2940</v>
      </c>
      <c r="D44" s="22"/>
      <c r="E44" s="23">
        <v>-5.6199998855590821E-2</v>
      </c>
      <c r="F44" s="24" t="s">
        <v>125</v>
      </c>
    </row>
    <row r="45" spans="1:6" ht="16" customHeight="1" x14ac:dyDescent="0.45">
      <c r="A45" s="19" t="s">
        <v>207</v>
      </c>
      <c r="B45" s="20" t="s">
        <v>208</v>
      </c>
      <c r="C45" s="21">
        <v>901</v>
      </c>
      <c r="D45" s="22"/>
      <c r="E45" s="23">
        <v>-1.960000038146973E-2</v>
      </c>
      <c r="F45" s="24" t="s">
        <v>125</v>
      </c>
    </row>
    <row r="46" spans="1:6" ht="16" customHeight="1" x14ac:dyDescent="0.45">
      <c r="A46" s="19" t="s">
        <v>209</v>
      </c>
      <c r="B46" s="20" t="s">
        <v>210</v>
      </c>
      <c r="C46" s="21">
        <v>29100</v>
      </c>
      <c r="D46" s="22"/>
      <c r="E46" s="23">
        <v>-4.5900001525878913E-2</v>
      </c>
      <c r="F46" s="24" t="s">
        <v>128</v>
      </c>
    </row>
    <row r="47" spans="1:6" ht="16" customHeight="1" x14ac:dyDescent="0.45">
      <c r="A47" s="19" t="s">
        <v>211</v>
      </c>
      <c r="B47" s="20" t="s">
        <v>212</v>
      </c>
      <c r="C47" s="21">
        <v>515</v>
      </c>
      <c r="D47" s="22"/>
      <c r="E47" s="23">
        <v>0</v>
      </c>
      <c r="F47" s="24" t="s">
        <v>128</v>
      </c>
    </row>
    <row r="48" spans="1:6" ht="16" customHeight="1" x14ac:dyDescent="0.45">
      <c r="A48" s="19" t="s">
        <v>213</v>
      </c>
      <c r="B48" s="20" t="s">
        <v>214</v>
      </c>
      <c r="C48" s="21">
        <v>65600</v>
      </c>
      <c r="D48" s="22"/>
      <c r="E48" s="23">
        <v>-2.6700000762939449E-2</v>
      </c>
      <c r="F48" s="24" t="s">
        <v>128</v>
      </c>
    </row>
    <row r="49" spans="1:6" ht="16" customHeight="1" x14ac:dyDescent="0.45">
      <c r="A49" s="19" t="s">
        <v>215</v>
      </c>
      <c r="B49" s="20" t="s">
        <v>216</v>
      </c>
      <c r="C49" s="21">
        <v>28700</v>
      </c>
      <c r="D49" s="22"/>
      <c r="E49" s="23">
        <v>-1.8799999952316279E-2</v>
      </c>
      <c r="F49" s="24" t="s">
        <v>128</v>
      </c>
    </row>
    <row r="50" spans="1:6" ht="16" customHeight="1" x14ac:dyDescent="0.45">
      <c r="A50" s="19" t="s">
        <v>217</v>
      </c>
      <c r="B50" s="20" t="s">
        <v>218</v>
      </c>
      <c r="C50" s="21">
        <v>92100</v>
      </c>
      <c r="D50" s="22"/>
      <c r="E50" s="23">
        <v>8.7999999523162842E-3</v>
      </c>
      <c r="F50" s="24" t="s">
        <v>128</v>
      </c>
    </row>
    <row r="51" spans="1:6" ht="16" customHeight="1" x14ac:dyDescent="0.45">
      <c r="A51" s="19" t="s">
        <v>219</v>
      </c>
      <c r="B51" s="20" t="s">
        <v>220</v>
      </c>
      <c r="C51" s="21">
        <v>55000</v>
      </c>
      <c r="D51" s="22"/>
      <c r="E51" s="23">
        <v>1.1000000238418579E-2</v>
      </c>
      <c r="F51" s="24" t="s">
        <v>128</v>
      </c>
    </row>
    <row r="52" spans="1:6" ht="16" customHeight="1" x14ac:dyDescent="0.45">
      <c r="A52" s="19" t="s">
        <v>221</v>
      </c>
      <c r="B52" s="20" t="s">
        <v>222</v>
      </c>
      <c r="C52" s="21">
        <v>29600</v>
      </c>
      <c r="D52" s="22"/>
      <c r="E52" s="23">
        <v>5.0999999046325694E-3</v>
      </c>
      <c r="F52" s="24" t="s">
        <v>128</v>
      </c>
    </row>
    <row r="53" spans="1:6" ht="16" customHeight="1" x14ac:dyDescent="0.45">
      <c r="A53" s="19" t="s">
        <v>223</v>
      </c>
      <c r="B53" s="20" t="s">
        <v>224</v>
      </c>
      <c r="C53" s="21">
        <v>8350</v>
      </c>
      <c r="D53" s="22"/>
      <c r="E53" s="23">
        <v>2.39999994635582E-3</v>
      </c>
      <c r="F53" s="24" t="s">
        <v>125</v>
      </c>
    </row>
    <row r="54" spans="1:6" ht="16" customHeight="1" x14ac:dyDescent="0.45">
      <c r="A54" s="19" t="s">
        <v>225</v>
      </c>
      <c r="B54" s="20" t="s">
        <v>226</v>
      </c>
      <c r="C54" s="21">
        <v>49550</v>
      </c>
      <c r="D54" s="22"/>
      <c r="E54" s="23">
        <v>-3.0299999713897709E-2</v>
      </c>
      <c r="F54" s="24" t="s">
        <v>128</v>
      </c>
    </row>
    <row r="55" spans="1:6" ht="16" customHeight="1" x14ac:dyDescent="0.45">
      <c r="A55" s="19" t="s">
        <v>227</v>
      </c>
      <c r="B55" s="20" t="s">
        <v>228</v>
      </c>
      <c r="C55" s="21">
        <v>5130</v>
      </c>
      <c r="D55" s="22"/>
      <c r="E55" s="23">
        <v>-2.8399999141693111E-2</v>
      </c>
      <c r="F55" s="24" t="s">
        <v>128</v>
      </c>
    </row>
    <row r="56" spans="1:6" ht="16" customHeight="1" x14ac:dyDescent="0.45">
      <c r="A56" s="19" t="s">
        <v>229</v>
      </c>
      <c r="B56" s="20" t="s">
        <v>230</v>
      </c>
      <c r="C56" s="21">
        <v>16810</v>
      </c>
      <c r="D56" s="22"/>
      <c r="E56" s="23">
        <v>-2.6099998950958249E-2</v>
      </c>
      <c r="F56" s="24" t="s">
        <v>125</v>
      </c>
    </row>
    <row r="57" spans="1:6" ht="16" customHeight="1" x14ac:dyDescent="0.45">
      <c r="A57" s="19" t="s">
        <v>231</v>
      </c>
      <c r="B57" s="20" t="s">
        <v>232</v>
      </c>
      <c r="C57" s="21">
        <v>4535</v>
      </c>
      <c r="D57" s="22"/>
      <c r="E57" s="23">
        <v>-1.409999966621399E-2</v>
      </c>
      <c r="F57" s="24" t="s">
        <v>128</v>
      </c>
    </row>
    <row r="58" spans="1:6" ht="16" customHeight="1" x14ac:dyDescent="0.45">
      <c r="A58" s="19" t="s">
        <v>233</v>
      </c>
      <c r="B58" s="20" t="s">
        <v>234</v>
      </c>
      <c r="C58" s="21">
        <v>5690</v>
      </c>
      <c r="D58" s="22"/>
      <c r="E58" s="23">
        <v>-6.9999998807907101E-3</v>
      </c>
      <c r="F58" s="24" t="s">
        <v>128</v>
      </c>
    </row>
    <row r="59" spans="1:6" ht="16" customHeight="1" x14ac:dyDescent="0.45">
      <c r="A59" s="19" t="s">
        <v>235</v>
      </c>
      <c r="B59" s="20" t="s">
        <v>236</v>
      </c>
      <c r="C59" s="21">
        <v>24950</v>
      </c>
      <c r="D59" s="22"/>
      <c r="E59" s="23">
        <v>4.3899998664855958E-2</v>
      </c>
      <c r="F59" s="24" t="s">
        <v>128</v>
      </c>
    </row>
    <row r="60" spans="1:6" ht="16" customHeight="1" x14ac:dyDescent="0.45">
      <c r="A60" s="19" t="s">
        <v>237</v>
      </c>
      <c r="B60" s="20" t="s">
        <v>238</v>
      </c>
      <c r="C60" s="21">
        <v>4240</v>
      </c>
      <c r="D60" s="22"/>
      <c r="E60" s="23">
        <v>-2.6400001049041749E-2</v>
      </c>
      <c r="F60" s="24" t="s">
        <v>125</v>
      </c>
    </row>
    <row r="61" spans="1:6" ht="16" customHeight="1" x14ac:dyDescent="0.45">
      <c r="A61" s="19" t="s">
        <v>239</v>
      </c>
      <c r="B61" s="20" t="s">
        <v>240</v>
      </c>
      <c r="C61" s="21">
        <v>5100</v>
      </c>
      <c r="D61" s="22"/>
      <c r="E61" s="23">
        <v>-2.299999952316284E-2</v>
      </c>
      <c r="F61" s="24" t="s">
        <v>128</v>
      </c>
    </row>
    <row r="62" spans="1:6" ht="16" customHeight="1" x14ac:dyDescent="0.45">
      <c r="A62" s="19" t="s">
        <v>241</v>
      </c>
      <c r="B62" s="20" t="s">
        <v>242</v>
      </c>
      <c r="C62" s="21">
        <v>101800</v>
      </c>
      <c r="D62" s="22"/>
      <c r="E62" s="23">
        <v>-2.4900000095367431E-2</v>
      </c>
      <c r="F62" s="24" t="s">
        <v>128</v>
      </c>
    </row>
    <row r="63" spans="1:6" ht="16" customHeight="1" x14ac:dyDescent="0.45">
      <c r="A63" s="19" t="s">
        <v>243</v>
      </c>
      <c r="B63" s="20" t="s">
        <v>244</v>
      </c>
      <c r="C63" s="21">
        <v>1454</v>
      </c>
      <c r="D63" s="22"/>
      <c r="E63" s="23">
        <v>-1.7599999904632568E-2</v>
      </c>
      <c r="F63" s="24" t="s">
        <v>125</v>
      </c>
    </row>
    <row r="64" spans="1:6" ht="16" customHeight="1" x14ac:dyDescent="0.45">
      <c r="A64" s="19" t="s">
        <v>245</v>
      </c>
      <c r="B64" s="20" t="s">
        <v>246</v>
      </c>
      <c r="C64" s="21">
        <v>415</v>
      </c>
      <c r="D64" s="22"/>
      <c r="E64" s="23">
        <v>0</v>
      </c>
      <c r="F64" s="24" t="s">
        <v>125</v>
      </c>
    </row>
    <row r="65" spans="1:6" ht="16" customHeight="1" x14ac:dyDescent="0.45">
      <c r="A65" s="19" t="s">
        <v>247</v>
      </c>
      <c r="B65" s="20" t="s">
        <v>248</v>
      </c>
      <c r="C65" s="21">
        <v>5340</v>
      </c>
      <c r="D65" s="22"/>
      <c r="E65" s="23">
        <v>-2.0199999809265141E-2</v>
      </c>
      <c r="F65" s="24" t="s">
        <v>125</v>
      </c>
    </row>
    <row r="66" spans="1:6" ht="16" customHeight="1" x14ac:dyDescent="0.45">
      <c r="A66" s="19" t="s">
        <v>249</v>
      </c>
      <c r="B66" s="20" t="s">
        <v>250</v>
      </c>
      <c r="C66" s="21">
        <v>2500</v>
      </c>
      <c r="D66" s="22"/>
      <c r="E66" s="23">
        <v>2.0399999618530271E-2</v>
      </c>
      <c r="F66" s="24" t="s">
        <v>251</v>
      </c>
    </row>
    <row r="67" spans="1:6" ht="16" customHeight="1" x14ac:dyDescent="0.45">
      <c r="A67" s="19" t="s">
        <v>252</v>
      </c>
      <c r="B67" s="20" t="s">
        <v>253</v>
      </c>
      <c r="C67" s="21">
        <v>4170</v>
      </c>
      <c r="D67" s="22"/>
      <c r="E67" s="23">
        <v>-4.9000000953674322E-2</v>
      </c>
      <c r="F67" s="24" t="s">
        <v>128</v>
      </c>
    </row>
    <row r="68" spans="1:6" ht="16" customHeight="1" x14ac:dyDescent="0.45">
      <c r="A68" s="19" t="s">
        <v>254</v>
      </c>
      <c r="B68" s="20" t="s">
        <v>255</v>
      </c>
      <c r="C68" s="21">
        <v>2840</v>
      </c>
      <c r="D68" s="22"/>
      <c r="E68" s="23">
        <v>-3.4000000953674323E-2</v>
      </c>
      <c r="F68" s="24" t="s">
        <v>125</v>
      </c>
    </row>
    <row r="69" spans="1:6" ht="16" customHeight="1" x14ac:dyDescent="0.45">
      <c r="A69" s="19" t="s">
        <v>256</v>
      </c>
      <c r="B69" s="20" t="s">
        <v>257</v>
      </c>
      <c r="C69" s="21">
        <v>78200</v>
      </c>
      <c r="D69" s="22"/>
      <c r="E69" s="23">
        <v>2.0899999141693111E-2</v>
      </c>
      <c r="F69" s="24" t="s">
        <v>128</v>
      </c>
    </row>
    <row r="70" spans="1:6" ht="16" customHeight="1" x14ac:dyDescent="0.45">
      <c r="A70" s="19" t="s">
        <v>258</v>
      </c>
      <c r="B70" s="20" t="s">
        <v>259</v>
      </c>
      <c r="C70" s="21">
        <v>19910</v>
      </c>
      <c r="D70" s="22"/>
      <c r="E70" s="23">
        <v>-1.6799999475479121E-2</v>
      </c>
      <c r="F70" s="24" t="s">
        <v>128</v>
      </c>
    </row>
    <row r="71" spans="1:6" ht="16" customHeight="1" x14ac:dyDescent="0.45">
      <c r="A71" s="19" t="s">
        <v>260</v>
      </c>
      <c r="B71" s="20" t="s">
        <v>261</v>
      </c>
      <c r="C71" s="21">
        <v>1997</v>
      </c>
      <c r="D71" s="22"/>
      <c r="E71" s="23">
        <v>-1.139999985694885E-2</v>
      </c>
      <c r="F71" s="24" t="s">
        <v>125</v>
      </c>
    </row>
    <row r="72" spans="1:6" ht="16" customHeight="1" x14ac:dyDescent="0.45">
      <c r="A72" s="19" t="s">
        <v>262</v>
      </c>
      <c r="B72" s="20" t="s">
        <v>263</v>
      </c>
      <c r="C72" s="21">
        <v>3940</v>
      </c>
      <c r="D72" s="22"/>
      <c r="E72" s="23">
        <v>-2.1099998950958251E-2</v>
      </c>
      <c r="F72" s="24" t="s">
        <v>125</v>
      </c>
    </row>
    <row r="73" spans="1:6" ht="16" customHeight="1" x14ac:dyDescent="0.45">
      <c r="A73" s="19" t="s">
        <v>264</v>
      </c>
      <c r="B73" s="20" t="s">
        <v>265</v>
      </c>
      <c r="C73" s="21">
        <v>2490</v>
      </c>
      <c r="D73" s="22"/>
      <c r="E73" s="23">
        <v>-1.190000057220459E-2</v>
      </c>
      <c r="F73" s="24" t="s">
        <v>125</v>
      </c>
    </row>
    <row r="74" spans="1:6" ht="16" customHeight="1" x14ac:dyDescent="0.45">
      <c r="A74" s="19" t="s">
        <v>266</v>
      </c>
      <c r="B74" s="20" t="s">
        <v>267</v>
      </c>
      <c r="C74" s="21">
        <v>12070</v>
      </c>
      <c r="D74" s="22"/>
      <c r="E74" s="23">
        <v>-2.5000000000000001E-2</v>
      </c>
      <c r="F74" s="24" t="s">
        <v>128</v>
      </c>
    </row>
    <row r="75" spans="1:6" ht="16" customHeight="1" x14ac:dyDescent="0.45">
      <c r="A75" s="19" t="s">
        <v>268</v>
      </c>
      <c r="B75" s="20" t="s">
        <v>269</v>
      </c>
      <c r="C75" s="21">
        <v>3855</v>
      </c>
      <c r="D75" s="22"/>
      <c r="E75" s="23">
        <v>-5.9800000190734857E-2</v>
      </c>
      <c r="F75" s="24" t="s">
        <v>125</v>
      </c>
    </row>
    <row r="76" spans="1:6" ht="16" customHeight="1" x14ac:dyDescent="0.45">
      <c r="A76" s="19" t="s">
        <v>270</v>
      </c>
      <c r="B76" s="20" t="s">
        <v>271</v>
      </c>
      <c r="C76" s="21">
        <v>78300</v>
      </c>
      <c r="D76" s="22"/>
      <c r="E76" s="23">
        <v>-3.2100000381469727E-2</v>
      </c>
      <c r="F76" s="24" t="s">
        <v>128</v>
      </c>
    </row>
    <row r="77" spans="1:6" ht="16" customHeight="1" x14ac:dyDescent="0.45">
      <c r="A77" s="19" t="s">
        <v>272</v>
      </c>
      <c r="B77" s="20" t="s">
        <v>273</v>
      </c>
      <c r="C77" s="21">
        <v>55100</v>
      </c>
      <c r="D77" s="22"/>
      <c r="E77" s="23">
        <v>9.9799995422363286E-2</v>
      </c>
      <c r="F77" s="24" t="s">
        <v>125</v>
      </c>
    </row>
    <row r="78" spans="1:6" ht="16" customHeight="1" x14ac:dyDescent="0.45">
      <c r="A78" s="19" t="s">
        <v>274</v>
      </c>
      <c r="B78" s="20" t="s">
        <v>275</v>
      </c>
      <c r="C78" s="21">
        <v>35350</v>
      </c>
      <c r="D78" s="22"/>
      <c r="E78" s="23">
        <v>-1.6699999570846561E-2</v>
      </c>
      <c r="F78" s="24" t="s">
        <v>128</v>
      </c>
    </row>
    <row r="79" spans="1:6" ht="16" customHeight="1" x14ac:dyDescent="0.45">
      <c r="A79" s="19" t="s">
        <v>276</v>
      </c>
      <c r="B79" s="20" t="s">
        <v>277</v>
      </c>
      <c r="C79" s="21">
        <v>4650</v>
      </c>
      <c r="D79" s="22"/>
      <c r="E79" s="23">
        <v>-3.1999999284744261E-3</v>
      </c>
      <c r="F79" s="24" t="s">
        <v>128</v>
      </c>
    </row>
    <row r="80" spans="1:6" ht="16" customHeight="1" x14ac:dyDescent="0.45">
      <c r="A80" s="19" t="s">
        <v>278</v>
      </c>
      <c r="B80" s="20" t="s">
        <v>279</v>
      </c>
      <c r="C80" s="21">
        <v>22800</v>
      </c>
      <c r="D80" s="22"/>
      <c r="E80" s="23">
        <v>-1.0800000429153441E-2</v>
      </c>
      <c r="F80" s="24" t="s">
        <v>128</v>
      </c>
    </row>
    <row r="81" spans="1:6" ht="16" customHeight="1" x14ac:dyDescent="0.45">
      <c r="A81" s="19" t="s">
        <v>280</v>
      </c>
      <c r="B81" s="20" t="s">
        <v>281</v>
      </c>
      <c r="C81" s="21">
        <v>57300</v>
      </c>
      <c r="D81" s="22"/>
      <c r="E81" s="23">
        <v>3.4999999403953551E-3</v>
      </c>
      <c r="F81" s="24" t="s">
        <v>128</v>
      </c>
    </row>
    <row r="82" spans="1:6" ht="16" customHeight="1" x14ac:dyDescent="0.45">
      <c r="A82" s="19" t="s">
        <v>282</v>
      </c>
      <c r="B82" s="20" t="s">
        <v>283</v>
      </c>
      <c r="C82" s="21">
        <v>54900</v>
      </c>
      <c r="D82" s="22"/>
      <c r="E82" s="23">
        <v>-5.4000002145767213E-3</v>
      </c>
      <c r="F82" s="24" t="s">
        <v>128</v>
      </c>
    </row>
    <row r="83" spans="1:6" ht="16" customHeight="1" x14ac:dyDescent="0.45">
      <c r="A83" s="19" t="s">
        <v>284</v>
      </c>
      <c r="B83" s="20" t="s">
        <v>285</v>
      </c>
      <c r="C83" s="21">
        <v>2695</v>
      </c>
      <c r="D83" s="22"/>
      <c r="E83" s="23">
        <v>0.141899995803833</v>
      </c>
      <c r="F83" s="24" t="s">
        <v>125</v>
      </c>
    </row>
    <row r="84" spans="1:6" ht="16" customHeight="1" x14ac:dyDescent="0.45">
      <c r="A84" s="19" t="s">
        <v>286</v>
      </c>
      <c r="B84" s="20" t="s">
        <v>287</v>
      </c>
      <c r="C84" s="21">
        <v>2155</v>
      </c>
      <c r="D84" s="22"/>
      <c r="E84" s="23">
        <v>-1.370000004768371E-2</v>
      </c>
      <c r="F84" s="24" t="s">
        <v>125</v>
      </c>
    </row>
    <row r="85" spans="1:6" ht="16" customHeight="1" x14ac:dyDescent="0.45">
      <c r="A85" s="19" t="s">
        <v>288</v>
      </c>
      <c r="B85" s="20" t="s">
        <v>289</v>
      </c>
      <c r="C85" s="21">
        <v>4020</v>
      </c>
      <c r="D85" s="22"/>
      <c r="E85" s="23">
        <v>0.29889999389648442</v>
      </c>
      <c r="F85" s="24" t="s">
        <v>125</v>
      </c>
    </row>
    <row r="86" spans="1:6" ht="16" customHeight="1" x14ac:dyDescent="0.45">
      <c r="A86" s="19" t="s">
        <v>290</v>
      </c>
      <c r="B86" s="20" t="s">
        <v>291</v>
      </c>
      <c r="C86" s="21">
        <v>3300</v>
      </c>
      <c r="D86" s="22"/>
      <c r="E86" s="23">
        <v>-5.7100000381469729E-2</v>
      </c>
      <c r="F86" s="24" t="s">
        <v>125</v>
      </c>
    </row>
    <row r="87" spans="1:6" ht="16" customHeight="1" x14ac:dyDescent="0.45">
      <c r="A87" s="19" t="s">
        <v>292</v>
      </c>
      <c r="B87" s="20" t="s">
        <v>293</v>
      </c>
      <c r="C87" s="21">
        <v>3335</v>
      </c>
      <c r="D87" s="22"/>
      <c r="E87" s="23">
        <v>-4.8499999046325681E-2</v>
      </c>
      <c r="F87" s="24" t="s">
        <v>125</v>
      </c>
    </row>
    <row r="88" spans="1:6" ht="16" customHeight="1" x14ac:dyDescent="0.45">
      <c r="A88" s="19" t="s">
        <v>294</v>
      </c>
      <c r="B88" s="20" t="s">
        <v>295</v>
      </c>
      <c r="C88" s="21">
        <v>28000</v>
      </c>
      <c r="D88" s="22"/>
      <c r="E88" s="23">
        <v>-3.6000001430511481E-3</v>
      </c>
      <c r="F88" s="24" t="s">
        <v>128</v>
      </c>
    </row>
    <row r="89" spans="1:6" ht="16" customHeight="1" x14ac:dyDescent="0.45">
      <c r="A89" s="19" t="s">
        <v>296</v>
      </c>
      <c r="B89" s="20" t="s">
        <v>297</v>
      </c>
      <c r="C89" s="21">
        <v>8190</v>
      </c>
      <c r="D89" s="22"/>
      <c r="E89" s="23">
        <v>-1.7999999523162839E-2</v>
      </c>
      <c r="F89" s="24" t="s">
        <v>128</v>
      </c>
    </row>
    <row r="90" spans="1:6" ht="16" customHeight="1" x14ac:dyDescent="0.45">
      <c r="A90" s="19" t="s">
        <v>298</v>
      </c>
      <c r="B90" s="20" t="s">
        <v>299</v>
      </c>
      <c r="C90" s="21">
        <v>5630</v>
      </c>
      <c r="D90" s="22"/>
      <c r="E90" s="23">
        <v>-2.5999999046325679E-2</v>
      </c>
      <c r="F90" s="24" t="s">
        <v>128</v>
      </c>
    </row>
    <row r="91" spans="1:6" ht="16" customHeight="1" x14ac:dyDescent="0.45">
      <c r="A91" s="19" t="s">
        <v>300</v>
      </c>
      <c r="B91" s="20" t="s">
        <v>301</v>
      </c>
      <c r="C91" s="21">
        <v>184400</v>
      </c>
      <c r="D91" s="22"/>
      <c r="E91" s="23">
        <v>-3.509999990463257E-2</v>
      </c>
      <c r="F91" s="24" t="s">
        <v>128</v>
      </c>
    </row>
    <row r="92" spans="1:6" ht="16" customHeight="1" x14ac:dyDescent="0.45">
      <c r="A92" s="19" t="s">
        <v>302</v>
      </c>
      <c r="B92" s="20" t="s">
        <v>303</v>
      </c>
      <c r="C92" s="21">
        <v>456000</v>
      </c>
      <c r="D92" s="22"/>
      <c r="E92" s="23">
        <v>-2.8800001144409181E-2</v>
      </c>
      <c r="F92" s="24" t="s">
        <v>128</v>
      </c>
    </row>
    <row r="93" spans="1:6" ht="16" customHeight="1" x14ac:dyDescent="0.45">
      <c r="A93" s="19" t="s">
        <v>304</v>
      </c>
      <c r="B93" s="20" t="s">
        <v>305</v>
      </c>
      <c r="C93" s="21">
        <v>288000</v>
      </c>
      <c r="D93" s="22"/>
      <c r="E93" s="23">
        <v>-4.7899999618530267E-2</v>
      </c>
      <c r="F93" s="24" t="s">
        <v>128</v>
      </c>
    </row>
    <row r="94" spans="1:6" ht="16" customHeight="1" x14ac:dyDescent="0.45">
      <c r="A94" s="19" t="s">
        <v>306</v>
      </c>
      <c r="B94" s="20" t="s">
        <v>307</v>
      </c>
      <c r="C94" s="21">
        <v>257500</v>
      </c>
      <c r="D94" s="22"/>
      <c r="E94" s="23">
        <v>-4.4499998092651358E-2</v>
      </c>
      <c r="F94" s="24" t="s">
        <v>128</v>
      </c>
    </row>
    <row r="95" spans="1:6" ht="16" customHeight="1" x14ac:dyDescent="0.45">
      <c r="A95" s="19" t="s">
        <v>308</v>
      </c>
      <c r="B95" s="20" t="s">
        <v>309</v>
      </c>
      <c r="C95" s="21">
        <v>100000</v>
      </c>
      <c r="D95" s="22"/>
      <c r="E95" s="23">
        <v>-6.6300001144409176E-2</v>
      </c>
      <c r="F95" s="24" t="s">
        <v>128</v>
      </c>
    </row>
    <row r="96" spans="1:6" ht="16" customHeight="1" x14ac:dyDescent="0.45">
      <c r="A96" s="19" t="s">
        <v>310</v>
      </c>
      <c r="B96" s="20" t="s">
        <v>311</v>
      </c>
      <c r="C96" s="21">
        <v>211000</v>
      </c>
      <c r="D96" s="22"/>
      <c r="E96" s="23">
        <v>-4.5199999809265139E-2</v>
      </c>
      <c r="F96" s="24" t="s">
        <v>128</v>
      </c>
    </row>
    <row r="97" spans="1:6" ht="16" customHeight="1" x14ac:dyDescent="0.45">
      <c r="A97" s="19" t="s">
        <v>312</v>
      </c>
      <c r="B97" s="20" t="s">
        <v>313</v>
      </c>
      <c r="C97" s="21">
        <v>1377000</v>
      </c>
      <c r="D97" s="22"/>
      <c r="E97" s="23">
        <v>0.06</v>
      </c>
      <c r="F97" s="24" t="s">
        <v>128</v>
      </c>
    </row>
    <row r="98" spans="1:6" ht="16" customHeight="1" x14ac:dyDescent="0.45">
      <c r="A98" s="19" t="s">
        <v>314</v>
      </c>
      <c r="B98" s="20" t="s">
        <v>315</v>
      </c>
      <c r="C98" s="21">
        <v>648000</v>
      </c>
      <c r="D98" s="22"/>
      <c r="E98" s="23">
        <v>-4.7100000381469727E-2</v>
      </c>
      <c r="F98" s="24" t="s">
        <v>128</v>
      </c>
    </row>
    <row r="99" spans="1:6" ht="16" customHeight="1" x14ac:dyDescent="0.45">
      <c r="A99" s="19" t="s">
        <v>316</v>
      </c>
      <c r="B99" s="20" t="s">
        <v>317</v>
      </c>
      <c r="C99" s="21">
        <v>61100</v>
      </c>
      <c r="D99" s="22"/>
      <c r="E99" s="23">
        <v>-6.4999997615814214E-3</v>
      </c>
      <c r="F99" s="24" t="s">
        <v>125</v>
      </c>
    </row>
    <row r="100" spans="1:6" ht="16" customHeight="1" x14ac:dyDescent="0.45">
      <c r="A100" s="19" t="s">
        <v>318</v>
      </c>
      <c r="B100" s="20" t="s">
        <v>319</v>
      </c>
      <c r="C100" s="21">
        <v>28025</v>
      </c>
      <c r="D100" s="22"/>
      <c r="E100" s="23">
        <v>-2.690000057220459E-2</v>
      </c>
      <c r="F100" s="24" t="s">
        <v>128</v>
      </c>
    </row>
    <row r="101" spans="1:6" ht="16" customHeight="1" x14ac:dyDescent="0.45">
      <c r="A101" s="19" t="s">
        <v>320</v>
      </c>
      <c r="B101" s="20" t="s">
        <v>321</v>
      </c>
      <c r="C101" s="21">
        <v>52200</v>
      </c>
      <c r="D101" s="22"/>
      <c r="E101" s="23">
        <v>3.7999999523162841E-3</v>
      </c>
      <c r="F101" s="24" t="s">
        <v>125</v>
      </c>
    </row>
    <row r="102" spans="1:6" ht="16" customHeight="1" x14ac:dyDescent="0.45">
      <c r="A102" s="19" t="s">
        <v>322</v>
      </c>
      <c r="B102" s="20" t="s">
        <v>323</v>
      </c>
      <c r="C102" s="21">
        <v>3395</v>
      </c>
      <c r="D102" s="22"/>
      <c r="E102" s="23">
        <v>-1.590000033378601E-2</v>
      </c>
      <c r="F102" s="24" t="s">
        <v>128</v>
      </c>
    </row>
    <row r="103" spans="1:6" ht="16" customHeight="1" x14ac:dyDescent="0.45">
      <c r="A103" s="19" t="s">
        <v>324</v>
      </c>
      <c r="B103" s="20" t="s">
        <v>325</v>
      </c>
      <c r="C103" s="21">
        <v>61800</v>
      </c>
      <c r="D103" s="22"/>
      <c r="E103" s="23">
        <v>1.4800000190734861E-2</v>
      </c>
      <c r="F103" s="24" t="s">
        <v>125</v>
      </c>
    </row>
    <row r="104" spans="1:6" ht="16" customHeight="1" x14ac:dyDescent="0.45">
      <c r="A104" s="19" t="s">
        <v>326</v>
      </c>
      <c r="B104" s="20" t="s">
        <v>327</v>
      </c>
      <c r="C104" s="21">
        <v>2155</v>
      </c>
      <c r="D104" s="22"/>
      <c r="E104" s="23">
        <v>-2.4900000095367431E-2</v>
      </c>
      <c r="F104" s="24" t="s">
        <v>128</v>
      </c>
    </row>
    <row r="105" spans="1:6" ht="16" customHeight="1" x14ac:dyDescent="0.45">
      <c r="A105" s="19" t="s">
        <v>328</v>
      </c>
      <c r="B105" s="20" t="s">
        <v>329</v>
      </c>
      <c r="C105" s="21">
        <v>1272</v>
      </c>
      <c r="D105" s="22"/>
      <c r="E105" s="23">
        <v>0</v>
      </c>
      <c r="F105" s="24" t="s">
        <v>125</v>
      </c>
    </row>
    <row r="106" spans="1:6" ht="16" customHeight="1" x14ac:dyDescent="0.45">
      <c r="A106" s="19" t="s">
        <v>330</v>
      </c>
      <c r="B106" s="20" t="s">
        <v>331</v>
      </c>
      <c r="C106" s="21">
        <v>4170</v>
      </c>
      <c r="D106" s="22"/>
      <c r="E106" s="23">
        <v>-1.6499999761581421E-2</v>
      </c>
      <c r="F106" s="24" t="s">
        <v>125</v>
      </c>
    </row>
    <row r="107" spans="1:6" ht="16" customHeight="1" x14ac:dyDescent="0.45">
      <c r="A107" s="19" t="s">
        <v>332</v>
      </c>
      <c r="B107" s="20" t="s">
        <v>333</v>
      </c>
      <c r="C107" s="21">
        <v>24200</v>
      </c>
      <c r="D107" s="22"/>
      <c r="E107" s="23">
        <v>-7.9800000190734868E-2</v>
      </c>
      <c r="F107" s="24" t="s">
        <v>125</v>
      </c>
    </row>
    <row r="108" spans="1:6" ht="16" customHeight="1" x14ac:dyDescent="0.45">
      <c r="A108" s="19" t="s">
        <v>334</v>
      </c>
      <c r="B108" s="20" t="s">
        <v>335</v>
      </c>
      <c r="C108" s="21">
        <v>2740</v>
      </c>
      <c r="D108" s="22"/>
      <c r="E108" s="23">
        <v>-2.8399999141693111E-2</v>
      </c>
      <c r="F108" s="24" t="s">
        <v>125</v>
      </c>
    </row>
    <row r="109" spans="1:6" ht="16" customHeight="1" x14ac:dyDescent="0.45">
      <c r="A109" s="19" t="s">
        <v>336</v>
      </c>
      <c r="B109" s="20" t="s">
        <v>337</v>
      </c>
      <c r="C109" s="21">
        <v>17160</v>
      </c>
      <c r="D109" s="22"/>
      <c r="E109" s="23">
        <v>-6.3999998569488521E-3</v>
      </c>
      <c r="F109" s="24" t="s">
        <v>125</v>
      </c>
    </row>
    <row r="110" spans="1:6" ht="16" customHeight="1" x14ac:dyDescent="0.45">
      <c r="A110" s="19" t="s">
        <v>338</v>
      </c>
      <c r="B110" s="20" t="s">
        <v>339</v>
      </c>
      <c r="C110" s="21">
        <v>3560</v>
      </c>
      <c r="D110" s="22"/>
      <c r="E110" s="23">
        <v>-2.329999923706055E-2</v>
      </c>
      <c r="F110" s="24" t="s">
        <v>125</v>
      </c>
    </row>
    <row r="111" spans="1:6" ht="16" customHeight="1" x14ac:dyDescent="0.45">
      <c r="A111" s="19" t="s">
        <v>340</v>
      </c>
      <c r="B111" s="20" t="s">
        <v>341</v>
      </c>
      <c r="C111" s="21">
        <v>2070</v>
      </c>
      <c r="D111" s="22"/>
      <c r="E111" s="23">
        <v>-2.5899999141693119E-2</v>
      </c>
      <c r="F111" s="24" t="s">
        <v>125</v>
      </c>
    </row>
    <row r="112" spans="1:6" ht="16" customHeight="1" x14ac:dyDescent="0.45">
      <c r="A112" s="19" t="s">
        <v>342</v>
      </c>
      <c r="B112" s="20" t="s">
        <v>343</v>
      </c>
      <c r="C112" s="21">
        <v>6980</v>
      </c>
      <c r="D112" s="22"/>
      <c r="E112" s="23">
        <v>-2.9200000762939451E-2</v>
      </c>
      <c r="F112" s="24" t="s">
        <v>125</v>
      </c>
    </row>
    <row r="113" spans="1:6" ht="16" customHeight="1" x14ac:dyDescent="0.45">
      <c r="A113" s="19" t="s">
        <v>344</v>
      </c>
      <c r="B113" s="20" t="s">
        <v>345</v>
      </c>
      <c r="C113" s="21">
        <v>57000</v>
      </c>
      <c r="D113" s="22"/>
      <c r="E113" s="23">
        <v>-1.7200000286102291E-2</v>
      </c>
      <c r="F113" s="24" t="s">
        <v>128</v>
      </c>
    </row>
    <row r="114" spans="1:6" ht="16" customHeight="1" x14ac:dyDescent="0.45">
      <c r="A114" s="19" t="s">
        <v>346</v>
      </c>
      <c r="B114" s="20" t="s">
        <v>347</v>
      </c>
      <c r="C114" s="21">
        <v>42450</v>
      </c>
      <c r="D114" s="22"/>
      <c r="E114" s="23">
        <v>-1.8500000238418579E-2</v>
      </c>
      <c r="F114" s="24" t="s">
        <v>128</v>
      </c>
    </row>
    <row r="115" spans="1:6" ht="16" customHeight="1" x14ac:dyDescent="0.45">
      <c r="A115" s="19" t="s">
        <v>348</v>
      </c>
      <c r="B115" s="20" t="s">
        <v>349</v>
      </c>
      <c r="C115" s="21">
        <v>20750</v>
      </c>
      <c r="D115" s="22"/>
      <c r="E115" s="23">
        <v>-1.8899999856948849E-2</v>
      </c>
      <c r="F115" s="24" t="s">
        <v>128</v>
      </c>
    </row>
    <row r="116" spans="1:6" ht="16" customHeight="1" x14ac:dyDescent="0.45">
      <c r="A116" s="19" t="s">
        <v>350</v>
      </c>
      <c r="B116" s="20" t="s">
        <v>351</v>
      </c>
      <c r="C116" s="21">
        <v>55650</v>
      </c>
      <c r="D116" s="22"/>
      <c r="E116" s="23">
        <v>2.299999952316284E-2</v>
      </c>
      <c r="F116" s="24" t="s">
        <v>125</v>
      </c>
    </row>
    <row r="117" spans="1:6" ht="16" customHeight="1" x14ac:dyDescent="0.45">
      <c r="A117" s="19" t="s">
        <v>352</v>
      </c>
      <c r="B117" s="20" t="s">
        <v>353</v>
      </c>
      <c r="C117" s="21">
        <v>5240</v>
      </c>
      <c r="D117" s="22"/>
      <c r="E117" s="23">
        <v>-2.2400000095367429E-2</v>
      </c>
      <c r="F117" s="24" t="s">
        <v>125</v>
      </c>
    </row>
    <row r="118" spans="1:6" ht="16" customHeight="1" x14ac:dyDescent="0.45">
      <c r="A118" s="19" t="s">
        <v>354</v>
      </c>
      <c r="B118" s="20" t="s">
        <v>355</v>
      </c>
      <c r="C118" s="21">
        <v>8730</v>
      </c>
      <c r="D118" s="22"/>
      <c r="E118" s="23">
        <v>-2.8900001049041751E-2</v>
      </c>
      <c r="F118" s="24" t="s">
        <v>128</v>
      </c>
    </row>
    <row r="119" spans="1:6" ht="16" customHeight="1" x14ac:dyDescent="0.45">
      <c r="A119" s="19" t="s">
        <v>356</v>
      </c>
      <c r="B119" s="20" t="s">
        <v>357</v>
      </c>
      <c r="C119" s="21">
        <v>13860</v>
      </c>
      <c r="D119" s="22"/>
      <c r="E119" s="23">
        <v>-0.01</v>
      </c>
      <c r="F119" s="24" t="s">
        <v>128</v>
      </c>
    </row>
    <row r="120" spans="1:6" ht="16" customHeight="1" x14ac:dyDescent="0.45">
      <c r="A120" s="19" t="s">
        <v>358</v>
      </c>
      <c r="B120" s="20" t="s">
        <v>359</v>
      </c>
      <c r="C120" s="21">
        <v>69000</v>
      </c>
      <c r="D120" s="22"/>
      <c r="E120" s="23">
        <v>3.5999999046325677E-2</v>
      </c>
      <c r="F120" s="24" t="s">
        <v>128</v>
      </c>
    </row>
    <row r="121" spans="1:6" ht="16" customHeight="1" x14ac:dyDescent="0.45">
      <c r="A121" s="19" t="s">
        <v>360</v>
      </c>
      <c r="B121" s="20" t="s">
        <v>361</v>
      </c>
      <c r="C121" s="21">
        <v>259000</v>
      </c>
      <c r="D121" s="22"/>
      <c r="E121" s="23">
        <v>-0.03</v>
      </c>
      <c r="F121" s="24" t="s">
        <v>128</v>
      </c>
    </row>
    <row r="122" spans="1:6" ht="16" customHeight="1" x14ac:dyDescent="0.45">
      <c r="A122" s="19" t="s">
        <v>362</v>
      </c>
      <c r="B122" s="20" t="s">
        <v>363</v>
      </c>
      <c r="C122" s="21">
        <v>2130</v>
      </c>
      <c r="D122" s="22"/>
      <c r="E122" s="23">
        <v>-1.389999985694885E-2</v>
      </c>
      <c r="F122" s="24" t="s">
        <v>125</v>
      </c>
    </row>
    <row r="123" spans="1:6" ht="16" customHeight="1" x14ac:dyDescent="0.45">
      <c r="A123" s="19" t="s">
        <v>364</v>
      </c>
      <c r="B123" s="20" t="s">
        <v>365</v>
      </c>
      <c r="C123" s="21">
        <v>2135</v>
      </c>
      <c r="D123" s="22"/>
      <c r="E123" s="23">
        <v>-2.300000041723252E-3</v>
      </c>
      <c r="F123" s="24" t="s">
        <v>125</v>
      </c>
    </row>
    <row r="124" spans="1:6" ht="16" customHeight="1" x14ac:dyDescent="0.45">
      <c r="A124" s="19" t="s">
        <v>366</v>
      </c>
      <c r="B124" s="20" t="s">
        <v>367</v>
      </c>
      <c r="C124" s="21">
        <v>2130</v>
      </c>
      <c r="D124" s="22"/>
      <c r="E124" s="23">
        <v>-6.9999998807907101E-3</v>
      </c>
      <c r="F124" s="24" t="s">
        <v>125</v>
      </c>
    </row>
    <row r="125" spans="1:6" ht="16" customHeight="1" x14ac:dyDescent="0.45">
      <c r="A125" s="19" t="s">
        <v>368</v>
      </c>
      <c r="B125" s="20" t="s">
        <v>369</v>
      </c>
      <c r="C125" s="21">
        <v>16170</v>
      </c>
      <c r="D125" s="22"/>
      <c r="E125" s="23">
        <v>-2.5000000000000001E-3</v>
      </c>
      <c r="F125" s="24" t="s">
        <v>128</v>
      </c>
    </row>
    <row r="126" spans="1:6" ht="16" customHeight="1" x14ac:dyDescent="0.45">
      <c r="A126" s="19" t="s">
        <v>370</v>
      </c>
      <c r="B126" s="20" t="s">
        <v>371</v>
      </c>
      <c r="C126" s="21">
        <v>22200</v>
      </c>
      <c r="D126" s="22"/>
      <c r="E126" s="23">
        <v>-1.7699999809265139E-2</v>
      </c>
      <c r="F126" s="24" t="s">
        <v>128</v>
      </c>
    </row>
    <row r="127" spans="1:6" ht="16" customHeight="1" x14ac:dyDescent="0.45">
      <c r="A127" s="19" t="s">
        <v>372</v>
      </c>
      <c r="B127" s="20" t="s">
        <v>373</v>
      </c>
      <c r="C127" s="21">
        <v>246000</v>
      </c>
      <c r="D127" s="22"/>
      <c r="E127" s="23">
        <v>-6.1000001430511477E-3</v>
      </c>
      <c r="F127" s="24" t="s">
        <v>125</v>
      </c>
    </row>
    <row r="128" spans="1:6" ht="16" customHeight="1" x14ac:dyDescent="0.45">
      <c r="A128" s="19" t="s">
        <v>374</v>
      </c>
      <c r="B128" s="20" t="s">
        <v>375</v>
      </c>
      <c r="C128" s="21">
        <v>26900</v>
      </c>
      <c r="D128" s="22"/>
      <c r="E128" s="23">
        <v>-1.6499999761581421E-2</v>
      </c>
      <c r="F128" s="24" t="s">
        <v>128</v>
      </c>
    </row>
    <row r="129" spans="1:6" ht="16" customHeight="1" x14ac:dyDescent="0.45">
      <c r="A129" s="19" t="s">
        <v>376</v>
      </c>
      <c r="B129" s="20" t="s">
        <v>377</v>
      </c>
      <c r="C129" s="21">
        <v>4900</v>
      </c>
      <c r="D129" s="22"/>
      <c r="E129" s="23">
        <v>-1.409999966621399E-2</v>
      </c>
      <c r="F129" s="24" t="s">
        <v>125</v>
      </c>
    </row>
    <row r="130" spans="1:6" ht="16" customHeight="1" x14ac:dyDescent="0.45">
      <c r="A130" s="19" t="s">
        <v>378</v>
      </c>
      <c r="B130" s="20" t="s">
        <v>379</v>
      </c>
      <c r="C130" s="21">
        <v>12620</v>
      </c>
      <c r="D130" s="22"/>
      <c r="E130" s="23">
        <v>-1.559999942779541E-2</v>
      </c>
      <c r="F130" s="24" t="s">
        <v>128</v>
      </c>
    </row>
    <row r="131" spans="1:6" ht="16" customHeight="1" x14ac:dyDescent="0.45">
      <c r="A131" s="19" t="s">
        <v>380</v>
      </c>
      <c r="B131" s="20" t="s">
        <v>381</v>
      </c>
      <c r="C131" s="21">
        <v>1905</v>
      </c>
      <c r="D131" s="22"/>
      <c r="E131" s="23">
        <v>-3.4500000476837163E-2</v>
      </c>
      <c r="F131" s="24" t="s">
        <v>125</v>
      </c>
    </row>
    <row r="132" spans="1:6" ht="16" customHeight="1" x14ac:dyDescent="0.45">
      <c r="A132" s="19" t="s">
        <v>382</v>
      </c>
      <c r="B132" s="20" t="s">
        <v>383</v>
      </c>
      <c r="C132" s="21">
        <v>30100</v>
      </c>
      <c r="D132" s="22"/>
      <c r="E132" s="23">
        <v>-1.950000047683716E-2</v>
      </c>
      <c r="F132" s="24" t="s">
        <v>128</v>
      </c>
    </row>
    <row r="133" spans="1:6" ht="16" customHeight="1" x14ac:dyDescent="0.45">
      <c r="A133" s="19" t="s">
        <v>384</v>
      </c>
      <c r="B133" s="20" t="s">
        <v>385</v>
      </c>
      <c r="C133" s="21">
        <v>54700</v>
      </c>
      <c r="D133" s="22"/>
      <c r="E133" s="23">
        <v>-9.1000002622604378E-3</v>
      </c>
      <c r="F133" s="24" t="s">
        <v>128</v>
      </c>
    </row>
    <row r="134" spans="1:6" ht="16" customHeight="1" x14ac:dyDescent="0.45">
      <c r="A134" s="19" t="s">
        <v>386</v>
      </c>
      <c r="B134" s="20" t="s">
        <v>387</v>
      </c>
      <c r="C134" s="21">
        <v>25500</v>
      </c>
      <c r="D134" s="22"/>
      <c r="E134" s="23">
        <v>-1.919999957084656E-2</v>
      </c>
      <c r="F134" s="24" t="s">
        <v>128</v>
      </c>
    </row>
    <row r="135" spans="1:6" ht="16" customHeight="1" x14ac:dyDescent="0.45">
      <c r="A135" s="19" t="s">
        <v>388</v>
      </c>
      <c r="B135" s="20" t="s">
        <v>389</v>
      </c>
      <c r="C135" s="21">
        <v>4175</v>
      </c>
      <c r="D135" s="22"/>
      <c r="E135" s="23">
        <v>-1.52999997138977E-2</v>
      </c>
      <c r="F135" s="24" t="s">
        <v>128</v>
      </c>
    </row>
    <row r="136" spans="1:6" ht="16" customHeight="1" x14ac:dyDescent="0.45">
      <c r="A136" s="19" t="s">
        <v>390</v>
      </c>
      <c r="B136" s="20" t="s">
        <v>391</v>
      </c>
      <c r="C136" s="21">
        <v>60800</v>
      </c>
      <c r="D136" s="22"/>
      <c r="E136" s="23">
        <v>-2.72000002861023E-2</v>
      </c>
      <c r="F136" s="24" t="s">
        <v>125</v>
      </c>
    </row>
    <row r="137" spans="1:6" ht="16" customHeight="1" x14ac:dyDescent="0.45">
      <c r="A137" s="19" t="s">
        <v>392</v>
      </c>
      <c r="B137" s="20" t="s">
        <v>393</v>
      </c>
      <c r="C137" s="21">
        <v>4500</v>
      </c>
      <c r="D137" s="22"/>
      <c r="E137" s="23">
        <v>-1.4199999570846561E-2</v>
      </c>
      <c r="F137" s="24" t="s">
        <v>125</v>
      </c>
    </row>
    <row r="138" spans="1:6" ht="16" customHeight="1" x14ac:dyDescent="0.45">
      <c r="A138" s="19" t="s">
        <v>394</v>
      </c>
      <c r="B138" s="20" t="s">
        <v>395</v>
      </c>
      <c r="C138" s="21">
        <v>1847</v>
      </c>
      <c r="D138" s="22"/>
      <c r="E138" s="23">
        <v>-6.9999998807907101E-3</v>
      </c>
      <c r="F138" s="24" t="s">
        <v>128</v>
      </c>
    </row>
    <row r="139" spans="1:6" ht="16" customHeight="1" x14ac:dyDescent="0.45">
      <c r="A139" s="19" t="s">
        <v>396</v>
      </c>
      <c r="B139" s="20" t="s">
        <v>397</v>
      </c>
      <c r="C139" s="21">
        <v>8610</v>
      </c>
      <c r="D139" s="22"/>
      <c r="E139" s="23">
        <v>0.29860000610351561</v>
      </c>
      <c r="F139" s="24" t="s">
        <v>125</v>
      </c>
    </row>
    <row r="140" spans="1:6" ht="16" customHeight="1" x14ac:dyDescent="0.45">
      <c r="A140" s="19" t="s">
        <v>398</v>
      </c>
      <c r="B140" s="20" t="s">
        <v>399</v>
      </c>
      <c r="C140" s="21">
        <v>160900</v>
      </c>
      <c r="D140" s="22"/>
      <c r="E140" s="23">
        <v>1.960000038146973E-2</v>
      </c>
      <c r="F140" s="24" t="s">
        <v>128</v>
      </c>
    </row>
    <row r="141" spans="1:6" ht="16" customHeight="1" x14ac:dyDescent="0.45">
      <c r="A141" s="19" t="s">
        <v>400</v>
      </c>
      <c r="B141" s="20" t="s">
        <v>401</v>
      </c>
      <c r="C141" s="21">
        <v>9910</v>
      </c>
      <c r="D141" s="22"/>
      <c r="E141" s="23">
        <v>-8.0000001192092902E-3</v>
      </c>
      <c r="F141" s="24" t="s">
        <v>128</v>
      </c>
    </row>
    <row r="142" spans="1:6" ht="16" customHeight="1" x14ac:dyDescent="0.45">
      <c r="A142" s="19" t="s">
        <v>402</v>
      </c>
      <c r="B142" s="20" t="s">
        <v>403</v>
      </c>
      <c r="C142" s="21">
        <v>2035</v>
      </c>
      <c r="D142" s="22"/>
      <c r="E142" s="23">
        <v>7.4000000953674313E-3</v>
      </c>
      <c r="F142" s="24" t="s">
        <v>128</v>
      </c>
    </row>
    <row r="143" spans="1:6" ht="16" customHeight="1" x14ac:dyDescent="0.45">
      <c r="A143" s="19" t="s">
        <v>404</v>
      </c>
      <c r="B143" s="20" t="s">
        <v>405</v>
      </c>
      <c r="C143" s="21">
        <v>3820</v>
      </c>
      <c r="D143" s="22"/>
      <c r="E143" s="23">
        <v>-2.6800000667572019E-2</v>
      </c>
      <c r="F143" s="24" t="s">
        <v>125</v>
      </c>
    </row>
    <row r="144" spans="1:6" ht="16" customHeight="1" x14ac:dyDescent="0.45">
      <c r="A144" s="19" t="s">
        <v>406</v>
      </c>
      <c r="B144" s="20" t="s">
        <v>407</v>
      </c>
      <c r="C144" s="21">
        <v>2092</v>
      </c>
      <c r="D144" s="22"/>
      <c r="E144" s="23">
        <v>1.0000000149011611E-3</v>
      </c>
      <c r="F144" s="24" t="s">
        <v>125</v>
      </c>
    </row>
    <row r="145" spans="1:6" ht="16" customHeight="1" x14ac:dyDescent="0.45">
      <c r="A145" s="19" t="s">
        <v>408</v>
      </c>
      <c r="B145" s="20" t="s">
        <v>409</v>
      </c>
      <c r="C145" s="21">
        <v>2065</v>
      </c>
      <c r="D145" s="22"/>
      <c r="E145" s="23">
        <v>0</v>
      </c>
      <c r="F145" s="24" t="s">
        <v>125</v>
      </c>
    </row>
    <row r="146" spans="1:6" ht="16" customHeight="1" x14ac:dyDescent="0.45">
      <c r="A146" s="19" t="s">
        <v>410</v>
      </c>
      <c r="B146" s="20" t="s">
        <v>411</v>
      </c>
      <c r="C146" s="21">
        <v>2045</v>
      </c>
      <c r="D146" s="22"/>
      <c r="E146" s="23">
        <v>-4.9000000953674317E-3</v>
      </c>
      <c r="F146" s="24" t="s">
        <v>125</v>
      </c>
    </row>
    <row r="147" spans="1:6" ht="16" customHeight="1" x14ac:dyDescent="0.45">
      <c r="A147" s="19" t="s">
        <v>412</v>
      </c>
      <c r="B147" s="20" t="s">
        <v>413</v>
      </c>
      <c r="C147" s="21">
        <v>2035</v>
      </c>
      <c r="D147" s="22"/>
      <c r="E147" s="23">
        <v>0</v>
      </c>
      <c r="F147" s="24" t="s">
        <v>125</v>
      </c>
    </row>
    <row r="148" spans="1:6" ht="16" customHeight="1" x14ac:dyDescent="0.45">
      <c r="A148" s="19" t="s">
        <v>414</v>
      </c>
      <c r="B148" s="20" t="s">
        <v>415</v>
      </c>
      <c r="C148" s="21">
        <v>2002</v>
      </c>
      <c r="D148" s="22"/>
      <c r="E148" s="23">
        <v>-1.500000059604645E-3</v>
      </c>
      <c r="F148" s="24" t="s">
        <v>125</v>
      </c>
    </row>
    <row r="149" spans="1:6" ht="16" customHeight="1" x14ac:dyDescent="0.45">
      <c r="A149" s="19" t="s">
        <v>416</v>
      </c>
      <c r="B149" s="20" t="s">
        <v>417</v>
      </c>
      <c r="C149" s="21">
        <v>1998</v>
      </c>
      <c r="D149" s="22"/>
      <c r="E149" s="23">
        <v>-1.0000000149011611E-3</v>
      </c>
      <c r="F149" s="24" t="s">
        <v>125</v>
      </c>
    </row>
    <row r="150" spans="1:6" ht="16" customHeight="1" x14ac:dyDescent="0.45">
      <c r="A150" s="19" t="s">
        <v>418</v>
      </c>
      <c r="B150" s="20" t="s">
        <v>419</v>
      </c>
      <c r="C150" s="21">
        <v>632000</v>
      </c>
      <c r="D150" s="22"/>
      <c r="E150" s="23">
        <v>0.1010000038146973</v>
      </c>
      <c r="F150" s="24" t="s">
        <v>128</v>
      </c>
    </row>
    <row r="151" spans="1:6" ht="16" customHeight="1" x14ac:dyDescent="0.45">
      <c r="A151" s="19" t="s">
        <v>420</v>
      </c>
      <c r="B151" s="20" t="s">
        <v>421</v>
      </c>
      <c r="C151" s="21">
        <v>7130</v>
      </c>
      <c r="D151" s="22"/>
      <c r="E151" s="23">
        <v>-4.1999998688697811E-3</v>
      </c>
      <c r="F151" s="24" t="s">
        <v>125</v>
      </c>
    </row>
    <row r="152" spans="1:6" ht="16" customHeight="1" x14ac:dyDescent="0.45">
      <c r="A152" s="19" t="s">
        <v>422</v>
      </c>
      <c r="B152" s="20" t="s">
        <v>423</v>
      </c>
      <c r="C152" s="21">
        <v>28550</v>
      </c>
      <c r="D152" s="22"/>
      <c r="E152" s="23">
        <v>-1.379999995231628E-2</v>
      </c>
      <c r="F152" s="24" t="s">
        <v>128</v>
      </c>
    </row>
    <row r="153" spans="1:6" ht="16" customHeight="1" x14ac:dyDescent="0.45">
      <c r="A153" s="19" t="s">
        <v>424</v>
      </c>
      <c r="B153" s="20" t="s">
        <v>425</v>
      </c>
      <c r="C153" s="21">
        <v>5840</v>
      </c>
      <c r="D153" s="22"/>
      <c r="E153" s="23">
        <v>-2.8299999237060551E-2</v>
      </c>
      <c r="F153" s="24" t="s">
        <v>128</v>
      </c>
    </row>
    <row r="154" spans="1:6" ht="16" customHeight="1" x14ac:dyDescent="0.45">
      <c r="A154" s="19" t="s">
        <v>426</v>
      </c>
      <c r="B154" s="20" t="s">
        <v>427</v>
      </c>
      <c r="C154" s="21">
        <v>756</v>
      </c>
      <c r="D154" s="22"/>
      <c r="E154" s="23">
        <v>0</v>
      </c>
      <c r="F154" s="24" t="s">
        <v>128</v>
      </c>
    </row>
    <row r="155" spans="1:6" ht="16" customHeight="1" x14ac:dyDescent="0.45">
      <c r="A155" s="19" t="s">
        <v>428</v>
      </c>
      <c r="B155" s="20" t="s">
        <v>429</v>
      </c>
      <c r="C155" s="21">
        <v>1388</v>
      </c>
      <c r="D155" s="22"/>
      <c r="E155" s="23">
        <v>2.6600000858306889E-2</v>
      </c>
      <c r="F155" s="24" t="s">
        <v>251</v>
      </c>
    </row>
    <row r="156" spans="1:6" ht="16" customHeight="1" x14ac:dyDescent="0.45">
      <c r="A156" s="19" t="s">
        <v>430</v>
      </c>
      <c r="B156" s="20" t="s">
        <v>431</v>
      </c>
      <c r="C156" s="21">
        <v>918</v>
      </c>
      <c r="D156" s="22"/>
      <c r="E156" s="23">
        <v>0</v>
      </c>
      <c r="F156" s="24" t="s">
        <v>128</v>
      </c>
    </row>
    <row r="157" spans="1:6" ht="16" customHeight="1" x14ac:dyDescent="0.45">
      <c r="A157" s="19" t="s">
        <v>432</v>
      </c>
      <c r="B157" s="20" t="s">
        <v>433</v>
      </c>
      <c r="C157" s="21">
        <v>205</v>
      </c>
      <c r="D157" s="22"/>
      <c r="E157" s="23">
        <v>0</v>
      </c>
      <c r="F157" s="24" t="s">
        <v>125</v>
      </c>
    </row>
    <row r="158" spans="1:6" ht="16" customHeight="1" x14ac:dyDescent="0.45">
      <c r="A158" s="19" t="s">
        <v>434</v>
      </c>
      <c r="B158" s="20" t="s">
        <v>435</v>
      </c>
      <c r="C158" s="21">
        <v>1838</v>
      </c>
      <c r="D158" s="22"/>
      <c r="E158" s="23">
        <v>0</v>
      </c>
      <c r="F158" s="24" t="s">
        <v>128</v>
      </c>
    </row>
    <row r="159" spans="1:6" ht="16" customHeight="1" x14ac:dyDescent="0.45">
      <c r="A159" s="19" t="s">
        <v>436</v>
      </c>
      <c r="B159" s="20" t="s">
        <v>437</v>
      </c>
      <c r="C159" s="21">
        <v>4390</v>
      </c>
      <c r="D159" s="22"/>
      <c r="E159" s="23">
        <v>-1.1299999952316279E-2</v>
      </c>
      <c r="F159" s="24" t="s">
        <v>128</v>
      </c>
    </row>
    <row r="160" spans="1:6" ht="16" customHeight="1" x14ac:dyDescent="0.45">
      <c r="A160" s="19" t="s">
        <v>438</v>
      </c>
      <c r="B160" s="20" t="s">
        <v>439</v>
      </c>
      <c r="C160" s="21">
        <v>7210</v>
      </c>
      <c r="D160" s="22"/>
      <c r="E160" s="23">
        <v>3.1500000953674313E-2</v>
      </c>
      <c r="F160" s="24" t="s">
        <v>128</v>
      </c>
    </row>
    <row r="161" spans="1:6" ht="16" customHeight="1" x14ac:dyDescent="0.45">
      <c r="A161" s="19" t="s">
        <v>440</v>
      </c>
      <c r="B161" s="20" t="s">
        <v>441</v>
      </c>
      <c r="C161" s="21">
        <v>7190</v>
      </c>
      <c r="D161" s="22"/>
      <c r="E161" s="23">
        <v>-1.1000000238418579E-2</v>
      </c>
      <c r="F161" s="24" t="s">
        <v>125</v>
      </c>
    </row>
    <row r="162" spans="1:6" ht="16" customHeight="1" x14ac:dyDescent="0.45">
      <c r="A162" s="19" t="s">
        <v>442</v>
      </c>
      <c r="B162" s="20" t="s">
        <v>443</v>
      </c>
      <c r="C162" s="21">
        <v>11370</v>
      </c>
      <c r="D162" s="22"/>
      <c r="E162" s="23">
        <v>-9.5999997854232782E-3</v>
      </c>
      <c r="F162" s="24" t="s">
        <v>125</v>
      </c>
    </row>
    <row r="163" spans="1:6" ht="16" customHeight="1" x14ac:dyDescent="0.45">
      <c r="A163" s="19" t="s">
        <v>444</v>
      </c>
      <c r="B163" s="20" t="s">
        <v>445</v>
      </c>
      <c r="C163" s="21">
        <v>6370</v>
      </c>
      <c r="D163" s="22"/>
      <c r="E163" s="23">
        <v>-2.75E-2</v>
      </c>
      <c r="F163" s="24" t="s">
        <v>128</v>
      </c>
    </row>
    <row r="164" spans="1:6" ht="16" customHeight="1" x14ac:dyDescent="0.45">
      <c r="A164" s="19" t="s">
        <v>446</v>
      </c>
      <c r="B164" s="20" t="s">
        <v>447</v>
      </c>
      <c r="C164" s="21">
        <v>5150</v>
      </c>
      <c r="D164" s="22"/>
      <c r="E164" s="23">
        <v>-1.52999997138977E-2</v>
      </c>
      <c r="F164" s="24" t="s">
        <v>125</v>
      </c>
    </row>
    <row r="165" spans="1:6" ht="16" customHeight="1" x14ac:dyDescent="0.45">
      <c r="A165" s="19" t="s">
        <v>448</v>
      </c>
      <c r="B165" s="20" t="s">
        <v>449</v>
      </c>
      <c r="C165" s="21">
        <v>13970</v>
      </c>
      <c r="D165" s="22"/>
      <c r="E165" s="23">
        <v>-7.799999713897705E-3</v>
      </c>
      <c r="F165" s="24" t="s">
        <v>125</v>
      </c>
    </row>
    <row r="166" spans="1:6" ht="16" customHeight="1" x14ac:dyDescent="0.45">
      <c r="A166" s="19" t="s">
        <v>450</v>
      </c>
      <c r="B166" s="20" t="s">
        <v>451</v>
      </c>
      <c r="C166" s="21">
        <v>25900</v>
      </c>
      <c r="D166" s="22"/>
      <c r="E166" s="23">
        <v>-2.6300001144409179E-2</v>
      </c>
      <c r="F166" s="24" t="s">
        <v>128</v>
      </c>
    </row>
    <row r="167" spans="1:6" ht="16" customHeight="1" x14ac:dyDescent="0.45">
      <c r="A167" s="19" t="s">
        <v>452</v>
      </c>
      <c r="B167" s="20" t="s">
        <v>453</v>
      </c>
      <c r="C167" s="21">
        <v>720</v>
      </c>
      <c r="D167" s="22"/>
      <c r="E167" s="23">
        <v>1.400000005960465E-3</v>
      </c>
      <c r="F167" s="24" t="s">
        <v>125</v>
      </c>
    </row>
    <row r="168" spans="1:6" ht="16" customHeight="1" x14ac:dyDescent="0.45">
      <c r="A168" s="19" t="s">
        <v>454</v>
      </c>
      <c r="B168" s="20" t="s">
        <v>455</v>
      </c>
      <c r="C168" s="21">
        <v>54100</v>
      </c>
      <c r="D168" s="22"/>
      <c r="E168" s="23">
        <v>0</v>
      </c>
      <c r="F168" s="24" t="s">
        <v>128</v>
      </c>
    </row>
    <row r="169" spans="1:6" ht="16" customHeight="1" x14ac:dyDescent="0.45">
      <c r="A169" s="19" t="s">
        <v>456</v>
      </c>
      <c r="B169" s="20" t="s">
        <v>457</v>
      </c>
      <c r="C169" s="21">
        <v>89900</v>
      </c>
      <c r="D169" s="22"/>
      <c r="E169" s="23">
        <v>-1.52999997138977E-2</v>
      </c>
      <c r="F169" s="24" t="s">
        <v>128</v>
      </c>
    </row>
    <row r="170" spans="1:6" ht="16" customHeight="1" x14ac:dyDescent="0.45">
      <c r="A170" s="19" t="s">
        <v>458</v>
      </c>
      <c r="B170" s="20" t="s">
        <v>459</v>
      </c>
      <c r="C170" s="21">
        <v>425</v>
      </c>
      <c r="D170" s="22"/>
      <c r="E170" s="23">
        <v>-2.5199999809265142E-2</v>
      </c>
      <c r="F170" s="24" t="s">
        <v>128</v>
      </c>
    </row>
    <row r="171" spans="1:6" ht="16" customHeight="1" x14ac:dyDescent="0.45">
      <c r="A171" s="19" t="s">
        <v>460</v>
      </c>
      <c r="B171" s="20" t="s">
        <v>461</v>
      </c>
      <c r="C171" s="21">
        <v>12200</v>
      </c>
      <c r="D171" s="22"/>
      <c r="E171" s="23">
        <v>-4.3899998664855958E-2</v>
      </c>
      <c r="F171" s="24" t="s">
        <v>128</v>
      </c>
    </row>
    <row r="172" spans="1:6" ht="16" customHeight="1" x14ac:dyDescent="0.45">
      <c r="A172" s="19" t="s">
        <v>462</v>
      </c>
      <c r="B172" s="20" t="s">
        <v>463</v>
      </c>
      <c r="C172" s="21">
        <v>800</v>
      </c>
      <c r="D172" s="22"/>
      <c r="E172" s="23">
        <v>-2.6800000667572019E-2</v>
      </c>
      <c r="F172" s="24" t="s">
        <v>125</v>
      </c>
    </row>
    <row r="173" spans="1:6" ht="16" customHeight="1" x14ac:dyDescent="0.45">
      <c r="A173" s="19" t="s">
        <v>464</v>
      </c>
      <c r="B173" s="20" t="s">
        <v>465</v>
      </c>
      <c r="C173" s="21">
        <v>59200</v>
      </c>
      <c r="D173" s="22"/>
      <c r="E173" s="23">
        <v>-2.309999942779541E-2</v>
      </c>
      <c r="F173" s="24" t="s">
        <v>128</v>
      </c>
    </row>
    <row r="174" spans="1:6" ht="16" customHeight="1" x14ac:dyDescent="0.45">
      <c r="A174" s="19" t="s">
        <v>466</v>
      </c>
      <c r="B174" s="20" t="s">
        <v>467</v>
      </c>
      <c r="C174" s="21">
        <v>177000</v>
      </c>
      <c r="D174" s="22"/>
      <c r="E174" s="23">
        <v>-1.4500000476837161E-2</v>
      </c>
      <c r="F174" s="24" t="s">
        <v>128</v>
      </c>
    </row>
    <row r="175" spans="1:6" ht="16" customHeight="1" x14ac:dyDescent="0.45">
      <c r="A175" s="19" t="s">
        <v>468</v>
      </c>
      <c r="B175" s="20" t="s">
        <v>469</v>
      </c>
      <c r="C175" s="21">
        <v>2630</v>
      </c>
      <c r="D175" s="22"/>
      <c r="E175" s="23">
        <v>-2.0499999523162841E-2</v>
      </c>
      <c r="F175" s="24" t="s">
        <v>128</v>
      </c>
    </row>
    <row r="176" spans="1:6" ht="16" customHeight="1" x14ac:dyDescent="0.45">
      <c r="A176" s="19" t="s">
        <v>470</v>
      </c>
      <c r="B176" s="20" t="s">
        <v>471</v>
      </c>
      <c r="C176" s="21">
        <v>2830</v>
      </c>
      <c r="D176" s="22"/>
      <c r="E176" s="23">
        <v>-1.389999985694885E-2</v>
      </c>
      <c r="F176" s="24" t="s">
        <v>128</v>
      </c>
    </row>
    <row r="177" spans="1:6" ht="16" customHeight="1" x14ac:dyDescent="0.45">
      <c r="A177" s="19" t="s">
        <v>472</v>
      </c>
      <c r="B177" s="20" t="s">
        <v>473</v>
      </c>
      <c r="C177" s="21">
        <v>11850</v>
      </c>
      <c r="D177" s="22"/>
      <c r="E177" s="23">
        <v>-1.4999999999999999E-2</v>
      </c>
      <c r="F177" s="24" t="s">
        <v>125</v>
      </c>
    </row>
    <row r="178" spans="1:6" ht="16" customHeight="1" x14ac:dyDescent="0.45">
      <c r="A178" s="19" t="s">
        <v>474</v>
      </c>
      <c r="B178" s="20" t="s">
        <v>475</v>
      </c>
      <c r="C178" s="21">
        <v>12620</v>
      </c>
      <c r="D178" s="22"/>
      <c r="E178" s="23">
        <v>-4.5399999618530272E-2</v>
      </c>
      <c r="F178" s="24" t="s">
        <v>125</v>
      </c>
    </row>
    <row r="179" spans="1:6" ht="16" customHeight="1" x14ac:dyDescent="0.45">
      <c r="A179" s="19" t="s">
        <v>476</v>
      </c>
      <c r="B179" s="20" t="s">
        <v>477</v>
      </c>
      <c r="C179" s="21">
        <v>1712</v>
      </c>
      <c r="D179" s="22"/>
      <c r="E179" s="23">
        <v>-2.390000104904175E-2</v>
      </c>
      <c r="F179" s="24" t="s">
        <v>125</v>
      </c>
    </row>
    <row r="180" spans="1:6" ht="16" customHeight="1" x14ac:dyDescent="0.45">
      <c r="A180" s="19" t="s">
        <v>478</v>
      </c>
      <c r="B180" s="20" t="s">
        <v>479</v>
      </c>
      <c r="C180" s="21">
        <v>3215</v>
      </c>
      <c r="D180" s="22"/>
      <c r="E180" s="23">
        <v>-6.2000000476837161E-3</v>
      </c>
      <c r="F180" s="24" t="s">
        <v>125</v>
      </c>
    </row>
    <row r="181" spans="1:6" ht="16" customHeight="1" x14ac:dyDescent="0.45">
      <c r="A181" s="19" t="s">
        <v>480</v>
      </c>
      <c r="B181" s="20" t="s">
        <v>481</v>
      </c>
      <c r="C181" s="21">
        <v>1323</v>
      </c>
      <c r="D181" s="22"/>
      <c r="E181" s="23">
        <v>6.7800002098083498E-2</v>
      </c>
      <c r="F181" s="24" t="s">
        <v>125</v>
      </c>
    </row>
    <row r="182" spans="1:6" ht="16" customHeight="1" x14ac:dyDescent="0.45">
      <c r="A182" s="19" t="s">
        <v>482</v>
      </c>
      <c r="B182" s="20" t="s">
        <v>483</v>
      </c>
      <c r="C182" s="21">
        <v>14430</v>
      </c>
      <c r="D182" s="22"/>
      <c r="E182" s="23">
        <v>-3.4999999403953551E-3</v>
      </c>
      <c r="F182" s="24" t="s">
        <v>125</v>
      </c>
    </row>
    <row r="183" spans="1:6" ht="16" customHeight="1" x14ac:dyDescent="0.45">
      <c r="A183" s="19" t="s">
        <v>484</v>
      </c>
      <c r="B183" s="20" t="s">
        <v>485</v>
      </c>
      <c r="C183" s="21">
        <v>5620</v>
      </c>
      <c r="D183" s="22"/>
      <c r="E183" s="23">
        <v>2.5499999523162838E-2</v>
      </c>
      <c r="F183" s="24" t="s">
        <v>125</v>
      </c>
    </row>
    <row r="184" spans="1:6" ht="16" customHeight="1" x14ac:dyDescent="0.45">
      <c r="A184" s="19" t="s">
        <v>486</v>
      </c>
      <c r="B184" s="20" t="s">
        <v>487</v>
      </c>
      <c r="C184" s="21">
        <v>6220</v>
      </c>
      <c r="D184" s="22"/>
      <c r="E184" s="23">
        <v>3.8399999141693113E-2</v>
      </c>
      <c r="F184" s="24" t="s">
        <v>125</v>
      </c>
    </row>
    <row r="185" spans="1:6" ht="16" customHeight="1" x14ac:dyDescent="0.45">
      <c r="A185" s="19" t="s">
        <v>488</v>
      </c>
      <c r="B185" s="20" t="s">
        <v>489</v>
      </c>
      <c r="C185" s="21">
        <v>24900</v>
      </c>
      <c r="D185" s="22"/>
      <c r="E185" s="23">
        <v>-6.0000002384185793E-3</v>
      </c>
      <c r="F185" s="24" t="s">
        <v>128</v>
      </c>
    </row>
    <row r="186" spans="1:6" ht="16" customHeight="1" x14ac:dyDescent="0.45">
      <c r="A186" s="19" t="s">
        <v>490</v>
      </c>
      <c r="B186" s="20" t="s">
        <v>491</v>
      </c>
      <c r="C186" s="21">
        <v>102600</v>
      </c>
      <c r="D186" s="22"/>
      <c r="E186" s="23">
        <v>2.8999999165534971E-3</v>
      </c>
      <c r="F186" s="24" t="s">
        <v>128</v>
      </c>
    </row>
    <row r="187" spans="1:6" ht="16" customHeight="1" x14ac:dyDescent="0.45">
      <c r="A187" s="19" t="s">
        <v>492</v>
      </c>
      <c r="B187" s="20" t="s">
        <v>493</v>
      </c>
      <c r="C187" s="21">
        <v>12660</v>
      </c>
      <c r="D187" s="22"/>
      <c r="E187" s="23">
        <v>2.8399999141693111E-2</v>
      </c>
      <c r="F187" s="24" t="s">
        <v>128</v>
      </c>
    </row>
    <row r="188" spans="1:6" ht="16" customHeight="1" x14ac:dyDescent="0.45">
      <c r="A188" s="19" t="s">
        <v>494</v>
      </c>
      <c r="B188" s="20" t="s">
        <v>495</v>
      </c>
      <c r="C188" s="21">
        <v>269000</v>
      </c>
      <c r="D188" s="22"/>
      <c r="E188" s="23">
        <v>-3.7599999904632572E-2</v>
      </c>
      <c r="F188" s="24" t="s">
        <v>128</v>
      </c>
    </row>
    <row r="189" spans="1:6" ht="16" customHeight="1" x14ac:dyDescent="0.45">
      <c r="A189" s="19" t="s">
        <v>496</v>
      </c>
      <c r="B189" s="20" t="s">
        <v>497</v>
      </c>
      <c r="C189" s="21">
        <v>115800</v>
      </c>
      <c r="D189" s="22"/>
      <c r="E189" s="23">
        <v>-2.1099998950958251E-2</v>
      </c>
      <c r="F189" s="24" t="s">
        <v>128</v>
      </c>
    </row>
    <row r="190" spans="1:6" ht="16" customHeight="1" x14ac:dyDescent="0.45">
      <c r="A190" s="19" t="s">
        <v>498</v>
      </c>
      <c r="B190" s="20" t="s">
        <v>499</v>
      </c>
      <c r="C190" s="21">
        <v>67300</v>
      </c>
      <c r="D190" s="22"/>
      <c r="E190" s="23">
        <v>2.1199998855590822E-2</v>
      </c>
      <c r="F190" s="24" t="s">
        <v>128</v>
      </c>
    </row>
    <row r="191" spans="1:6" ht="16" customHeight="1" x14ac:dyDescent="0.45">
      <c r="A191" s="19" t="s">
        <v>500</v>
      </c>
      <c r="B191" s="20" t="s">
        <v>501</v>
      </c>
      <c r="C191" s="21">
        <v>482500</v>
      </c>
      <c r="D191" s="22"/>
      <c r="E191" s="23">
        <v>2.2200000286102299E-2</v>
      </c>
      <c r="F191" s="24" t="s">
        <v>128</v>
      </c>
    </row>
    <row r="192" spans="1:6" ht="16" customHeight="1" x14ac:dyDescent="0.45">
      <c r="A192" s="19" t="s">
        <v>502</v>
      </c>
      <c r="B192" s="20" t="s">
        <v>503</v>
      </c>
      <c r="C192" s="21">
        <v>72800</v>
      </c>
      <c r="D192" s="22"/>
      <c r="E192" s="23">
        <v>8.2999998331069955E-3</v>
      </c>
      <c r="F192" s="24" t="s">
        <v>128</v>
      </c>
    </row>
    <row r="193" spans="1:6" ht="16" customHeight="1" x14ac:dyDescent="0.45">
      <c r="A193" s="19" t="s">
        <v>504</v>
      </c>
      <c r="B193" s="20" t="s">
        <v>505</v>
      </c>
      <c r="C193" s="21">
        <v>15600</v>
      </c>
      <c r="D193" s="22"/>
      <c r="E193" s="23">
        <v>-2.4400000572204591E-2</v>
      </c>
      <c r="F193" s="24" t="s">
        <v>128</v>
      </c>
    </row>
    <row r="194" spans="1:6" ht="16" customHeight="1" x14ac:dyDescent="0.45">
      <c r="A194" s="19" t="s">
        <v>506</v>
      </c>
      <c r="B194" s="20" t="s">
        <v>507</v>
      </c>
      <c r="C194" s="21">
        <v>619000</v>
      </c>
      <c r="D194" s="22"/>
      <c r="E194" s="23">
        <v>4.0300002098083487E-2</v>
      </c>
      <c r="F194" s="24" t="s">
        <v>128</v>
      </c>
    </row>
    <row r="195" spans="1:6" ht="16" customHeight="1" x14ac:dyDescent="0.45">
      <c r="A195" s="19" t="s">
        <v>508</v>
      </c>
      <c r="B195" s="20" t="s">
        <v>509</v>
      </c>
      <c r="C195" s="21">
        <v>153400</v>
      </c>
      <c r="D195" s="22"/>
      <c r="E195" s="23">
        <v>7.1199998855590821E-2</v>
      </c>
      <c r="F195" s="24" t="s">
        <v>128</v>
      </c>
    </row>
    <row r="196" spans="1:6" ht="16" customHeight="1" x14ac:dyDescent="0.45">
      <c r="A196" s="19" t="s">
        <v>510</v>
      </c>
      <c r="B196" s="20" t="s">
        <v>511</v>
      </c>
      <c r="C196" s="21">
        <v>64600</v>
      </c>
      <c r="D196" s="22"/>
      <c r="E196" s="23">
        <v>5.2100000381469717E-2</v>
      </c>
      <c r="F196" s="24" t="s">
        <v>128</v>
      </c>
    </row>
    <row r="197" spans="1:6" ht="16" customHeight="1" x14ac:dyDescent="0.45">
      <c r="A197" s="19" t="s">
        <v>512</v>
      </c>
      <c r="B197" s="20" t="s">
        <v>513</v>
      </c>
      <c r="C197" s="21">
        <v>2285</v>
      </c>
      <c r="D197" s="22"/>
      <c r="E197" s="23">
        <v>-2.769999980926514E-2</v>
      </c>
      <c r="F197" s="24" t="s">
        <v>128</v>
      </c>
    </row>
    <row r="198" spans="1:6" ht="16" customHeight="1" x14ac:dyDescent="0.45">
      <c r="A198" s="19" t="s">
        <v>514</v>
      </c>
      <c r="B198" s="20" t="s">
        <v>515</v>
      </c>
      <c r="C198" s="21">
        <v>422000</v>
      </c>
      <c r="D198" s="22"/>
      <c r="E198" s="23">
        <v>-1.629999995231628E-2</v>
      </c>
      <c r="F198" s="24" t="s">
        <v>128</v>
      </c>
    </row>
    <row r="199" spans="1:6" ht="16" customHeight="1" x14ac:dyDescent="0.45">
      <c r="A199" s="19" t="s">
        <v>516</v>
      </c>
      <c r="B199" s="20" t="s">
        <v>517</v>
      </c>
      <c r="C199" s="21">
        <v>192700</v>
      </c>
      <c r="D199" s="22"/>
      <c r="E199" s="23">
        <v>-1.7300000190734861E-2</v>
      </c>
      <c r="F199" s="24" t="s">
        <v>128</v>
      </c>
    </row>
    <row r="200" spans="1:6" ht="16" customHeight="1" x14ac:dyDescent="0.45">
      <c r="A200" s="19" t="s">
        <v>518</v>
      </c>
      <c r="B200" s="20" t="s">
        <v>519</v>
      </c>
      <c r="C200" s="21">
        <v>973000</v>
      </c>
      <c r="D200" s="22"/>
      <c r="E200" s="23">
        <v>-1.0199999809265141E-2</v>
      </c>
      <c r="F200" s="24" t="s">
        <v>128</v>
      </c>
    </row>
    <row r="201" spans="1:6" ht="16" customHeight="1" x14ac:dyDescent="0.45">
      <c r="A201" s="19" t="s">
        <v>520</v>
      </c>
      <c r="B201" s="20" t="s">
        <v>521</v>
      </c>
      <c r="C201" s="21">
        <v>52500</v>
      </c>
      <c r="D201" s="22"/>
      <c r="E201" s="23">
        <v>-9.3999999761581413E-3</v>
      </c>
      <c r="F201" s="24" t="s">
        <v>125</v>
      </c>
    </row>
    <row r="202" spans="1:6" ht="16" customHeight="1" x14ac:dyDescent="0.45">
      <c r="A202" s="19" t="s">
        <v>522</v>
      </c>
      <c r="B202" s="20" t="s">
        <v>523</v>
      </c>
      <c r="C202" s="21">
        <v>2110</v>
      </c>
      <c r="D202" s="22"/>
      <c r="E202" s="23">
        <v>-3.6500000953674318E-2</v>
      </c>
      <c r="F202" s="24" t="s">
        <v>125</v>
      </c>
    </row>
    <row r="203" spans="1:6" ht="16" customHeight="1" x14ac:dyDescent="0.45">
      <c r="A203" s="19" t="s">
        <v>524</v>
      </c>
      <c r="B203" s="20" t="s">
        <v>525</v>
      </c>
      <c r="C203" s="21">
        <v>534000</v>
      </c>
      <c r="D203" s="22"/>
      <c r="E203" s="23">
        <v>4.9099998474121102E-2</v>
      </c>
      <c r="F203" s="24" t="s">
        <v>128</v>
      </c>
    </row>
    <row r="204" spans="1:6" ht="16" customHeight="1" x14ac:dyDescent="0.45">
      <c r="A204" s="19" t="s">
        <v>526</v>
      </c>
      <c r="B204" s="20" t="s">
        <v>527</v>
      </c>
      <c r="C204" s="21">
        <v>315500</v>
      </c>
      <c r="D204" s="22"/>
      <c r="E204" s="23">
        <v>7.3099999427795409E-2</v>
      </c>
      <c r="F204" s="24" t="s">
        <v>128</v>
      </c>
    </row>
    <row r="205" spans="1:6" ht="16" customHeight="1" x14ac:dyDescent="0.45">
      <c r="A205" s="19" t="s">
        <v>528</v>
      </c>
      <c r="B205" s="20" t="s">
        <v>529</v>
      </c>
      <c r="C205" s="21">
        <v>4235</v>
      </c>
      <c r="D205" s="22"/>
      <c r="E205" s="23">
        <v>5.8999997377395634E-3</v>
      </c>
      <c r="F205" s="24" t="s">
        <v>128</v>
      </c>
    </row>
    <row r="206" spans="1:6" ht="16" customHeight="1" x14ac:dyDescent="0.45">
      <c r="A206" s="19" t="s">
        <v>530</v>
      </c>
      <c r="B206" s="20" t="s">
        <v>531</v>
      </c>
      <c r="C206" s="21">
        <v>49950</v>
      </c>
      <c r="D206" s="22"/>
      <c r="E206" s="23">
        <v>8.1000000238418586E-3</v>
      </c>
      <c r="F206" s="24" t="s">
        <v>125</v>
      </c>
    </row>
    <row r="207" spans="1:6" ht="16" customHeight="1" x14ac:dyDescent="0.45">
      <c r="A207" s="19" t="s">
        <v>532</v>
      </c>
      <c r="B207" s="20" t="s">
        <v>533</v>
      </c>
      <c r="C207" s="21">
        <v>30050</v>
      </c>
      <c r="D207" s="22"/>
      <c r="E207" s="23">
        <v>-9.9000000953674318E-3</v>
      </c>
      <c r="F207" s="24" t="s">
        <v>125</v>
      </c>
    </row>
    <row r="208" spans="1:6" ht="16" customHeight="1" x14ac:dyDescent="0.45">
      <c r="A208" s="19" t="s">
        <v>534</v>
      </c>
      <c r="B208" s="20" t="s">
        <v>535</v>
      </c>
      <c r="C208" s="21">
        <v>90500</v>
      </c>
      <c r="D208" s="22"/>
      <c r="E208" s="23">
        <v>1.099999994039536E-3</v>
      </c>
      <c r="F208" s="24" t="s">
        <v>128</v>
      </c>
    </row>
    <row r="209" spans="1:6" ht="16" customHeight="1" x14ac:dyDescent="0.45">
      <c r="A209" s="19" t="s">
        <v>536</v>
      </c>
      <c r="B209" s="20" t="s">
        <v>537</v>
      </c>
      <c r="C209" s="21">
        <v>8980</v>
      </c>
      <c r="D209" s="22"/>
      <c r="E209" s="23">
        <v>8.3199996948242191E-2</v>
      </c>
      <c r="F209" s="24" t="s">
        <v>125</v>
      </c>
    </row>
    <row r="210" spans="1:6" ht="16" customHeight="1" x14ac:dyDescent="0.45">
      <c r="A210" s="19" t="s">
        <v>538</v>
      </c>
      <c r="B210" s="20" t="s">
        <v>539</v>
      </c>
      <c r="C210" s="21">
        <v>10040</v>
      </c>
      <c r="D210" s="22"/>
      <c r="E210" s="23">
        <v>8.4200000762939459E-2</v>
      </c>
      <c r="F210" s="24" t="s">
        <v>125</v>
      </c>
    </row>
    <row r="211" spans="1:6" ht="16" customHeight="1" x14ac:dyDescent="0.45">
      <c r="A211" s="19" t="s">
        <v>540</v>
      </c>
      <c r="B211" s="20" t="s">
        <v>541</v>
      </c>
      <c r="C211" s="21">
        <v>61000</v>
      </c>
      <c r="D211" s="22"/>
      <c r="E211" s="23">
        <v>-3.3299999237060549E-2</v>
      </c>
      <c r="F211" s="24" t="s">
        <v>128</v>
      </c>
    </row>
    <row r="212" spans="1:6" ht="16" customHeight="1" x14ac:dyDescent="0.45">
      <c r="A212" s="19" t="s">
        <v>542</v>
      </c>
      <c r="B212" s="20" t="s">
        <v>543</v>
      </c>
      <c r="C212" s="21">
        <v>50000</v>
      </c>
      <c r="D212" s="22"/>
      <c r="E212" s="23">
        <v>-4.4000000953674318E-2</v>
      </c>
      <c r="F212" s="24" t="s">
        <v>128</v>
      </c>
    </row>
    <row r="213" spans="1:6" ht="16" customHeight="1" x14ac:dyDescent="0.45">
      <c r="A213" s="19" t="s">
        <v>544</v>
      </c>
      <c r="B213" s="20" t="s">
        <v>545</v>
      </c>
      <c r="C213" s="21">
        <v>41150</v>
      </c>
      <c r="D213" s="22"/>
      <c r="E213" s="23">
        <v>-3.180000066757202E-2</v>
      </c>
      <c r="F213" s="24" t="s">
        <v>128</v>
      </c>
    </row>
    <row r="214" spans="1:6" ht="16" customHeight="1" x14ac:dyDescent="0.45">
      <c r="A214" s="19" t="s">
        <v>546</v>
      </c>
      <c r="B214" s="20" t="s">
        <v>547</v>
      </c>
      <c r="C214" s="21">
        <v>18920</v>
      </c>
      <c r="D214" s="22"/>
      <c r="E214" s="23">
        <v>-5.1199998855590817E-2</v>
      </c>
      <c r="F214" s="24" t="s">
        <v>128</v>
      </c>
    </row>
    <row r="215" spans="1:6" ht="16" customHeight="1" x14ac:dyDescent="0.45">
      <c r="A215" s="19" t="s">
        <v>548</v>
      </c>
      <c r="B215" s="20" t="s">
        <v>549</v>
      </c>
      <c r="C215" s="21">
        <v>9130</v>
      </c>
      <c r="D215" s="22"/>
      <c r="E215" s="23">
        <v>-7.5999999046325682E-3</v>
      </c>
      <c r="F215" s="24" t="s">
        <v>128</v>
      </c>
    </row>
    <row r="216" spans="1:6" ht="16" customHeight="1" x14ac:dyDescent="0.45">
      <c r="A216" s="19" t="s">
        <v>550</v>
      </c>
      <c r="B216" s="20" t="s">
        <v>551</v>
      </c>
      <c r="C216" s="21">
        <v>8790</v>
      </c>
      <c r="D216" s="22"/>
      <c r="E216" s="23">
        <v>-8.999999761581421E-3</v>
      </c>
      <c r="F216" s="24" t="s">
        <v>128</v>
      </c>
    </row>
    <row r="217" spans="1:6" ht="16" customHeight="1" x14ac:dyDescent="0.45">
      <c r="A217" s="19" t="s">
        <v>552</v>
      </c>
      <c r="B217" s="20" t="s">
        <v>553</v>
      </c>
      <c r="C217" s="21">
        <v>6890</v>
      </c>
      <c r="D217" s="22"/>
      <c r="E217" s="23">
        <v>-3.3699998855590822E-2</v>
      </c>
      <c r="F217" s="24" t="s">
        <v>125</v>
      </c>
    </row>
    <row r="218" spans="1:6" ht="16" customHeight="1" x14ac:dyDescent="0.45">
      <c r="A218" s="19" t="s">
        <v>554</v>
      </c>
      <c r="B218" s="20" t="s">
        <v>555</v>
      </c>
      <c r="C218" s="21">
        <v>1115</v>
      </c>
      <c r="D218" s="22"/>
      <c r="E218" s="23">
        <v>0</v>
      </c>
      <c r="F218" s="24" t="s">
        <v>125</v>
      </c>
    </row>
    <row r="219" spans="1:6" ht="16" customHeight="1" x14ac:dyDescent="0.45">
      <c r="A219" s="19" t="s">
        <v>556</v>
      </c>
      <c r="B219" s="20" t="s">
        <v>557</v>
      </c>
      <c r="C219" s="21">
        <v>4375</v>
      </c>
      <c r="D219" s="22"/>
      <c r="E219" s="23">
        <v>-2.4500000476837161E-2</v>
      </c>
      <c r="F219" s="24" t="s">
        <v>128</v>
      </c>
    </row>
    <row r="220" spans="1:6" ht="16" customHeight="1" x14ac:dyDescent="0.45">
      <c r="A220" s="19" t="s">
        <v>558</v>
      </c>
      <c r="B220" s="20" t="s">
        <v>559</v>
      </c>
      <c r="C220" s="21">
        <v>208500</v>
      </c>
      <c r="D220" s="22"/>
      <c r="E220" s="23">
        <v>-2.39999994635582E-3</v>
      </c>
      <c r="F220" s="24" t="s">
        <v>128</v>
      </c>
    </row>
    <row r="221" spans="1:6" ht="16" customHeight="1" x14ac:dyDescent="0.45">
      <c r="A221" s="19" t="s">
        <v>560</v>
      </c>
      <c r="B221" s="20" t="s">
        <v>561</v>
      </c>
      <c r="C221" s="21">
        <v>261500</v>
      </c>
      <c r="D221" s="22"/>
      <c r="E221" s="23">
        <v>-2.2400000095367429E-2</v>
      </c>
      <c r="F221" s="24" t="s">
        <v>128</v>
      </c>
    </row>
    <row r="222" spans="1:6" ht="16" customHeight="1" x14ac:dyDescent="0.45">
      <c r="A222" s="19" t="s">
        <v>562</v>
      </c>
      <c r="B222" s="20" t="s">
        <v>563</v>
      </c>
      <c r="C222" s="21">
        <v>1703</v>
      </c>
      <c r="D222" s="22"/>
      <c r="E222" s="23">
        <v>-2.349999904632568E-2</v>
      </c>
      <c r="F222" s="24" t="s">
        <v>125</v>
      </c>
    </row>
    <row r="223" spans="1:6" ht="16" customHeight="1" x14ac:dyDescent="0.45">
      <c r="A223" s="19" t="s">
        <v>564</v>
      </c>
      <c r="B223" s="20" t="s">
        <v>565</v>
      </c>
      <c r="C223" s="21">
        <v>2095</v>
      </c>
      <c r="D223" s="22"/>
      <c r="E223" s="23">
        <v>-1.8700000047683719E-2</v>
      </c>
      <c r="F223" s="24" t="s">
        <v>125</v>
      </c>
    </row>
    <row r="224" spans="1:6" ht="16" customHeight="1" x14ac:dyDescent="0.45">
      <c r="A224" s="19" t="s">
        <v>566</v>
      </c>
      <c r="B224" s="20" t="s">
        <v>567</v>
      </c>
      <c r="C224" s="21">
        <v>41150</v>
      </c>
      <c r="D224" s="22"/>
      <c r="E224" s="23">
        <v>1.350000023841858E-2</v>
      </c>
      <c r="F224" s="24" t="s">
        <v>128</v>
      </c>
    </row>
    <row r="225" spans="1:6" ht="16" customHeight="1" x14ac:dyDescent="0.45">
      <c r="A225" s="19" t="s">
        <v>568</v>
      </c>
      <c r="B225" s="20" t="s">
        <v>569</v>
      </c>
      <c r="C225" s="21">
        <v>21000</v>
      </c>
      <c r="D225" s="22"/>
      <c r="E225" s="23">
        <v>4.7399997711181641E-2</v>
      </c>
      <c r="F225" s="24" t="s">
        <v>125</v>
      </c>
    </row>
    <row r="226" spans="1:6" ht="16" customHeight="1" x14ac:dyDescent="0.45">
      <c r="A226" s="19" t="s">
        <v>570</v>
      </c>
      <c r="B226" s="20" t="s">
        <v>571</v>
      </c>
      <c r="C226" s="21">
        <v>3965</v>
      </c>
      <c r="D226" s="22"/>
      <c r="E226" s="23">
        <v>-0.04</v>
      </c>
      <c r="F226" s="24" t="s">
        <v>125</v>
      </c>
    </row>
    <row r="227" spans="1:6" ht="16" customHeight="1" x14ac:dyDescent="0.45">
      <c r="A227" s="19" t="s">
        <v>572</v>
      </c>
      <c r="B227" s="20" t="s">
        <v>573</v>
      </c>
      <c r="C227" s="21">
        <v>3175</v>
      </c>
      <c r="D227" s="22"/>
      <c r="E227" s="23">
        <v>-2.9100000858306881E-2</v>
      </c>
      <c r="F227" s="24" t="s">
        <v>128</v>
      </c>
    </row>
    <row r="228" spans="1:6" ht="16" customHeight="1" x14ac:dyDescent="0.45">
      <c r="A228" s="19" t="s">
        <v>574</v>
      </c>
      <c r="B228" s="20" t="s">
        <v>575</v>
      </c>
      <c r="C228" s="21">
        <v>38950</v>
      </c>
      <c r="D228" s="22"/>
      <c r="E228" s="23">
        <v>6.8600001335144045E-2</v>
      </c>
      <c r="F228" s="24" t="s">
        <v>128</v>
      </c>
    </row>
    <row r="229" spans="1:6" ht="16" customHeight="1" x14ac:dyDescent="0.45">
      <c r="A229" s="19" t="s">
        <v>576</v>
      </c>
      <c r="B229" s="20" t="s">
        <v>577</v>
      </c>
      <c r="C229" s="21">
        <v>29000</v>
      </c>
      <c r="D229" s="22"/>
      <c r="E229" s="23">
        <v>2.8399999141693111E-2</v>
      </c>
      <c r="F229" s="24" t="s">
        <v>128</v>
      </c>
    </row>
    <row r="230" spans="1:6" ht="16" customHeight="1" x14ac:dyDescent="0.45">
      <c r="A230" s="19" t="s">
        <v>578</v>
      </c>
      <c r="B230" s="20" t="s">
        <v>579</v>
      </c>
      <c r="C230" s="21">
        <v>4580</v>
      </c>
      <c r="D230" s="22"/>
      <c r="E230" s="23">
        <v>-2.02999997138977E-2</v>
      </c>
      <c r="F230" s="24" t="s">
        <v>128</v>
      </c>
    </row>
    <row r="231" spans="1:6" ht="16" customHeight="1" x14ac:dyDescent="0.45">
      <c r="A231" s="19" t="s">
        <v>580</v>
      </c>
      <c r="B231" s="20" t="s">
        <v>581</v>
      </c>
      <c r="C231" s="21">
        <v>14190</v>
      </c>
      <c r="D231" s="22"/>
      <c r="E231" s="23">
        <v>-3.8599998950958253E-2</v>
      </c>
      <c r="F231" s="24" t="s">
        <v>128</v>
      </c>
    </row>
    <row r="232" spans="1:6" ht="16" customHeight="1" x14ac:dyDescent="0.45">
      <c r="A232" s="19" t="s">
        <v>582</v>
      </c>
      <c r="B232" s="20" t="s">
        <v>583</v>
      </c>
      <c r="C232" s="21">
        <v>4475</v>
      </c>
      <c r="D232" s="22"/>
      <c r="E232" s="23">
        <v>-1.6499999761581421E-2</v>
      </c>
      <c r="F232" s="24" t="s">
        <v>125</v>
      </c>
    </row>
    <row r="233" spans="1:6" ht="16" customHeight="1" x14ac:dyDescent="0.45">
      <c r="A233" s="19" t="s">
        <v>584</v>
      </c>
      <c r="B233" s="20" t="s">
        <v>585</v>
      </c>
      <c r="C233" s="21">
        <v>14750</v>
      </c>
      <c r="D233" s="22"/>
      <c r="E233" s="23">
        <v>-1.8600000143051149E-2</v>
      </c>
      <c r="F233" s="24" t="s">
        <v>128</v>
      </c>
    </row>
    <row r="234" spans="1:6" ht="16" customHeight="1" x14ac:dyDescent="0.45">
      <c r="A234" s="19" t="s">
        <v>586</v>
      </c>
      <c r="B234" s="20" t="s">
        <v>587</v>
      </c>
      <c r="C234" s="21">
        <v>4055</v>
      </c>
      <c r="D234" s="22"/>
      <c r="E234" s="23">
        <v>-1.1000000238418579E-2</v>
      </c>
      <c r="F234" s="24" t="s">
        <v>128</v>
      </c>
    </row>
    <row r="235" spans="1:6" ht="16" customHeight="1" x14ac:dyDescent="0.45">
      <c r="A235" s="19" t="s">
        <v>588</v>
      </c>
      <c r="B235" s="20" t="s">
        <v>589</v>
      </c>
      <c r="C235" s="21">
        <v>3810</v>
      </c>
      <c r="D235" s="22"/>
      <c r="E235" s="23">
        <v>-3.0499999523162839E-2</v>
      </c>
      <c r="F235" s="24" t="s">
        <v>128</v>
      </c>
    </row>
    <row r="236" spans="1:6" ht="16" customHeight="1" x14ac:dyDescent="0.45">
      <c r="A236" s="19" t="s">
        <v>590</v>
      </c>
      <c r="B236" s="20" t="s">
        <v>591</v>
      </c>
      <c r="C236" s="21">
        <v>2355</v>
      </c>
      <c r="D236" s="22"/>
      <c r="E236" s="23">
        <v>-2.0799999237060551E-2</v>
      </c>
      <c r="F236" s="24" t="s">
        <v>128</v>
      </c>
    </row>
    <row r="237" spans="1:6" ht="16" customHeight="1" x14ac:dyDescent="0.45">
      <c r="A237" s="19" t="s">
        <v>592</v>
      </c>
      <c r="B237" s="20" t="s">
        <v>593</v>
      </c>
      <c r="C237" s="21">
        <v>8040</v>
      </c>
      <c r="D237" s="22"/>
      <c r="E237" s="23">
        <v>0</v>
      </c>
      <c r="F237" s="24" t="s">
        <v>125</v>
      </c>
    </row>
    <row r="238" spans="1:6" ht="16" customHeight="1" x14ac:dyDescent="0.45">
      <c r="A238" s="19" t="s">
        <v>594</v>
      </c>
      <c r="B238" s="20" t="s">
        <v>595</v>
      </c>
      <c r="C238" s="21">
        <v>141500</v>
      </c>
      <c r="D238" s="22"/>
      <c r="E238" s="23">
        <v>-1.940000057220459E-2</v>
      </c>
      <c r="F238" s="24" t="s">
        <v>128</v>
      </c>
    </row>
    <row r="239" spans="1:6" ht="16" customHeight="1" x14ac:dyDescent="0.45">
      <c r="A239" s="19" t="s">
        <v>596</v>
      </c>
      <c r="B239" s="20" t="s">
        <v>597</v>
      </c>
      <c r="C239" s="21">
        <v>335500</v>
      </c>
      <c r="D239" s="22"/>
      <c r="E239" s="23">
        <v>-5.6300001144409181E-2</v>
      </c>
      <c r="F239" s="24" t="s">
        <v>128</v>
      </c>
    </row>
    <row r="240" spans="1:6" ht="16" customHeight="1" x14ac:dyDescent="0.45">
      <c r="A240" s="19" t="s">
        <v>598</v>
      </c>
      <c r="B240" s="20" t="s">
        <v>599</v>
      </c>
      <c r="C240" s="21">
        <v>30850</v>
      </c>
      <c r="D240" s="22"/>
      <c r="E240" s="23">
        <v>1.149999976158142E-2</v>
      </c>
      <c r="F240" s="24" t="s">
        <v>128</v>
      </c>
    </row>
    <row r="241" spans="1:6" ht="16" customHeight="1" x14ac:dyDescent="0.45">
      <c r="A241" s="19" t="s">
        <v>600</v>
      </c>
      <c r="B241" s="20" t="s">
        <v>601</v>
      </c>
      <c r="C241" s="21">
        <v>7430</v>
      </c>
      <c r="D241" s="22"/>
      <c r="E241" s="23">
        <v>5.4000002145767213E-3</v>
      </c>
      <c r="F241" s="24" t="s">
        <v>128</v>
      </c>
    </row>
    <row r="242" spans="1:6" ht="16" customHeight="1" x14ac:dyDescent="0.45">
      <c r="A242" s="19" t="s">
        <v>602</v>
      </c>
      <c r="B242" s="20" t="s">
        <v>603</v>
      </c>
      <c r="C242" s="21">
        <v>3195</v>
      </c>
      <c r="D242" s="22"/>
      <c r="E242" s="23">
        <v>-1.990000009536743E-2</v>
      </c>
      <c r="F242" s="24" t="s">
        <v>125</v>
      </c>
    </row>
    <row r="243" spans="1:6" ht="16" customHeight="1" x14ac:dyDescent="0.45">
      <c r="A243" s="19" t="s">
        <v>604</v>
      </c>
      <c r="B243" s="20" t="s">
        <v>605</v>
      </c>
      <c r="C243" s="21">
        <v>508500</v>
      </c>
      <c r="D243" s="22"/>
      <c r="E243" s="23">
        <v>1.2899999618530269E-2</v>
      </c>
      <c r="F243" s="24" t="s">
        <v>128</v>
      </c>
    </row>
    <row r="244" spans="1:6" ht="16" customHeight="1" x14ac:dyDescent="0.45">
      <c r="A244" s="19" t="s">
        <v>606</v>
      </c>
      <c r="B244" s="20" t="s">
        <v>607</v>
      </c>
      <c r="C244" s="21">
        <v>9830</v>
      </c>
      <c r="D244" s="22"/>
      <c r="E244" s="23">
        <v>-6.1100001335144052E-2</v>
      </c>
      <c r="F244" s="24" t="s">
        <v>125</v>
      </c>
    </row>
    <row r="245" spans="1:6" ht="16" customHeight="1" x14ac:dyDescent="0.45">
      <c r="A245" s="19" t="s">
        <v>608</v>
      </c>
      <c r="B245" s="20" t="s">
        <v>609</v>
      </c>
      <c r="C245" s="21">
        <v>93800</v>
      </c>
      <c r="D245" s="22"/>
      <c r="E245" s="23">
        <v>-4.2899999618530277E-2</v>
      </c>
      <c r="F245" s="24" t="s">
        <v>125</v>
      </c>
    </row>
    <row r="246" spans="1:6" ht="16" customHeight="1" x14ac:dyDescent="0.45">
      <c r="A246" s="19" t="s">
        <v>610</v>
      </c>
      <c r="B246" s="20" t="s">
        <v>611</v>
      </c>
      <c r="C246" s="21">
        <v>107600</v>
      </c>
      <c r="D246" s="22"/>
      <c r="E246" s="23">
        <v>-9.2000001668930062E-3</v>
      </c>
      <c r="F246" s="24" t="s">
        <v>125</v>
      </c>
    </row>
    <row r="247" spans="1:6" ht="16" customHeight="1" x14ac:dyDescent="0.45">
      <c r="A247" s="19" t="s">
        <v>612</v>
      </c>
      <c r="B247" s="20" t="s">
        <v>613</v>
      </c>
      <c r="C247" s="21">
        <v>14070</v>
      </c>
      <c r="D247" s="22"/>
      <c r="E247" s="23">
        <v>-4.3499999046325677E-2</v>
      </c>
      <c r="F247" s="24" t="s">
        <v>125</v>
      </c>
    </row>
    <row r="248" spans="1:6" ht="16" customHeight="1" x14ac:dyDescent="0.45">
      <c r="A248" s="19" t="s">
        <v>614</v>
      </c>
      <c r="B248" s="20" t="s">
        <v>615</v>
      </c>
      <c r="C248" s="21">
        <v>2625</v>
      </c>
      <c r="D248" s="22"/>
      <c r="E248" s="23">
        <v>-2.5999999046325679E-2</v>
      </c>
      <c r="F248" s="24" t="s">
        <v>125</v>
      </c>
    </row>
    <row r="249" spans="1:6" ht="16" customHeight="1" x14ac:dyDescent="0.45">
      <c r="A249" s="19" t="s">
        <v>616</v>
      </c>
      <c r="B249" s="20" t="s">
        <v>617</v>
      </c>
      <c r="C249" s="21">
        <v>121900</v>
      </c>
      <c r="D249" s="22"/>
      <c r="E249" s="23">
        <v>-4.7699999809265127E-2</v>
      </c>
      <c r="F249" s="24" t="s">
        <v>128</v>
      </c>
    </row>
    <row r="250" spans="1:6" ht="16" customHeight="1" x14ac:dyDescent="0.45">
      <c r="A250" s="19" t="s">
        <v>618</v>
      </c>
      <c r="B250" s="20" t="s">
        <v>619</v>
      </c>
      <c r="C250" s="21">
        <v>58500</v>
      </c>
      <c r="D250" s="22"/>
      <c r="E250" s="23">
        <v>-1.6799999475479121E-2</v>
      </c>
      <c r="F250" s="24" t="s">
        <v>128</v>
      </c>
    </row>
    <row r="251" spans="1:6" ht="16" customHeight="1" x14ac:dyDescent="0.45">
      <c r="A251" s="19" t="s">
        <v>620</v>
      </c>
      <c r="B251" s="20" t="s">
        <v>621</v>
      </c>
      <c r="C251" s="21">
        <v>36750</v>
      </c>
      <c r="D251" s="22"/>
      <c r="E251" s="23">
        <v>-6.9600000381469726E-2</v>
      </c>
      <c r="F251" s="24" t="s">
        <v>125</v>
      </c>
    </row>
    <row r="252" spans="1:6" ht="16" customHeight="1" x14ac:dyDescent="0.45">
      <c r="A252" s="19" t="s">
        <v>622</v>
      </c>
      <c r="B252" s="20" t="s">
        <v>623</v>
      </c>
      <c r="C252" s="21">
        <v>638</v>
      </c>
      <c r="D252" s="22"/>
      <c r="E252" s="23">
        <v>0</v>
      </c>
      <c r="F252" s="24" t="s">
        <v>125</v>
      </c>
    </row>
    <row r="253" spans="1:6" ht="16" customHeight="1" x14ac:dyDescent="0.45">
      <c r="A253" s="19" t="s">
        <v>624</v>
      </c>
      <c r="B253" s="20" t="s">
        <v>625</v>
      </c>
      <c r="C253" s="21">
        <v>15800</v>
      </c>
      <c r="D253" s="22"/>
      <c r="E253" s="23">
        <v>-1.370000004768371E-2</v>
      </c>
      <c r="F253" s="24" t="s">
        <v>128</v>
      </c>
    </row>
    <row r="254" spans="1:6" ht="16" customHeight="1" x14ac:dyDescent="0.45">
      <c r="A254" s="19" t="s">
        <v>626</v>
      </c>
      <c r="B254" s="20" t="s">
        <v>627</v>
      </c>
      <c r="C254" s="21">
        <v>2600</v>
      </c>
      <c r="D254" s="22"/>
      <c r="E254" s="23">
        <v>-2.6199998855590819E-2</v>
      </c>
      <c r="F254" s="24" t="s">
        <v>128</v>
      </c>
    </row>
    <row r="255" spans="1:6" ht="16" customHeight="1" x14ac:dyDescent="0.45">
      <c r="A255" s="19" t="s">
        <v>628</v>
      </c>
      <c r="B255" s="20" t="s">
        <v>629</v>
      </c>
      <c r="C255" s="21">
        <v>1917</v>
      </c>
      <c r="D255" s="22"/>
      <c r="E255" s="23">
        <v>-3.8099999427795413E-2</v>
      </c>
      <c r="F255" s="24" t="s">
        <v>125</v>
      </c>
    </row>
    <row r="256" spans="1:6" ht="16" customHeight="1" x14ac:dyDescent="0.45">
      <c r="A256" s="19" t="s">
        <v>630</v>
      </c>
      <c r="B256" s="20" t="s">
        <v>631</v>
      </c>
      <c r="C256" s="21">
        <v>1317</v>
      </c>
      <c r="D256" s="22"/>
      <c r="E256" s="23">
        <v>-5.2499999999999998E-2</v>
      </c>
      <c r="F256" s="24" t="s">
        <v>125</v>
      </c>
    </row>
    <row r="257" spans="1:6" ht="16" customHeight="1" x14ac:dyDescent="0.45">
      <c r="A257" s="19" t="s">
        <v>632</v>
      </c>
      <c r="B257" s="20" t="s">
        <v>633</v>
      </c>
      <c r="C257" s="21">
        <v>8760</v>
      </c>
      <c r="D257" s="22"/>
      <c r="E257" s="23">
        <v>1.6200000047683721E-2</v>
      </c>
      <c r="F257" s="24" t="s">
        <v>125</v>
      </c>
    </row>
    <row r="258" spans="1:6" ht="16" customHeight="1" x14ac:dyDescent="0.45">
      <c r="A258" s="19" t="s">
        <v>634</v>
      </c>
      <c r="B258" s="20" t="s">
        <v>635</v>
      </c>
      <c r="C258" s="21">
        <v>2520</v>
      </c>
      <c r="D258" s="22"/>
      <c r="E258" s="23">
        <v>-2.700000047683716E-2</v>
      </c>
      <c r="F258" s="24" t="s">
        <v>125</v>
      </c>
    </row>
    <row r="259" spans="1:6" ht="16" customHeight="1" x14ac:dyDescent="0.45">
      <c r="A259" s="19" t="s">
        <v>636</v>
      </c>
      <c r="B259" s="20" t="s">
        <v>637</v>
      </c>
      <c r="C259" s="21">
        <v>2175</v>
      </c>
      <c r="D259" s="22"/>
      <c r="E259" s="23">
        <v>0</v>
      </c>
      <c r="F259" s="24" t="s">
        <v>125</v>
      </c>
    </row>
    <row r="260" spans="1:6" ht="16" customHeight="1" x14ac:dyDescent="0.45">
      <c r="A260" s="19" t="s">
        <v>638</v>
      </c>
      <c r="B260" s="20" t="s">
        <v>639</v>
      </c>
      <c r="C260" s="21">
        <v>754</v>
      </c>
      <c r="D260" s="22"/>
      <c r="E260" s="23">
        <v>0</v>
      </c>
      <c r="F260" s="24" t="s">
        <v>125</v>
      </c>
    </row>
    <row r="261" spans="1:6" ht="16" customHeight="1" x14ac:dyDescent="0.45">
      <c r="A261" s="19" t="s">
        <v>640</v>
      </c>
      <c r="B261" s="20" t="s">
        <v>641</v>
      </c>
      <c r="C261" s="21">
        <v>16600</v>
      </c>
      <c r="D261" s="22"/>
      <c r="E261" s="23">
        <v>-3.5999999046325677E-2</v>
      </c>
      <c r="F261" s="24" t="s">
        <v>125</v>
      </c>
    </row>
    <row r="262" spans="1:6" ht="16" customHeight="1" x14ac:dyDescent="0.45">
      <c r="A262" s="19" t="s">
        <v>642</v>
      </c>
      <c r="B262" s="20" t="s">
        <v>643</v>
      </c>
      <c r="C262" s="21">
        <v>56100</v>
      </c>
      <c r="D262" s="22"/>
      <c r="E262" s="23">
        <v>-7.2699999809265142E-2</v>
      </c>
      <c r="F262" s="24" t="s">
        <v>128</v>
      </c>
    </row>
    <row r="263" spans="1:6" ht="16" customHeight="1" x14ac:dyDescent="0.45">
      <c r="A263" s="19" t="s">
        <v>644</v>
      </c>
      <c r="B263" s="20" t="s">
        <v>645</v>
      </c>
      <c r="C263" s="21">
        <v>1098</v>
      </c>
      <c r="D263" s="22"/>
      <c r="E263" s="23">
        <v>0</v>
      </c>
      <c r="F263" s="24" t="s">
        <v>128</v>
      </c>
    </row>
    <row r="264" spans="1:6" ht="16" customHeight="1" x14ac:dyDescent="0.45">
      <c r="A264" s="19" t="s">
        <v>646</v>
      </c>
      <c r="B264" s="20" t="s">
        <v>647</v>
      </c>
      <c r="C264" s="21">
        <v>4370</v>
      </c>
      <c r="D264" s="22"/>
      <c r="E264" s="23">
        <v>-0.1063000011444092</v>
      </c>
      <c r="F264" s="24" t="s">
        <v>128</v>
      </c>
    </row>
    <row r="265" spans="1:6" ht="16" customHeight="1" x14ac:dyDescent="0.45">
      <c r="A265" s="19" t="s">
        <v>648</v>
      </c>
      <c r="B265" s="20" t="s">
        <v>649</v>
      </c>
      <c r="C265" s="21">
        <v>16730</v>
      </c>
      <c r="D265" s="22"/>
      <c r="E265" s="23">
        <v>-1.0599999427795411E-2</v>
      </c>
      <c r="F265" s="24" t="s">
        <v>128</v>
      </c>
    </row>
    <row r="266" spans="1:6" ht="16" customHeight="1" x14ac:dyDescent="0.45">
      <c r="A266" s="19" t="s">
        <v>650</v>
      </c>
      <c r="B266" s="20" t="s">
        <v>651</v>
      </c>
      <c r="C266" s="21">
        <v>358</v>
      </c>
      <c r="D266" s="22"/>
      <c r="E266" s="23">
        <v>0</v>
      </c>
      <c r="F266" s="24" t="s">
        <v>128</v>
      </c>
    </row>
    <row r="267" spans="1:6" ht="16" customHeight="1" x14ac:dyDescent="0.45">
      <c r="A267" s="19" t="s">
        <v>652</v>
      </c>
      <c r="B267" s="20" t="s">
        <v>653</v>
      </c>
      <c r="C267" s="21">
        <v>6310</v>
      </c>
      <c r="D267" s="22"/>
      <c r="E267" s="23">
        <v>-2.0199999809265141E-2</v>
      </c>
      <c r="F267" s="24" t="s">
        <v>128</v>
      </c>
    </row>
    <row r="268" spans="1:6" ht="16" customHeight="1" x14ac:dyDescent="0.45">
      <c r="A268" s="19" t="s">
        <v>654</v>
      </c>
      <c r="B268" s="20" t="s">
        <v>655</v>
      </c>
      <c r="C268" s="21">
        <v>7780</v>
      </c>
      <c r="D268" s="22"/>
      <c r="E268" s="23">
        <v>-1.389999985694885E-2</v>
      </c>
      <c r="F268" s="24" t="s">
        <v>128</v>
      </c>
    </row>
    <row r="269" spans="1:6" ht="16" customHeight="1" x14ac:dyDescent="0.45">
      <c r="A269" s="19" t="s">
        <v>656</v>
      </c>
      <c r="B269" s="20" t="s">
        <v>657</v>
      </c>
      <c r="C269" s="21">
        <v>3765</v>
      </c>
      <c r="D269" s="22"/>
      <c r="E269" s="23">
        <v>-1.7000000476837161E-2</v>
      </c>
      <c r="F269" s="24" t="s">
        <v>128</v>
      </c>
    </row>
    <row r="270" spans="1:6" ht="16" customHeight="1" x14ac:dyDescent="0.45">
      <c r="A270" s="19" t="s">
        <v>658</v>
      </c>
      <c r="B270" s="20" t="s">
        <v>659</v>
      </c>
      <c r="C270" s="21">
        <v>3850</v>
      </c>
      <c r="D270" s="22"/>
      <c r="E270" s="23">
        <v>-3.8999998569488529E-3</v>
      </c>
      <c r="F270" s="24" t="s">
        <v>128</v>
      </c>
    </row>
    <row r="271" spans="1:6" ht="16" customHeight="1" x14ac:dyDescent="0.45">
      <c r="A271" s="19" t="s">
        <v>660</v>
      </c>
      <c r="B271" s="20" t="s">
        <v>661</v>
      </c>
      <c r="C271" s="21">
        <v>537000</v>
      </c>
      <c r="D271" s="22"/>
      <c r="E271" s="23">
        <v>0.12930000305175779</v>
      </c>
      <c r="F271" s="24" t="s">
        <v>128</v>
      </c>
    </row>
    <row r="272" spans="1:6" ht="16" customHeight="1" x14ac:dyDescent="0.45">
      <c r="A272" s="19" t="s">
        <v>662</v>
      </c>
      <c r="B272" s="20" t="s">
        <v>663</v>
      </c>
      <c r="C272" s="21">
        <v>3180</v>
      </c>
      <c r="D272" s="22"/>
      <c r="E272" s="23">
        <v>1.599999964237213E-3</v>
      </c>
      <c r="F272" s="24" t="s">
        <v>125</v>
      </c>
    </row>
    <row r="273" spans="1:6" ht="16" customHeight="1" x14ac:dyDescent="0.45">
      <c r="A273" s="19" t="s">
        <v>664</v>
      </c>
      <c r="B273" s="20" t="s">
        <v>665</v>
      </c>
      <c r="C273" s="21">
        <v>161200</v>
      </c>
      <c r="D273" s="22"/>
      <c r="E273" s="23">
        <v>0.3</v>
      </c>
      <c r="F273" s="24" t="s">
        <v>128</v>
      </c>
    </row>
    <row r="274" spans="1:6" ht="16" customHeight="1" x14ac:dyDescent="0.45">
      <c r="A274" s="19" t="s">
        <v>666</v>
      </c>
      <c r="B274" s="20" t="s">
        <v>667</v>
      </c>
      <c r="C274" s="21">
        <v>261500</v>
      </c>
      <c r="D274" s="22"/>
      <c r="E274" s="23">
        <v>-1.8799999952316279E-2</v>
      </c>
      <c r="F274" s="24" t="s">
        <v>128</v>
      </c>
    </row>
    <row r="275" spans="1:6" ht="16" customHeight="1" x14ac:dyDescent="0.45">
      <c r="A275" s="19" t="s">
        <v>668</v>
      </c>
      <c r="B275" s="20" t="s">
        <v>669</v>
      </c>
      <c r="C275" s="21">
        <v>6760</v>
      </c>
      <c r="D275" s="22"/>
      <c r="E275" s="23">
        <v>2.5799999237060549E-2</v>
      </c>
      <c r="F275" s="24" t="s">
        <v>128</v>
      </c>
    </row>
    <row r="276" spans="1:6" ht="16" customHeight="1" x14ac:dyDescent="0.45">
      <c r="A276" s="19" t="s">
        <v>670</v>
      </c>
      <c r="B276" s="20" t="s">
        <v>671</v>
      </c>
      <c r="C276" s="21">
        <v>63200</v>
      </c>
      <c r="D276" s="22"/>
      <c r="E276" s="23">
        <v>0.13670000076293939</v>
      </c>
      <c r="F276" s="24" t="s">
        <v>128</v>
      </c>
    </row>
    <row r="277" spans="1:6" ht="16" customHeight="1" x14ac:dyDescent="0.45">
      <c r="A277" s="19" t="s">
        <v>672</v>
      </c>
      <c r="B277" s="20" t="s">
        <v>673</v>
      </c>
      <c r="C277" s="21">
        <v>43350</v>
      </c>
      <c r="D277" s="22"/>
      <c r="E277" s="23">
        <v>2.5999999046325679E-2</v>
      </c>
      <c r="F277" s="24" t="s">
        <v>128</v>
      </c>
    </row>
    <row r="278" spans="1:6" ht="16" customHeight="1" x14ac:dyDescent="0.45">
      <c r="A278" s="19" t="s">
        <v>674</v>
      </c>
      <c r="B278" s="20" t="s">
        <v>675</v>
      </c>
      <c r="C278" s="21">
        <v>12720</v>
      </c>
      <c r="D278" s="22"/>
      <c r="E278" s="23">
        <v>-1.2400000095367431E-2</v>
      </c>
      <c r="F278" s="24" t="s">
        <v>128</v>
      </c>
    </row>
    <row r="279" spans="1:6" ht="16" customHeight="1" x14ac:dyDescent="0.45">
      <c r="A279" s="19" t="s">
        <v>676</v>
      </c>
      <c r="B279" s="20" t="s">
        <v>677</v>
      </c>
      <c r="C279" s="21">
        <v>6020</v>
      </c>
      <c r="D279" s="22"/>
      <c r="E279" s="23">
        <v>-7.2399997711181635E-2</v>
      </c>
      <c r="F279" s="24" t="s">
        <v>128</v>
      </c>
    </row>
    <row r="280" spans="1:6" ht="16" customHeight="1" x14ac:dyDescent="0.45">
      <c r="A280" s="19" t="s">
        <v>678</v>
      </c>
      <c r="B280" s="20" t="s">
        <v>679</v>
      </c>
      <c r="C280" s="21">
        <v>44650</v>
      </c>
      <c r="D280" s="22"/>
      <c r="E280" s="23">
        <v>3.119999885559082E-2</v>
      </c>
      <c r="F280" s="24" t="s">
        <v>128</v>
      </c>
    </row>
    <row r="281" spans="1:6" ht="16" customHeight="1" x14ac:dyDescent="0.45">
      <c r="A281" s="19" t="s">
        <v>680</v>
      </c>
      <c r="B281" s="20" t="s">
        <v>681</v>
      </c>
      <c r="C281" s="21">
        <v>99000</v>
      </c>
      <c r="D281" s="22"/>
      <c r="E281" s="23">
        <v>-3.0000001192092901E-3</v>
      </c>
      <c r="F281" s="24" t="s">
        <v>128</v>
      </c>
    </row>
    <row r="282" spans="1:6" ht="16" customHeight="1" x14ac:dyDescent="0.45">
      <c r="A282" s="19" t="s">
        <v>682</v>
      </c>
      <c r="B282" s="20" t="s">
        <v>683</v>
      </c>
      <c r="C282" s="21">
        <v>1083000</v>
      </c>
      <c r="D282" s="22"/>
      <c r="E282" s="23">
        <v>9.279999732971192E-2</v>
      </c>
      <c r="F282" s="24" t="s">
        <v>128</v>
      </c>
    </row>
    <row r="283" spans="1:6" ht="16" customHeight="1" x14ac:dyDescent="0.45">
      <c r="A283" s="19" t="s">
        <v>684</v>
      </c>
      <c r="B283" s="20" t="s">
        <v>685</v>
      </c>
      <c r="C283" s="21">
        <v>10050</v>
      </c>
      <c r="D283" s="22"/>
      <c r="E283" s="23">
        <v>-2.1400001049041752E-2</v>
      </c>
      <c r="F283" s="24" t="s">
        <v>251</v>
      </c>
    </row>
    <row r="284" spans="1:6" ht="16" customHeight="1" x14ac:dyDescent="0.45">
      <c r="A284" s="19" t="s">
        <v>686</v>
      </c>
      <c r="B284" s="20" t="s">
        <v>687</v>
      </c>
      <c r="C284" s="21">
        <v>26750</v>
      </c>
      <c r="D284" s="22"/>
      <c r="E284" s="23">
        <v>-1.899999976158142E-3</v>
      </c>
      <c r="F284" s="24" t="s">
        <v>128</v>
      </c>
    </row>
    <row r="285" spans="1:6" ht="16" customHeight="1" x14ac:dyDescent="0.45">
      <c r="A285" s="19" t="s">
        <v>688</v>
      </c>
      <c r="B285" s="20" t="s">
        <v>689</v>
      </c>
      <c r="C285" s="21">
        <v>23050</v>
      </c>
      <c r="D285" s="22"/>
      <c r="E285" s="23">
        <v>-1.909999966621399E-2</v>
      </c>
      <c r="F285" s="24" t="s">
        <v>128</v>
      </c>
    </row>
    <row r="286" spans="1:6" ht="16" customHeight="1" x14ac:dyDescent="0.45">
      <c r="A286" s="19" t="s">
        <v>690</v>
      </c>
      <c r="B286" s="20" t="s">
        <v>691</v>
      </c>
      <c r="C286" s="21">
        <v>365500</v>
      </c>
      <c r="D286" s="22"/>
      <c r="E286" s="23">
        <v>0.1211999988555908</v>
      </c>
      <c r="F286" s="24" t="s">
        <v>128</v>
      </c>
    </row>
    <row r="287" spans="1:6" ht="16" customHeight="1" x14ac:dyDescent="0.45">
      <c r="A287" s="19" t="s">
        <v>692</v>
      </c>
      <c r="B287" s="20" t="s">
        <v>693</v>
      </c>
      <c r="C287" s="21">
        <v>143500</v>
      </c>
      <c r="D287" s="22"/>
      <c r="E287" s="23">
        <v>-1.509999990463257E-2</v>
      </c>
      <c r="F287" s="24" t="s">
        <v>128</v>
      </c>
    </row>
    <row r="288" spans="1:6" ht="16" customHeight="1" x14ac:dyDescent="0.45">
      <c r="A288" s="19" t="s">
        <v>694</v>
      </c>
      <c r="B288" s="20" t="s">
        <v>695</v>
      </c>
      <c r="C288" s="21">
        <v>78200</v>
      </c>
      <c r="D288" s="22"/>
      <c r="E288" s="23">
        <v>-1.009999990463257E-2</v>
      </c>
      <c r="F288" s="24" t="s">
        <v>128</v>
      </c>
    </row>
    <row r="289" spans="1:6" ht="16" customHeight="1" x14ac:dyDescent="0.45">
      <c r="A289" s="19" t="s">
        <v>696</v>
      </c>
      <c r="B289" s="20" t="s">
        <v>697</v>
      </c>
      <c r="C289" s="21">
        <v>55200</v>
      </c>
      <c r="D289" s="22"/>
      <c r="E289" s="23">
        <v>0</v>
      </c>
      <c r="F289" s="24" t="s">
        <v>128</v>
      </c>
    </row>
    <row r="290" spans="1:6" ht="16" customHeight="1" x14ac:dyDescent="0.45">
      <c r="A290" s="19" t="s">
        <v>698</v>
      </c>
      <c r="B290" s="20" t="s">
        <v>699</v>
      </c>
      <c r="C290" s="21">
        <v>5710</v>
      </c>
      <c r="D290" s="22"/>
      <c r="E290" s="23">
        <v>0.1002000045776367</v>
      </c>
      <c r="F290" s="24" t="s">
        <v>128</v>
      </c>
    </row>
    <row r="291" spans="1:6" ht="16" customHeight="1" x14ac:dyDescent="0.45">
      <c r="A291" s="19" t="s">
        <v>700</v>
      </c>
      <c r="B291" s="20" t="s">
        <v>701</v>
      </c>
      <c r="C291" s="21">
        <v>13370</v>
      </c>
      <c r="D291" s="22"/>
      <c r="E291" s="23">
        <v>4.7800002098083487E-2</v>
      </c>
      <c r="F291" s="24" t="s">
        <v>128</v>
      </c>
    </row>
    <row r="292" spans="1:6" ht="16" customHeight="1" x14ac:dyDescent="0.45">
      <c r="A292" s="19" t="s">
        <v>702</v>
      </c>
      <c r="B292" s="20" t="s">
        <v>703</v>
      </c>
      <c r="C292" s="21">
        <v>58400</v>
      </c>
      <c r="D292" s="22"/>
      <c r="E292" s="23">
        <v>-2.1800000667572018E-2</v>
      </c>
      <c r="F292" s="24" t="s">
        <v>128</v>
      </c>
    </row>
    <row r="293" spans="1:6" ht="16" customHeight="1" x14ac:dyDescent="0.45">
      <c r="A293" s="19" t="s">
        <v>704</v>
      </c>
      <c r="B293" s="20" t="s">
        <v>705</v>
      </c>
      <c r="C293" s="21">
        <v>27400</v>
      </c>
      <c r="D293" s="22"/>
      <c r="E293" s="23">
        <v>-1.6200000047683721E-2</v>
      </c>
      <c r="F293" s="24" t="s">
        <v>128</v>
      </c>
    </row>
    <row r="294" spans="1:6" ht="16" customHeight="1" x14ac:dyDescent="0.45">
      <c r="A294" s="19" t="s">
        <v>706</v>
      </c>
      <c r="B294" s="20" t="s">
        <v>707</v>
      </c>
      <c r="C294" s="21">
        <v>95400</v>
      </c>
      <c r="D294" s="22"/>
      <c r="E294" s="23">
        <v>-2.0499999523162841E-2</v>
      </c>
      <c r="F294" s="24" t="s">
        <v>128</v>
      </c>
    </row>
    <row r="295" spans="1:6" ht="16" customHeight="1" x14ac:dyDescent="0.45">
      <c r="A295" s="19" t="s">
        <v>708</v>
      </c>
      <c r="B295" s="20" t="s">
        <v>709</v>
      </c>
      <c r="C295" s="21">
        <v>1599000</v>
      </c>
      <c r="D295" s="22"/>
      <c r="E295" s="23">
        <v>0.105</v>
      </c>
      <c r="F295" s="24" t="s">
        <v>128</v>
      </c>
    </row>
    <row r="296" spans="1:6" ht="16" customHeight="1" x14ac:dyDescent="0.45">
      <c r="A296" s="19" t="s">
        <v>710</v>
      </c>
      <c r="B296" s="20" t="s">
        <v>711</v>
      </c>
      <c r="C296" s="21">
        <v>1084</v>
      </c>
      <c r="D296" s="22"/>
      <c r="E296" s="23">
        <v>-3.8199999332427979E-2</v>
      </c>
      <c r="F296" s="24" t="s">
        <v>125</v>
      </c>
    </row>
    <row r="297" spans="1:6" ht="16" customHeight="1" x14ac:dyDescent="0.45">
      <c r="A297" s="19" t="s">
        <v>712</v>
      </c>
      <c r="B297" s="20" t="s">
        <v>713</v>
      </c>
      <c r="C297" s="21">
        <v>1429</v>
      </c>
      <c r="D297" s="22"/>
      <c r="E297" s="23">
        <v>-2.390000104904175E-2</v>
      </c>
      <c r="F297" s="24" t="s">
        <v>125</v>
      </c>
    </row>
    <row r="298" spans="1:6" ht="16" customHeight="1" x14ac:dyDescent="0.45">
      <c r="A298" s="19" t="s">
        <v>714</v>
      </c>
      <c r="B298" s="20" t="s">
        <v>715</v>
      </c>
      <c r="C298" s="21">
        <v>55400</v>
      </c>
      <c r="D298" s="22"/>
      <c r="E298" s="23">
        <v>-6.579999923706055E-2</v>
      </c>
      <c r="F298" s="24" t="s">
        <v>128</v>
      </c>
    </row>
    <row r="299" spans="1:6" ht="16" customHeight="1" x14ac:dyDescent="0.45">
      <c r="A299" s="19" t="s">
        <v>716</v>
      </c>
      <c r="B299" s="20" t="s">
        <v>717</v>
      </c>
      <c r="C299" s="21">
        <v>34300</v>
      </c>
      <c r="D299" s="22"/>
      <c r="E299" s="23">
        <v>-5.799999833106995E-3</v>
      </c>
      <c r="F299" s="24" t="s">
        <v>128</v>
      </c>
    </row>
    <row r="300" spans="1:6" ht="16" customHeight="1" x14ac:dyDescent="0.45">
      <c r="A300" s="19" t="s">
        <v>718</v>
      </c>
      <c r="B300" s="20" t="s">
        <v>719</v>
      </c>
      <c r="C300" s="21">
        <v>65400</v>
      </c>
      <c r="D300" s="22"/>
      <c r="E300" s="23">
        <v>0.1160000038146973</v>
      </c>
      <c r="F300" s="24" t="s">
        <v>128</v>
      </c>
    </row>
    <row r="301" spans="1:6" ht="16" customHeight="1" x14ac:dyDescent="0.45">
      <c r="A301" s="19" t="s">
        <v>720</v>
      </c>
      <c r="B301" s="20" t="s">
        <v>721</v>
      </c>
      <c r="C301" s="21">
        <v>60800</v>
      </c>
      <c r="D301" s="22"/>
      <c r="E301" s="23">
        <v>-4.9000000953674317E-3</v>
      </c>
      <c r="F301" s="24" t="s">
        <v>128</v>
      </c>
    </row>
    <row r="302" spans="1:6" ht="16" customHeight="1" x14ac:dyDescent="0.45">
      <c r="A302" s="19" t="s">
        <v>722</v>
      </c>
      <c r="B302" s="20" t="s">
        <v>723</v>
      </c>
      <c r="C302" s="21">
        <v>54600</v>
      </c>
      <c r="D302" s="22"/>
      <c r="E302" s="23">
        <v>-1.6200000047683721E-2</v>
      </c>
      <c r="F302" s="24" t="s">
        <v>125</v>
      </c>
    </row>
    <row r="303" spans="1:6" ht="16" customHeight="1" x14ac:dyDescent="0.45">
      <c r="A303" s="19" t="s">
        <v>724</v>
      </c>
      <c r="B303" s="20" t="s">
        <v>725</v>
      </c>
      <c r="C303" s="21">
        <v>8950</v>
      </c>
      <c r="D303" s="22"/>
      <c r="E303" s="23">
        <v>-3.3499999046325682E-2</v>
      </c>
      <c r="F303" s="24" t="s">
        <v>128</v>
      </c>
    </row>
    <row r="304" spans="1:6" ht="16" customHeight="1" x14ac:dyDescent="0.45">
      <c r="A304" s="19" t="s">
        <v>726</v>
      </c>
      <c r="B304" s="20" t="s">
        <v>727</v>
      </c>
      <c r="C304" s="21">
        <v>3530</v>
      </c>
      <c r="D304" s="22"/>
      <c r="E304" s="23">
        <v>0</v>
      </c>
      <c r="F304" s="24" t="s">
        <v>128</v>
      </c>
    </row>
    <row r="305" spans="1:6" ht="16" customHeight="1" x14ac:dyDescent="0.45">
      <c r="A305" s="19" t="s">
        <v>728</v>
      </c>
      <c r="B305" s="20" t="s">
        <v>729</v>
      </c>
      <c r="C305" s="21">
        <v>3865</v>
      </c>
      <c r="D305" s="22"/>
      <c r="E305" s="23">
        <v>-3.8599998950958253E-2</v>
      </c>
      <c r="F305" s="24" t="s">
        <v>128</v>
      </c>
    </row>
    <row r="306" spans="1:6" ht="16" customHeight="1" x14ac:dyDescent="0.45">
      <c r="A306" s="19" t="s">
        <v>730</v>
      </c>
      <c r="B306" s="20" t="s">
        <v>731</v>
      </c>
      <c r="C306" s="21">
        <v>57500</v>
      </c>
      <c r="D306" s="22"/>
      <c r="E306" s="23">
        <v>-4.1700000762939463E-2</v>
      </c>
      <c r="F306" s="24" t="s">
        <v>128</v>
      </c>
    </row>
    <row r="307" spans="1:6" ht="16" customHeight="1" x14ac:dyDescent="0.45">
      <c r="A307" s="19" t="s">
        <v>732</v>
      </c>
      <c r="B307" s="20" t="s">
        <v>733</v>
      </c>
      <c r="C307" s="21">
        <v>2360</v>
      </c>
      <c r="D307" s="22"/>
      <c r="E307" s="23">
        <v>-8.3999997377395622E-3</v>
      </c>
      <c r="F307" s="24" t="s">
        <v>128</v>
      </c>
    </row>
    <row r="308" spans="1:6" ht="16" customHeight="1" x14ac:dyDescent="0.45">
      <c r="A308" s="19" t="s">
        <v>734</v>
      </c>
      <c r="B308" s="20" t="s">
        <v>735</v>
      </c>
      <c r="C308" s="21">
        <v>4120</v>
      </c>
      <c r="D308" s="22"/>
      <c r="E308" s="23">
        <v>-3.7400000095367432E-2</v>
      </c>
      <c r="F308" s="24" t="s">
        <v>125</v>
      </c>
    </row>
    <row r="309" spans="1:6" ht="16" customHeight="1" x14ac:dyDescent="0.45">
      <c r="A309" s="19" t="s">
        <v>736</v>
      </c>
      <c r="B309" s="20" t="s">
        <v>737</v>
      </c>
      <c r="C309" s="21">
        <v>58300</v>
      </c>
      <c r="D309" s="22"/>
      <c r="E309" s="23">
        <v>-1.190000057220459E-2</v>
      </c>
      <c r="F309" s="24" t="s">
        <v>128</v>
      </c>
    </row>
    <row r="310" spans="1:6" ht="16" customHeight="1" x14ac:dyDescent="0.45">
      <c r="A310" s="19" t="s">
        <v>738</v>
      </c>
      <c r="B310" s="20" t="s">
        <v>739</v>
      </c>
      <c r="C310" s="21">
        <v>6710</v>
      </c>
      <c r="D310" s="22"/>
      <c r="E310" s="23">
        <v>-1.3200000524520869E-2</v>
      </c>
      <c r="F310" s="24" t="s">
        <v>125</v>
      </c>
    </row>
    <row r="311" spans="1:6" ht="16" customHeight="1" x14ac:dyDescent="0.45">
      <c r="A311" s="19" t="s">
        <v>740</v>
      </c>
      <c r="B311" s="20" t="s">
        <v>741</v>
      </c>
      <c r="C311" s="21">
        <v>2060</v>
      </c>
      <c r="D311" s="22"/>
      <c r="E311" s="23">
        <v>-3.0599999427795409E-2</v>
      </c>
      <c r="F311" s="24" t="s">
        <v>128</v>
      </c>
    </row>
    <row r="312" spans="1:6" ht="16" customHeight="1" x14ac:dyDescent="0.45">
      <c r="A312" s="19" t="s">
        <v>742</v>
      </c>
      <c r="B312" s="20" t="s">
        <v>743</v>
      </c>
      <c r="C312" s="21">
        <v>19910</v>
      </c>
      <c r="D312" s="22"/>
      <c r="E312" s="23">
        <v>-3.4999999403953551E-3</v>
      </c>
      <c r="F312" s="24" t="s">
        <v>128</v>
      </c>
    </row>
    <row r="313" spans="1:6" ht="16" customHeight="1" x14ac:dyDescent="0.45">
      <c r="A313" s="19" t="s">
        <v>744</v>
      </c>
      <c r="B313" s="20" t="s">
        <v>745</v>
      </c>
      <c r="C313" s="21">
        <v>652</v>
      </c>
      <c r="D313" s="22"/>
      <c r="E313" s="23">
        <v>-4.5399999618530272E-2</v>
      </c>
      <c r="F313" s="24" t="s">
        <v>125</v>
      </c>
    </row>
    <row r="314" spans="1:6" ht="16" customHeight="1" x14ac:dyDescent="0.45">
      <c r="A314" s="19" t="s">
        <v>746</v>
      </c>
      <c r="B314" s="20" t="s">
        <v>747</v>
      </c>
      <c r="C314" s="21">
        <v>3940</v>
      </c>
      <c r="D314" s="22"/>
      <c r="E314" s="23">
        <v>6.3999998569488521E-3</v>
      </c>
      <c r="F314" s="24" t="s">
        <v>125</v>
      </c>
    </row>
    <row r="315" spans="1:6" ht="16" customHeight="1" x14ac:dyDescent="0.45">
      <c r="A315" s="19" t="s">
        <v>748</v>
      </c>
      <c r="B315" s="20" t="s">
        <v>749</v>
      </c>
      <c r="C315" s="21">
        <v>3700</v>
      </c>
      <c r="D315" s="22"/>
      <c r="E315" s="23">
        <v>-8.0000001192092902E-3</v>
      </c>
      <c r="F315" s="24" t="s">
        <v>125</v>
      </c>
    </row>
    <row r="316" spans="1:6" ht="16" customHeight="1" x14ac:dyDescent="0.45">
      <c r="A316" s="19" t="s">
        <v>750</v>
      </c>
      <c r="B316" s="20" t="s">
        <v>751</v>
      </c>
      <c r="C316" s="21">
        <v>18250</v>
      </c>
      <c r="D316" s="22"/>
      <c r="E316" s="23">
        <v>-1.0299999713897711E-2</v>
      </c>
      <c r="F316" s="24" t="s">
        <v>128</v>
      </c>
    </row>
    <row r="317" spans="1:6" ht="16" customHeight="1" x14ac:dyDescent="0.45">
      <c r="A317" s="19" t="s">
        <v>752</v>
      </c>
      <c r="B317" s="20" t="s">
        <v>753</v>
      </c>
      <c r="C317" s="21">
        <v>2125</v>
      </c>
      <c r="D317" s="22"/>
      <c r="E317" s="23">
        <v>-6.9999998807907101E-3</v>
      </c>
      <c r="F317" s="24" t="s">
        <v>128</v>
      </c>
    </row>
    <row r="318" spans="1:6" ht="16" customHeight="1" x14ac:dyDescent="0.45">
      <c r="A318" s="19" t="s">
        <v>754</v>
      </c>
      <c r="B318" s="20" t="s">
        <v>755</v>
      </c>
      <c r="C318" s="21">
        <v>4075</v>
      </c>
      <c r="D318" s="22"/>
      <c r="E318" s="23">
        <v>4.3499999046325677E-2</v>
      </c>
      <c r="F318" s="24" t="s">
        <v>125</v>
      </c>
    </row>
    <row r="319" spans="1:6" ht="16" customHeight="1" x14ac:dyDescent="0.45">
      <c r="A319" s="19" t="s">
        <v>756</v>
      </c>
      <c r="B319" s="20" t="s">
        <v>757</v>
      </c>
      <c r="C319" s="21">
        <v>1888</v>
      </c>
      <c r="D319" s="22"/>
      <c r="E319" s="23">
        <v>1.230000019073486E-2</v>
      </c>
      <c r="F319" s="24" t="s">
        <v>125</v>
      </c>
    </row>
    <row r="320" spans="1:6" ht="16" customHeight="1" x14ac:dyDescent="0.45">
      <c r="A320" s="19" t="s">
        <v>758</v>
      </c>
      <c r="B320" s="20" t="s">
        <v>759</v>
      </c>
      <c r="C320" s="21">
        <v>309</v>
      </c>
      <c r="D320" s="22"/>
      <c r="E320" s="23">
        <v>0</v>
      </c>
      <c r="F320" s="24" t="s">
        <v>125</v>
      </c>
    </row>
    <row r="321" spans="1:6" ht="16" customHeight="1" x14ac:dyDescent="0.45">
      <c r="A321" s="19" t="s">
        <v>760</v>
      </c>
      <c r="B321" s="20" t="s">
        <v>761</v>
      </c>
      <c r="C321" s="21">
        <v>8200</v>
      </c>
      <c r="D321" s="22"/>
      <c r="E321" s="23">
        <v>-1.4400000572204591E-2</v>
      </c>
      <c r="F321" s="24" t="s">
        <v>128</v>
      </c>
    </row>
    <row r="322" spans="1:6" ht="16" customHeight="1" x14ac:dyDescent="0.45">
      <c r="A322" s="19" t="s">
        <v>762</v>
      </c>
      <c r="B322" s="20" t="s">
        <v>763</v>
      </c>
      <c r="C322" s="21">
        <v>2660</v>
      </c>
      <c r="D322" s="22"/>
      <c r="E322" s="23">
        <v>-5.3400001525878912E-2</v>
      </c>
      <c r="F322" s="24" t="s">
        <v>128</v>
      </c>
    </row>
    <row r="323" spans="1:6" ht="16" customHeight="1" x14ac:dyDescent="0.45">
      <c r="A323" s="19" t="s">
        <v>764</v>
      </c>
      <c r="B323" s="20" t="s">
        <v>765</v>
      </c>
      <c r="C323" s="21">
        <v>2795</v>
      </c>
      <c r="D323" s="22"/>
      <c r="E323" s="23">
        <v>-3.119999885559082E-2</v>
      </c>
      <c r="F323" s="24" t="s">
        <v>125</v>
      </c>
    </row>
    <row r="324" spans="1:6" ht="16" customHeight="1" x14ac:dyDescent="0.45">
      <c r="A324" s="19" t="s">
        <v>766</v>
      </c>
      <c r="B324" s="20" t="s">
        <v>767</v>
      </c>
      <c r="C324" s="21">
        <v>4900</v>
      </c>
      <c r="D324" s="22"/>
      <c r="E324" s="23">
        <v>-2.9700000286102299E-2</v>
      </c>
      <c r="F324" s="24" t="s">
        <v>128</v>
      </c>
    </row>
    <row r="325" spans="1:6" ht="16" customHeight="1" x14ac:dyDescent="0.45">
      <c r="A325" s="19" t="s">
        <v>768</v>
      </c>
      <c r="B325" s="20" t="s">
        <v>769</v>
      </c>
      <c r="C325" s="21">
        <v>3395</v>
      </c>
      <c r="D325" s="22"/>
      <c r="E325" s="23">
        <v>-2.5799999237060549E-2</v>
      </c>
      <c r="F325" s="24" t="s">
        <v>125</v>
      </c>
    </row>
    <row r="326" spans="1:6" ht="16" customHeight="1" x14ac:dyDescent="0.45">
      <c r="A326" s="19" t="s">
        <v>770</v>
      </c>
      <c r="B326" s="20" t="s">
        <v>771</v>
      </c>
      <c r="C326" s="21">
        <v>4555</v>
      </c>
      <c r="D326" s="22"/>
      <c r="E326" s="23">
        <v>3.3000001311302191E-3</v>
      </c>
      <c r="F326" s="24" t="s">
        <v>125</v>
      </c>
    </row>
    <row r="327" spans="1:6" ht="16" customHeight="1" x14ac:dyDescent="0.45">
      <c r="A327" s="19" t="s">
        <v>772</v>
      </c>
      <c r="B327" s="20" t="s">
        <v>773</v>
      </c>
      <c r="C327" s="21">
        <v>3055</v>
      </c>
      <c r="D327" s="22"/>
      <c r="E327" s="23">
        <v>-1.7699999809265139E-2</v>
      </c>
      <c r="F327" s="24" t="s">
        <v>125</v>
      </c>
    </row>
    <row r="328" spans="1:6" ht="16" customHeight="1" x14ac:dyDescent="0.45">
      <c r="A328" s="19" t="s">
        <v>774</v>
      </c>
      <c r="B328" s="20" t="s">
        <v>775</v>
      </c>
      <c r="C328" s="21">
        <v>19110</v>
      </c>
      <c r="D328" s="22"/>
      <c r="E328" s="23">
        <v>-9.8000001907348634E-3</v>
      </c>
      <c r="F328" s="24" t="s">
        <v>128</v>
      </c>
    </row>
    <row r="329" spans="1:6" ht="16" customHeight="1" x14ac:dyDescent="0.45">
      <c r="A329" s="19" t="s">
        <v>776</v>
      </c>
      <c r="B329" s="20" t="s">
        <v>777</v>
      </c>
      <c r="C329" s="21">
        <v>31350</v>
      </c>
      <c r="D329" s="22"/>
      <c r="E329" s="23">
        <v>8.0000001192092902E-3</v>
      </c>
      <c r="F329" s="24" t="s">
        <v>125</v>
      </c>
    </row>
    <row r="330" spans="1:6" ht="16" customHeight="1" x14ac:dyDescent="0.45">
      <c r="A330" s="19" t="s">
        <v>778</v>
      </c>
      <c r="B330" s="20" t="s">
        <v>779</v>
      </c>
      <c r="C330" s="21">
        <v>7840</v>
      </c>
      <c r="D330" s="22"/>
      <c r="E330" s="23">
        <v>0.13130000114440921</v>
      </c>
      <c r="F330" s="24" t="s">
        <v>125</v>
      </c>
    </row>
    <row r="331" spans="1:6" ht="16" customHeight="1" x14ac:dyDescent="0.45">
      <c r="A331" s="19" t="s">
        <v>780</v>
      </c>
      <c r="B331" s="20" t="s">
        <v>781</v>
      </c>
      <c r="C331" s="21">
        <v>374500</v>
      </c>
      <c r="D331" s="22"/>
      <c r="E331" s="23">
        <v>0.29809999465942377</v>
      </c>
      <c r="F331" s="24" t="s">
        <v>128</v>
      </c>
    </row>
    <row r="332" spans="1:6" ht="16" customHeight="1" x14ac:dyDescent="0.45">
      <c r="A332" s="19" t="s">
        <v>782</v>
      </c>
      <c r="B332" s="20" t="s">
        <v>783</v>
      </c>
      <c r="C332" s="21">
        <v>74800</v>
      </c>
      <c r="D332" s="22"/>
      <c r="E332" s="23">
        <v>2.0499999523162841E-2</v>
      </c>
      <c r="F332" s="24" t="s">
        <v>125</v>
      </c>
    </row>
    <row r="333" spans="1:6" ht="16" customHeight="1" x14ac:dyDescent="0.45">
      <c r="A333" s="19" t="s">
        <v>784</v>
      </c>
      <c r="B333" s="20" t="s">
        <v>785</v>
      </c>
      <c r="C333" s="21">
        <v>502</v>
      </c>
      <c r="D333" s="22"/>
      <c r="E333" s="23">
        <v>0</v>
      </c>
      <c r="F333" s="24" t="s">
        <v>251</v>
      </c>
    </row>
    <row r="334" spans="1:6" ht="16" customHeight="1" x14ac:dyDescent="0.45">
      <c r="A334" s="19" t="s">
        <v>786</v>
      </c>
      <c r="B334" s="20" t="s">
        <v>787</v>
      </c>
      <c r="C334" s="21">
        <v>6270</v>
      </c>
      <c r="D334" s="22"/>
      <c r="E334" s="23">
        <v>-3.2400000095367427E-2</v>
      </c>
      <c r="F334" s="24" t="s">
        <v>125</v>
      </c>
    </row>
    <row r="335" spans="1:6" ht="16" customHeight="1" x14ac:dyDescent="0.45">
      <c r="A335" s="19" t="s">
        <v>788</v>
      </c>
      <c r="B335" s="20" t="s">
        <v>789</v>
      </c>
      <c r="C335" s="21">
        <v>15990</v>
      </c>
      <c r="D335" s="22"/>
      <c r="E335" s="23">
        <v>-2.2000000476837159E-2</v>
      </c>
      <c r="F335" s="24" t="s">
        <v>128</v>
      </c>
    </row>
    <row r="336" spans="1:6" ht="16" customHeight="1" x14ac:dyDescent="0.45">
      <c r="A336" s="19" t="s">
        <v>790</v>
      </c>
      <c r="B336" s="20" t="s">
        <v>791</v>
      </c>
      <c r="C336" s="21">
        <v>1096</v>
      </c>
      <c r="D336" s="22"/>
      <c r="E336" s="23">
        <v>-4.2800002098083503E-2</v>
      </c>
      <c r="F336" s="24" t="s">
        <v>125</v>
      </c>
    </row>
    <row r="337" spans="1:6" ht="16" customHeight="1" x14ac:dyDescent="0.45">
      <c r="A337" s="19" t="s">
        <v>792</v>
      </c>
      <c r="B337" s="20" t="s">
        <v>793</v>
      </c>
      <c r="C337" s="21">
        <v>3785</v>
      </c>
      <c r="D337" s="22"/>
      <c r="E337" s="23">
        <v>-4.6599998474121093E-2</v>
      </c>
      <c r="F337" s="24" t="s">
        <v>125</v>
      </c>
    </row>
    <row r="338" spans="1:6" ht="16" customHeight="1" x14ac:dyDescent="0.45">
      <c r="A338" s="19" t="s">
        <v>794</v>
      </c>
      <c r="B338" s="20" t="s">
        <v>795</v>
      </c>
      <c r="C338" s="21">
        <v>16510</v>
      </c>
      <c r="D338" s="22"/>
      <c r="E338" s="23">
        <v>-2.5999999046325679E-2</v>
      </c>
      <c r="F338" s="24" t="s">
        <v>128</v>
      </c>
    </row>
    <row r="339" spans="1:6" ht="16" customHeight="1" x14ac:dyDescent="0.45">
      <c r="A339" s="19" t="s">
        <v>796</v>
      </c>
      <c r="B339" s="20" t="s">
        <v>797</v>
      </c>
      <c r="C339" s="21">
        <v>15710</v>
      </c>
      <c r="D339" s="22"/>
      <c r="E339" s="23">
        <v>-3.0199999809265139E-2</v>
      </c>
      <c r="F339" s="24" t="s">
        <v>125</v>
      </c>
    </row>
    <row r="340" spans="1:6" ht="16" customHeight="1" x14ac:dyDescent="0.45">
      <c r="A340" s="19" t="s">
        <v>798</v>
      </c>
      <c r="B340" s="20" t="s">
        <v>799</v>
      </c>
      <c r="C340" s="21">
        <v>9000</v>
      </c>
      <c r="D340" s="22"/>
      <c r="E340" s="23">
        <v>2.5099999904632572E-2</v>
      </c>
      <c r="F340" s="24" t="s">
        <v>125</v>
      </c>
    </row>
    <row r="341" spans="1:6" ht="16" customHeight="1" x14ac:dyDescent="0.45">
      <c r="A341" s="19" t="s">
        <v>800</v>
      </c>
      <c r="B341" s="20" t="s">
        <v>801</v>
      </c>
      <c r="C341" s="21">
        <v>1905</v>
      </c>
      <c r="D341" s="22"/>
      <c r="E341" s="23">
        <v>1.0599999427795411E-2</v>
      </c>
      <c r="F341" s="24" t="s">
        <v>128</v>
      </c>
    </row>
    <row r="342" spans="1:6" ht="16" customHeight="1" x14ac:dyDescent="0.45">
      <c r="A342" s="19" t="s">
        <v>802</v>
      </c>
      <c r="B342" s="20" t="s">
        <v>803</v>
      </c>
      <c r="C342" s="21">
        <v>2885</v>
      </c>
      <c r="D342" s="22"/>
      <c r="E342" s="23">
        <v>-1.539999961853027E-2</v>
      </c>
      <c r="F342" s="24" t="s">
        <v>125</v>
      </c>
    </row>
    <row r="343" spans="1:6" ht="16" customHeight="1" x14ac:dyDescent="0.45">
      <c r="A343" s="19" t="s">
        <v>804</v>
      </c>
      <c r="B343" s="20" t="s">
        <v>805</v>
      </c>
      <c r="C343" s="21">
        <v>769</v>
      </c>
      <c r="D343" s="22"/>
      <c r="E343" s="23">
        <v>0</v>
      </c>
      <c r="F343" s="24" t="s">
        <v>125</v>
      </c>
    </row>
    <row r="344" spans="1:6" ht="16" customHeight="1" x14ac:dyDescent="0.45">
      <c r="A344" s="19" t="s">
        <v>806</v>
      </c>
      <c r="B344" s="20" t="s">
        <v>807</v>
      </c>
      <c r="C344" s="21">
        <v>10330</v>
      </c>
      <c r="D344" s="22"/>
      <c r="E344" s="23">
        <v>-2.5499999523162838E-2</v>
      </c>
      <c r="F344" s="24" t="s">
        <v>128</v>
      </c>
    </row>
    <row r="345" spans="1:6" ht="16" customHeight="1" x14ac:dyDescent="0.45">
      <c r="A345" s="19" t="s">
        <v>808</v>
      </c>
      <c r="B345" s="20" t="s">
        <v>809</v>
      </c>
      <c r="C345" s="21">
        <v>75200</v>
      </c>
      <c r="D345" s="22"/>
      <c r="E345" s="23">
        <v>-2.2100000381469729E-2</v>
      </c>
      <c r="F345" s="24" t="s">
        <v>128</v>
      </c>
    </row>
    <row r="346" spans="1:6" ht="16" customHeight="1" x14ac:dyDescent="0.45">
      <c r="A346" s="19" t="s">
        <v>810</v>
      </c>
      <c r="B346" s="20" t="s">
        <v>811</v>
      </c>
      <c r="C346" s="21">
        <v>22900</v>
      </c>
      <c r="D346" s="22"/>
      <c r="E346" s="23">
        <v>-4.3000000715255737E-3</v>
      </c>
      <c r="F346" s="24" t="s">
        <v>128</v>
      </c>
    </row>
    <row r="347" spans="1:6" ht="16" customHeight="1" x14ac:dyDescent="0.45">
      <c r="A347" s="19" t="s">
        <v>812</v>
      </c>
      <c r="B347" s="20" t="s">
        <v>813</v>
      </c>
      <c r="C347" s="21">
        <v>65400</v>
      </c>
      <c r="D347" s="22"/>
      <c r="E347" s="23">
        <v>-2.390000104904175E-2</v>
      </c>
      <c r="F347" s="24" t="s">
        <v>128</v>
      </c>
    </row>
    <row r="348" spans="1:6" ht="16" customHeight="1" x14ac:dyDescent="0.45">
      <c r="A348" s="19" t="s">
        <v>814</v>
      </c>
      <c r="B348" s="20" t="s">
        <v>815</v>
      </c>
      <c r="C348" s="21">
        <v>5550</v>
      </c>
      <c r="D348" s="22"/>
      <c r="E348" s="23">
        <v>-1.4199999570846561E-2</v>
      </c>
      <c r="F348" s="24" t="s">
        <v>125</v>
      </c>
    </row>
    <row r="349" spans="1:6" ht="16" customHeight="1" x14ac:dyDescent="0.45">
      <c r="A349" s="19" t="s">
        <v>816</v>
      </c>
      <c r="B349" s="20" t="s">
        <v>817</v>
      </c>
      <c r="C349" s="21">
        <v>10140</v>
      </c>
      <c r="D349" s="22"/>
      <c r="E349" s="23">
        <v>-1.7400000095367432E-2</v>
      </c>
      <c r="F349" s="24" t="s">
        <v>128</v>
      </c>
    </row>
    <row r="350" spans="1:6" ht="16" customHeight="1" x14ac:dyDescent="0.45">
      <c r="A350" s="19" t="s">
        <v>818</v>
      </c>
      <c r="B350" s="20" t="s">
        <v>819</v>
      </c>
      <c r="C350" s="21">
        <v>6470</v>
      </c>
      <c r="D350" s="22"/>
      <c r="E350" s="23">
        <v>-2.710000038146973E-2</v>
      </c>
      <c r="F350" s="24" t="s">
        <v>128</v>
      </c>
    </row>
    <row r="351" spans="1:6" ht="16" customHeight="1" x14ac:dyDescent="0.45">
      <c r="A351" s="19" t="s">
        <v>820</v>
      </c>
      <c r="B351" s="20" t="s">
        <v>821</v>
      </c>
      <c r="C351" s="21">
        <v>5320</v>
      </c>
      <c r="D351" s="22"/>
      <c r="E351" s="23">
        <v>-5.510000228881836E-2</v>
      </c>
      <c r="F351" s="24" t="s">
        <v>128</v>
      </c>
    </row>
    <row r="352" spans="1:6" ht="16" customHeight="1" x14ac:dyDescent="0.45">
      <c r="A352" s="19" t="s">
        <v>822</v>
      </c>
      <c r="B352" s="20" t="s">
        <v>823</v>
      </c>
      <c r="C352" s="21">
        <v>23550</v>
      </c>
      <c r="D352" s="22"/>
      <c r="E352" s="23">
        <v>2.099999934434891E-3</v>
      </c>
      <c r="F352" s="24" t="s">
        <v>128</v>
      </c>
    </row>
    <row r="353" spans="1:6" ht="16" customHeight="1" x14ac:dyDescent="0.45">
      <c r="A353" s="19" t="s">
        <v>824</v>
      </c>
      <c r="B353" s="20" t="s">
        <v>825</v>
      </c>
      <c r="C353" s="21">
        <v>2000</v>
      </c>
      <c r="D353" s="22"/>
      <c r="E353" s="23">
        <v>4.4999998807907114E-3</v>
      </c>
      <c r="F353" s="24" t="s">
        <v>125</v>
      </c>
    </row>
    <row r="354" spans="1:6" ht="16" customHeight="1" x14ac:dyDescent="0.45">
      <c r="A354" s="19" t="s">
        <v>826</v>
      </c>
      <c r="B354" s="20" t="s">
        <v>827</v>
      </c>
      <c r="C354" s="21">
        <v>28850</v>
      </c>
      <c r="D354" s="22"/>
      <c r="E354" s="23">
        <v>5.199999809265137E-3</v>
      </c>
      <c r="F354" s="24" t="s">
        <v>128</v>
      </c>
    </row>
    <row r="355" spans="1:6" ht="16" customHeight="1" x14ac:dyDescent="0.45">
      <c r="A355" s="19" t="s">
        <v>828</v>
      </c>
      <c r="B355" s="20" t="s">
        <v>829</v>
      </c>
      <c r="C355" s="21">
        <v>6800</v>
      </c>
      <c r="D355" s="22"/>
      <c r="E355" s="23">
        <v>-4.6300001144409179E-2</v>
      </c>
      <c r="F355" s="24" t="s">
        <v>128</v>
      </c>
    </row>
    <row r="356" spans="1:6" ht="16" customHeight="1" x14ac:dyDescent="0.45">
      <c r="A356" s="19" t="s">
        <v>830</v>
      </c>
      <c r="B356" s="20" t="s">
        <v>831</v>
      </c>
      <c r="C356" s="21">
        <v>8220</v>
      </c>
      <c r="D356" s="22"/>
      <c r="E356" s="23">
        <v>-2.9500000476837158E-2</v>
      </c>
      <c r="F356" s="24" t="s">
        <v>128</v>
      </c>
    </row>
    <row r="357" spans="1:6" ht="16" customHeight="1" x14ac:dyDescent="0.45">
      <c r="A357" s="19" t="s">
        <v>832</v>
      </c>
      <c r="B357" s="20" t="s">
        <v>833</v>
      </c>
      <c r="C357" s="21">
        <v>2765</v>
      </c>
      <c r="D357" s="22"/>
      <c r="E357" s="23">
        <v>-2.6400001049041749E-2</v>
      </c>
      <c r="F357" s="24" t="s">
        <v>128</v>
      </c>
    </row>
    <row r="358" spans="1:6" ht="16" customHeight="1" x14ac:dyDescent="0.45">
      <c r="A358" s="19" t="s">
        <v>834</v>
      </c>
      <c r="B358" s="20" t="s">
        <v>835</v>
      </c>
      <c r="C358" s="21">
        <v>10030</v>
      </c>
      <c r="D358" s="22"/>
      <c r="E358" s="23">
        <v>-1.0000000149011611E-3</v>
      </c>
      <c r="F358" s="24" t="s">
        <v>125</v>
      </c>
    </row>
    <row r="359" spans="1:6" ht="16" customHeight="1" x14ac:dyDescent="0.45">
      <c r="A359" s="19" t="s">
        <v>836</v>
      </c>
      <c r="B359" s="20" t="s">
        <v>837</v>
      </c>
      <c r="C359" s="21">
        <v>1725000</v>
      </c>
      <c r="D359" s="22"/>
      <c r="E359" s="23">
        <v>5.8899998664855957E-2</v>
      </c>
      <c r="F359" s="24" t="s">
        <v>128</v>
      </c>
    </row>
    <row r="360" spans="1:6" ht="16" customHeight="1" x14ac:dyDescent="0.45">
      <c r="A360" s="19" t="s">
        <v>838</v>
      </c>
      <c r="B360" s="20" t="s">
        <v>839</v>
      </c>
      <c r="C360" s="21">
        <v>25450</v>
      </c>
      <c r="D360" s="22"/>
      <c r="E360" s="23">
        <v>2.000000029802323E-3</v>
      </c>
      <c r="F360" s="24" t="s">
        <v>128</v>
      </c>
    </row>
    <row r="361" spans="1:6" ht="16" customHeight="1" x14ac:dyDescent="0.45">
      <c r="A361" s="19" t="s">
        <v>840</v>
      </c>
      <c r="B361" s="20" t="s">
        <v>841</v>
      </c>
      <c r="C361" s="21">
        <v>4015</v>
      </c>
      <c r="D361" s="22"/>
      <c r="E361" s="23">
        <v>-2.6700000762939449E-2</v>
      </c>
      <c r="F361" s="24" t="s">
        <v>125</v>
      </c>
    </row>
    <row r="362" spans="1:6" ht="16" customHeight="1" x14ac:dyDescent="0.45">
      <c r="A362" s="19" t="s">
        <v>842</v>
      </c>
      <c r="B362" s="20" t="s">
        <v>843</v>
      </c>
      <c r="C362" s="21">
        <v>5080</v>
      </c>
      <c r="D362" s="22"/>
      <c r="E362" s="23">
        <v>-9.7000002861022949E-3</v>
      </c>
      <c r="F362" s="24" t="s">
        <v>125</v>
      </c>
    </row>
    <row r="363" spans="1:6" ht="16" customHeight="1" x14ac:dyDescent="0.45">
      <c r="A363" s="19" t="s">
        <v>844</v>
      </c>
      <c r="B363" s="20" t="s">
        <v>845</v>
      </c>
      <c r="C363" s="21">
        <v>7900</v>
      </c>
      <c r="D363" s="22"/>
      <c r="E363" s="23">
        <v>-2.349999904632568E-2</v>
      </c>
      <c r="F363" s="24" t="s">
        <v>125</v>
      </c>
    </row>
    <row r="364" spans="1:6" ht="16" customHeight="1" x14ac:dyDescent="0.45">
      <c r="A364" s="19" t="s">
        <v>846</v>
      </c>
      <c r="B364" s="20" t="s">
        <v>847</v>
      </c>
      <c r="C364" s="21">
        <v>40850</v>
      </c>
      <c r="D364" s="22"/>
      <c r="E364" s="23">
        <v>4.8800001144409182E-2</v>
      </c>
      <c r="F364" s="24" t="s">
        <v>125</v>
      </c>
    </row>
    <row r="365" spans="1:6" ht="16" customHeight="1" x14ac:dyDescent="0.45">
      <c r="A365" s="19" t="s">
        <v>848</v>
      </c>
      <c r="B365" s="20" t="s">
        <v>849</v>
      </c>
      <c r="C365" s="21">
        <v>704</v>
      </c>
      <c r="D365" s="22"/>
      <c r="E365" s="23">
        <v>-1.6799999475479121E-2</v>
      </c>
      <c r="F365" s="24" t="s">
        <v>125</v>
      </c>
    </row>
    <row r="366" spans="1:6" ht="16" customHeight="1" x14ac:dyDescent="0.45">
      <c r="A366" s="19" t="s">
        <v>850</v>
      </c>
      <c r="B366" s="20" t="s">
        <v>851</v>
      </c>
      <c r="C366" s="21">
        <v>49700</v>
      </c>
      <c r="D366" s="22"/>
      <c r="E366" s="23">
        <v>-1.389999985694885E-2</v>
      </c>
      <c r="F366" s="24" t="s">
        <v>125</v>
      </c>
    </row>
    <row r="367" spans="1:6" ht="16" customHeight="1" x14ac:dyDescent="0.45">
      <c r="A367" s="19" t="s">
        <v>852</v>
      </c>
      <c r="B367" s="20" t="s">
        <v>853</v>
      </c>
      <c r="C367" s="21">
        <v>5030</v>
      </c>
      <c r="D367" s="22"/>
      <c r="E367" s="23">
        <v>-2.1400001049041752E-2</v>
      </c>
      <c r="F367" s="24" t="s">
        <v>125</v>
      </c>
    </row>
    <row r="368" spans="1:6" ht="16" customHeight="1" x14ac:dyDescent="0.45">
      <c r="A368" s="19" t="s">
        <v>854</v>
      </c>
      <c r="B368" s="20" t="s">
        <v>855</v>
      </c>
      <c r="C368" s="21">
        <v>6750</v>
      </c>
      <c r="D368" s="22"/>
      <c r="E368" s="23">
        <v>-1.169999957084656E-2</v>
      </c>
      <c r="F368" s="24" t="s">
        <v>125</v>
      </c>
    </row>
    <row r="369" spans="1:6" ht="16" customHeight="1" x14ac:dyDescent="0.45">
      <c r="A369" s="19" t="s">
        <v>856</v>
      </c>
      <c r="B369" s="20" t="s">
        <v>857</v>
      </c>
      <c r="C369" s="21">
        <v>8100</v>
      </c>
      <c r="D369" s="22"/>
      <c r="E369" s="23">
        <v>-2.9900000095367429E-2</v>
      </c>
      <c r="F369" s="24" t="s">
        <v>128</v>
      </c>
    </row>
    <row r="370" spans="1:6" ht="16" customHeight="1" x14ac:dyDescent="0.45">
      <c r="A370" s="19" t="s">
        <v>858</v>
      </c>
      <c r="B370" s="20" t="s">
        <v>859</v>
      </c>
      <c r="C370" s="21">
        <v>1400</v>
      </c>
      <c r="D370" s="22"/>
      <c r="E370" s="23">
        <v>0</v>
      </c>
      <c r="F370" s="24" t="s">
        <v>251</v>
      </c>
    </row>
    <row r="371" spans="1:6" ht="16" customHeight="1" x14ac:dyDescent="0.45">
      <c r="A371" s="19" t="s">
        <v>860</v>
      </c>
      <c r="B371" s="20" t="s">
        <v>861</v>
      </c>
      <c r="C371" s="21">
        <v>932</v>
      </c>
      <c r="D371" s="22"/>
      <c r="E371" s="23">
        <v>0</v>
      </c>
      <c r="F371" s="24" t="s">
        <v>128</v>
      </c>
    </row>
    <row r="372" spans="1:6" ht="16" customHeight="1" x14ac:dyDescent="0.45">
      <c r="A372" s="19" t="s">
        <v>862</v>
      </c>
      <c r="B372" s="20" t="s">
        <v>863</v>
      </c>
      <c r="C372" s="21">
        <v>2160</v>
      </c>
      <c r="D372" s="22"/>
      <c r="E372" s="23">
        <v>-4.6000000834465031E-3</v>
      </c>
      <c r="F372" s="24" t="s">
        <v>125</v>
      </c>
    </row>
    <row r="373" spans="1:6" ht="16" customHeight="1" x14ac:dyDescent="0.45">
      <c r="A373" s="19" t="s">
        <v>864</v>
      </c>
      <c r="B373" s="20" t="s">
        <v>865</v>
      </c>
      <c r="C373" s="21">
        <v>10200</v>
      </c>
      <c r="D373" s="22"/>
      <c r="E373" s="23">
        <v>-2.2100000381469729E-2</v>
      </c>
      <c r="F373" s="24" t="s">
        <v>128</v>
      </c>
    </row>
    <row r="374" spans="1:6" ht="16" customHeight="1" x14ac:dyDescent="0.45">
      <c r="A374" s="19" t="s">
        <v>866</v>
      </c>
      <c r="B374" s="20" t="s">
        <v>867</v>
      </c>
      <c r="C374" s="21">
        <v>37550</v>
      </c>
      <c r="D374" s="22"/>
      <c r="E374" s="23">
        <v>-1.4400000572204591E-2</v>
      </c>
      <c r="F374" s="24" t="s">
        <v>128</v>
      </c>
    </row>
    <row r="375" spans="1:6" ht="16" customHeight="1" x14ac:dyDescent="0.45">
      <c r="A375" s="19" t="s">
        <v>868</v>
      </c>
      <c r="B375" s="20" t="s">
        <v>869</v>
      </c>
      <c r="C375" s="21">
        <v>2315</v>
      </c>
      <c r="D375" s="22"/>
      <c r="E375" s="23">
        <v>1.0900000333786009E-2</v>
      </c>
      <c r="F375" s="24" t="s">
        <v>125</v>
      </c>
    </row>
    <row r="376" spans="1:6" ht="16" customHeight="1" x14ac:dyDescent="0.45">
      <c r="A376" s="19" t="s">
        <v>870</v>
      </c>
      <c r="B376" s="20" t="s">
        <v>871</v>
      </c>
      <c r="C376" s="21">
        <v>2335</v>
      </c>
      <c r="D376" s="22"/>
      <c r="E376" s="23">
        <v>0</v>
      </c>
      <c r="F376" s="24" t="s">
        <v>125</v>
      </c>
    </row>
    <row r="377" spans="1:6" ht="16" customHeight="1" x14ac:dyDescent="0.45">
      <c r="A377" s="19" t="s">
        <v>872</v>
      </c>
      <c r="B377" s="20" t="s">
        <v>873</v>
      </c>
      <c r="C377" s="21">
        <v>2035</v>
      </c>
      <c r="D377" s="22"/>
      <c r="E377" s="23">
        <v>-4.9000000953674317E-3</v>
      </c>
      <c r="F377" s="24" t="s">
        <v>125</v>
      </c>
    </row>
    <row r="378" spans="1:6" ht="16" customHeight="1" x14ac:dyDescent="0.45">
      <c r="A378" s="19" t="s">
        <v>874</v>
      </c>
      <c r="B378" s="20" t="s">
        <v>875</v>
      </c>
      <c r="C378" s="21">
        <v>2100</v>
      </c>
      <c r="D378" s="22"/>
      <c r="E378" s="23">
        <v>0</v>
      </c>
      <c r="F378" s="24" t="s">
        <v>125</v>
      </c>
    </row>
    <row r="379" spans="1:6" ht="16" customHeight="1" x14ac:dyDescent="0.45">
      <c r="A379" s="19" t="s">
        <v>876</v>
      </c>
      <c r="B379" s="20" t="s">
        <v>877</v>
      </c>
      <c r="C379" s="21">
        <v>2020</v>
      </c>
      <c r="D379" s="22"/>
      <c r="E379" s="23">
        <v>-2.5000000000000001E-3</v>
      </c>
      <c r="F379" s="24" t="s">
        <v>125</v>
      </c>
    </row>
    <row r="380" spans="1:6" ht="16" customHeight="1" x14ac:dyDescent="0.45">
      <c r="A380" s="19" t="s">
        <v>878</v>
      </c>
      <c r="B380" s="20" t="s">
        <v>879</v>
      </c>
      <c r="C380" s="21">
        <v>2025</v>
      </c>
      <c r="D380" s="22"/>
      <c r="E380" s="23">
        <v>-4.9000000953674317E-3</v>
      </c>
      <c r="F380" s="24" t="s">
        <v>125</v>
      </c>
    </row>
    <row r="381" spans="1:6" ht="16" customHeight="1" x14ac:dyDescent="0.45">
      <c r="A381" s="19" t="s">
        <v>880</v>
      </c>
      <c r="B381" s="20" t="s">
        <v>881</v>
      </c>
      <c r="C381" s="21">
        <v>1997</v>
      </c>
      <c r="D381" s="22"/>
      <c r="E381" s="23">
        <v>5.0000000745058064E-4</v>
      </c>
      <c r="F381" s="24" t="s">
        <v>125</v>
      </c>
    </row>
    <row r="382" spans="1:6" ht="16" customHeight="1" x14ac:dyDescent="0.45">
      <c r="A382" s="19" t="s">
        <v>882</v>
      </c>
      <c r="B382" s="20" t="s">
        <v>883</v>
      </c>
      <c r="C382" s="21">
        <v>16100</v>
      </c>
      <c r="D382" s="22"/>
      <c r="E382" s="23">
        <v>9.4499998092651361E-2</v>
      </c>
      <c r="F382" s="24" t="s">
        <v>128</v>
      </c>
    </row>
    <row r="383" spans="1:6" ht="16" customHeight="1" x14ac:dyDescent="0.45">
      <c r="A383" s="19" t="s">
        <v>884</v>
      </c>
      <c r="B383" s="20" t="s">
        <v>885</v>
      </c>
      <c r="C383" s="21">
        <v>4345</v>
      </c>
      <c r="D383" s="22"/>
      <c r="E383" s="23">
        <v>-2.2499999999999999E-2</v>
      </c>
      <c r="F383" s="24" t="s">
        <v>128</v>
      </c>
    </row>
    <row r="384" spans="1:6" ht="16" customHeight="1" x14ac:dyDescent="0.45">
      <c r="A384" s="19" t="s">
        <v>886</v>
      </c>
      <c r="B384" s="20" t="s">
        <v>887</v>
      </c>
      <c r="C384" s="21">
        <v>2335</v>
      </c>
      <c r="D384" s="22"/>
      <c r="E384" s="23">
        <v>-1.0599999427795411E-2</v>
      </c>
      <c r="F384" s="24" t="s">
        <v>125</v>
      </c>
    </row>
    <row r="385" spans="1:6" ht="16" customHeight="1" x14ac:dyDescent="0.45">
      <c r="A385" s="19" t="s">
        <v>888</v>
      </c>
      <c r="B385" s="20" t="s">
        <v>889</v>
      </c>
      <c r="C385" s="21">
        <v>39600</v>
      </c>
      <c r="D385" s="22"/>
      <c r="E385" s="23">
        <v>-3.180000066757202E-2</v>
      </c>
      <c r="F385" s="24" t="s">
        <v>128</v>
      </c>
    </row>
    <row r="386" spans="1:6" ht="16" customHeight="1" x14ac:dyDescent="0.45">
      <c r="A386" s="19" t="s">
        <v>890</v>
      </c>
      <c r="B386" s="20" t="s">
        <v>891</v>
      </c>
      <c r="C386" s="21">
        <v>23350</v>
      </c>
      <c r="D386" s="22"/>
      <c r="E386" s="23">
        <v>-1.6799999475479121E-2</v>
      </c>
      <c r="F386" s="24" t="s">
        <v>125</v>
      </c>
    </row>
    <row r="387" spans="1:6" ht="16" customHeight="1" x14ac:dyDescent="0.45">
      <c r="A387" s="19" t="s">
        <v>892</v>
      </c>
      <c r="B387" s="20" t="s">
        <v>893</v>
      </c>
      <c r="C387" s="21">
        <v>4160</v>
      </c>
      <c r="D387" s="22"/>
      <c r="E387" s="23">
        <v>-2.5799999237060549E-2</v>
      </c>
      <c r="F387" s="24" t="s">
        <v>125</v>
      </c>
    </row>
    <row r="388" spans="1:6" ht="16" customHeight="1" x14ac:dyDescent="0.45">
      <c r="A388" s="19" t="s">
        <v>894</v>
      </c>
      <c r="B388" s="20" t="s">
        <v>895</v>
      </c>
      <c r="C388" s="21">
        <v>1280</v>
      </c>
      <c r="D388" s="22"/>
      <c r="E388" s="23">
        <v>-2.4400000572204591E-2</v>
      </c>
      <c r="F388" s="24" t="s">
        <v>125</v>
      </c>
    </row>
    <row r="389" spans="1:6" ht="16" customHeight="1" x14ac:dyDescent="0.45">
      <c r="A389" s="19" t="s">
        <v>896</v>
      </c>
      <c r="B389" s="20" t="s">
        <v>897</v>
      </c>
      <c r="C389" s="21">
        <v>1884</v>
      </c>
      <c r="D389" s="22"/>
      <c r="E389" s="23">
        <v>-7.9000002145767217E-3</v>
      </c>
      <c r="F389" s="24" t="s">
        <v>125</v>
      </c>
    </row>
    <row r="390" spans="1:6" ht="16" customHeight="1" x14ac:dyDescent="0.45">
      <c r="A390" s="19" t="s">
        <v>898</v>
      </c>
      <c r="B390" s="20" t="s">
        <v>899</v>
      </c>
      <c r="C390" s="21">
        <v>436</v>
      </c>
      <c r="D390" s="22"/>
      <c r="E390" s="23">
        <v>0</v>
      </c>
      <c r="F390" s="24" t="s">
        <v>125</v>
      </c>
    </row>
    <row r="391" spans="1:6" ht="16" customHeight="1" x14ac:dyDescent="0.45">
      <c r="A391" s="19" t="s">
        <v>900</v>
      </c>
      <c r="B391" s="20" t="s">
        <v>901</v>
      </c>
      <c r="C391" s="21">
        <v>3830</v>
      </c>
      <c r="D391" s="22"/>
      <c r="E391" s="23">
        <v>-6.4999997615814214E-3</v>
      </c>
      <c r="F391" s="24" t="s">
        <v>125</v>
      </c>
    </row>
    <row r="392" spans="1:6" ht="16" customHeight="1" x14ac:dyDescent="0.45">
      <c r="A392" s="19" t="s">
        <v>902</v>
      </c>
      <c r="B392" s="20" t="s">
        <v>903</v>
      </c>
      <c r="C392" s="21">
        <v>4540</v>
      </c>
      <c r="D392" s="22"/>
      <c r="E392" s="23">
        <v>-3.6099998950958251E-2</v>
      </c>
      <c r="F392" s="24" t="s">
        <v>128</v>
      </c>
    </row>
    <row r="393" spans="1:6" ht="16" customHeight="1" x14ac:dyDescent="0.45">
      <c r="A393" s="19" t="s">
        <v>904</v>
      </c>
      <c r="B393" s="20" t="s">
        <v>905</v>
      </c>
      <c r="C393" s="21">
        <v>11370</v>
      </c>
      <c r="D393" s="22"/>
      <c r="E393" s="23">
        <v>-1.559999942779541E-2</v>
      </c>
      <c r="F393" s="24" t="s">
        <v>125</v>
      </c>
    </row>
    <row r="394" spans="1:6" ht="16" customHeight="1" x14ac:dyDescent="0.45">
      <c r="A394" s="19" t="s">
        <v>906</v>
      </c>
      <c r="B394" s="20" t="s">
        <v>907</v>
      </c>
      <c r="C394" s="21">
        <v>31400</v>
      </c>
      <c r="D394" s="22"/>
      <c r="E394" s="23">
        <v>-2.6400001049041749E-2</v>
      </c>
      <c r="F394" s="24" t="s">
        <v>125</v>
      </c>
    </row>
    <row r="395" spans="1:6" ht="16" customHeight="1" x14ac:dyDescent="0.45">
      <c r="A395" s="19" t="s">
        <v>908</v>
      </c>
      <c r="B395" s="20" t="s">
        <v>909</v>
      </c>
      <c r="C395" s="21">
        <v>25450</v>
      </c>
      <c r="D395" s="22"/>
      <c r="E395" s="23">
        <v>9.9000000953674318E-3</v>
      </c>
      <c r="F395" s="24" t="s">
        <v>125</v>
      </c>
    </row>
    <row r="396" spans="1:6" ht="16" customHeight="1" x14ac:dyDescent="0.45">
      <c r="A396" s="19" t="s">
        <v>910</v>
      </c>
      <c r="B396" s="20" t="s">
        <v>911</v>
      </c>
      <c r="C396" s="21">
        <v>2285</v>
      </c>
      <c r="D396" s="22"/>
      <c r="E396" s="23">
        <v>-2.349999904632568E-2</v>
      </c>
      <c r="F396" s="24" t="s">
        <v>125</v>
      </c>
    </row>
    <row r="397" spans="1:6" ht="16" customHeight="1" x14ac:dyDescent="0.45">
      <c r="A397" s="19" t="s">
        <v>912</v>
      </c>
      <c r="B397" s="20" t="s">
        <v>913</v>
      </c>
      <c r="C397" s="21">
        <v>33900</v>
      </c>
      <c r="D397" s="22"/>
      <c r="E397" s="23">
        <v>-3.2799999713897708E-2</v>
      </c>
      <c r="F397" s="24" t="s">
        <v>125</v>
      </c>
    </row>
    <row r="398" spans="1:6" ht="16" customHeight="1" x14ac:dyDescent="0.45">
      <c r="A398" s="19" t="s">
        <v>914</v>
      </c>
      <c r="B398" s="20" t="s">
        <v>915</v>
      </c>
      <c r="C398" s="21">
        <v>21400</v>
      </c>
      <c r="D398" s="22"/>
      <c r="E398" s="23">
        <v>3.3800001144409182E-2</v>
      </c>
      <c r="F398" s="24" t="s">
        <v>125</v>
      </c>
    </row>
    <row r="399" spans="1:6" ht="16" customHeight="1" x14ac:dyDescent="0.45">
      <c r="A399" s="19" t="s">
        <v>916</v>
      </c>
      <c r="B399" s="20" t="s">
        <v>917</v>
      </c>
      <c r="C399" s="21">
        <v>2765</v>
      </c>
      <c r="D399" s="22"/>
      <c r="E399" s="23">
        <v>-4.3299999237060537E-2</v>
      </c>
      <c r="F399" s="24" t="s">
        <v>125</v>
      </c>
    </row>
    <row r="400" spans="1:6" ht="16" customHeight="1" x14ac:dyDescent="0.45">
      <c r="A400" s="19" t="s">
        <v>918</v>
      </c>
      <c r="B400" s="20" t="s">
        <v>919</v>
      </c>
      <c r="C400" s="21">
        <v>6130</v>
      </c>
      <c r="D400" s="22"/>
      <c r="E400" s="23">
        <v>-1.919999957084656E-2</v>
      </c>
      <c r="F400" s="24" t="s">
        <v>128</v>
      </c>
    </row>
    <row r="401" spans="1:6" ht="16" customHeight="1" x14ac:dyDescent="0.45">
      <c r="A401" s="19" t="s">
        <v>920</v>
      </c>
      <c r="B401" s="20" t="s">
        <v>921</v>
      </c>
      <c r="C401" s="21">
        <v>4330</v>
      </c>
      <c r="D401" s="22"/>
      <c r="E401" s="23">
        <v>-3.559999942779541E-2</v>
      </c>
      <c r="F401" s="24" t="s">
        <v>125</v>
      </c>
    </row>
    <row r="402" spans="1:6" ht="16" customHeight="1" x14ac:dyDescent="0.45">
      <c r="A402" s="19" t="s">
        <v>922</v>
      </c>
      <c r="B402" s="20" t="s">
        <v>923</v>
      </c>
      <c r="C402" s="21">
        <v>3775</v>
      </c>
      <c r="D402" s="22"/>
      <c r="E402" s="23">
        <v>-3.079999923706055E-2</v>
      </c>
      <c r="F402" s="24" t="s">
        <v>128</v>
      </c>
    </row>
    <row r="403" spans="1:6" ht="16" customHeight="1" x14ac:dyDescent="0.45">
      <c r="A403" s="19" t="s">
        <v>924</v>
      </c>
      <c r="B403" s="20" t="s">
        <v>925</v>
      </c>
      <c r="C403" s="21">
        <v>610</v>
      </c>
      <c r="D403" s="22"/>
      <c r="E403" s="23">
        <v>0</v>
      </c>
      <c r="F403" s="24" t="s">
        <v>125</v>
      </c>
    </row>
    <row r="404" spans="1:6" ht="16" customHeight="1" x14ac:dyDescent="0.45">
      <c r="A404" s="19" t="s">
        <v>926</v>
      </c>
      <c r="B404" s="20" t="s">
        <v>927</v>
      </c>
      <c r="C404" s="21">
        <v>5510</v>
      </c>
      <c r="D404" s="22"/>
      <c r="E404" s="23">
        <v>-7.2399997711181635E-2</v>
      </c>
      <c r="F404" s="24" t="s">
        <v>125</v>
      </c>
    </row>
    <row r="405" spans="1:6" ht="16" customHeight="1" x14ac:dyDescent="0.45">
      <c r="A405" s="19" t="s">
        <v>928</v>
      </c>
      <c r="B405" s="20" t="s">
        <v>929</v>
      </c>
      <c r="C405" s="21">
        <v>2175</v>
      </c>
      <c r="D405" s="22"/>
      <c r="E405" s="23">
        <v>-3.7599999904632572E-2</v>
      </c>
      <c r="F405" s="24" t="s">
        <v>125</v>
      </c>
    </row>
    <row r="406" spans="1:6" ht="16" customHeight="1" x14ac:dyDescent="0.45">
      <c r="A406" s="19" t="s">
        <v>930</v>
      </c>
      <c r="B406" s="20" t="s">
        <v>931</v>
      </c>
      <c r="C406" s="21">
        <v>5600</v>
      </c>
      <c r="D406" s="22"/>
      <c r="E406" s="23">
        <v>4.0900001525878908E-2</v>
      </c>
      <c r="F406" s="24" t="s">
        <v>128</v>
      </c>
    </row>
    <row r="407" spans="1:6" ht="16" customHeight="1" x14ac:dyDescent="0.45">
      <c r="A407" s="19" t="s">
        <v>932</v>
      </c>
      <c r="B407" s="20" t="s">
        <v>933</v>
      </c>
      <c r="C407" s="21">
        <v>7160</v>
      </c>
      <c r="D407" s="22"/>
      <c r="E407" s="23">
        <v>1.8500000238418579E-2</v>
      </c>
      <c r="F407" s="24" t="s">
        <v>128</v>
      </c>
    </row>
    <row r="408" spans="1:6" ht="16" customHeight="1" x14ac:dyDescent="0.45">
      <c r="A408" s="19" t="s">
        <v>934</v>
      </c>
      <c r="B408" s="20" t="s">
        <v>935</v>
      </c>
      <c r="C408" s="21">
        <v>6750</v>
      </c>
      <c r="D408" s="22"/>
      <c r="E408" s="23">
        <v>-8.7999999523162842E-3</v>
      </c>
      <c r="F408" s="24" t="s">
        <v>125</v>
      </c>
    </row>
    <row r="409" spans="1:6" ht="16" customHeight="1" x14ac:dyDescent="0.45">
      <c r="A409" s="19" t="s">
        <v>936</v>
      </c>
      <c r="B409" s="20" t="s">
        <v>937</v>
      </c>
      <c r="C409" s="21">
        <v>45000</v>
      </c>
      <c r="D409" s="22"/>
      <c r="E409" s="23">
        <v>0</v>
      </c>
      <c r="F409" s="24" t="s">
        <v>128</v>
      </c>
    </row>
    <row r="410" spans="1:6" ht="16" customHeight="1" x14ac:dyDescent="0.45">
      <c r="A410" s="19" t="s">
        <v>938</v>
      </c>
      <c r="B410" s="20" t="s">
        <v>939</v>
      </c>
      <c r="C410" s="21">
        <v>9900</v>
      </c>
      <c r="D410" s="22"/>
      <c r="E410" s="23">
        <v>0</v>
      </c>
      <c r="F410" s="24" t="s">
        <v>128</v>
      </c>
    </row>
    <row r="411" spans="1:6" ht="16" customHeight="1" x14ac:dyDescent="0.45">
      <c r="A411" s="19" t="s">
        <v>940</v>
      </c>
      <c r="B411" s="20" t="s">
        <v>941</v>
      </c>
      <c r="C411" s="21">
        <v>16470</v>
      </c>
      <c r="D411" s="22"/>
      <c r="E411" s="23">
        <v>3.0000001192092901E-3</v>
      </c>
      <c r="F411" s="24" t="s">
        <v>125</v>
      </c>
    </row>
    <row r="412" spans="1:6" ht="16" customHeight="1" x14ac:dyDescent="0.45">
      <c r="A412" s="19" t="s">
        <v>942</v>
      </c>
      <c r="B412" s="20" t="s">
        <v>943</v>
      </c>
      <c r="C412" s="21">
        <v>5380</v>
      </c>
      <c r="D412" s="22"/>
      <c r="E412" s="23">
        <v>-1.8200000524520879E-2</v>
      </c>
      <c r="F412" s="24" t="s">
        <v>128</v>
      </c>
    </row>
    <row r="413" spans="1:6" ht="16" customHeight="1" x14ac:dyDescent="0.45">
      <c r="A413" s="19" t="s">
        <v>944</v>
      </c>
      <c r="B413" s="20" t="s">
        <v>945</v>
      </c>
      <c r="C413" s="21">
        <v>14600</v>
      </c>
      <c r="D413" s="22"/>
      <c r="E413" s="23">
        <v>-1.2200000286102301E-2</v>
      </c>
      <c r="F413" s="24" t="s">
        <v>128</v>
      </c>
    </row>
    <row r="414" spans="1:6" ht="16" customHeight="1" x14ac:dyDescent="0.45">
      <c r="A414" s="19" t="s">
        <v>946</v>
      </c>
      <c r="B414" s="20" t="s">
        <v>947</v>
      </c>
      <c r="C414" s="21">
        <v>140800</v>
      </c>
      <c r="D414" s="22"/>
      <c r="E414" s="23">
        <v>-2.4900000095367431E-2</v>
      </c>
      <c r="F414" s="24" t="s">
        <v>128</v>
      </c>
    </row>
    <row r="415" spans="1:6" ht="16" customHeight="1" x14ac:dyDescent="0.45">
      <c r="A415" s="19" t="s">
        <v>948</v>
      </c>
      <c r="B415" s="20" t="s">
        <v>949</v>
      </c>
      <c r="C415" s="21">
        <v>59400</v>
      </c>
      <c r="D415" s="22"/>
      <c r="E415" s="23">
        <v>-1.4900000095367429E-2</v>
      </c>
      <c r="F415" s="24" t="s">
        <v>128</v>
      </c>
    </row>
    <row r="416" spans="1:6" ht="16" customHeight="1" x14ac:dyDescent="0.45">
      <c r="A416" s="19" t="s">
        <v>950</v>
      </c>
      <c r="B416" s="20" t="s">
        <v>951</v>
      </c>
      <c r="C416" s="21">
        <v>3375</v>
      </c>
      <c r="D416" s="22"/>
      <c r="E416" s="23">
        <v>-6.3800001144409174E-2</v>
      </c>
      <c r="F416" s="24" t="s">
        <v>128</v>
      </c>
    </row>
    <row r="417" spans="1:6" ht="16" customHeight="1" x14ac:dyDescent="0.45">
      <c r="A417" s="19" t="s">
        <v>952</v>
      </c>
      <c r="B417" s="20" t="s">
        <v>953</v>
      </c>
      <c r="C417" s="21">
        <v>888</v>
      </c>
      <c r="D417" s="22"/>
      <c r="E417" s="23">
        <v>-3.5799999237060537E-2</v>
      </c>
      <c r="F417" s="24" t="s">
        <v>128</v>
      </c>
    </row>
    <row r="418" spans="1:6" ht="16" customHeight="1" x14ac:dyDescent="0.45">
      <c r="A418" s="19" t="s">
        <v>954</v>
      </c>
      <c r="B418" s="20" t="s">
        <v>955</v>
      </c>
      <c r="C418" s="21">
        <v>5580</v>
      </c>
      <c r="D418" s="22"/>
      <c r="E418" s="23">
        <v>-1.590000033378601E-2</v>
      </c>
      <c r="F418" s="24" t="s">
        <v>128</v>
      </c>
    </row>
    <row r="419" spans="1:6" ht="16" customHeight="1" x14ac:dyDescent="0.45">
      <c r="A419" s="19" t="s">
        <v>956</v>
      </c>
      <c r="B419" s="20" t="s">
        <v>957</v>
      </c>
      <c r="C419" s="21">
        <v>40800</v>
      </c>
      <c r="D419" s="22"/>
      <c r="E419" s="23">
        <v>2.5000000000000001E-3</v>
      </c>
      <c r="F419" s="24" t="s">
        <v>125</v>
      </c>
    </row>
    <row r="420" spans="1:6" ht="16" customHeight="1" x14ac:dyDescent="0.45">
      <c r="A420" s="19" t="s">
        <v>958</v>
      </c>
      <c r="B420" s="20" t="s">
        <v>959</v>
      </c>
      <c r="C420" s="21">
        <v>1853</v>
      </c>
      <c r="D420" s="22"/>
      <c r="E420" s="23">
        <v>-9.8299999237060551E-2</v>
      </c>
      <c r="F420" s="24" t="s">
        <v>125</v>
      </c>
    </row>
    <row r="421" spans="1:6" ht="16" customHeight="1" x14ac:dyDescent="0.45">
      <c r="A421" s="19" t="s">
        <v>960</v>
      </c>
      <c r="B421" s="20" t="s">
        <v>961</v>
      </c>
      <c r="C421" s="21">
        <v>102600</v>
      </c>
      <c r="D421" s="22"/>
      <c r="E421" s="23">
        <v>-6.3000001907348627E-2</v>
      </c>
      <c r="F421" s="24" t="s">
        <v>125</v>
      </c>
    </row>
    <row r="422" spans="1:6" ht="16" customHeight="1" x14ac:dyDescent="0.45">
      <c r="A422" s="19" t="s">
        <v>962</v>
      </c>
      <c r="B422" s="20" t="s">
        <v>963</v>
      </c>
      <c r="C422" s="21">
        <v>3840</v>
      </c>
      <c r="D422" s="22"/>
      <c r="E422" s="23">
        <v>-1.2899999618530269E-2</v>
      </c>
      <c r="F422" s="24" t="s">
        <v>125</v>
      </c>
    </row>
    <row r="423" spans="1:6" ht="16" customHeight="1" x14ac:dyDescent="0.45">
      <c r="A423" s="19" t="s">
        <v>964</v>
      </c>
      <c r="B423" s="20" t="s">
        <v>965</v>
      </c>
      <c r="C423" s="21">
        <v>2350</v>
      </c>
      <c r="D423" s="22"/>
      <c r="E423" s="23">
        <v>-2.4900000095367431E-2</v>
      </c>
      <c r="F423" s="24" t="s">
        <v>128</v>
      </c>
    </row>
    <row r="424" spans="1:6" ht="16" customHeight="1" x14ac:dyDescent="0.45">
      <c r="A424" s="19" t="s">
        <v>966</v>
      </c>
      <c r="B424" s="20" t="s">
        <v>967</v>
      </c>
      <c r="C424" s="21">
        <v>155100</v>
      </c>
      <c r="D424" s="22"/>
      <c r="E424" s="23">
        <v>7.0999997854232794E-3</v>
      </c>
      <c r="F424" s="24" t="s">
        <v>128</v>
      </c>
    </row>
    <row r="425" spans="1:6" ht="16" customHeight="1" x14ac:dyDescent="0.45">
      <c r="A425" s="19" t="s">
        <v>968</v>
      </c>
      <c r="B425" s="20" t="s">
        <v>969</v>
      </c>
      <c r="C425" s="21">
        <v>21750</v>
      </c>
      <c r="D425" s="22"/>
      <c r="E425" s="23">
        <v>-1.580000042915344E-2</v>
      </c>
      <c r="F425" s="24" t="s">
        <v>128</v>
      </c>
    </row>
    <row r="426" spans="1:6" ht="16" customHeight="1" x14ac:dyDescent="0.45">
      <c r="A426" s="19" t="s">
        <v>970</v>
      </c>
      <c r="B426" s="20" t="s">
        <v>971</v>
      </c>
      <c r="C426" s="21">
        <v>1335</v>
      </c>
      <c r="D426" s="22"/>
      <c r="E426" s="23">
        <v>-4.0900001525878908E-2</v>
      </c>
      <c r="F426" s="24" t="s">
        <v>128</v>
      </c>
    </row>
    <row r="427" spans="1:6" ht="16" customHeight="1" x14ac:dyDescent="0.45">
      <c r="A427" s="19" t="s">
        <v>972</v>
      </c>
      <c r="B427" s="20" t="s">
        <v>973</v>
      </c>
      <c r="C427" s="21">
        <v>1953</v>
      </c>
      <c r="D427" s="22"/>
      <c r="E427" s="23">
        <v>-2.299999952316284E-2</v>
      </c>
      <c r="F427" s="24" t="s">
        <v>128</v>
      </c>
    </row>
    <row r="428" spans="1:6" ht="16" customHeight="1" x14ac:dyDescent="0.45">
      <c r="A428" s="19" t="s">
        <v>974</v>
      </c>
      <c r="B428" s="20" t="s">
        <v>975</v>
      </c>
      <c r="C428" s="21">
        <v>10710</v>
      </c>
      <c r="D428" s="22"/>
      <c r="E428" s="23">
        <v>1.230000019073486E-2</v>
      </c>
      <c r="F428" s="24" t="s">
        <v>128</v>
      </c>
    </row>
    <row r="429" spans="1:6" ht="16" customHeight="1" x14ac:dyDescent="0.45">
      <c r="A429" s="19" t="s">
        <v>976</v>
      </c>
      <c r="B429" s="20" t="s">
        <v>977</v>
      </c>
      <c r="C429" s="21">
        <v>4265</v>
      </c>
      <c r="D429" s="22"/>
      <c r="E429" s="23">
        <v>-5.2199997901916498E-2</v>
      </c>
      <c r="F429" s="24" t="s">
        <v>125</v>
      </c>
    </row>
    <row r="430" spans="1:6" ht="16" customHeight="1" x14ac:dyDescent="0.45">
      <c r="A430" s="19" t="s">
        <v>978</v>
      </c>
      <c r="B430" s="20" t="s">
        <v>979</v>
      </c>
      <c r="C430" s="21">
        <v>6560</v>
      </c>
      <c r="D430" s="22"/>
      <c r="E430" s="23">
        <v>3.1400001049041747E-2</v>
      </c>
      <c r="F430" s="24" t="s">
        <v>125</v>
      </c>
    </row>
    <row r="431" spans="1:6" ht="16" customHeight="1" x14ac:dyDescent="0.45">
      <c r="A431" s="19" t="s">
        <v>980</v>
      </c>
      <c r="B431" s="20" t="s">
        <v>981</v>
      </c>
      <c r="C431" s="21">
        <v>82100</v>
      </c>
      <c r="D431" s="22"/>
      <c r="E431" s="23">
        <v>-2.8399999141693111E-2</v>
      </c>
      <c r="F431" s="24" t="s">
        <v>125</v>
      </c>
    </row>
    <row r="432" spans="1:6" ht="16" customHeight="1" x14ac:dyDescent="0.45">
      <c r="A432" s="19" t="s">
        <v>982</v>
      </c>
      <c r="B432" s="20" t="s">
        <v>983</v>
      </c>
      <c r="C432" s="21">
        <v>1501</v>
      </c>
      <c r="D432" s="22"/>
      <c r="E432" s="23">
        <v>-6.8299999237060552E-2</v>
      </c>
      <c r="F432" s="24" t="s">
        <v>125</v>
      </c>
    </row>
    <row r="433" spans="1:6" ht="16" customHeight="1" x14ac:dyDescent="0.45">
      <c r="A433" s="19" t="s">
        <v>984</v>
      </c>
      <c r="B433" s="20" t="s">
        <v>985</v>
      </c>
      <c r="C433" s="21">
        <v>4805</v>
      </c>
      <c r="D433" s="22"/>
      <c r="E433" s="23">
        <v>-7.2000002861022953E-3</v>
      </c>
      <c r="F433" s="24" t="s">
        <v>125</v>
      </c>
    </row>
    <row r="434" spans="1:6" ht="16" customHeight="1" x14ac:dyDescent="0.45">
      <c r="A434" s="19" t="s">
        <v>986</v>
      </c>
      <c r="B434" s="20" t="s">
        <v>987</v>
      </c>
      <c r="C434" s="21">
        <v>6320</v>
      </c>
      <c r="D434" s="22"/>
      <c r="E434" s="23">
        <v>-2.6199998855590819E-2</v>
      </c>
      <c r="F434" s="24" t="s">
        <v>125</v>
      </c>
    </row>
    <row r="435" spans="1:6" ht="16" customHeight="1" x14ac:dyDescent="0.45">
      <c r="A435" s="19" t="s">
        <v>988</v>
      </c>
      <c r="B435" s="20" t="s">
        <v>989</v>
      </c>
      <c r="C435" s="21">
        <v>757</v>
      </c>
      <c r="D435" s="22"/>
      <c r="E435" s="23">
        <v>0</v>
      </c>
      <c r="F435" s="24" t="s">
        <v>125</v>
      </c>
    </row>
    <row r="436" spans="1:6" ht="16" customHeight="1" x14ac:dyDescent="0.45">
      <c r="A436" s="19" t="s">
        <v>990</v>
      </c>
      <c r="B436" s="20" t="s">
        <v>991</v>
      </c>
      <c r="C436" s="21">
        <v>12090</v>
      </c>
      <c r="D436" s="22"/>
      <c r="E436" s="23">
        <v>6.9899997711181647E-2</v>
      </c>
      <c r="F436" s="24" t="s">
        <v>125</v>
      </c>
    </row>
    <row r="437" spans="1:6" ht="16" customHeight="1" x14ac:dyDescent="0.45">
      <c r="A437" s="19" t="s">
        <v>992</v>
      </c>
      <c r="B437" s="20" t="s">
        <v>993</v>
      </c>
      <c r="C437" s="21">
        <v>1800</v>
      </c>
      <c r="D437" s="22"/>
      <c r="E437" s="23">
        <v>-4.6100001335144053E-2</v>
      </c>
      <c r="F437" s="24" t="s">
        <v>251</v>
      </c>
    </row>
    <row r="438" spans="1:6" ht="16" customHeight="1" x14ac:dyDescent="0.45">
      <c r="A438" s="19" t="s">
        <v>994</v>
      </c>
      <c r="B438" s="20" t="s">
        <v>995</v>
      </c>
      <c r="C438" s="21">
        <v>2555</v>
      </c>
      <c r="D438" s="22"/>
      <c r="E438" s="23">
        <v>-5.799999833106995E-3</v>
      </c>
      <c r="F438" s="24" t="s">
        <v>125</v>
      </c>
    </row>
    <row r="439" spans="1:6" ht="16" customHeight="1" x14ac:dyDescent="0.45">
      <c r="A439" s="19" t="s">
        <v>996</v>
      </c>
      <c r="B439" s="20" t="s">
        <v>997</v>
      </c>
      <c r="C439" s="21">
        <v>33250</v>
      </c>
      <c r="D439" s="22"/>
      <c r="E439" s="23">
        <v>-2.6400001049041749E-2</v>
      </c>
      <c r="F439" s="24" t="s">
        <v>125</v>
      </c>
    </row>
    <row r="440" spans="1:6" ht="16" customHeight="1" x14ac:dyDescent="0.45">
      <c r="A440" s="19" t="s">
        <v>998</v>
      </c>
      <c r="B440" s="20" t="s">
        <v>999</v>
      </c>
      <c r="C440" s="21">
        <v>3840</v>
      </c>
      <c r="D440" s="22"/>
      <c r="E440" s="23">
        <v>-2.6600000858306889E-2</v>
      </c>
      <c r="F440" s="24" t="s">
        <v>125</v>
      </c>
    </row>
    <row r="441" spans="1:6" ht="16" customHeight="1" x14ac:dyDescent="0.45">
      <c r="A441" s="19" t="s">
        <v>1000</v>
      </c>
      <c r="B441" s="20" t="s">
        <v>1001</v>
      </c>
      <c r="C441" s="21">
        <v>5850</v>
      </c>
      <c r="D441" s="22"/>
      <c r="E441" s="23">
        <v>5.199999809265137E-3</v>
      </c>
      <c r="F441" s="24" t="s">
        <v>125</v>
      </c>
    </row>
    <row r="442" spans="1:6" ht="16" customHeight="1" x14ac:dyDescent="0.45">
      <c r="A442" s="19" t="s">
        <v>1002</v>
      </c>
      <c r="B442" s="20" t="s">
        <v>1003</v>
      </c>
      <c r="C442" s="21">
        <v>18970</v>
      </c>
      <c r="D442" s="22"/>
      <c r="E442" s="23">
        <v>-2.1199998855590822E-2</v>
      </c>
      <c r="F442" s="24" t="s">
        <v>125</v>
      </c>
    </row>
    <row r="443" spans="1:6" ht="16" customHeight="1" x14ac:dyDescent="0.45">
      <c r="A443" s="19" t="s">
        <v>1004</v>
      </c>
      <c r="B443" s="20" t="s">
        <v>1005</v>
      </c>
      <c r="C443" s="21">
        <v>4665</v>
      </c>
      <c r="D443" s="22"/>
      <c r="E443" s="23">
        <v>-6.6999998092651364E-2</v>
      </c>
      <c r="F443" s="24" t="s">
        <v>125</v>
      </c>
    </row>
    <row r="444" spans="1:6" ht="16" customHeight="1" x14ac:dyDescent="0.45">
      <c r="A444" s="19" t="s">
        <v>1006</v>
      </c>
      <c r="B444" s="20" t="s">
        <v>1007</v>
      </c>
      <c r="C444" s="21">
        <v>2660</v>
      </c>
      <c r="D444" s="22"/>
      <c r="E444" s="23">
        <v>-9.3000000715255729E-3</v>
      </c>
      <c r="F444" s="24" t="s">
        <v>125</v>
      </c>
    </row>
    <row r="445" spans="1:6" ht="16" customHeight="1" x14ac:dyDescent="0.45">
      <c r="A445" s="19" t="s">
        <v>1008</v>
      </c>
      <c r="B445" s="20" t="s">
        <v>1009</v>
      </c>
      <c r="C445" s="21">
        <v>28300</v>
      </c>
      <c r="D445" s="22"/>
      <c r="E445" s="23">
        <v>-6.5999999046325683E-2</v>
      </c>
      <c r="F445" s="24" t="s">
        <v>125</v>
      </c>
    </row>
    <row r="446" spans="1:6" ht="16" customHeight="1" x14ac:dyDescent="0.45">
      <c r="A446" s="19" t="s">
        <v>1010</v>
      </c>
      <c r="B446" s="20" t="s">
        <v>1011</v>
      </c>
      <c r="C446" s="21">
        <v>8200</v>
      </c>
      <c r="D446" s="22"/>
      <c r="E446" s="23">
        <v>1.19999997317791E-3</v>
      </c>
      <c r="F446" s="24" t="s">
        <v>251</v>
      </c>
    </row>
    <row r="447" spans="1:6" ht="16" customHeight="1" x14ac:dyDescent="0.45">
      <c r="A447" s="19" t="s">
        <v>1012</v>
      </c>
      <c r="B447" s="20" t="s">
        <v>1013</v>
      </c>
      <c r="C447" s="21">
        <v>24500</v>
      </c>
      <c r="D447" s="22"/>
      <c r="E447" s="23">
        <v>-3.9200000762939453E-2</v>
      </c>
      <c r="F447" s="24" t="s">
        <v>125</v>
      </c>
    </row>
    <row r="448" spans="1:6" ht="16" customHeight="1" x14ac:dyDescent="0.45">
      <c r="A448" s="19" t="s">
        <v>1014</v>
      </c>
      <c r="B448" s="20" t="s">
        <v>1015</v>
      </c>
      <c r="C448" s="21">
        <v>5670</v>
      </c>
      <c r="D448" s="22"/>
      <c r="E448" s="23">
        <v>1.6100000143051151E-2</v>
      </c>
      <c r="F448" s="24" t="s">
        <v>125</v>
      </c>
    </row>
    <row r="449" spans="1:6" ht="16" customHeight="1" x14ac:dyDescent="0.45">
      <c r="A449" s="19" t="s">
        <v>1016</v>
      </c>
      <c r="B449" s="20" t="s">
        <v>1017</v>
      </c>
      <c r="C449" s="21">
        <v>29650</v>
      </c>
      <c r="D449" s="22"/>
      <c r="E449" s="23">
        <v>1.539999961853027E-2</v>
      </c>
      <c r="F449" s="24" t="s">
        <v>125</v>
      </c>
    </row>
    <row r="450" spans="1:6" ht="16" customHeight="1" x14ac:dyDescent="0.45">
      <c r="A450" s="19" t="s">
        <v>1018</v>
      </c>
      <c r="B450" s="20" t="s">
        <v>1019</v>
      </c>
      <c r="C450" s="21">
        <v>3890</v>
      </c>
      <c r="D450" s="22"/>
      <c r="E450" s="23">
        <v>0.11140000343322751</v>
      </c>
      <c r="F450" s="24" t="s">
        <v>125</v>
      </c>
    </row>
    <row r="451" spans="1:6" ht="16" customHeight="1" x14ac:dyDescent="0.45">
      <c r="A451" s="19" t="s">
        <v>1020</v>
      </c>
      <c r="B451" s="20" t="s">
        <v>1021</v>
      </c>
      <c r="C451" s="21">
        <v>9620</v>
      </c>
      <c r="D451" s="22"/>
      <c r="E451" s="23">
        <v>-1.6399999856948851E-2</v>
      </c>
      <c r="F451" s="24" t="s">
        <v>128</v>
      </c>
    </row>
    <row r="452" spans="1:6" ht="16" customHeight="1" x14ac:dyDescent="0.45">
      <c r="A452" s="19" t="s">
        <v>1022</v>
      </c>
      <c r="B452" s="20" t="s">
        <v>1023</v>
      </c>
      <c r="C452" s="21">
        <v>2065</v>
      </c>
      <c r="D452" s="22"/>
      <c r="E452" s="23">
        <v>-2.1300001144409181E-2</v>
      </c>
      <c r="F452" s="24" t="s">
        <v>128</v>
      </c>
    </row>
    <row r="453" spans="1:6" ht="16" customHeight="1" x14ac:dyDescent="0.45">
      <c r="A453" s="19" t="s">
        <v>1024</v>
      </c>
      <c r="B453" s="20" t="s">
        <v>1025</v>
      </c>
      <c r="C453" s="21">
        <v>13470</v>
      </c>
      <c r="D453" s="22"/>
      <c r="E453" s="23">
        <v>-2.1099998950958251E-2</v>
      </c>
      <c r="F453" s="24" t="s">
        <v>128</v>
      </c>
    </row>
    <row r="454" spans="1:6" ht="16" customHeight="1" x14ac:dyDescent="0.45">
      <c r="A454" s="19" t="s">
        <v>1026</v>
      </c>
      <c r="B454" s="20" t="s">
        <v>1027</v>
      </c>
      <c r="C454" s="21">
        <v>7090</v>
      </c>
      <c r="D454" s="22"/>
      <c r="E454" s="23">
        <v>-5.8400001525878903E-2</v>
      </c>
      <c r="F454" s="24" t="s">
        <v>128</v>
      </c>
    </row>
    <row r="455" spans="1:6" ht="16" customHeight="1" x14ac:dyDescent="0.45">
      <c r="A455" s="19" t="s">
        <v>1028</v>
      </c>
      <c r="B455" s="20" t="s">
        <v>1029</v>
      </c>
      <c r="C455" s="21">
        <v>51000</v>
      </c>
      <c r="D455" s="22"/>
      <c r="E455" s="23">
        <v>-1.7300000190734861E-2</v>
      </c>
      <c r="F455" s="24" t="s">
        <v>128</v>
      </c>
    </row>
    <row r="456" spans="1:6" ht="16" customHeight="1" x14ac:dyDescent="0.45">
      <c r="A456" s="19" t="s">
        <v>1030</v>
      </c>
      <c r="B456" s="20" t="s">
        <v>1031</v>
      </c>
      <c r="C456" s="21">
        <v>37550</v>
      </c>
      <c r="D456" s="22"/>
      <c r="E456" s="23">
        <v>-1.0499999523162841E-2</v>
      </c>
      <c r="F456" s="24" t="s">
        <v>128</v>
      </c>
    </row>
    <row r="457" spans="1:6" ht="16" customHeight="1" x14ac:dyDescent="0.45">
      <c r="A457" s="19" t="s">
        <v>1032</v>
      </c>
      <c r="B457" s="20" t="s">
        <v>1033</v>
      </c>
      <c r="C457" s="21">
        <v>10640</v>
      </c>
      <c r="D457" s="22"/>
      <c r="E457" s="23">
        <v>-8.3500003814697271E-2</v>
      </c>
      <c r="F457" s="24" t="s">
        <v>128</v>
      </c>
    </row>
    <row r="458" spans="1:6" ht="16" customHeight="1" x14ac:dyDescent="0.45">
      <c r="A458" s="19" t="s">
        <v>1034</v>
      </c>
      <c r="B458" s="20" t="s">
        <v>1035</v>
      </c>
      <c r="C458" s="21">
        <v>4060</v>
      </c>
      <c r="D458" s="22"/>
      <c r="E458" s="23">
        <v>-2.8699998855590821E-2</v>
      </c>
      <c r="F458" s="24" t="s">
        <v>125</v>
      </c>
    </row>
    <row r="459" spans="1:6" ht="16" customHeight="1" x14ac:dyDescent="0.45">
      <c r="A459" s="19" t="s">
        <v>1036</v>
      </c>
      <c r="B459" s="20" t="s">
        <v>1037</v>
      </c>
      <c r="C459" s="21">
        <v>4150</v>
      </c>
      <c r="D459" s="22"/>
      <c r="E459" s="23">
        <v>-2.5799999237060549E-2</v>
      </c>
      <c r="F459" s="24" t="s">
        <v>125</v>
      </c>
    </row>
    <row r="460" spans="1:6" ht="16" customHeight="1" x14ac:dyDescent="0.45">
      <c r="A460" s="19" t="s">
        <v>1038</v>
      </c>
      <c r="B460" s="20" t="s">
        <v>1039</v>
      </c>
      <c r="C460" s="21">
        <v>2380</v>
      </c>
      <c r="D460" s="22"/>
      <c r="E460" s="23">
        <v>-4.0300002098083487E-2</v>
      </c>
      <c r="F460" s="24" t="s">
        <v>125</v>
      </c>
    </row>
    <row r="461" spans="1:6" ht="16" customHeight="1" x14ac:dyDescent="0.45">
      <c r="A461" s="19" t="s">
        <v>1040</v>
      </c>
      <c r="B461" s="20" t="s">
        <v>1041</v>
      </c>
      <c r="C461" s="21">
        <v>1491</v>
      </c>
      <c r="D461" s="22"/>
      <c r="E461" s="23">
        <v>7.0000000298023226E-4</v>
      </c>
      <c r="F461" s="24" t="s">
        <v>125</v>
      </c>
    </row>
    <row r="462" spans="1:6" ht="16" customHeight="1" x14ac:dyDescent="0.45">
      <c r="A462" s="19" t="s">
        <v>1042</v>
      </c>
      <c r="B462" s="20" t="s">
        <v>1043</v>
      </c>
      <c r="C462" s="21">
        <v>20400</v>
      </c>
      <c r="D462" s="22"/>
      <c r="E462" s="23">
        <v>7.5399999618530278E-2</v>
      </c>
      <c r="F462" s="24" t="s">
        <v>125</v>
      </c>
    </row>
    <row r="463" spans="1:6" ht="16" customHeight="1" x14ac:dyDescent="0.45">
      <c r="A463" s="19" t="s">
        <v>1044</v>
      </c>
      <c r="B463" s="20" t="s">
        <v>1045</v>
      </c>
      <c r="C463" s="21">
        <v>8440</v>
      </c>
      <c r="D463" s="22"/>
      <c r="E463" s="23">
        <v>9.5999997854232782E-3</v>
      </c>
      <c r="F463" s="24" t="s">
        <v>125</v>
      </c>
    </row>
    <row r="464" spans="1:6" ht="16" customHeight="1" x14ac:dyDescent="0.45">
      <c r="A464" s="19" t="s">
        <v>1046</v>
      </c>
      <c r="B464" s="20" t="s">
        <v>1047</v>
      </c>
      <c r="C464" s="21">
        <v>21300</v>
      </c>
      <c r="D464" s="22"/>
      <c r="E464" s="23">
        <v>-2.740000009536743E-2</v>
      </c>
      <c r="F464" s="24" t="s">
        <v>125</v>
      </c>
    </row>
    <row r="465" spans="1:6" ht="16" customHeight="1" x14ac:dyDescent="0.45">
      <c r="A465" s="19" t="s">
        <v>1048</v>
      </c>
      <c r="B465" s="20" t="s">
        <v>1049</v>
      </c>
      <c r="C465" s="21">
        <v>21000</v>
      </c>
      <c r="D465" s="22"/>
      <c r="E465" s="23">
        <v>-2.329999923706055E-2</v>
      </c>
      <c r="F465" s="24" t="s">
        <v>125</v>
      </c>
    </row>
    <row r="466" spans="1:6" ht="16" customHeight="1" x14ac:dyDescent="0.45">
      <c r="A466" s="19" t="s">
        <v>1050</v>
      </c>
      <c r="B466" s="20" t="s">
        <v>1051</v>
      </c>
      <c r="C466" s="21">
        <v>424</v>
      </c>
      <c r="D466" s="22"/>
      <c r="E466" s="23">
        <v>-5.9899997711181638E-2</v>
      </c>
      <c r="F466" s="24" t="s">
        <v>125</v>
      </c>
    </row>
    <row r="467" spans="1:6" ht="16" customHeight="1" x14ac:dyDescent="0.45">
      <c r="A467" s="19" t="s">
        <v>1052</v>
      </c>
      <c r="B467" s="20" t="s">
        <v>1053</v>
      </c>
      <c r="C467" s="21">
        <v>4490</v>
      </c>
      <c r="D467" s="22"/>
      <c r="E467" s="23">
        <v>-4.8699998855590822E-2</v>
      </c>
      <c r="F467" s="24" t="s">
        <v>125</v>
      </c>
    </row>
    <row r="468" spans="1:6" ht="16" customHeight="1" x14ac:dyDescent="0.45">
      <c r="A468" s="19" t="s">
        <v>1054</v>
      </c>
      <c r="B468" s="20" t="s">
        <v>1055</v>
      </c>
      <c r="C468" s="21">
        <v>25550</v>
      </c>
      <c r="D468" s="22"/>
      <c r="E468" s="23">
        <v>-5.7199997901916502E-2</v>
      </c>
      <c r="F468" s="24" t="s">
        <v>125</v>
      </c>
    </row>
    <row r="469" spans="1:6" ht="16" customHeight="1" x14ac:dyDescent="0.45">
      <c r="A469" s="19" t="s">
        <v>1056</v>
      </c>
      <c r="B469" s="20" t="s">
        <v>1057</v>
      </c>
      <c r="C469" s="21">
        <v>19670</v>
      </c>
      <c r="D469" s="22"/>
      <c r="E469" s="23">
        <v>-6.1100001335144052E-2</v>
      </c>
      <c r="F469" s="24" t="s">
        <v>125</v>
      </c>
    </row>
    <row r="470" spans="1:6" ht="16" customHeight="1" x14ac:dyDescent="0.45">
      <c r="A470" s="19" t="s">
        <v>1058</v>
      </c>
      <c r="B470" s="20" t="s">
        <v>1059</v>
      </c>
      <c r="C470" s="21">
        <v>9780</v>
      </c>
      <c r="D470" s="22"/>
      <c r="E470" s="23">
        <v>1.2400000095367431E-2</v>
      </c>
      <c r="F470" s="24" t="s">
        <v>125</v>
      </c>
    </row>
    <row r="471" spans="1:6" ht="16" customHeight="1" x14ac:dyDescent="0.45">
      <c r="A471" s="19" t="s">
        <v>1060</v>
      </c>
      <c r="B471" s="20" t="s">
        <v>1061</v>
      </c>
      <c r="C471" s="21">
        <v>19760</v>
      </c>
      <c r="D471" s="22"/>
      <c r="E471" s="23">
        <v>-3.1400001049041747E-2</v>
      </c>
      <c r="F471" s="24" t="s">
        <v>125</v>
      </c>
    </row>
    <row r="472" spans="1:6" ht="16" customHeight="1" x14ac:dyDescent="0.45">
      <c r="A472" s="19" t="s">
        <v>1062</v>
      </c>
      <c r="B472" s="20" t="s">
        <v>1063</v>
      </c>
      <c r="C472" s="21">
        <v>34850</v>
      </c>
      <c r="D472" s="22"/>
      <c r="E472" s="23">
        <v>5.7699999809265143E-2</v>
      </c>
      <c r="F472" s="24" t="s">
        <v>125</v>
      </c>
    </row>
    <row r="473" spans="1:6" ht="16" customHeight="1" x14ac:dyDescent="0.45">
      <c r="A473" s="19" t="s">
        <v>1064</v>
      </c>
      <c r="B473" s="20" t="s">
        <v>1065</v>
      </c>
      <c r="C473" s="21">
        <v>40300</v>
      </c>
      <c r="D473" s="22"/>
      <c r="E473" s="23">
        <v>4.5399999618530272E-2</v>
      </c>
      <c r="F473" s="24" t="s">
        <v>125</v>
      </c>
    </row>
    <row r="474" spans="1:6" ht="16" customHeight="1" x14ac:dyDescent="0.45">
      <c r="A474" s="19" t="s">
        <v>1066</v>
      </c>
      <c r="B474" s="20" t="s">
        <v>1067</v>
      </c>
      <c r="C474" s="21">
        <v>1337</v>
      </c>
      <c r="D474" s="22"/>
      <c r="E474" s="23">
        <v>1.909999966621399E-2</v>
      </c>
      <c r="F474" s="24" t="s">
        <v>125</v>
      </c>
    </row>
    <row r="475" spans="1:6" ht="16" customHeight="1" x14ac:dyDescent="0.45">
      <c r="A475" s="19" t="s">
        <v>1068</v>
      </c>
      <c r="B475" s="20" t="s">
        <v>1069</v>
      </c>
      <c r="C475" s="21">
        <v>7130</v>
      </c>
      <c r="D475" s="22"/>
      <c r="E475" s="23">
        <v>-9.7000002861022949E-3</v>
      </c>
      <c r="F475" s="24" t="s">
        <v>128</v>
      </c>
    </row>
    <row r="476" spans="1:6" ht="16" customHeight="1" x14ac:dyDescent="0.45">
      <c r="A476" s="19" t="s">
        <v>1070</v>
      </c>
      <c r="B476" s="20" t="s">
        <v>1071</v>
      </c>
      <c r="C476" s="21">
        <v>4700</v>
      </c>
      <c r="D476" s="22"/>
      <c r="E476" s="23">
        <v>0</v>
      </c>
      <c r="F476" s="24" t="s">
        <v>128</v>
      </c>
    </row>
    <row r="477" spans="1:6" ht="16" customHeight="1" x14ac:dyDescent="0.45">
      <c r="A477" s="19" t="s">
        <v>1072</v>
      </c>
      <c r="B477" s="20" t="s">
        <v>1073</v>
      </c>
      <c r="C477" s="21">
        <v>7210</v>
      </c>
      <c r="D477" s="22"/>
      <c r="E477" s="23">
        <v>-1.899999976158142E-2</v>
      </c>
      <c r="F477" s="24" t="s">
        <v>128</v>
      </c>
    </row>
    <row r="478" spans="1:6" ht="16" customHeight="1" x14ac:dyDescent="0.45">
      <c r="A478" s="19" t="s">
        <v>1074</v>
      </c>
      <c r="B478" s="20" t="s">
        <v>1075</v>
      </c>
      <c r="C478" s="21">
        <v>4315</v>
      </c>
      <c r="D478" s="22"/>
      <c r="E478" s="23">
        <v>-8.0000001192092902E-3</v>
      </c>
      <c r="F478" s="24" t="s">
        <v>128</v>
      </c>
    </row>
    <row r="479" spans="1:6" ht="16" customHeight="1" x14ac:dyDescent="0.45">
      <c r="A479" s="19" t="s">
        <v>1076</v>
      </c>
      <c r="B479" s="20" t="s">
        <v>1077</v>
      </c>
      <c r="C479" s="21">
        <v>2170</v>
      </c>
      <c r="D479" s="22"/>
      <c r="E479" s="23">
        <v>-2.4700000286102291E-2</v>
      </c>
      <c r="F479" s="24" t="s">
        <v>125</v>
      </c>
    </row>
    <row r="480" spans="1:6" ht="16" customHeight="1" x14ac:dyDescent="0.45">
      <c r="A480" s="19" t="s">
        <v>1078</v>
      </c>
      <c r="B480" s="20" t="s">
        <v>1079</v>
      </c>
      <c r="C480" s="21">
        <v>58300</v>
      </c>
      <c r="D480" s="22"/>
      <c r="E480" s="23">
        <v>-3.6400001049041751E-2</v>
      </c>
      <c r="F480" s="24" t="s">
        <v>125</v>
      </c>
    </row>
    <row r="481" spans="1:6" ht="16" customHeight="1" x14ac:dyDescent="0.45">
      <c r="A481" s="19" t="s">
        <v>1080</v>
      </c>
      <c r="B481" s="20" t="s">
        <v>1081</v>
      </c>
      <c r="C481" s="21">
        <v>263</v>
      </c>
      <c r="D481" s="22"/>
      <c r="E481" s="23">
        <v>0</v>
      </c>
      <c r="F481" s="24" t="s">
        <v>125</v>
      </c>
    </row>
    <row r="482" spans="1:6" ht="16" customHeight="1" x14ac:dyDescent="0.45">
      <c r="A482" s="19" t="s">
        <v>1082</v>
      </c>
      <c r="B482" s="20" t="s">
        <v>1083</v>
      </c>
      <c r="C482" s="21">
        <v>5120</v>
      </c>
      <c r="D482" s="22"/>
      <c r="E482" s="23">
        <v>7.9000002145767217E-3</v>
      </c>
      <c r="F482" s="24" t="s">
        <v>125</v>
      </c>
    </row>
    <row r="483" spans="1:6" ht="16" customHeight="1" x14ac:dyDescent="0.45">
      <c r="A483" s="19" t="s">
        <v>1084</v>
      </c>
      <c r="B483" s="20" t="s">
        <v>1085</v>
      </c>
      <c r="C483" s="21">
        <v>71600</v>
      </c>
      <c r="D483" s="22"/>
      <c r="E483" s="23">
        <v>-1.7799999713897709E-2</v>
      </c>
      <c r="F483" s="24" t="s">
        <v>125</v>
      </c>
    </row>
    <row r="484" spans="1:6" ht="16" customHeight="1" x14ac:dyDescent="0.45">
      <c r="A484" s="19" t="s">
        <v>1086</v>
      </c>
      <c r="B484" s="20" t="s">
        <v>1087</v>
      </c>
      <c r="C484" s="21">
        <v>20050</v>
      </c>
      <c r="D484" s="22"/>
      <c r="E484" s="23">
        <v>6.650000095367431E-2</v>
      </c>
      <c r="F484" s="24" t="s">
        <v>128</v>
      </c>
    </row>
    <row r="485" spans="1:6" ht="16" customHeight="1" x14ac:dyDescent="0.45">
      <c r="A485" s="19" t="s">
        <v>1088</v>
      </c>
      <c r="B485" s="20" t="s">
        <v>1089</v>
      </c>
      <c r="C485" s="21">
        <v>11500</v>
      </c>
      <c r="D485" s="22"/>
      <c r="E485" s="23">
        <v>-2.380000114440918E-2</v>
      </c>
      <c r="F485" s="24" t="s">
        <v>125</v>
      </c>
    </row>
    <row r="486" spans="1:6" ht="16" customHeight="1" x14ac:dyDescent="0.45">
      <c r="A486" s="19" t="s">
        <v>1090</v>
      </c>
      <c r="B486" s="20" t="s">
        <v>1091</v>
      </c>
      <c r="C486" s="21">
        <v>1808</v>
      </c>
      <c r="D486" s="22"/>
      <c r="E486" s="23">
        <v>-1.099999994039536E-3</v>
      </c>
      <c r="F486" s="24" t="s">
        <v>125</v>
      </c>
    </row>
    <row r="487" spans="1:6" ht="16" customHeight="1" x14ac:dyDescent="0.45">
      <c r="A487" s="19" t="s">
        <v>1092</v>
      </c>
      <c r="B487" s="20" t="s">
        <v>1093</v>
      </c>
      <c r="C487" s="21">
        <v>3835</v>
      </c>
      <c r="D487" s="22"/>
      <c r="E487" s="23">
        <v>-3.1600000858306887E-2</v>
      </c>
      <c r="F487" s="24" t="s">
        <v>125</v>
      </c>
    </row>
    <row r="488" spans="1:6" ht="16" customHeight="1" x14ac:dyDescent="0.45">
      <c r="A488" s="19" t="s">
        <v>1094</v>
      </c>
      <c r="B488" s="20" t="s">
        <v>1095</v>
      </c>
      <c r="C488" s="21">
        <v>49000</v>
      </c>
      <c r="D488" s="22"/>
      <c r="E488" s="23">
        <v>-1.009999990463257E-2</v>
      </c>
      <c r="F488" s="24" t="s">
        <v>128</v>
      </c>
    </row>
    <row r="489" spans="1:6" ht="16" customHeight="1" x14ac:dyDescent="0.45">
      <c r="A489" s="19" t="s">
        <v>1096</v>
      </c>
      <c r="B489" s="20" t="s">
        <v>1097</v>
      </c>
      <c r="C489" s="21">
        <v>4300</v>
      </c>
      <c r="D489" s="22"/>
      <c r="E489" s="23">
        <v>-4.4400000572204591E-2</v>
      </c>
      <c r="F489" s="24" t="s">
        <v>251</v>
      </c>
    </row>
    <row r="490" spans="1:6" ht="16" customHeight="1" x14ac:dyDescent="0.45">
      <c r="A490" s="19" t="s">
        <v>1098</v>
      </c>
      <c r="B490" s="20" t="s">
        <v>1099</v>
      </c>
      <c r="C490" s="21">
        <v>4770</v>
      </c>
      <c r="D490" s="22"/>
      <c r="E490" s="23">
        <v>-4.0199999809265127E-2</v>
      </c>
      <c r="F490" s="24" t="s">
        <v>125</v>
      </c>
    </row>
    <row r="491" spans="1:6" ht="16" customHeight="1" x14ac:dyDescent="0.45">
      <c r="A491" s="19" t="s">
        <v>1100</v>
      </c>
      <c r="B491" s="20" t="s">
        <v>1101</v>
      </c>
      <c r="C491" s="21">
        <v>8550</v>
      </c>
      <c r="D491" s="22"/>
      <c r="E491" s="23">
        <v>-2.0599999427795411E-2</v>
      </c>
      <c r="F491" s="24" t="s">
        <v>128</v>
      </c>
    </row>
    <row r="492" spans="1:6" ht="16" customHeight="1" x14ac:dyDescent="0.45">
      <c r="A492" s="19" t="s">
        <v>1102</v>
      </c>
      <c r="B492" s="20" t="s">
        <v>1103</v>
      </c>
      <c r="C492" s="21">
        <v>13340</v>
      </c>
      <c r="D492" s="22"/>
      <c r="E492" s="23">
        <v>-1.549999952316284E-2</v>
      </c>
      <c r="F492" s="24" t="s">
        <v>128</v>
      </c>
    </row>
    <row r="493" spans="1:6" ht="16" customHeight="1" x14ac:dyDescent="0.45">
      <c r="A493" s="19" t="s">
        <v>1104</v>
      </c>
      <c r="B493" s="20" t="s">
        <v>1105</v>
      </c>
      <c r="C493" s="21">
        <v>22250</v>
      </c>
      <c r="D493" s="22"/>
      <c r="E493" s="23">
        <v>1.139999985694885E-2</v>
      </c>
      <c r="F493" s="24" t="s">
        <v>128</v>
      </c>
    </row>
    <row r="494" spans="1:6" ht="16" customHeight="1" x14ac:dyDescent="0.45">
      <c r="A494" s="19" t="s">
        <v>1106</v>
      </c>
      <c r="B494" s="20" t="s">
        <v>1107</v>
      </c>
      <c r="C494" s="21">
        <v>30250</v>
      </c>
      <c r="D494" s="22"/>
      <c r="E494" s="23">
        <v>-1.940000057220459E-2</v>
      </c>
      <c r="F494" s="24" t="s">
        <v>128</v>
      </c>
    </row>
    <row r="495" spans="1:6" ht="16" customHeight="1" x14ac:dyDescent="0.45">
      <c r="A495" s="19" t="s">
        <v>1108</v>
      </c>
      <c r="B495" s="20" t="s">
        <v>1109</v>
      </c>
      <c r="C495" s="21">
        <v>16850</v>
      </c>
      <c r="D495" s="22"/>
      <c r="E495" s="23">
        <v>-3.9900000095367427E-2</v>
      </c>
      <c r="F495" s="24" t="s">
        <v>125</v>
      </c>
    </row>
    <row r="496" spans="1:6" ht="16" customHeight="1" x14ac:dyDescent="0.45">
      <c r="A496" s="19" t="s">
        <v>1110</v>
      </c>
      <c r="B496" s="20" t="s">
        <v>1111</v>
      </c>
      <c r="C496" s="21">
        <v>15070</v>
      </c>
      <c r="D496" s="22"/>
      <c r="E496" s="23">
        <v>-1.2500000000000001E-2</v>
      </c>
      <c r="F496" s="24" t="s">
        <v>125</v>
      </c>
    </row>
    <row r="497" spans="1:6" ht="16" customHeight="1" x14ac:dyDescent="0.45">
      <c r="A497" s="19" t="s">
        <v>1112</v>
      </c>
      <c r="B497" s="20" t="s">
        <v>1113</v>
      </c>
      <c r="C497" s="21">
        <v>23850</v>
      </c>
      <c r="D497" s="22"/>
      <c r="E497" s="23">
        <v>-6.2999999523162854E-3</v>
      </c>
      <c r="F497" s="24" t="s">
        <v>125</v>
      </c>
    </row>
    <row r="498" spans="1:6" ht="16" customHeight="1" x14ac:dyDescent="0.45">
      <c r="A498" s="19" t="s">
        <v>1114</v>
      </c>
      <c r="B498" s="20" t="s">
        <v>1115</v>
      </c>
      <c r="C498" s="21">
        <v>4575</v>
      </c>
      <c r="D498" s="22"/>
      <c r="E498" s="23">
        <v>-2.1400001049041752E-2</v>
      </c>
      <c r="F498" s="24" t="s">
        <v>125</v>
      </c>
    </row>
    <row r="499" spans="1:6" ht="16" customHeight="1" x14ac:dyDescent="0.45">
      <c r="A499" s="19" t="s">
        <v>1116</v>
      </c>
      <c r="B499" s="20" t="s">
        <v>1117</v>
      </c>
      <c r="C499" s="21">
        <v>8990</v>
      </c>
      <c r="D499" s="22"/>
      <c r="E499" s="23">
        <v>1.4700000286102291E-2</v>
      </c>
      <c r="F499" s="24" t="s">
        <v>251</v>
      </c>
    </row>
    <row r="500" spans="1:6" ht="16" customHeight="1" x14ac:dyDescent="0.45">
      <c r="A500" s="19" t="s">
        <v>1118</v>
      </c>
      <c r="B500" s="20" t="s">
        <v>1119</v>
      </c>
      <c r="C500" s="21">
        <v>411</v>
      </c>
      <c r="D500" s="22"/>
      <c r="E500" s="23">
        <v>0</v>
      </c>
      <c r="F500" s="24" t="s">
        <v>125</v>
      </c>
    </row>
    <row r="501" spans="1:6" ht="16" customHeight="1" x14ac:dyDescent="0.45">
      <c r="A501" s="19" t="s">
        <v>1120</v>
      </c>
      <c r="B501" s="20" t="s">
        <v>1121</v>
      </c>
      <c r="C501" s="21">
        <v>1342</v>
      </c>
      <c r="D501" s="22"/>
      <c r="E501" s="23">
        <v>-8.0799999237060549E-2</v>
      </c>
      <c r="F501" s="24" t="s">
        <v>125</v>
      </c>
    </row>
    <row r="502" spans="1:6" ht="16" customHeight="1" x14ac:dyDescent="0.45">
      <c r="A502" s="19" t="s">
        <v>1122</v>
      </c>
      <c r="B502" s="20" t="s">
        <v>1123</v>
      </c>
      <c r="C502" s="21">
        <v>34100</v>
      </c>
      <c r="D502" s="22"/>
      <c r="E502" s="23">
        <v>-1.7300000190734861E-2</v>
      </c>
      <c r="F502" s="24" t="s">
        <v>125</v>
      </c>
    </row>
    <row r="503" spans="1:6" ht="16" customHeight="1" x14ac:dyDescent="0.45">
      <c r="A503" s="19" t="s">
        <v>1124</v>
      </c>
      <c r="B503" s="20" t="s">
        <v>1125</v>
      </c>
      <c r="C503" s="21">
        <v>135900</v>
      </c>
      <c r="D503" s="22"/>
      <c r="E503" s="23">
        <v>-1.159999966621399E-2</v>
      </c>
      <c r="F503" s="24" t="s">
        <v>128</v>
      </c>
    </row>
    <row r="504" spans="1:6" ht="16" customHeight="1" x14ac:dyDescent="0.45">
      <c r="A504" s="19" t="s">
        <v>1126</v>
      </c>
      <c r="B504" s="20" t="s">
        <v>1127</v>
      </c>
      <c r="C504" s="21">
        <v>3790</v>
      </c>
      <c r="D504" s="22"/>
      <c r="E504" s="23">
        <v>-2.5699999332427979E-2</v>
      </c>
      <c r="F504" s="24" t="s">
        <v>125</v>
      </c>
    </row>
    <row r="505" spans="1:6" ht="16" customHeight="1" x14ac:dyDescent="0.45">
      <c r="A505" s="19" t="s">
        <v>1128</v>
      </c>
      <c r="B505" s="20" t="s">
        <v>1129</v>
      </c>
      <c r="C505" s="21">
        <v>11940</v>
      </c>
      <c r="D505" s="22"/>
      <c r="E505" s="23">
        <v>-5.909999847412109E-2</v>
      </c>
      <c r="F505" s="24" t="s">
        <v>125</v>
      </c>
    </row>
    <row r="506" spans="1:6" ht="16" customHeight="1" x14ac:dyDescent="0.45">
      <c r="A506" s="19" t="s">
        <v>1130</v>
      </c>
      <c r="B506" s="20" t="s">
        <v>1131</v>
      </c>
      <c r="C506" s="21">
        <v>13670</v>
      </c>
      <c r="D506" s="22"/>
      <c r="E506" s="23">
        <v>-2.0099999904632571E-2</v>
      </c>
      <c r="F506" s="24" t="s">
        <v>128</v>
      </c>
    </row>
    <row r="507" spans="1:6" ht="16" customHeight="1" x14ac:dyDescent="0.45">
      <c r="A507" s="19" t="s">
        <v>1132</v>
      </c>
      <c r="B507" s="20" t="s">
        <v>1133</v>
      </c>
      <c r="C507" s="21">
        <v>22500</v>
      </c>
      <c r="D507" s="22"/>
      <c r="E507" s="23">
        <v>-1.3200000524520869E-2</v>
      </c>
      <c r="F507" s="24" t="s">
        <v>128</v>
      </c>
    </row>
    <row r="508" spans="1:6" ht="16" customHeight="1" x14ac:dyDescent="0.45">
      <c r="A508" s="19" t="s">
        <v>1134</v>
      </c>
      <c r="B508" s="20" t="s">
        <v>1135</v>
      </c>
      <c r="C508" s="21">
        <v>380000</v>
      </c>
      <c r="D508" s="22"/>
      <c r="E508" s="23">
        <v>-2.599999904632568E-3</v>
      </c>
      <c r="F508" s="24" t="s">
        <v>128</v>
      </c>
    </row>
    <row r="509" spans="1:6" ht="16" customHeight="1" x14ac:dyDescent="0.45">
      <c r="A509" s="19" t="s">
        <v>1136</v>
      </c>
      <c r="B509" s="20" t="s">
        <v>1137</v>
      </c>
      <c r="C509" s="21">
        <v>97000</v>
      </c>
      <c r="D509" s="22"/>
      <c r="E509" s="23">
        <v>-2.099999934434891E-3</v>
      </c>
      <c r="F509" s="24" t="s">
        <v>128</v>
      </c>
    </row>
    <row r="510" spans="1:6" ht="16" customHeight="1" x14ac:dyDescent="0.45">
      <c r="A510" s="19" t="s">
        <v>1138</v>
      </c>
      <c r="B510" s="20" t="s">
        <v>1139</v>
      </c>
      <c r="C510" s="21">
        <v>8000</v>
      </c>
      <c r="D510" s="22"/>
      <c r="E510" s="23">
        <v>-1.230000019073486E-2</v>
      </c>
      <c r="F510" s="24" t="s">
        <v>125</v>
      </c>
    </row>
    <row r="511" spans="1:6" ht="16" customHeight="1" x14ac:dyDescent="0.45">
      <c r="A511" s="19" t="s">
        <v>1140</v>
      </c>
      <c r="B511" s="20" t="s">
        <v>1141</v>
      </c>
      <c r="C511" s="21">
        <v>2055</v>
      </c>
      <c r="D511" s="22"/>
      <c r="E511" s="23">
        <v>-4.4200000762939451E-2</v>
      </c>
      <c r="F511" s="24" t="s">
        <v>125</v>
      </c>
    </row>
    <row r="512" spans="1:6" ht="16" customHeight="1" x14ac:dyDescent="0.45">
      <c r="A512" s="19" t="s">
        <v>1142</v>
      </c>
      <c r="B512" s="20" t="s">
        <v>1143</v>
      </c>
      <c r="C512" s="21">
        <v>16840</v>
      </c>
      <c r="D512" s="22"/>
      <c r="E512" s="23">
        <v>-3.7200000286102292E-2</v>
      </c>
      <c r="F512" s="24" t="s">
        <v>125</v>
      </c>
    </row>
    <row r="513" spans="1:6" ht="16" customHeight="1" x14ac:dyDescent="0.45">
      <c r="A513" s="19" t="s">
        <v>1144</v>
      </c>
      <c r="B513" s="20" t="s">
        <v>1145</v>
      </c>
      <c r="C513" s="21">
        <v>1282</v>
      </c>
      <c r="D513" s="22"/>
      <c r="E513" s="23">
        <v>-5.5300002098083487E-2</v>
      </c>
      <c r="F513" s="24" t="s">
        <v>125</v>
      </c>
    </row>
    <row r="514" spans="1:6" ht="16" customHeight="1" x14ac:dyDescent="0.45">
      <c r="A514" s="19" t="s">
        <v>1146</v>
      </c>
      <c r="B514" s="20" t="s">
        <v>1147</v>
      </c>
      <c r="C514" s="21">
        <v>65100</v>
      </c>
      <c r="D514" s="22"/>
      <c r="E514" s="23">
        <v>-3.7000000476837158E-2</v>
      </c>
      <c r="F514" s="24" t="s">
        <v>125</v>
      </c>
    </row>
    <row r="515" spans="1:6" ht="16" customHeight="1" x14ac:dyDescent="0.45">
      <c r="A515" s="19" t="s">
        <v>1148</v>
      </c>
      <c r="B515" s="20" t="s">
        <v>1149</v>
      </c>
      <c r="C515" s="21">
        <v>19250</v>
      </c>
      <c r="D515" s="22"/>
      <c r="E515" s="23">
        <v>-3.4100000858306882E-2</v>
      </c>
      <c r="F515" s="24" t="s">
        <v>125</v>
      </c>
    </row>
    <row r="516" spans="1:6" ht="16" customHeight="1" x14ac:dyDescent="0.45">
      <c r="A516" s="19" t="s">
        <v>1150</v>
      </c>
      <c r="B516" s="20" t="s">
        <v>1151</v>
      </c>
      <c r="C516" s="21">
        <v>1414</v>
      </c>
      <c r="D516" s="22"/>
      <c r="E516" s="23">
        <v>-4.0100002288818361E-2</v>
      </c>
      <c r="F516" s="24" t="s">
        <v>125</v>
      </c>
    </row>
    <row r="517" spans="1:6" ht="16" customHeight="1" x14ac:dyDescent="0.45">
      <c r="A517" s="19" t="s">
        <v>1152</v>
      </c>
      <c r="B517" s="20" t="s">
        <v>1153</v>
      </c>
      <c r="C517" s="21">
        <v>15430</v>
      </c>
      <c r="D517" s="22"/>
      <c r="E517" s="23">
        <v>1.6499999761581421E-2</v>
      </c>
      <c r="F517" s="24" t="s">
        <v>125</v>
      </c>
    </row>
    <row r="518" spans="1:6" ht="16" customHeight="1" x14ac:dyDescent="0.45">
      <c r="A518" s="19" t="s">
        <v>1154</v>
      </c>
      <c r="B518" s="20" t="s">
        <v>1155</v>
      </c>
      <c r="C518" s="21">
        <v>555</v>
      </c>
      <c r="D518" s="22"/>
      <c r="E518" s="23">
        <v>0</v>
      </c>
      <c r="F518" s="24" t="s">
        <v>125</v>
      </c>
    </row>
    <row r="519" spans="1:6" ht="16" customHeight="1" x14ac:dyDescent="0.45">
      <c r="A519" s="19" t="s">
        <v>1156</v>
      </c>
      <c r="B519" s="20" t="s">
        <v>1157</v>
      </c>
      <c r="C519" s="21">
        <v>2105</v>
      </c>
      <c r="D519" s="22"/>
      <c r="E519" s="23">
        <v>0.29940000534057609</v>
      </c>
      <c r="F519" s="24" t="s">
        <v>125</v>
      </c>
    </row>
    <row r="520" spans="1:6" ht="16" customHeight="1" x14ac:dyDescent="0.45">
      <c r="A520" s="19" t="s">
        <v>1158</v>
      </c>
      <c r="B520" s="20" t="s">
        <v>1159</v>
      </c>
      <c r="C520" s="21">
        <v>4310</v>
      </c>
      <c r="D520" s="22"/>
      <c r="E520" s="23">
        <v>-4.3299999237060537E-2</v>
      </c>
      <c r="F520" s="24" t="s">
        <v>125</v>
      </c>
    </row>
    <row r="521" spans="1:6" ht="16" customHeight="1" x14ac:dyDescent="0.45">
      <c r="A521" s="19" t="s">
        <v>1160</v>
      </c>
      <c r="B521" s="20" t="s">
        <v>1161</v>
      </c>
      <c r="C521" s="21">
        <v>4250</v>
      </c>
      <c r="D521" s="22"/>
      <c r="E521" s="23">
        <v>-1.159999966621399E-2</v>
      </c>
      <c r="F521" s="24" t="s">
        <v>125</v>
      </c>
    </row>
    <row r="522" spans="1:6" ht="16" customHeight="1" x14ac:dyDescent="0.45">
      <c r="A522" s="19" t="s">
        <v>1162</v>
      </c>
      <c r="B522" s="20" t="s">
        <v>1163</v>
      </c>
      <c r="C522" s="21">
        <v>7360</v>
      </c>
      <c r="D522" s="22"/>
      <c r="E522" s="23">
        <v>4.0999999046325682E-2</v>
      </c>
      <c r="F522" s="24" t="s">
        <v>125</v>
      </c>
    </row>
    <row r="523" spans="1:6" ht="16" customHeight="1" x14ac:dyDescent="0.45">
      <c r="A523" s="19" t="s">
        <v>1164</v>
      </c>
      <c r="B523" s="20" t="s">
        <v>1165</v>
      </c>
      <c r="C523" s="21">
        <v>6810</v>
      </c>
      <c r="D523" s="22"/>
      <c r="E523" s="23">
        <v>4.7699999809265127E-2</v>
      </c>
      <c r="F523" s="24" t="s">
        <v>125</v>
      </c>
    </row>
    <row r="524" spans="1:6" ht="16" customHeight="1" x14ac:dyDescent="0.45">
      <c r="A524" s="19" t="s">
        <v>1166</v>
      </c>
      <c r="B524" s="20" t="s">
        <v>1167</v>
      </c>
      <c r="C524" s="21">
        <v>7950</v>
      </c>
      <c r="D524" s="22"/>
      <c r="E524" s="23">
        <v>7.0000000000000007E-2</v>
      </c>
      <c r="F524" s="24" t="s">
        <v>125</v>
      </c>
    </row>
    <row r="525" spans="1:6" ht="16" customHeight="1" x14ac:dyDescent="0.45">
      <c r="A525" s="19" t="s">
        <v>1168</v>
      </c>
      <c r="B525" s="20" t="s">
        <v>1169</v>
      </c>
      <c r="C525" s="21">
        <v>1479</v>
      </c>
      <c r="D525" s="22"/>
      <c r="E525" s="23">
        <v>-4.1500000953674322E-2</v>
      </c>
      <c r="F525" s="24" t="s">
        <v>125</v>
      </c>
    </row>
    <row r="526" spans="1:6" ht="16" customHeight="1" x14ac:dyDescent="0.45">
      <c r="A526" s="19" t="s">
        <v>1170</v>
      </c>
      <c r="B526" s="20" t="s">
        <v>1171</v>
      </c>
      <c r="C526" s="21">
        <v>4870</v>
      </c>
      <c r="D526" s="22"/>
      <c r="E526" s="23">
        <v>-2.9900000095367429E-2</v>
      </c>
      <c r="F526" s="24" t="s">
        <v>125</v>
      </c>
    </row>
    <row r="527" spans="1:6" ht="16" customHeight="1" x14ac:dyDescent="0.45">
      <c r="A527" s="19" t="s">
        <v>1172</v>
      </c>
      <c r="B527" s="20" t="s">
        <v>1173</v>
      </c>
      <c r="C527" s="21">
        <v>1284</v>
      </c>
      <c r="D527" s="22"/>
      <c r="E527" s="23">
        <v>-1.309999942779541E-2</v>
      </c>
      <c r="F527" s="24" t="s">
        <v>125</v>
      </c>
    </row>
    <row r="528" spans="1:6" ht="16" customHeight="1" x14ac:dyDescent="0.45">
      <c r="A528" s="19" t="s">
        <v>1174</v>
      </c>
      <c r="B528" s="20" t="s">
        <v>1175</v>
      </c>
      <c r="C528" s="21">
        <v>1219</v>
      </c>
      <c r="D528" s="22"/>
      <c r="E528" s="23">
        <v>-2.5000000000000001E-3</v>
      </c>
      <c r="F528" s="24" t="s">
        <v>125</v>
      </c>
    </row>
    <row r="529" spans="1:6" ht="16" customHeight="1" x14ac:dyDescent="0.45">
      <c r="A529" s="19" t="s">
        <v>1176</v>
      </c>
      <c r="B529" s="20" t="s">
        <v>1177</v>
      </c>
      <c r="C529" s="21">
        <v>3630</v>
      </c>
      <c r="D529" s="22"/>
      <c r="E529" s="23">
        <v>-3.2000000476837161E-2</v>
      </c>
      <c r="F529" s="24" t="s">
        <v>128</v>
      </c>
    </row>
    <row r="530" spans="1:6" ht="16" customHeight="1" x14ac:dyDescent="0.45">
      <c r="A530" s="19" t="s">
        <v>1178</v>
      </c>
      <c r="B530" s="20" t="s">
        <v>1179</v>
      </c>
      <c r="C530" s="21">
        <v>5200</v>
      </c>
      <c r="D530" s="22"/>
      <c r="E530" s="23">
        <v>0.1243000030517578</v>
      </c>
      <c r="F530" s="24" t="s">
        <v>128</v>
      </c>
    </row>
    <row r="531" spans="1:6" ht="16" customHeight="1" x14ac:dyDescent="0.45">
      <c r="A531" s="19" t="s">
        <v>1180</v>
      </c>
      <c r="B531" s="20" t="s">
        <v>1181</v>
      </c>
      <c r="C531" s="21">
        <v>49850</v>
      </c>
      <c r="D531" s="22"/>
      <c r="E531" s="23">
        <v>4.5100002288818358E-2</v>
      </c>
      <c r="F531" s="24" t="s">
        <v>128</v>
      </c>
    </row>
    <row r="532" spans="1:6" ht="16" customHeight="1" x14ac:dyDescent="0.45">
      <c r="A532" s="19" t="s">
        <v>1182</v>
      </c>
      <c r="B532" s="20" t="s">
        <v>1183</v>
      </c>
      <c r="C532" s="21">
        <v>24750</v>
      </c>
      <c r="D532" s="22"/>
      <c r="E532" s="23">
        <v>3.7699999809265139E-2</v>
      </c>
      <c r="F532" s="24" t="s">
        <v>125</v>
      </c>
    </row>
    <row r="533" spans="1:6" ht="16" customHeight="1" x14ac:dyDescent="0.45">
      <c r="A533" s="19" t="s">
        <v>1184</v>
      </c>
      <c r="B533" s="20" t="s">
        <v>1185</v>
      </c>
      <c r="C533" s="21">
        <v>14480</v>
      </c>
      <c r="D533" s="22"/>
      <c r="E533" s="23">
        <v>5.6900000572204588E-2</v>
      </c>
      <c r="F533" s="24" t="s">
        <v>125</v>
      </c>
    </row>
    <row r="534" spans="1:6" ht="16" customHeight="1" x14ac:dyDescent="0.45">
      <c r="A534" s="19" t="s">
        <v>1186</v>
      </c>
      <c r="B534" s="20" t="s">
        <v>1187</v>
      </c>
      <c r="C534" s="21">
        <v>2530</v>
      </c>
      <c r="D534" s="22"/>
      <c r="E534" s="23">
        <v>0</v>
      </c>
      <c r="F534" s="24" t="s">
        <v>125</v>
      </c>
    </row>
    <row r="535" spans="1:6" ht="16" customHeight="1" x14ac:dyDescent="0.45">
      <c r="A535" s="19" t="s">
        <v>1188</v>
      </c>
      <c r="B535" s="20" t="s">
        <v>1189</v>
      </c>
      <c r="C535" s="21">
        <v>224</v>
      </c>
      <c r="D535" s="22"/>
      <c r="E535" s="23">
        <v>0</v>
      </c>
      <c r="F535" s="24" t="s">
        <v>128</v>
      </c>
    </row>
    <row r="536" spans="1:6" ht="16" customHeight="1" x14ac:dyDescent="0.45">
      <c r="A536" s="19" t="s">
        <v>1190</v>
      </c>
      <c r="B536" s="20" t="s">
        <v>1191</v>
      </c>
      <c r="C536" s="21">
        <v>1190</v>
      </c>
      <c r="D536" s="22"/>
      <c r="E536" s="23">
        <v>2.6700000762939449E-2</v>
      </c>
      <c r="F536" s="24" t="s">
        <v>125</v>
      </c>
    </row>
    <row r="537" spans="1:6" ht="16" customHeight="1" x14ac:dyDescent="0.45">
      <c r="A537" s="19" t="s">
        <v>1192</v>
      </c>
      <c r="B537" s="20" t="s">
        <v>1193</v>
      </c>
      <c r="C537" s="21">
        <v>218000</v>
      </c>
      <c r="D537" s="22"/>
      <c r="E537" s="23">
        <v>-2.4600000381469731E-2</v>
      </c>
      <c r="F537" s="24" t="s">
        <v>128</v>
      </c>
    </row>
    <row r="538" spans="1:6" ht="16" customHeight="1" x14ac:dyDescent="0.45">
      <c r="A538" s="19" t="s">
        <v>1194</v>
      </c>
      <c r="B538" s="20" t="s">
        <v>1195</v>
      </c>
      <c r="C538" s="21">
        <v>2155</v>
      </c>
      <c r="D538" s="22"/>
      <c r="E538" s="23">
        <v>-3.5799999237060537E-2</v>
      </c>
      <c r="F538" s="24" t="s">
        <v>125</v>
      </c>
    </row>
    <row r="539" spans="1:6" ht="16" customHeight="1" x14ac:dyDescent="0.45">
      <c r="A539" s="19" t="s">
        <v>1196</v>
      </c>
      <c r="B539" s="20" t="s">
        <v>1197</v>
      </c>
      <c r="C539" s="21">
        <v>1476</v>
      </c>
      <c r="D539" s="22"/>
      <c r="E539" s="23">
        <v>-1.399999976158142E-2</v>
      </c>
      <c r="F539" s="24" t="s">
        <v>128</v>
      </c>
    </row>
    <row r="540" spans="1:6" ht="16" customHeight="1" x14ac:dyDescent="0.45">
      <c r="A540" s="19" t="s">
        <v>1198</v>
      </c>
      <c r="B540" s="20" t="s">
        <v>1199</v>
      </c>
      <c r="C540" s="21">
        <v>1037</v>
      </c>
      <c r="D540" s="22"/>
      <c r="E540" s="23">
        <v>-1.2400000095367431E-2</v>
      </c>
      <c r="F540" s="24" t="s">
        <v>128</v>
      </c>
    </row>
    <row r="541" spans="1:6" ht="16" customHeight="1" x14ac:dyDescent="0.45">
      <c r="A541" s="19" t="s">
        <v>1200</v>
      </c>
      <c r="B541" s="20" t="s">
        <v>1201</v>
      </c>
      <c r="C541" s="21">
        <v>5700</v>
      </c>
      <c r="D541" s="22"/>
      <c r="E541" s="23">
        <v>-4.6799998283386227E-2</v>
      </c>
      <c r="F541" s="24" t="s">
        <v>128</v>
      </c>
    </row>
    <row r="542" spans="1:6" ht="16" customHeight="1" x14ac:dyDescent="0.45">
      <c r="A542" s="19" t="s">
        <v>1202</v>
      </c>
      <c r="B542" s="20" t="s">
        <v>1203</v>
      </c>
      <c r="C542" s="21">
        <v>16630</v>
      </c>
      <c r="D542" s="22"/>
      <c r="E542" s="23">
        <v>1.399999976158142E-2</v>
      </c>
      <c r="F542" s="24" t="s">
        <v>128</v>
      </c>
    </row>
    <row r="543" spans="1:6" ht="16" customHeight="1" x14ac:dyDescent="0.45">
      <c r="A543" s="19" t="s">
        <v>1204</v>
      </c>
      <c r="B543" s="20" t="s">
        <v>1205</v>
      </c>
      <c r="C543" s="21">
        <v>11800</v>
      </c>
      <c r="D543" s="22"/>
      <c r="E543" s="23">
        <v>1.7200000286102291E-2</v>
      </c>
      <c r="F543" s="24" t="s">
        <v>128</v>
      </c>
    </row>
    <row r="544" spans="1:6" ht="16" customHeight="1" x14ac:dyDescent="0.45">
      <c r="A544" s="19" t="s">
        <v>1206</v>
      </c>
      <c r="B544" s="20" t="s">
        <v>1207</v>
      </c>
      <c r="C544" s="21">
        <v>124300</v>
      </c>
      <c r="D544" s="22"/>
      <c r="E544" s="23">
        <v>8.6499996185302741E-2</v>
      </c>
      <c r="F544" s="24" t="s">
        <v>128</v>
      </c>
    </row>
    <row r="545" spans="1:6" ht="16" customHeight="1" x14ac:dyDescent="0.45">
      <c r="A545" s="19" t="s">
        <v>1208</v>
      </c>
      <c r="B545" s="20" t="s">
        <v>1209</v>
      </c>
      <c r="C545" s="21">
        <v>30450</v>
      </c>
      <c r="D545" s="22"/>
      <c r="E545" s="23">
        <v>0.16</v>
      </c>
      <c r="F545" s="24" t="s">
        <v>128</v>
      </c>
    </row>
    <row r="546" spans="1:6" ht="16" customHeight="1" x14ac:dyDescent="0.45">
      <c r="A546" s="19" t="s">
        <v>1210</v>
      </c>
      <c r="B546" s="20" t="s">
        <v>1211</v>
      </c>
      <c r="C546" s="21">
        <v>10500</v>
      </c>
      <c r="D546" s="22"/>
      <c r="E546" s="23">
        <v>-1.039999961853027E-2</v>
      </c>
      <c r="F546" s="24" t="s">
        <v>128</v>
      </c>
    </row>
    <row r="547" spans="1:6" ht="16" customHeight="1" x14ac:dyDescent="0.45">
      <c r="A547" s="19" t="s">
        <v>1212</v>
      </c>
      <c r="B547" s="20" t="s">
        <v>1213</v>
      </c>
      <c r="C547" s="21">
        <v>1900</v>
      </c>
      <c r="D547" s="22"/>
      <c r="E547" s="23">
        <v>0</v>
      </c>
      <c r="F547" s="24" t="s">
        <v>251</v>
      </c>
    </row>
    <row r="548" spans="1:6" ht="16" customHeight="1" x14ac:dyDescent="0.45">
      <c r="A548" s="19" t="s">
        <v>1214</v>
      </c>
      <c r="B548" s="20" t="s">
        <v>1215</v>
      </c>
      <c r="C548" s="21">
        <v>5580</v>
      </c>
      <c r="D548" s="22"/>
      <c r="E548" s="23">
        <v>1.4500000476837161E-2</v>
      </c>
      <c r="F548" s="24" t="s">
        <v>125</v>
      </c>
    </row>
    <row r="549" spans="1:6" ht="16" customHeight="1" x14ac:dyDescent="0.45">
      <c r="A549" s="19" t="s">
        <v>1216</v>
      </c>
      <c r="B549" s="20" t="s">
        <v>1217</v>
      </c>
      <c r="C549" s="21">
        <v>20200</v>
      </c>
      <c r="D549" s="22"/>
      <c r="E549" s="23">
        <v>-1.940000057220459E-2</v>
      </c>
      <c r="F549" s="24" t="s">
        <v>125</v>
      </c>
    </row>
    <row r="550" spans="1:6" ht="16" customHeight="1" x14ac:dyDescent="0.45">
      <c r="A550" s="19" t="s">
        <v>1218</v>
      </c>
      <c r="B550" s="20" t="s">
        <v>1219</v>
      </c>
      <c r="C550" s="21">
        <v>3540</v>
      </c>
      <c r="D550" s="22"/>
      <c r="E550" s="23">
        <v>-1.940000057220459E-2</v>
      </c>
      <c r="F550" s="24" t="s">
        <v>125</v>
      </c>
    </row>
    <row r="551" spans="1:6" ht="16" customHeight="1" x14ac:dyDescent="0.45">
      <c r="A551" s="19" t="s">
        <v>1220</v>
      </c>
      <c r="B551" s="20" t="s">
        <v>1221</v>
      </c>
      <c r="C551" s="21">
        <v>4025</v>
      </c>
      <c r="D551" s="22"/>
      <c r="E551" s="23">
        <v>-8.6000001430511473E-3</v>
      </c>
      <c r="F551" s="24" t="s">
        <v>125</v>
      </c>
    </row>
    <row r="552" spans="1:6" ht="16" customHeight="1" x14ac:dyDescent="0.45">
      <c r="A552" s="19" t="s">
        <v>1222</v>
      </c>
      <c r="B552" s="20" t="s">
        <v>1223</v>
      </c>
      <c r="C552" s="21">
        <v>5460</v>
      </c>
      <c r="D552" s="22"/>
      <c r="E552" s="23">
        <v>-3.5299999713897703E-2</v>
      </c>
      <c r="F552" s="24" t="s">
        <v>128</v>
      </c>
    </row>
    <row r="553" spans="1:6" ht="16" customHeight="1" x14ac:dyDescent="0.45">
      <c r="A553" s="19" t="s">
        <v>1224</v>
      </c>
      <c r="B553" s="20" t="s">
        <v>1225</v>
      </c>
      <c r="C553" s="21">
        <v>9510</v>
      </c>
      <c r="D553" s="22"/>
      <c r="E553" s="23">
        <v>-4.1999998688697811E-3</v>
      </c>
      <c r="F553" s="24" t="s">
        <v>125</v>
      </c>
    </row>
    <row r="554" spans="1:6" ht="16" customHeight="1" x14ac:dyDescent="0.45">
      <c r="A554" s="19" t="s">
        <v>1226</v>
      </c>
      <c r="B554" s="20" t="s">
        <v>1227</v>
      </c>
      <c r="C554" s="21">
        <v>2000</v>
      </c>
      <c r="D554" s="22"/>
      <c r="E554" s="23">
        <v>-9.9000000953674318E-3</v>
      </c>
      <c r="F554" s="24" t="s">
        <v>128</v>
      </c>
    </row>
    <row r="555" spans="1:6" ht="16" customHeight="1" x14ac:dyDescent="0.45">
      <c r="A555" s="19" t="s">
        <v>1228</v>
      </c>
      <c r="B555" s="20" t="s">
        <v>1229</v>
      </c>
      <c r="C555" s="21">
        <v>23450</v>
      </c>
      <c r="D555" s="22"/>
      <c r="E555" s="23">
        <v>-1.8799999952316279E-2</v>
      </c>
      <c r="F555" s="24" t="s">
        <v>125</v>
      </c>
    </row>
    <row r="556" spans="1:6" ht="16" customHeight="1" x14ac:dyDescent="0.45">
      <c r="A556" s="19" t="s">
        <v>1230</v>
      </c>
      <c r="B556" s="20" t="s">
        <v>1231</v>
      </c>
      <c r="C556" s="21">
        <v>8850</v>
      </c>
      <c r="D556" s="22"/>
      <c r="E556" s="23">
        <v>-1.990000009536743E-2</v>
      </c>
      <c r="F556" s="24" t="s">
        <v>125</v>
      </c>
    </row>
    <row r="557" spans="1:6" ht="16" customHeight="1" x14ac:dyDescent="0.45">
      <c r="A557" s="19" t="s">
        <v>1232</v>
      </c>
      <c r="B557" s="20" t="s">
        <v>1233</v>
      </c>
      <c r="C557" s="21">
        <v>11930</v>
      </c>
      <c r="D557" s="22"/>
      <c r="E557" s="23">
        <v>-2.2899999618530269E-2</v>
      </c>
      <c r="F557" s="24" t="s">
        <v>125</v>
      </c>
    </row>
    <row r="558" spans="1:6" ht="16" customHeight="1" x14ac:dyDescent="0.45">
      <c r="A558" s="19" t="s">
        <v>1234</v>
      </c>
      <c r="B558" s="20" t="s">
        <v>1235</v>
      </c>
      <c r="C558" s="21">
        <v>10420</v>
      </c>
      <c r="D558" s="22"/>
      <c r="E558" s="23">
        <v>-1.980000019073486E-2</v>
      </c>
      <c r="F558" s="24" t="s">
        <v>125</v>
      </c>
    </row>
    <row r="559" spans="1:6" ht="16" customHeight="1" x14ac:dyDescent="0.45">
      <c r="A559" s="19" t="s">
        <v>1236</v>
      </c>
      <c r="B559" s="20" t="s">
        <v>1237</v>
      </c>
      <c r="C559" s="21">
        <v>145</v>
      </c>
      <c r="D559" s="22"/>
      <c r="E559" s="23">
        <v>0</v>
      </c>
      <c r="F559" s="24" t="s">
        <v>125</v>
      </c>
    </row>
    <row r="560" spans="1:6" ht="16" customHeight="1" x14ac:dyDescent="0.45">
      <c r="A560" s="19" t="s">
        <v>1238</v>
      </c>
      <c r="B560" s="20" t="s">
        <v>1239</v>
      </c>
      <c r="C560" s="21">
        <v>20200</v>
      </c>
      <c r="D560" s="22"/>
      <c r="E560" s="23">
        <v>-1.2200000286102301E-2</v>
      </c>
      <c r="F560" s="24" t="s">
        <v>128</v>
      </c>
    </row>
    <row r="561" spans="1:6" ht="16" customHeight="1" x14ac:dyDescent="0.45">
      <c r="A561" s="19" t="s">
        <v>1240</v>
      </c>
      <c r="B561" s="20" t="s">
        <v>1241</v>
      </c>
      <c r="C561" s="21">
        <v>16760</v>
      </c>
      <c r="D561" s="22"/>
      <c r="E561" s="23">
        <v>5.9999998658895489E-4</v>
      </c>
      <c r="F561" s="24" t="s">
        <v>128</v>
      </c>
    </row>
    <row r="562" spans="1:6" ht="16" customHeight="1" x14ac:dyDescent="0.45">
      <c r="A562" s="19" t="s">
        <v>1242</v>
      </c>
      <c r="B562" s="20" t="s">
        <v>1243</v>
      </c>
      <c r="C562" s="21">
        <v>9250</v>
      </c>
      <c r="D562" s="22"/>
      <c r="E562" s="23">
        <v>-1.7999999523162839E-2</v>
      </c>
      <c r="F562" s="24" t="s">
        <v>128</v>
      </c>
    </row>
    <row r="563" spans="1:6" ht="16" customHeight="1" x14ac:dyDescent="0.45">
      <c r="A563" s="19" t="s">
        <v>1244</v>
      </c>
      <c r="B563" s="20" t="s">
        <v>1245</v>
      </c>
      <c r="C563" s="21">
        <v>13890</v>
      </c>
      <c r="D563" s="22"/>
      <c r="E563" s="23">
        <v>-2.8699998855590821E-2</v>
      </c>
      <c r="F563" s="24" t="s">
        <v>128</v>
      </c>
    </row>
    <row r="564" spans="1:6" ht="16" customHeight="1" x14ac:dyDescent="0.45">
      <c r="A564" s="19" t="s">
        <v>1246</v>
      </c>
      <c r="B564" s="20" t="s">
        <v>1247</v>
      </c>
      <c r="C564" s="21">
        <v>7170</v>
      </c>
      <c r="D564" s="22"/>
      <c r="E564" s="23">
        <v>-2.5799999237060549E-2</v>
      </c>
      <c r="F564" s="24" t="s">
        <v>125</v>
      </c>
    </row>
    <row r="565" spans="1:6" ht="16" customHeight="1" x14ac:dyDescent="0.45">
      <c r="A565" s="19" t="s">
        <v>1248</v>
      </c>
      <c r="B565" s="20" t="s">
        <v>1249</v>
      </c>
      <c r="C565" s="21">
        <v>6830</v>
      </c>
      <c r="D565" s="22"/>
      <c r="E565" s="23">
        <v>-4.7399997711181641E-2</v>
      </c>
      <c r="F565" s="24" t="s">
        <v>128</v>
      </c>
    </row>
    <row r="566" spans="1:6" ht="16" customHeight="1" x14ac:dyDescent="0.45">
      <c r="A566" s="19" t="s">
        <v>1250</v>
      </c>
      <c r="B566" s="20" t="s">
        <v>1251</v>
      </c>
      <c r="C566" s="21">
        <v>8645</v>
      </c>
      <c r="D566" s="22"/>
      <c r="E566" s="23">
        <v>-2.9700000286102299E-2</v>
      </c>
      <c r="F566" s="24" t="s">
        <v>128</v>
      </c>
    </row>
    <row r="567" spans="1:6" ht="16" customHeight="1" x14ac:dyDescent="0.45">
      <c r="A567" s="19" t="s">
        <v>1252</v>
      </c>
      <c r="B567" s="20" t="s">
        <v>1253</v>
      </c>
      <c r="C567" s="21">
        <v>1557</v>
      </c>
      <c r="D567" s="22"/>
      <c r="E567" s="23">
        <v>-1.4600000381469729E-2</v>
      </c>
      <c r="F567" s="24" t="s">
        <v>125</v>
      </c>
    </row>
    <row r="568" spans="1:6" ht="16" customHeight="1" x14ac:dyDescent="0.45">
      <c r="A568" s="19" t="s">
        <v>1254</v>
      </c>
      <c r="B568" s="20" t="s">
        <v>1255</v>
      </c>
      <c r="C568" s="21">
        <v>8710</v>
      </c>
      <c r="D568" s="22"/>
      <c r="E568" s="23">
        <v>-0.17829999923706061</v>
      </c>
      <c r="F568" s="24" t="s">
        <v>125</v>
      </c>
    </row>
    <row r="569" spans="1:6" ht="16" customHeight="1" x14ac:dyDescent="0.45">
      <c r="A569" s="19" t="s">
        <v>1256</v>
      </c>
      <c r="B569" s="20" t="s">
        <v>1257</v>
      </c>
      <c r="C569" s="21">
        <v>8430</v>
      </c>
      <c r="D569" s="22"/>
      <c r="E569" s="23">
        <v>-1.2899999618530269E-2</v>
      </c>
      <c r="F569" s="24" t="s">
        <v>128</v>
      </c>
    </row>
    <row r="570" spans="1:6" ht="16" customHeight="1" x14ac:dyDescent="0.45">
      <c r="A570" s="19" t="s">
        <v>1258</v>
      </c>
      <c r="B570" s="20" t="s">
        <v>1259</v>
      </c>
      <c r="C570" s="21">
        <v>2120</v>
      </c>
      <c r="D570" s="22"/>
      <c r="E570" s="23">
        <v>2.39999994635582E-3</v>
      </c>
      <c r="F570" s="24" t="s">
        <v>125</v>
      </c>
    </row>
    <row r="571" spans="1:6" ht="16" customHeight="1" x14ac:dyDescent="0.45">
      <c r="A571" s="19" t="s">
        <v>1260</v>
      </c>
      <c r="B571" s="20" t="s">
        <v>1261</v>
      </c>
      <c r="C571" s="21">
        <v>2155</v>
      </c>
      <c r="D571" s="22"/>
      <c r="E571" s="23">
        <v>-2.300000041723252E-3</v>
      </c>
      <c r="F571" s="24" t="s">
        <v>125</v>
      </c>
    </row>
    <row r="572" spans="1:6" ht="16" customHeight="1" x14ac:dyDescent="0.45">
      <c r="A572" s="19" t="s">
        <v>1262</v>
      </c>
      <c r="B572" s="20" t="s">
        <v>1263</v>
      </c>
      <c r="C572" s="21">
        <v>4275</v>
      </c>
      <c r="D572" s="22"/>
      <c r="E572" s="23">
        <v>-1.4999999999999999E-2</v>
      </c>
      <c r="F572" s="24" t="s">
        <v>128</v>
      </c>
    </row>
    <row r="573" spans="1:6" ht="16" customHeight="1" x14ac:dyDescent="0.45">
      <c r="A573" s="19" t="s">
        <v>1264</v>
      </c>
      <c r="B573" s="20" t="s">
        <v>1265</v>
      </c>
      <c r="C573" s="21">
        <v>1189</v>
      </c>
      <c r="D573" s="22"/>
      <c r="E573" s="23">
        <v>-2.5000000000000001E-3</v>
      </c>
      <c r="F573" s="24" t="s">
        <v>125</v>
      </c>
    </row>
    <row r="574" spans="1:6" ht="16" customHeight="1" x14ac:dyDescent="0.45">
      <c r="A574" s="19" t="s">
        <v>1266</v>
      </c>
      <c r="B574" s="20" t="s">
        <v>1267</v>
      </c>
      <c r="C574" s="21">
        <v>42700</v>
      </c>
      <c r="D574" s="22"/>
      <c r="E574" s="23">
        <v>6.8800001144409179E-2</v>
      </c>
      <c r="F574" s="24" t="s">
        <v>128</v>
      </c>
    </row>
    <row r="575" spans="1:6" ht="16" customHeight="1" x14ac:dyDescent="0.45">
      <c r="A575" s="19" t="s">
        <v>1268</v>
      </c>
      <c r="B575" s="20" t="s">
        <v>1269</v>
      </c>
      <c r="C575" s="21">
        <v>23450</v>
      </c>
      <c r="D575" s="22"/>
      <c r="E575" s="23">
        <v>2.6300001144409179E-2</v>
      </c>
      <c r="F575" s="24" t="s">
        <v>128</v>
      </c>
    </row>
    <row r="576" spans="1:6" ht="16" customHeight="1" x14ac:dyDescent="0.45">
      <c r="A576" s="19" t="s">
        <v>1270</v>
      </c>
      <c r="B576" s="20" t="s">
        <v>1271</v>
      </c>
      <c r="C576" s="21">
        <v>24550</v>
      </c>
      <c r="D576" s="22"/>
      <c r="E576" s="23">
        <v>2.5099999904632572E-2</v>
      </c>
      <c r="F576" s="24" t="s">
        <v>128</v>
      </c>
    </row>
    <row r="577" spans="1:6" ht="16" customHeight="1" x14ac:dyDescent="0.45">
      <c r="A577" s="19" t="s">
        <v>1272</v>
      </c>
      <c r="B577" s="20" t="s">
        <v>1273</v>
      </c>
      <c r="C577" s="21">
        <v>4870</v>
      </c>
      <c r="D577" s="22"/>
      <c r="E577" s="23">
        <v>1.2500000000000001E-2</v>
      </c>
      <c r="F577" s="24" t="s">
        <v>125</v>
      </c>
    </row>
    <row r="578" spans="1:6" ht="16" customHeight="1" x14ac:dyDescent="0.45">
      <c r="A578" s="19" t="s">
        <v>1274</v>
      </c>
      <c r="B578" s="20" t="s">
        <v>1275</v>
      </c>
      <c r="C578" s="21">
        <v>1599</v>
      </c>
      <c r="D578" s="22"/>
      <c r="E578" s="23">
        <v>3.9000000953674313E-2</v>
      </c>
      <c r="F578" s="24" t="s">
        <v>128</v>
      </c>
    </row>
    <row r="579" spans="1:6" ht="16" customHeight="1" x14ac:dyDescent="0.45">
      <c r="A579" s="19" t="s">
        <v>1276</v>
      </c>
      <c r="B579" s="20" t="s">
        <v>1277</v>
      </c>
      <c r="C579" s="21">
        <v>30400</v>
      </c>
      <c r="D579" s="22"/>
      <c r="E579" s="23">
        <v>-3.490000009536743E-2</v>
      </c>
      <c r="F579" s="24" t="s">
        <v>125</v>
      </c>
    </row>
    <row r="580" spans="1:6" ht="16" customHeight="1" x14ac:dyDescent="0.45">
      <c r="A580" s="19" t="s">
        <v>1278</v>
      </c>
      <c r="B580" s="20" t="s">
        <v>1279</v>
      </c>
      <c r="C580" s="21">
        <v>1143</v>
      </c>
      <c r="D580" s="22"/>
      <c r="E580" s="23">
        <v>-2.8900001049041751E-2</v>
      </c>
      <c r="F580" s="24" t="s">
        <v>128</v>
      </c>
    </row>
    <row r="581" spans="1:6" ht="16" customHeight="1" x14ac:dyDescent="0.45">
      <c r="A581" s="19" t="s">
        <v>1280</v>
      </c>
      <c r="B581" s="20" t="s">
        <v>1281</v>
      </c>
      <c r="C581" s="21">
        <v>32250</v>
      </c>
      <c r="D581" s="22"/>
      <c r="E581" s="23">
        <v>3.1000000238418581E-3</v>
      </c>
      <c r="F581" s="24" t="s">
        <v>128</v>
      </c>
    </row>
    <row r="582" spans="1:6" ht="16" customHeight="1" x14ac:dyDescent="0.45">
      <c r="A582" s="19" t="s">
        <v>1282</v>
      </c>
      <c r="B582" s="20" t="s">
        <v>1283</v>
      </c>
      <c r="C582" s="21">
        <v>22000</v>
      </c>
      <c r="D582" s="22"/>
      <c r="E582" s="23">
        <v>-1.7899999618530268E-2</v>
      </c>
      <c r="F582" s="24" t="s">
        <v>128</v>
      </c>
    </row>
    <row r="583" spans="1:6" ht="16" customHeight="1" x14ac:dyDescent="0.45">
      <c r="A583" s="19" t="s">
        <v>1284</v>
      </c>
      <c r="B583" s="20" t="s">
        <v>1285</v>
      </c>
      <c r="C583" s="21">
        <v>144500</v>
      </c>
      <c r="D583" s="22"/>
      <c r="E583" s="23">
        <v>-2.1700000762939448E-2</v>
      </c>
      <c r="F583" s="24" t="s">
        <v>128</v>
      </c>
    </row>
    <row r="584" spans="1:6" ht="16" customHeight="1" x14ac:dyDescent="0.45">
      <c r="A584" s="19" t="s">
        <v>1286</v>
      </c>
      <c r="B584" s="20" t="s">
        <v>1287</v>
      </c>
      <c r="C584" s="21">
        <v>4355</v>
      </c>
      <c r="D584" s="22"/>
      <c r="E584" s="23">
        <v>6.8999999761581417E-3</v>
      </c>
      <c r="F584" s="24" t="s">
        <v>125</v>
      </c>
    </row>
    <row r="585" spans="1:6" ht="16" customHeight="1" x14ac:dyDescent="0.45">
      <c r="A585" s="19" t="s">
        <v>1288</v>
      </c>
      <c r="B585" s="20" t="s">
        <v>1289</v>
      </c>
      <c r="C585" s="21">
        <v>4200</v>
      </c>
      <c r="D585" s="22"/>
      <c r="E585" s="23">
        <v>-3.6700000762939451E-2</v>
      </c>
      <c r="F585" s="24" t="s">
        <v>128</v>
      </c>
    </row>
    <row r="586" spans="1:6" ht="16" customHeight="1" x14ac:dyDescent="0.45">
      <c r="A586" s="19" t="s">
        <v>1290</v>
      </c>
      <c r="B586" s="20" t="s">
        <v>1291</v>
      </c>
      <c r="C586" s="21">
        <v>7350</v>
      </c>
      <c r="D586" s="22"/>
      <c r="E586" s="23">
        <v>-3.9200000762939453E-2</v>
      </c>
      <c r="F586" s="24" t="s">
        <v>125</v>
      </c>
    </row>
    <row r="587" spans="1:6" ht="16" customHeight="1" x14ac:dyDescent="0.45">
      <c r="A587" s="19" t="s">
        <v>1292</v>
      </c>
      <c r="B587" s="20" t="s">
        <v>1293</v>
      </c>
      <c r="C587" s="21">
        <v>13830</v>
      </c>
      <c r="D587" s="22"/>
      <c r="E587" s="23">
        <v>8.7999999523162842E-3</v>
      </c>
      <c r="F587" s="24" t="s">
        <v>125</v>
      </c>
    </row>
    <row r="588" spans="1:6" ht="16" customHeight="1" x14ac:dyDescent="0.45">
      <c r="A588" s="19" t="s">
        <v>1294</v>
      </c>
      <c r="B588" s="20" t="s">
        <v>1295</v>
      </c>
      <c r="C588" s="21">
        <v>18330</v>
      </c>
      <c r="D588" s="22"/>
      <c r="E588" s="23">
        <v>5.6500000953674308E-2</v>
      </c>
      <c r="F588" s="24" t="s">
        <v>128</v>
      </c>
    </row>
    <row r="589" spans="1:6" ht="16" customHeight="1" x14ac:dyDescent="0.45">
      <c r="A589" s="19" t="s">
        <v>1296</v>
      </c>
      <c r="B589" s="20" t="s">
        <v>1297</v>
      </c>
      <c r="C589" s="21">
        <v>12920</v>
      </c>
      <c r="D589" s="22"/>
      <c r="E589" s="23">
        <v>0</v>
      </c>
      <c r="F589" s="24" t="s">
        <v>128</v>
      </c>
    </row>
    <row r="590" spans="1:6" ht="16" customHeight="1" x14ac:dyDescent="0.45">
      <c r="A590" s="19" t="s">
        <v>1298</v>
      </c>
      <c r="B590" s="20" t="s">
        <v>1299</v>
      </c>
      <c r="C590" s="21">
        <v>10290</v>
      </c>
      <c r="D590" s="22"/>
      <c r="E590" s="23">
        <v>-2.369999885559082E-2</v>
      </c>
      <c r="F590" s="24" t="s">
        <v>128</v>
      </c>
    </row>
    <row r="591" spans="1:6" ht="16" customHeight="1" x14ac:dyDescent="0.45">
      <c r="A591" s="19" t="s">
        <v>1300</v>
      </c>
      <c r="B591" s="20" t="s">
        <v>1301</v>
      </c>
      <c r="C591" s="21">
        <v>906</v>
      </c>
      <c r="D591" s="22"/>
      <c r="E591" s="23">
        <v>0</v>
      </c>
      <c r="F591" s="24" t="s">
        <v>128</v>
      </c>
    </row>
    <row r="592" spans="1:6" ht="16" customHeight="1" x14ac:dyDescent="0.45">
      <c r="A592" s="19" t="s">
        <v>1302</v>
      </c>
      <c r="B592" s="20" t="s">
        <v>1303</v>
      </c>
      <c r="C592" s="21">
        <v>13530</v>
      </c>
      <c r="D592" s="22"/>
      <c r="E592" s="23">
        <v>8.8999998569488526E-3</v>
      </c>
      <c r="F592" s="24" t="s">
        <v>125</v>
      </c>
    </row>
    <row r="593" spans="1:6" ht="16" customHeight="1" x14ac:dyDescent="0.45">
      <c r="A593" s="19" t="s">
        <v>1304</v>
      </c>
      <c r="B593" s="20" t="s">
        <v>1305</v>
      </c>
      <c r="C593" s="21">
        <v>3390</v>
      </c>
      <c r="D593" s="22"/>
      <c r="E593" s="23">
        <v>-1.4500000476837161E-2</v>
      </c>
      <c r="F593" s="24" t="s">
        <v>125</v>
      </c>
    </row>
    <row r="594" spans="1:6" ht="16" customHeight="1" x14ac:dyDescent="0.45">
      <c r="A594" s="19" t="s">
        <v>1306</v>
      </c>
      <c r="B594" s="20" t="s">
        <v>1307</v>
      </c>
      <c r="C594" s="21">
        <v>2415</v>
      </c>
      <c r="D594" s="22"/>
      <c r="E594" s="23">
        <v>-0.13130000114440921</v>
      </c>
      <c r="F594" s="24" t="s">
        <v>251</v>
      </c>
    </row>
    <row r="595" spans="1:6" ht="16" customHeight="1" x14ac:dyDescent="0.45">
      <c r="A595" s="19" t="s">
        <v>1308</v>
      </c>
      <c r="B595" s="20" t="s">
        <v>1309</v>
      </c>
      <c r="C595" s="21">
        <v>155200</v>
      </c>
      <c r="D595" s="22"/>
      <c r="E595" s="23">
        <v>-1.4600000381469729E-2</v>
      </c>
      <c r="F595" s="24" t="s">
        <v>125</v>
      </c>
    </row>
    <row r="596" spans="1:6" ht="16" customHeight="1" x14ac:dyDescent="0.45">
      <c r="A596" s="19" t="s">
        <v>1310</v>
      </c>
      <c r="B596" s="20" t="s">
        <v>1311</v>
      </c>
      <c r="C596" s="21">
        <v>2825</v>
      </c>
      <c r="D596" s="22"/>
      <c r="E596" s="23">
        <v>0</v>
      </c>
      <c r="F596" s="24" t="s">
        <v>125</v>
      </c>
    </row>
    <row r="597" spans="1:6" ht="16" customHeight="1" x14ac:dyDescent="0.45">
      <c r="A597" s="19" t="s">
        <v>1312</v>
      </c>
      <c r="B597" s="20" t="s">
        <v>1313</v>
      </c>
      <c r="C597" s="21">
        <v>1706</v>
      </c>
      <c r="D597" s="22"/>
      <c r="E597" s="23">
        <v>-3.119999885559082E-2</v>
      </c>
      <c r="F597" s="24" t="s">
        <v>128</v>
      </c>
    </row>
    <row r="598" spans="1:6" ht="16" customHeight="1" x14ac:dyDescent="0.45">
      <c r="A598" s="19" t="s">
        <v>1314</v>
      </c>
      <c r="B598" s="20" t="s">
        <v>1315</v>
      </c>
      <c r="C598" s="21">
        <v>7220</v>
      </c>
      <c r="D598" s="22"/>
      <c r="E598" s="23">
        <v>-1.1000000238418579E-2</v>
      </c>
      <c r="F598" s="24" t="s">
        <v>128</v>
      </c>
    </row>
    <row r="599" spans="1:6" ht="16" customHeight="1" x14ac:dyDescent="0.45">
      <c r="A599" s="19" t="s">
        <v>1316</v>
      </c>
      <c r="B599" s="20" t="s">
        <v>1317</v>
      </c>
      <c r="C599" s="21">
        <v>3205</v>
      </c>
      <c r="D599" s="22"/>
      <c r="E599" s="23">
        <v>3.3900001049041749E-2</v>
      </c>
      <c r="F599" s="24" t="s">
        <v>125</v>
      </c>
    </row>
    <row r="600" spans="1:6" ht="16" customHeight="1" x14ac:dyDescent="0.45">
      <c r="A600" s="19" t="s">
        <v>1318</v>
      </c>
      <c r="B600" s="20" t="s">
        <v>1319</v>
      </c>
      <c r="C600" s="21">
        <v>2260</v>
      </c>
      <c r="D600" s="22"/>
      <c r="E600" s="23">
        <v>-1.7400000095367432E-2</v>
      </c>
      <c r="F600" s="24" t="s">
        <v>125</v>
      </c>
    </row>
    <row r="601" spans="1:6" ht="16" customHeight="1" x14ac:dyDescent="0.45">
      <c r="A601" s="19" t="s">
        <v>1320</v>
      </c>
      <c r="B601" s="20" t="s">
        <v>1321</v>
      </c>
      <c r="C601" s="21">
        <v>4695</v>
      </c>
      <c r="D601" s="22"/>
      <c r="E601" s="23">
        <v>-1.0499999523162841E-2</v>
      </c>
      <c r="F601" s="24" t="s">
        <v>125</v>
      </c>
    </row>
    <row r="602" spans="1:6" ht="16" customHeight="1" x14ac:dyDescent="0.45">
      <c r="A602" s="19" t="s">
        <v>1322</v>
      </c>
      <c r="B602" s="20" t="s">
        <v>1323</v>
      </c>
      <c r="C602" s="21">
        <v>17970</v>
      </c>
      <c r="D602" s="22"/>
      <c r="E602" s="23">
        <v>1.52999997138977E-2</v>
      </c>
      <c r="F602" s="24" t="s">
        <v>125</v>
      </c>
    </row>
    <row r="603" spans="1:6" ht="16" customHeight="1" x14ac:dyDescent="0.45">
      <c r="A603" s="19" t="s">
        <v>1324</v>
      </c>
      <c r="B603" s="20" t="s">
        <v>1325</v>
      </c>
      <c r="C603" s="21">
        <v>6830</v>
      </c>
      <c r="D603" s="22"/>
      <c r="E603" s="23">
        <v>-2.0099999904632571E-2</v>
      </c>
      <c r="F603" s="24" t="s">
        <v>125</v>
      </c>
    </row>
    <row r="604" spans="1:6" ht="16" customHeight="1" x14ac:dyDescent="0.45">
      <c r="A604" s="19" t="s">
        <v>1326</v>
      </c>
      <c r="B604" s="20" t="s">
        <v>1327</v>
      </c>
      <c r="C604" s="21">
        <v>6700</v>
      </c>
      <c r="D604" s="22"/>
      <c r="E604" s="23">
        <v>-3.0399999618530269E-2</v>
      </c>
      <c r="F604" s="24" t="s">
        <v>128</v>
      </c>
    </row>
    <row r="605" spans="1:6" ht="16" customHeight="1" x14ac:dyDescent="0.45">
      <c r="A605" s="19" t="s">
        <v>1328</v>
      </c>
      <c r="B605" s="20" t="s">
        <v>1329</v>
      </c>
      <c r="C605" s="21">
        <v>28400</v>
      </c>
      <c r="D605" s="22"/>
      <c r="E605" s="23">
        <v>-3.4999999403953551E-3</v>
      </c>
      <c r="F605" s="24" t="s">
        <v>125</v>
      </c>
    </row>
    <row r="606" spans="1:6" ht="16" customHeight="1" x14ac:dyDescent="0.45">
      <c r="A606" s="19" t="s">
        <v>1330</v>
      </c>
      <c r="B606" s="20" t="s">
        <v>1331</v>
      </c>
      <c r="C606" s="21">
        <v>170700</v>
      </c>
      <c r="D606" s="22"/>
      <c r="E606" s="23">
        <v>-5.1100001335144037E-2</v>
      </c>
      <c r="F606" s="24" t="s">
        <v>128</v>
      </c>
    </row>
    <row r="607" spans="1:6" ht="16" customHeight="1" x14ac:dyDescent="0.45">
      <c r="A607" s="19" t="s">
        <v>1332</v>
      </c>
      <c r="B607" s="20" t="s">
        <v>1333</v>
      </c>
      <c r="C607" s="21">
        <v>69700</v>
      </c>
      <c r="D607" s="22"/>
      <c r="E607" s="23">
        <v>0.14829999923706061</v>
      </c>
      <c r="F607" s="24" t="s">
        <v>128</v>
      </c>
    </row>
    <row r="608" spans="1:6" ht="16" customHeight="1" x14ac:dyDescent="0.45">
      <c r="A608" s="19" t="s">
        <v>1334</v>
      </c>
      <c r="B608" s="20" t="s">
        <v>1335</v>
      </c>
      <c r="C608" s="21">
        <v>12490</v>
      </c>
      <c r="D608" s="22"/>
      <c r="E608" s="23">
        <v>6.3999998569488521E-3</v>
      </c>
      <c r="F608" s="24" t="s">
        <v>128</v>
      </c>
    </row>
    <row r="609" spans="1:6" ht="16" customHeight="1" x14ac:dyDescent="0.45">
      <c r="A609" s="19" t="s">
        <v>1336</v>
      </c>
      <c r="B609" s="20" t="s">
        <v>1337</v>
      </c>
      <c r="C609" s="21">
        <v>2830</v>
      </c>
      <c r="D609" s="22"/>
      <c r="E609" s="23">
        <v>-2.0799999237060551E-2</v>
      </c>
      <c r="F609" s="24" t="s">
        <v>128</v>
      </c>
    </row>
    <row r="610" spans="1:6" ht="16" customHeight="1" x14ac:dyDescent="0.45">
      <c r="A610" s="19" t="s">
        <v>1338</v>
      </c>
      <c r="B610" s="20" t="s">
        <v>1339</v>
      </c>
      <c r="C610" s="21">
        <v>2445</v>
      </c>
      <c r="D610" s="22"/>
      <c r="E610" s="23">
        <v>-1.009999990463257E-2</v>
      </c>
      <c r="F610" s="24" t="s">
        <v>128</v>
      </c>
    </row>
    <row r="611" spans="1:6" ht="16" customHeight="1" x14ac:dyDescent="0.45">
      <c r="A611" s="19" t="s">
        <v>1340</v>
      </c>
      <c r="B611" s="20" t="s">
        <v>1341</v>
      </c>
      <c r="C611" s="21">
        <v>156500</v>
      </c>
      <c r="D611" s="22"/>
      <c r="E611" s="23">
        <v>0</v>
      </c>
      <c r="F611" s="24" t="s">
        <v>128</v>
      </c>
    </row>
    <row r="612" spans="1:6" ht="16" customHeight="1" x14ac:dyDescent="0.45">
      <c r="A612" s="19" t="s">
        <v>1342</v>
      </c>
      <c r="B612" s="20" t="s">
        <v>1343</v>
      </c>
      <c r="C612" s="21">
        <v>86250</v>
      </c>
      <c r="D612" s="22"/>
      <c r="E612" s="23">
        <v>-3.6300001144409177E-2</v>
      </c>
      <c r="F612" s="24" t="s">
        <v>128</v>
      </c>
    </row>
    <row r="613" spans="1:6" ht="16" customHeight="1" x14ac:dyDescent="0.45">
      <c r="A613" s="19" t="s">
        <v>1344</v>
      </c>
      <c r="B613" s="20" t="s">
        <v>1345</v>
      </c>
      <c r="C613" s="21">
        <v>24600</v>
      </c>
      <c r="D613" s="22"/>
      <c r="E613" s="23">
        <v>4.0999999642372144E-3</v>
      </c>
      <c r="F613" s="24" t="s">
        <v>128</v>
      </c>
    </row>
    <row r="614" spans="1:6" ht="16" customHeight="1" x14ac:dyDescent="0.45">
      <c r="A614" s="19" t="s">
        <v>1346</v>
      </c>
      <c r="B614" s="20" t="s">
        <v>1347</v>
      </c>
      <c r="C614" s="21">
        <v>23300</v>
      </c>
      <c r="D614" s="22"/>
      <c r="E614" s="23">
        <v>-1.0599999427795411E-2</v>
      </c>
      <c r="F614" s="24" t="s">
        <v>128</v>
      </c>
    </row>
    <row r="615" spans="1:6" ht="16" customHeight="1" x14ac:dyDescent="0.45">
      <c r="A615" s="19" t="s">
        <v>1348</v>
      </c>
      <c r="B615" s="20" t="s">
        <v>1349</v>
      </c>
      <c r="C615" s="21">
        <v>2600</v>
      </c>
      <c r="D615" s="22"/>
      <c r="E615" s="23">
        <v>0</v>
      </c>
      <c r="F615" s="24" t="s">
        <v>128</v>
      </c>
    </row>
    <row r="616" spans="1:6" ht="16" customHeight="1" x14ac:dyDescent="0.45">
      <c r="A616" s="19" t="s">
        <v>1350</v>
      </c>
      <c r="B616" s="20" t="s">
        <v>1351</v>
      </c>
      <c r="C616" s="21">
        <v>119100</v>
      </c>
      <c r="D616" s="22"/>
      <c r="E616" s="23">
        <v>-2.8499999046325681E-2</v>
      </c>
      <c r="F616" s="24" t="s">
        <v>128</v>
      </c>
    </row>
    <row r="617" spans="1:6" ht="16" customHeight="1" x14ac:dyDescent="0.45">
      <c r="A617" s="19" t="s">
        <v>1352</v>
      </c>
      <c r="B617" s="20" t="s">
        <v>1353</v>
      </c>
      <c r="C617" s="21">
        <v>1768</v>
      </c>
      <c r="D617" s="22"/>
      <c r="E617" s="23">
        <v>-3.8099999427795413E-2</v>
      </c>
      <c r="F617" s="24" t="s">
        <v>128</v>
      </c>
    </row>
    <row r="618" spans="1:6" ht="16" customHeight="1" x14ac:dyDescent="0.45">
      <c r="A618" s="19" t="s">
        <v>1354</v>
      </c>
      <c r="B618" s="20" t="s">
        <v>1355</v>
      </c>
      <c r="C618" s="21">
        <v>532</v>
      </c>
      <c r="D618" s="22"/>
      <c r="E618" s="23">
        <v>0</v>
      </c>
      <c r="F618" s="24" t="s">
        <v>128</v>
      </c>
    </row>
    <row r="619" spans="1:6" ht="16" customHeight="1" x14ac:dyDescent="0.45">
      <c r="A619" s="19" t="s">
        <v>1356</v>
      </c>
      <c r="B619" s="20" t="s">
        <v>1357</v>
      </c>
      <c r="C619" s="21">
        <v>1288</v>
      </c>
      <c r="D619" s="22"/>
      <c r="E619" s="23">
        <v>-3.6600000858306878E-2</v>
      </c>
      <c r="F619" s="24" t="s">
        <v>125</v>
      </c>
    </row>
    <row r="620" spans="1:6" ht="16" customHeight="1" x14ac:dyDescent="0.45">
      <c r="A620" s="19" t="s">
        <v>1358</v>
      </c>
      <c r="B620" s="20" t="s">
        <v>1359</v>
      </c>
      <c r="C620" s="21">
        <v>2660</v>
      </c>
      <c r="D620" s="22"/>
      <c r="E620" s="23">
        <v>-0.05</v>
      </c>
      <c r="F620" s="24" t="s">
        <v>125</v>
      </c>
    </row>
    <row r="621" spans="1:6" ht="16" customHeight="1" x14ac:dyDescent="0.45">
      <c r="A621" s="19" t="s">
        <v>1360</v>
      </c>
      <c r="B621" s="20" t="s">
        <v>1361</v>
      </c>
      <c r="C621" s="21">
        <v>14200</v>
      </c>
      <c r="D621" s="22"/>
      <c r="E621" s="23">
        <v>-3.2000000476837161E-2</v>
      </c>
      <c r="F621" s="24" t="s">
        <v>125</v>
      </c>
    </row>
    <row r="622" spans="1:6" ht="16" customHeight="1" x14ac:dyDescent="0.45">
      <c r="A622" s="19" t="s">
        <v>1362</v>
      </c>
      <c r="B622" s="20" t="s">
        <v>1363</v>
      </c>
      <c r="C622" s="21">
        <v>7805</v>
      </c>
      <c r="D622" s="22"/>
      <c r="E622" s="23">
        <v>-3.5199999809265137E-2</v>
      </c>
      <c r="F622" s="24" t="s">
        <v>125</v>
      </c>
    </row>
    <row r="623" spans="1:6" ht="16" customHeight="1" x14ac:dyDescent="0.45">
      <c r="A623" s="19" t="s">
        <v>1364</v>
      </c>
      <c r="B623" s="20" t="s">
        <v>1365</v>
      </c>
      <c r="C623" s="21">
        <v>1244</v>
      </c>
      <c r="D623" s="22"/>
      <c r="E623" s="23">
        <v>-5.3299999237060552E-2</v>
      </c>
      <c r="F623" s="24" t="s">
        <v>125</v>
      </c>
    </row>
    <row r="624" spans="1:6" ht="16" customHeight="1" x14ac:dyDescent="0.45">
      <c r="A624" s="19" t="s">
        <v>1366</v>
      </c>
      <c r="B624" s="20" t="s">
        <v>1367</v>
      </c>
      <c r="C624" s="21">
        <v>20500</v>
      </c>
      <c r="D624" s="22"/>
      <c r="E624" s="23">
        <v>-1.6799999475479121E-2</v>
      </c>
      <c r="F624" s="24" t="s">
        <v>128</v>
      </c>
    </row>
    <row r="625" spans="1:6" ht="16" customHeight="1" x14ac:dyDescent="0.45">
      <c r="A625" s="19" t="s">
        <v>1368</v>
      </c>
      <c r="B625" s="20" t="s">
        <v>1369</v>
      </c>
      <c r="C625" s="21">
        <v>60200</v>
      </c>
      <c r="D625" s="22"/>
      <c r="E625" s="23">
        <v>-1.7899999618530268E-2</v>
      </c>
      <c r="F625" s="24" t="s">
        <v>128</v>
      </c>
    </row>
    <row r="626" spans="1:6" ht="16" customHeight="1" x14ac:dyDescent="0.45">
      <c r="A626" s="19" t="s">
        <v>1370</v>
      </c>
      <c r="B626" s="20" t="s">
        <v>1371</v>
      </c>
      <c r="C626" s="21">
        <v>18880</v>
      </c>
      <c r="D626" s="22"/>
      <c r="E626" s="23">
        <v>-4.1599998474121103E-2</v>
      </c>
      <c r="F626" s="24" t="s">
        <v>125</v>
      </c>
    </row>
    <row r="627" spans="1:6" ht="16" customHeight="1" x14ac:dyDescent="0.45">
      <c r="A627" s="19" t="s">
        <v>1372</v>
      </c>
      <c r="B627" s="20" t="s">
        <v>1373</v>
      </c>
      <c r="C627" s="21">
        <v>2260</v>
      </c>
      <c r="D627" s="22"/>
      <c r="E627" s="23">
        <v>-2.5899999141693119E-2</v>
      </c>
      <c r="F627" s="24" t="s">
        <v>125</v>
      </c>
    </row>
    <row r="628" spans="1:6" ht="16" customHeight="1" x14ac:dyDescent="0.45">
      <c r="A628" s="19" t="s">
        <v>1374</v>
      </c>
      <c r="B628" s="20" t="s">
        <v>1375</v>
      </c>
      <c r="C628" s="21">
        <v>120000</v>
      </c>
      <c r="D628" s="22"/>
      <c r="E628" s="23">
        <v>0</v>
      </c>
      <c r="F628" s="24" t="s">
        <v>128</v>
      </c>
    </row>
    <row r="629" spans="1:6" ht="16" customHeight="1" x14ac:dyDescent="0.45">
      <c r="A629" s="19" t="s">
        <v>1376</v>
      </c>
      <c r="B629" s="20" t="s">
        <v>1377</v>
      </c>
      <c r="C629" s="21">
        <v>3760</v>
      </c>
      <c r="D629" s="22"/>
      <c r="E629" s="23">
        <v>2.5899999141693119E-2</v>
      </c>
      <c r="F629" s="24" t="s">
        <v>125</v>
      </c>
    </row>
    <row r="630" spans="1:6" ht="16" customHeight="1" x14ac:dyDescent="0.45">
      <c r="A630" s="19" t="s">
        <v>1378</v>
      </c>
      <c r="B630" s="20" t="s">
        <v>1379</v>
      </c>
      <c r="C630" s="21">
        <v>5880</v>
      </c>
      <c r="D630" s="22"/>
      <c r="E630" s="23">
        <v>-2.329999923706055E-2</v>
      </c>
      <c r="F630" s="24" t="s">
        <v>125</v>
      </c>
    </row>
    <row r="631" spans="1:6" ht="16" customHeight="1" x14ac:dyDescent="0.45">
      <c r="A631" s="19" t="s">
        <v>1380</v>
      </c>
      <c r="B631" s="20" t="s">
        <v>1381</v>
      </c>
      <c r="C631" s="21">
        <v>2800</v>
      </c>
      <c r="D631" s="22"/>
      <c r="E631" s="23">
        <v>0</v>
      </c>
      <c r="F631" s="24" t="s">
        <v>251</v>
      </c>
    </row>
    <row r="632" spans="1:6" ht="16" customHeight="1" x14ac:dyDescent="0.45">
      <c r="A632" s="19" t="s">
        <v>1382</v>
      </c>
      <c r="B632" s="20" t="s">
        <v>1383</v>
      </c>
      <c r="C632" s="21">
        <v>1140</v>
      </c>
      <c r="D632" s="22"/>
      <c r="E632" s="23">
        <v>0</v>
      </c>
      <c r="F632" s="24" t="s">
        <v>125</v>
      </c>
    </row>
    <row r="633" spans="1:6" ht="16" customHeight="1" x14ac:dyDescent="0.45">
      <c r="A633" s="19" t="s">
        <v>1384</v>
      </c>
      <c r="B633" s="20" t="s">
        <v>1385</v>
      </c>
      <c r="C633" s="21">
        <v>16400</v>
      </c>
      <c r="D633" s="22"/>
      <c r="E633" s="23">
        <v>-4.2100000381469729E-2</v>
      </c>
      <c r="F633" s="24" t="s">
        <v>125</v>
      </c>
    </row>
    <row r="634" spans="1:6" ht="16" customHeight="1" x14ac:dyDescent="0.45">
      <c r="A634" s="19" t="s">
        <v>1386</v>
      </c>
      <c r="B634" s="20" t="s">
        <v>1387</v>
      </c>
      <c r="C634" s="21">
        <v>51300</v>
      </c>
      <c r="D634" s="22"/>
      <c r="E634" s="23">
        <v>-3.2100000381469727E-2</v>
      </c>
      <c r="F634" s="24" t="s">
        <v>125</v>
      </c>
    </row>
    <row r="635" spans="1:6" ht="16" customHeight="1" x14ac:dyDescent="0.45">
      <c r="A635" s="19" t="s">
        <v>1388</v>
      </c>
      <c r="B635" s="20" t="s">
        <v>1389</v>
      </c>
      <c r="C635" s="21">
        <v>26800</v>
      </c>
      <c r="D635" s="22"/>
      <c r="E635" s="23">
        <v>6.7699999809265138E-2</v>
      </c>
      <c r="F635" s="24" t="s">
        <v>125</v>
      </c>
    </row>
    <row r="636" spans="1:6" ht="16" customHeight="1" x14ac:dyDescent="0.45">
      <c r="A636" s="19" t="s">
        <v>1390</v>
      </c>
      <c r="B636" s="20" t="s">
        <v>1391</v>
      </c>
      <c r="C636" s="21">
        <v>19230</v>
      </c>
      <c r="D636" s="22"/>
      <c r="E636" s="23">
        <v>-1.8400000333786009E-2</v>
      </c>
      <c r="F636" s="24" t="s">
        <v>125</v>
      </c>
    </row>
    <row r="637" spans="1:6" ht="16" customHeight="1" x14ac:dyDescent="0.45">
      <c r="A637" s="19" t="s">
        <v>1392</v>
      </c>
      <c r="B637" s="20" t="s">
        <v>1393</v>
      </c>
      <c r="C637" s="21">
        <v>4625</v>
      </c>
      <c r="D637" s="22"/>
      <c r="E637" s="23">
        <v>-3.7499999999999999E-2</v>
      </c>
      <c r="F637" s="24" t="s">
        <v>128</v>
      </c>
    </row>
    <row r="638" spans="1:6" ht="16" customHeight="1" x14ac:dyDescent="0.45">
      <c r="A638" s="19" t="s">
        <v>1394</v>
      </c>
      <c r="B638" s="20" t="s">
        <v>1395</v>
      </c>
      <c r="C638" s="21">
        <v>6890</v>
      </c>
      <c r="D638" s="22"/>
      <c r="E638" s="23">
        <v>-1.2899999618530269E-2</v>
      </c>
      <c r="F638" s="24" t="s">
        <v>128</v>
      </c>
    </row>
    <row r="639" spans="1:6" ht="16" customHeight="1" x14ac:dyDescent="0.45">
      <c r="A639" s="19" t="s">
        <v>1396</v>
      </c>
      <c r="B639" s="20" t="s">
        <v>1397</v>
      </c>
      <c r="C639" s="21">
        <v>1258</v>
      </c>
      <c r="D639" s="22"/>
      <c r="E639" s="23">
        <v>-2.6300001144409179E-2</v>
      </c>
      <c r="F639" s="24" t="s">
        <v>125</v>
      </c>
    </row>
    <row r="640" spans="1:6" ht="16" customHeight="1" x14ac:dyDescent="0.45">
      <c r="A640" s="19" t="s">
        <v>1398</v>
      </c>
      <c r="B640" s="20" t="s">
        <v>1399</v>
      </c>
      <c r="C640" s="21">
        <v>20600</v>
      </c>
      <c r="D640" s="22"/>
      <c r="E640" s="23">
        <v>3.5199999809265137E-2</v>
      </c>
      <c r="F640" s="24" t="s">
        <v>125</v>
      </c>
    </row>
    <row r="641" spans="1:6" ht="16" customHeight="1" x14ac:dyDescent="0.45">
      <c r="A641" s="19" t="s">
        <v>1400</v>
      </c>
      <c r="B641" s="20" t="s">
        <v>1401</v>
      </c>
      <c r="C641" s="21">
        <v>6150</v>
      </c>
      <c r="D641" s="22"/>
      <c r="E641" s="23">
        <v>-1.600000023841858E-2</v>
      </c>
      <c r="F641" s="24" t="s">
        <v>125</v>
      </c>
    </row>
    <row r="642" spans="1:6" ht="16" customHeight="1" x14ac:dyDescent="0.45">
      <c r="A642" s="19" t="s">
        <v>1402</v>
      </c>
      <c r="B642" s="20" t="s">
        <v>1403</v>
      </c>
      <c r="C642" s="21">
        <v>21700</v>
      </c>
      <c r="D642" s="22"/>
      <c r="E642" s="23">
        <v>-3.130000114440918E-2</v>
      </c>
      <c r="F642" s="24" t="s">
        <v>125</v>
      </c>
    </row>
    <row r="643" spans="1:6" ht="16" customHeight="1" x14ac:dyDescent="0.45">
      <c r="A643" s="19" t="s">
        <v>1404</v>
      </c>
      <c r="B643" s="20" t="s">
        <v>1405</v>
      </c>
      <c r="C643" s="21">
        <v>4730</v>
      </c>
      <c r="D643" s="22"/>
      <c r="E643" s="23">
        <v>-3.8599998950958253E-2</v>
      </c>
      <c r="F643" s="24" t="s">
        <v>125</v>
      </c>
    </row>
    <row r="644" spans="1:6" ht="16" customHeight="1" x14ac:dyDescent="0.45">
      <c r="A644" s="19" t="s">
        <v>1406</v>
      </c>
      <c r="B644" s="20" t="s">
        <v>1407</v>
      </c>
      <c r="C644" s="21">
        <v>5470</v>
      </c>
      <c r="D644" s="22"/>
      <c r="E644" s="23">
        <v>1.110000014305115E-2</v>
      </c>
      <c r="F644" s="24" t="s">
        <v>125</v>
      </c>
    </row>
    <row r="645" spans="1:6" ht="16" customHeight="1" x14ac:dyDescent="0.45">
      <c r="A645" s="19" t="s">
        <v>1408</v>
      </c>
      <c r="B645" s="20" t="s">
        <v>1409</v>
      </c>
      <c r="C645" s="21">
        <v>2060</v>
      </c>
      <c r="D645" s="22"/>
      <c r="E645" s="23">
        <v>-8.0399999618530268E-2</v>
      </c>
      <c r="F645" s="24" t="s">
        <v>251</v>
      </c>
    </row>
    <row r="646" spans="1:6" ht="16" customHeight="1" x14ac:dyDescent="0.45">
      <c r="A646" s="19" t="s">
        <v>1410</v>
      </c>
      <c r="B646" s="20" t="s">
        <v>1411</v>
      </c>
      <c r="C646" s="21">
        <v>2510</v>
      </c>
      <c r="D646" s="22"/>
      <c r="E646" s="23">
        <v>-3.460000038146973E-2</v>
      </c>
      <c r="F646" s="24" t="s">
        <v>125</v>
      </c>
    </row>
    <row r="647" spans="1:6" ht="16" customHeight="1" x14ac:dyDescent="0.45">
      <c r="A647" s="19" t="s">
        <v>1412</v>
      </c>
      <c r="B647" s="20" t="s">
        <v>1413</v>
      </c>
      <c r="C647" s="21">
        <v>3705</v>
      </c>
      <c r="D647" s="22"/>
      <c r="E647" s="23">
        <v>-3.7699999809265139E-2</v>
      </c>
      <c r="F647" s="24" t="s">
        <v>125</v>
      </c>
    </row>
    <row r="648" spans="1:6" ht="16" customHeight="1" x14ac:dyDescent="0.45">
      <c r="A648" s="19" t="s">
        <v>1414</v>
      </c>
      <c r="B648" s="20" t="s">
        <v>1415</v>
      </c>
      <c r="C648" s="21">
        <v>51400</v>
      </c>
      <c r="D648" s="22"/>
      <c r="E648" s="23">
        <v>-2.6500000953674319E-2</v>
      </c>
      <c r="F648" s="24" t="s">
        <v>128</v>
      </c>
    </row>
    <row r="649" spans="1:6" ht="16" customHeight="1" x14ac:dyDescent="0.45">
      <c r="A649" s="19" t="s">
        <v>1416</v>
      </c>
      <c r="B649" s="20" t="s">
        <v>1417</v>
      </c>
      <c r="C649" s="21">
        <v>859</v>
      </c>
      <c r="D649" s="22"/>
      <c r="E649" s="23">
        <v>-5.799999833106995E-3</v>
      </c>
      <c r="F649" s="24" t="s">
        <v>251</v>
      </c>
    </row>
    <row r="650" spans="1:6" ht="16" customHeight="1" x14ac:dyDescent="0.45">
      <c r="A650" s="19" t="s">
        <v>1418</v>
      </c>
      <c r="B650" s="20" t="s">
        <v>1419</v>
      </c>
      <c r="C650" s="21">
        <v>22900</v>
      </c>
      <c r="D650" s="22"/>
      <c r="E650" s="23">
        <v>-8.7000000476837158E-3</v>
      </c>
      <c r="F650" s="24" t="s">
        <v>125</v>
      </c>
    </row>
    <row r="651" spans="1:6" ht="16" customHeight="1" x14ac:dyDescent="0.45">
      <c r="A651" s="19" t="s">
        <v>1420</v>
      </c>
      <c r="B651" s="20" t="s">
        <v>1421</v>
      </c>
      <c r="C651" s="21">
        <v>5250</v>
      </c>
      <c r="D651" s="22"/>
      <c r="E651" s="23">
        <v>-5.6999999284744274E-3</v>
      </c>
      <c r="F651" s="24" t="s">
        <v>125</v>
      </c>
    </row>
    <row r="652" spans="1:6" ht="16" customHeight="1" x14ac:dyDescent="0.45">
      <c r="A652" s="19" t="s">
        <v>1422</v>
      </c>
      <c r="B652" s="20" t="s">
        <v>1423</v>
      </c>
      <c r="C652" s="21">
        <v>6790</v>
      </c>
      <c r="D652" s="22"/>
      <c r="E652" s="23">
        <v>-2.1600000858306889E-2</v>
      </c>
      <c r="F652" s="24" t="s">
        <v>128</v>
      </c>
    </row>
    <row r="653" spans="1:6" ht="16" customHeight="1" x14ac:dyDescent="0.45">
      <c r="A653" s="19" t="s">
        <v>1424</v>
      </c>
      <c r="B653" s="20" t="s">
        <v>1425</v>
      </c>
      <c r="C653" s="21">
        <v>4995</v>
      </c>
      <c r="D653" s="22"/>
      <c r="E653" s="23">
        <v>-1.4800000190734861E-2</v>
      </c>
      <c r="F653" s="24" t="s">
        <v>125</v>
      </c>
    </row>
    <row r="654" spans="1:6" ht="16" customHeight="1" x14ac:dyDescent="0.45">
      <c r="A654" s="19" t="s">
        <v>1426</v>
      </c>
      <c r="B654" s="20" t="s">
        <v>1427</v>
      </c>
      <c r="C654" s="21">
        <v>2405</v>
      </c>
      <c r="D654" s="22"/>
      <c r="E654" s="23">
        <v>-5.5E-2</v>
      </c>
      <c r="F654" s="24" t="s">
        <v>125</v>
      </c>
    </row>
    <row r="655" spans="1:6" ht="16" customHeight="1" x14ac:dyDescent="0.45">
      <c r="A655" s="19" t="s">
        <v>1428</v>
      </c>
      <c r="B655" s="20" t="s">
        <v>1429</v>
      </c>
      <c r="C655" s="21">
        <v>3820</v>
      </c>
      <c r="D655" s="22"/>
      <c r="E655" s="23">
        <v>1.7300000190734861E-2</v>
      </c>
      <c r="F655" s="24" t="s">
        <v>125</v>
      </c>
    </row>
    <row r="656" spans="1:6" ht="16" customHeight="1" x14ac:dyDescent="0.45">
      <c r="A656" s="19" t="s">
        <v>1430</v>
      </c>
      <c r="B656" s="20" t="s">
        <v>1431</v>
      </c>
      <c r="C656" s="21">
        <v>3350</v>
      </c>
      <c r="D656" s="22"/>
      <c r="E656" s="23">
        <v>-1.899999976158142E-2</v>
      </c>
      <c r="F656" s="24" t="s">
        <v>125</v>
      </c>
    </row>
    <row r="657" spans="1:6" ht="16" customHeight="1" x14ac:dyDescent="0.45">
      <c r="A657" s="19" t="s">
        <v>1432</v>
      </c>
      <c r="B657" s="20" t="s">
        <v>1433</v>
      </c>
      <c r="C657" s="21">
        <v>6560</v>
      </c>
      <c r="D657" s="22"/>
      <c r="E657" s="23">
        <v>-1.940000057220459E-2</v>
      </c>
      <c r="F657" s="24" t="s">
        <v>128</v>
      </c>
    </row>
    <row r="658" spans="1:6" ht="16" customHeight="1" x14ac:dyDescent="0.45">
      <c r="A658" s="19" t="s">
        <v>1434</v>
      </c>
      <c r="B658" s="20" t="s">
        <v>1435</v>
      </c>
      <c r="C658" s="21">
        <v>2350</v>
      </c>
      <c r="D658" s="22"/>
      <c r="E658" s="23">
        <v>-1.2599999904632571E-2</v>
      </c>
      <c r="F658" s="24" t="s">
        <v>125</v>
      </c>
    </row>
    <row r="659" spans="1:6" ht="16" customHeight="1" x14ac:dyDescent="0.45">
      <c r="A659" s="19" t="s">
        <v>1436</v>
      </c>
      <c r="B659" s="20" t="s">
        <v>1437</v>
      </c>
      <c r="C659" s="21">
        <v>14520</v>
      </c>
      <c r="D659" s="22"/>
      <c r="E659" s="23">
        <v>-1.2899999618530269E-2</v>
      </c>
      <c r="F659" s="24" t="s">
        <v>128</v>
      </c>
    </row>
    <row r="660" spans="1:6" ht="16" customHeight="1" x14ac:dyDescent="0.45">
      <c r="A660" s="19" t="s">
        <v>1438</v>
      </c>
      <c r="B660" s="20" t="s">
        <v>1439</v>
      </c>
      <c r="C660" s="21">
        <v>23150</v>
      </c>
      <c r="D660" s="22"/>
      <c r="E660" s="23">
        <v>-2.5299999713897701E-2</v>
      </c>
      <c r="F660" s="24" t="s">
        <v>125</v>
      </c>
    </row>
    <row r="661" spans="1:6" ht="16" customHeight="1" x14ac:dyDescent="0.45">
      <c r="A661" s="19" t="s">
        <v>1440</v>
      </c>
      <c r="B661" s="20" t="s">
        <v>1441</v>
      </c>
      <c r="C661" s="21">
        <v>11400</v>
      </c>
      <c r="D661" s="22"/>
      <c r="E661" s="23">
        <v>0</v>
      </c>
      <c r="F661" s="24" t="s">
        <v>128</v>
      </c>
    </row>
    <row r="662" spans="1:6" ht="16" customHeight="1" x14ac:dyDescent="0.45">
      <c r="A662" s="19" t="s">
        <v>1442</v>
      </c>
      <c r="B662" s="20" t="s">
        <v>1443</v>
      </c>
      <c r="C662" s="21">
        <v>30950</v>
      </c>
      <c r="D662" s="22"/>
      <c r="E662" s="23">
        <v>1.599999964237213E-3</v>
      </c>
      <c r="F662" s="24" t="s">
        <v>128</v>
      </c>
    </row>
    <row r="663" spans="1:6" ht="16" customHeight="1" x14ac:dyDescent="0.45">
      <c r="A663" s="19" t="s">
        <v>1444</v>
      </c>
      <c r="B663" s="20" t="s">
        <v>1445</v>
      </c>
      <c r="C663" s="21">
        <v>2875</v>
      </c>
      <c r="D663" s="22"/>
      <c r="E663" s="23">
        <v>-3.2000000476837161E-2</v>
      </c>
      <c r="F663" s="24" t="s">
        <v>128</v>
      </c>
    </row>
    <row r="664" spans="1:6" ht="16" customHeight="1" x14ac:dyDescent="0.45">
      <c r="A664" s="19" t="s">
        <v>1446</v>
      </c>
      <c r="B664" s="20" t="s">
        <v>1447</v>
      </c>
      <c r="C664" s="21">
        <v>6670</v>
      </c>
      <c r="D664" s="22"/>
      <c r="E664" s="23">
        <v>-3.3299999237060549E-2</v>
      </c>
      <c r="F664" s="24" t="s">
        <v>125</v>
      </c>
    </row>
    <row r="665" spans="1:6" ht="16" customHeight="1" x14ac:dyDescent="0.45">
      <c r="A665" s="19" t="s">
        <v>1448</v>
      </c>
      <c r="B665" s="20" t="s">
        <v>1449</v>
      </c>
      <c r="C665" s="21">
        <v>5420</v>
      </c>
      <c r="D665" s="22"/>
      <c r="E665" s="23">
        <v>-1.629999995231628E-2</v>
      </c>
      <c r="F665" s="24" t="s">
        <v>125</v>
      </c>
    </row>
    <row r="666" spans="1:6" ht="16" customHeight="1" x14ac:dyDescent="0.45">
      <c r="A666" s="19" t="s">
        <v>1450</v>
      </c>
      <c r="B666" s="20" t="s">
        <v>1451</v>
      </c>
      <c r="C666" s="21">
        <v>6075</v>
      </c>
      <c r="D666" s="22"/>
      <c r="E666" s="23">
        <v>-1.0599999427795411E-2</v>
      </c>
      <c r="F666" s="24" t="s">
        <v>128</v>
      </c>
    </row>
    <row r="667" spans="1:6" ht="16" customHeight="1" x14ac:dyDescent="0.45">
      <c r="A667" s="19" t="s">
        <v>1452</v>
      </c>
      <c r="B667" s="20" t="s">
        <v>1453</v>
      </c>
      <c r="C667" s="21">
        <v>9700</v>
      </c>
      <c r="D667" s="22"/>
      <c r="E667" s="23">
        <v>1.6799999475479121E-2</v>
      </c>
      <c r="F667" s="24" t="s">
        <v>128</v>
      </c>
    </row>
    <row r="668" spans="1:6" ht="16" customHeight="1" x14ac:dyDescent="0.45">
      <c r="A668" s="19" t="s">
        <v>1454</v>
      </c>
      <c r="B668" s="20" t="s">
        <v>1455</v>
      </c>
      <c r="C668" s="21">
        <v>19700</v>
      </c>
      <c r="D668" s="22"/>
      <c r="E668" s="23">
        <v>-7.5999999046325682E-3</v>
      </c>
      <c r="F668" s="24" t="s">
        <v>128</v>
      </c>
    </row>
    <row r="669" spans="1:6" ht="16" customHeight="1" x14ac:dyDescent="0.45">
      <c r="A669" s="19" t="s">
        <v>1456</v>
      </c>
      <c r="B669" s="20" t="s">
        <v>1457</v>
      </c>
      <c r="C669" s="21">
        <v>25200</v>
      </c>
      <c r="D669" s="22"/>
      <c r="E669" s="23">
        <v>-3.8199999332427979E-2</v>
      </c>
      <c r="F669" s="24" t="s">
        <v>128</v>
      </c>
    </row>
    <row r="670" spans="1:6" ht="16" customHeight="1" x14ac:dyDescent="0.45">
      <c r="A670" s="19" t="s">
        <v>1458</v>
      </c>
      <c r="B670" s="20" t="s">
        <v>1459</v>
      </c>
      <c r="C670" s="21">
        <v>973</v>
      </c>
      <c r="D670" s="22"/>
      <c r="E670" s="23">
        <v>0</v>
      </c>
      <c r="F670" s="24" t="s">
        <v>128</v>
      </c>
    </row>
    <row r="671" spans="1:6" ht="16" customHeight="1" x14ac:dyDescent="0.45">
      <c r="A671" s="19" t="s">
        <v>1460</v>
      </c>
      <c r="B671" s="20" t="s">
        <v>1461</v>
      </c>
      <c r="C671" s="21">
        <v>4310</v>
      </c>
      <c r="D671" s="22"/>
      <c r="E671" s="23">
        <v>-1.370000004768371E-2</v>
      </c>
      <c r="F671" s="24" t="s">
        <v>128</v>
      </c>
    </row>
    <row r="672" spans="1:6" ht="16" customHeight="1" x14ac:dyDescent="0.45">
      <c r="A672" s="19" t="s">
        <v>1462</v>
      </c>
      <c r="B672" s="20" t="s">
        <v>1463</v>
      </c>
      <c r="C672" s="21">
        <v>27950</v>
      </c>
      <c r="D672" s="22"/>
      <c r="E672" s="23">
        <v>-4.4400000572204591E-2</v>
      </c>
      <c r="F672" s="24" t="s">
        <v>125</v>
      </c>
    </row>
    <row r="673" spans="1:6" ht="16" customHeight="1" x14ac:dyDescent="0.45">
      <c r="A673" s="19" t="s">
        <v>1464</v>
      </c>
      <c r="B673" s="20" t="s">
        <v>1465</v>
      </c>
      <c r="C673" s="21">
        <v>15730</v>
      </c>
      <c r="D673" s="22"/>
      <c r="E673" s="23">
        <v>-2.420000076293945E-2</v>
      </c>
      <c r="F673" s="24" t="s">
        <v>125</v>
      </c>
    </row>
    <row r="674" spans="1:6" ht="16" customHeight="1" x14ac:dyDescent="0.45">
      <c r="A674" s="19" t="s">
        <v>1466</v>
      </c>
      <c r="B674" s="20" t="s">
        <v>1467</v>
      </c>
      <c r="C674" s="21">
        <v>96800</v>
      </c>
      <c r="D674" s="22"/>
      <c r="E674" s="23">
        <v>-1.7300000190734861E-2</v>
      </c>
      <c r="F674" s="24" t="s">
        <v>128</v>
      </c>
    </row>
    <row r="675" spans="1:6" ht="16" customHeight="1" x14ac:dyDescent="0.45">
      <c r="A675" s="19" t="s">
        <v>1468</v>
      </c>
      <c r="B675" s="20" t="s">
        <v>1469</v>
      </c>
      <c r="C675" s="21">
        <v>42950</v>
      </c>
      <c r="D675" s="22"/>
      <c r="E675" s="23">
        <v>-1.4900000095367429E-2</v>
      </c>
      <c r="F675" s="24" t="s">
        <v>128</v>
      </c>
    </row>
    <row r="676" spans="1:6" ht="16" customHeight="1" x14ac:dyDescent="0.45">
      <c r="A676" s="19" t="s">
        <v>1470</v>
      </c>
      <c r="B676" s="20" t="s">
        <v>1471</v>
      </c>
      <c r="C676" s="21">
        <v>10730</v>
      </c>
      <c r="D676" s="22"/>
      <c r="E676" s="23">
        <v>-4.5399999618530272E-2</v>
      </c>
      <c r="F676" s="24" t="s">
        <v>125</v>
      </c>
    </row>
    <row r="677" spans="1:6" ht="16" customHeight="1" x14ac:dyDescent="0.45">
      <c r="A677" s="19" t="s">
        <v>1472</v>
      </c>
      <c r="B677" s="20" t="s">
        <v>1473</v>
      </c>
      <c r="C677" s="21">
        <v>17830</v>
      </c>
      <c r="D677" s="22"/>
      <c r="E677" s="23">
        <v>-3.7300000190734872E-2</v>
      </c>
      <c r="F677" s="24" t="s">
        <v>128</v>
      </c>
    </row>
    <row r="678" spans="1:6" ht="16" customHeight="1" x14ac:dyDescent="0.45">
      <c r="A678" s="19" t="s">
        <v>1474</v>
      </c>
      <c r="B678" s="20" t="s">
        <v>1475</v>
      </c>
      <c r="C678" s="21">
        <v>785</v>
      </c>
      <c r="D678" s="22"/>
      <c r="E678" s="23">
        <v>-2.2400000095367429E-2</v>
      </c>
      <c r="F678" s="24" t="s">
        <v>128</v>
      </c>
    </row>
    <row r="679" spans="1:6" ht="16" customHeight="1" x14ac:dyDescent="0.45">
      <c r="A679" s="19" t="s">
        <v>1476</v>
      </c>
      <c r="B679" s="20" t="s">
        <v>1477</v>
      </c>
      <c r="C679" s="21">
        <v>7460</v>
      </c>
      <c r="D679" s="22"/>
      <c r="E679" s="23">
        <v>-4.0000000596046451E-3</v>
      </c>
      <c r="F679" s="24" t="s">
        <v>128</v>
      </c>
    </row>
    <row r="680" spans="1:6" ht="16" customHeight="1" x14ac:dyDescent="0.45">
      <c r="A680" s="19" t="s">
        <v>1478</v>
      </c>
      <c r="B680" s="20" t="s">
        <v>1479</v>
      </c>
      <c r="C680" s="21">
        <v>36200</v>
      </c>
      <c r="D680" s="22"/>
      <c r="E680" s="23">
        <v>-3.4700000286102303E-2</v>
      </c>
      <c r="F680" s="24" t="s">
        <v>128</v>
      </c>
    </row>
    <row r="681" spans="1:6" ht="16" customHeight="1" x14ac:dyDescent="0.45">
      <c r="A681" s="19" t="s">
        <v>1480</v>
      </c>
      <c r="B681" s="20" t="s">
        <v>1481</v>
      </c>
      <c r="C681" s="21">
        <v>8110</v>
      </c>
      <c r="D681" s="22"/>
      <c r="E681" s="23">
        <v>-1.7000000476837161E-2</v>
      </c>
      <c r="F681" s="24" t="s">
        <v>128</v>
      </c>
    </row>
    <row r="682" spans="1:6" ht="16" customHeight="1" x14ac:dyDescent="0.45">
      <c r="A682" s="19" t="s">
        <v>1482</v>
      </c>
      <c r="B682" s="20" t="s">
        <v>1483</v>
      </c>
      <c r="C682" s="21">
        <v>1558</v>
      </c>
      <c r="D682" s="22"/>
      <c r="E682" s="23">
        <v>-3.0499999523162839E-2</v>
      </c>
      <c r="F682" s="24" t="s">
        <v>125</v>
      </c>
    </row>
    <row r="683" spans="1:6" ht="16" customHeight="1" x14ac:dyDescent="0.45">
      <c r="A683" s="19" t="s">
        <v>1484</v>
      </c>
      <c r="B683" s="20" t="s">
        <v>1485</v>
      </c>
      <c r="C683" s="21">
        <v>4445</v>
      </c>
      <c r="D683" s="22"/>
      <c r="E683" s="23">
        <v>1.950000047683716E-2</v>
      </c>
      <c r="F683" s="24" t="s">
        <v>128</v>
      </c>
    </row>
    <row r="684" spans="1:6" ht="16" customHeight="1" x14ac:dyDescent="0.45">
      <c r="A684" s="19" t="s">
        <v>1486</v>
      </c>
      <c r="B684" s="20" t="s">
        <v>1487</v>
      </c>
      <c r="C684" s="21">
        <v>36200</v>
      </c>
      <c r="D684" s="22"/>
      <c r="E684" s="23">
        <v>1.6900000572204591E-2</v>
      </c>
      <c r="F684" s="24" t="s">
        <v>125</v>
      </c>
    </row>
    <row r="685" spans="1:6" ht="16" customHeight="1" x14ac:dyDescent="0.45">
      <c r="A685" s="19" t="s">
        <v>1488</v>
      </c>
      <c r="B685" s="20" t="s">
        <v>1489</v>
      </c>
      <c r="C685" s="21">
        <v>2100</v>
      </c>
      <c r="D685" s="22"/>
      <c r="E685" s="23">
        <v>-3.6700000762939451E-2</v>
      </c>
      <c r="F685" s="24" t="s">
        <v>125</v>
      </c>
    </row>
    <row r="686" spans="1:6" ht="16" customHeight="1" x14ac:dyDescent="0.45">
      <c r="A686" s="19" t="s">
        <v>1490</v>
      </c>
      <c r="B686" s="20" t="s">
        <v>1491</v>
      </c>
      <c r="C686" s="21">
        <v>2595</v>
      </c>
      <c r="D686" s="22"/>
      <c r="E686" s="23">
        <v>-1.139999985694885E-2</v>
      </c>
      <c r="F686" s="24" t="s">
        <v>125</v>
      </c>
    </row>
    <row r="687" spans="1:6" ht="16" customHeight="1" x14ac:dyDescent="0.45">
      <c r="A687" s="19" t="s">
        <v>1492</v>
      </c>
      <c r="B687" s="20" t="s">
        <v>1493</v>
      </c>
      <c r="C687" s="21">
        <v>48250</v>
      </c>
      <c r="D687" s="22"/>
      <c r="E687" s="23">
        <v>-8.199999928474427E-3</v>
      </c>
      <c r="F687" s="24" t="s">
        <v>125</v>
      </c>
    </row>
    <row r="688" spans="1:6" ht="16" customHeight="1" x14ac:dyDescent="0.45">
      <c r="A688" s="19" t="s">
        <v>1494</v>
      </c>
      <c r="B688" s="20" t="s">
        <v>1495</v>
      </c>
      <c r="C688" s="21">
        <v>2845</v>
      </c>
      <c r="D688" s="22"/>
      <c r="E688" s="23">
        <v>-6.9999998807907101E-3</v>
      </c>
      <c r="F688" s="24" t="s">
        <v>125</v>
      </c>
    </row>
    <row r="689" spans="1:6" ht="16" customHeight="1" x14ac:dyDescent="0.45">
      <c r="A689" s="19" t="s">
        <v>1496</v>
      </c>
      <c r="B689" s="20" t="s">
        <v>1497</v>
      </c>
      <c r="C689" s="21">
        <v>1861</v>
      </c>
      <c r="D689" s="22"/>
      <c r="E689" s="23">
        <v>-2.2100000381469729E-2</v>
      </c>
      <c r="F689" s="24" t="s">
        <v>128</v>
      </c>
    </row>
    <row r="690" spans="1:6" ht="16" customHeight="1" x14ac:dyDescent="0.45">
      <c r="A690" s="19" t="s">
        <v>1498</v>
      </c>
      <c r="B690" s="20" t="s">
        <v>1499</v>
      </c>
      <c r="C690" s="21">
        <v>38350</v>
      </c>
      <c r="D690" s="22"/>
      <c r="E690" s="23">
        <v>-5.199999809265137E-3</v>
      </c>
      <c r="F690" s="24" t="s">
        <v>128</v>
      </c>
    </row>
    <row r="691" spans="1:6" ht="16" customHeight="1" x14ac:dyDescent="0.45">
      <c r="A691" s="19" t="s">
        <v>1500</v>
      </c>
      <c r="B691" s="20" t="s">
        <v>1501</v>
      </c>
      <c r="C691" s="21">
        <v>7740</v>
      </c>
      <c r="D691" s="22"/>
      <c r="E691" s="23">
        <v>1.570000052452087E-2</v>
      </c>
      <c r="F691" s="24" t="s">
        <v>128</v>
      </c>
    </row>
    <row r="692" spans="1:6" ht="16" customHeight="1" x14ac:dyDescent="0.45">
      <c r="A692" s="19" t="s">
        <v>1502</v>
      </c>
      <c r="B692" s="20" t="s">
        <v>1503</v>
      </c>
      <c r="C692" s="21">
        <v>26950</v>
      </c>
      <c r="D692" s="22"/>
      <c r="E692" s="23">
        <v>-2.359999895095825E-2</v>
      </c>
      <c r="F692" s="24" t="s">
        <v>128</v>
      </c>
    </row>
    <row r="693" spans="1:6" ht="16" customHeight="1" x14ac:dyDescent="0.45">
      <c r="A693" s="19" t="s">
        <v>1504</v>
      </c>
      <c r="B693" s="20" t="s">
        <v>1505</v>
      </c>
      <c r="C693" s="21">
        <v>16600</v>
      </c>
      <c r="D693" s="22"/>
      <c r="E693" s="23">
        <v>-6.0000002384185793E-3</v>
      </c>
      <c r="F693" s="24" t="s">
        <v>128</v>
      </c>
    </row>
    <row r="694" spans="1:6" ht="16" customHeight="1" x14ac:dyDescent="0.45">
      <c r="A694" s="19" t="s">
        <v>1506</v>
      </c>
      <c r="B694" s="20" t="s">
        <v>1507</v>
      </c>
      <c r="C694" s="21">
        <v>13880</v>
      </c>
      <c r="D694" s="22"/>
      <c r="E694" s="23">
        <v>-2.1199998855590822E-2</v>
      </c>
      <c r="F694" s="24" t="s">
        <v>128</v>
      </c>
    </row>
    <row r="695" spans="1:6" ht="16" customHeight="1" x14ac:dyDescent="0.45">
      <c r="A695" s="19" t="s">
        <v>1508</v>
      </c>
      <c r="B695" s="20" t="s">
        <v>1509</v>
      </c>
      <c r="C695" s="21">
        <v>7400</v>
      </c>
      <c r="D695" s="22"/>
      <c r="E695" s="23">
        <v>-1.990000009536743E-2</v>
      </c>
      <c r="F695" s="24" t="s">
        <v>128</v>
      </c>
    </row>
    <row r="696" spans="1:6" ht="16" customHeight="1" x14ac:dyDescent="0.45">
      <c r="A696" s="19" t="s">
        <v>1510</v>
      </c>
      <c r="B696" s="20" t="s">
        <v>1511</v>
      </c>
      <c r="C696" s="21">
        <v>7470</v>
      </c>
      <c r="D696" s="22"/>
      <c r="E696" s="23">
        <v>-6.6000002622604373E-3</v>
      </c>
      <c r="F696" s="24" t="s">
        <v>125</v>
      </c>
    </row>
    <row r="697" spans="1:6" ht="16" customHeight="1" x14ac:dyDescent="0.45">
      <c r="A697" s="19" t="s">
        <v>1512</v>
      </c>
      <c r="B697" s="20" t="s">
        <v>1513</v>
      </c>
      <c r="C697" s="21">
        <v>14010</v>
      </c>
      <c r="D697" s="22"/>
      <c r="E697" s="23">
        <v>-2.9100000858306881E-2</v>
      </c>
      <c r="F697" s="24" t="s">
        <v>125</v>
      </c>
    </row>
    <row r="698" spans="1:6" ht="16" customHeight="1" x14ac:dyDescent="0.45">
      <c r="A698" s="19" t="s">
        <v>1514</v>
      </c>
      <c r="B698" s="20" t="s">
        <v>1515</v>
      </c>
      <c r="C698" s="21">
        <v>38900</v>
      </c>
      <c r="D698" s="22"/>
      <c r="E698" s="23">
        <v>-1.139999985694885E-2</v>
      </c>
      <c r="F698" s="24" t="s">
        <v>128</v>
      </c>
    </row>
    <row r="699" spans="1:6" ht="16" customHeight="1" x14ac:dyDescent="0.45">
      <c r="A699" s="19" t="s">
        <v>1516</v>
      </c>
      <c r="B699" s="20" t="s">
        <v>1517</v>
      </c>
      <c r="C699" s="21">
        <v>1249</v>
      </c>
      <c r="D699" s="22"/>
      <c r="E699" s="23">
        <v>0</v>
      </c>
      <c r="F699" s="24" t="s">
        <v>125</v>
      </c>
    </row>
    <row r="700" spans="1:6" ht="16" customHeight="1" x14ac:dyDescent="0.45">
      <c r="A700" s="19" t="s">
        <v>1518</v>
      </c>
      <c r="B700" s="20" t="s">
        <v>1519</v>
      </c>
      <c r="C700" s="21">
        <v>1664</v>
      </c>
      <c r="D700" s="22"/>
      <c r="E700" s="23">
        <v>-2.9700000286102299E-2</v>
      </c>
      <c r="F700" s="24" t="s">
        <v>128</v>
      </c>
    </row>
    <row r="701" spans="1:6" ht="16" customHeight="1" x14ac:dyDescent="0.45">
      <c r="A701" s="19" t="s">
        <v>1520</v>
      </c>
      <c r="B701" s="20" t="s">
        <v>1521</v>
      </c>
      <c r="C701" s="21">
        <v>59100</v>
      </c>
      <c r="D701" s="22"/>
      <c r="E701" s="23">
        <v>3.4000000357627871E-3</v>
      </c>
      <c r="F701" s="24" t="s">
        <v>125</v>
      </c>
    </row>
    <row r="702" spans="1:6" ht="16" customHeight="1" x14ac:dyDescent="0.45">
      <c r="A702" s="19" t="s">
        <v>1522</v>
      </c>
      <c r="B702" s="20" t="s">
        <v>1523</v>
      </c>
      <c r="C702" s="21">
        <v>12120</v>
      </c>
      <c r="D702" s="22"/>
      <c r="E702" s="23">
        <v>2.1900000572204589E-2</v>
      </c>
      <c r="F702" s="24" t="s">
        <v>125</v>
      </c>
    </row>
    <row r="703" spans="1:6" ht="16" customHeight="1" x14ac:dyDescent="0.45">
      <c r="A703" s="19" t="s">
        <v>1524</v>
      </c>
      <c r="B703" s="20" t="s">
        <v>1525</v>
      </c>
      <c r="C703" s="21">
        <v>5950</v>
      </c>
      <c r="D703" s="22"/>
      <c r="E703" s="23">
        <v>-8.2999998331069955E-3</v>
      </c>
      <c r="F703" s="24" t="s">
        <v>128</v>
      </c>
    </row>
    <row r="704" spans="1:6" ht="16" customHeight="1" x14ac:dyDescent="0.45">
      <c r="A704" s="19" t="s">
        <v>1526</v>
      </c>
      <c r="B704" s="20" t="s">
        <v>1527</v>
      </c>
      <c r="C704" s="21">
        <v>1796000</v>
      </c>
      <c r="D704" s="22"/>
      <c r="E704" s="23">
        <v>5.3400001525878912E-2</v>
      </c>
      <c r="F704" s="24" t="s">
        <v>128</v>
      </c>
    </row>
    <row r="705" spans="1:6" ht="16" customHeight="1" x14ac:dyDescent="0.45">
      <c r="A705" s="19" t="s">
        <v>1528</v>
      </c>
      <c r="B705" s="20" t="s">
        <v>1529</v>
      </c>
      <c r="C705" s="21">
        <v>635000</v>
      </c>
      <c r="D705" s="22"/>
      <c r="E705" s="23">
        <v>5.6599998474121102E-2</v>
      </c>
      <c r="F705" s="24" t="s">
        <v>128</v>
      </c>
    </row>
    <row r="706" spans="1:6" ht="16" customHeight="1" x14ac:dyDescent="0.45">
      <c r="A706" s="19" t="s">
        <v>1530</v>
      </c>
      <c r="B706" s="20" t="s">
        <v>1531</v>
      </c>
      <c r="C706" s="21">
        <v>105000</v>
      </c>
      <c r="D706" s="22"/>
      <c r="E706" s="23">
        <v>-2.5999999046325679E-2</v>
      </c>
      <c r="F706" s="24" t="s">
        <v>128</v>
      </c>
    </row>
    <row r="707" spans="1:6" ht="16" customHeight="1" x14ac:dyDescent="0.45">
      <c r="A707" s="19" t="s">
        <v>1532</v>
      </c>
      <c r="B707" s="20" t="s">
        <v>1533</v>
      </c>
      <c r="C707" s="21">
        <v>73300</v>
      </c>
      <c r="D707" s="22"/>
      <c r="E707" s="23">
        <v>-9.4999998807907098E-3</v>
      </c>
      <c r="F707" s="24" t="s">
        <v>128</v>
      </c>
    </row>
    <row r="708" spans="1:6" ht="16" customHeight="1" x14ac:dyDescent="0.45">
      <c r="A708" s="19" t="s">
        <v>1534</v>
      </c>
      <c r="B708" s="20" t="s">
        <v>1535</v>
      </c>
      <c r="C708" s="21">
        <v>126900</v>
      </c>
      <c r="D708" s="22"/>
      <c r="E708" s="23">
        <v>-2.39999994635582E-3</v>
      </c>
      <c r="F708" s="24" t="s">
        <v>128</v>
      </c>
    </row>
    <row r="709" spans="1:6" ht="16" customHeight="1" x14ac:dyDescent="0.45">
      <c r="A709" s="19" t="s">
        <v>1536</v>
      </c>
      <c r="B709" s="20" t="s">
        <v>1537</v>
      </c>
      <c r="C709" s="21">
        <v>715000</v>
      </c>
      <c r="D709" s="22"/>
      <c r="E709" s="23">
        <v>4.8400001525878908E-2</v>
      </c>
      <c r="F709" s="24" t="s">
        <v>128</v>
      </c>
    </row>
    <row r="710" spans="1:6" ht="16" customHeight="1" x14ac:dyDescent="0.45">
      <c r="A710" s="19" t="s">
        <v>1538</v>
      </c>
      <c r="B710" s="20" t="s">
        <v>1539</v>
      </c>
      <c r="C710" s="21">
        <v>135900</v>
      </c>
      <c r="D710" s="22"/>
      <c r="E710" s="23">
        <v>2.8800001144409181E-2</v>
      </c>
      <c r="F710" s="24" t="s">
        <v>125</v>
      </c>
    </row>
    <row r="711" spans="1:6" ht="16" customHeight="1" x14ac:dyDescent="0.45">
      <c r="A711" s="19" t="s">
        <v>1540</v>
      </c>
      <c r="B711" s="20" t="s">
        <v>1541</v>
      </c>
      <c r="C711" s="21">
        <v>75500</v>
      </c>
      <c r="D711" s="22"/>
      <c r="E711" s="23">
        <v>0.2459000015258789</v>
      </c>
      <c r="F711" s="24" t="s">
        <v>128</v>
      </c>
    </row>
    <row r="712" spans="1:6" ht="16" customHeight="1" x14ac:dyDescent="0.45">
      <c r="A712" s="19" t="s">
        <v>1542</v>
      </c>
      <c r="B712" s="20" t="s">
        <v>1543</v>
      </c>
      <c r="C712" s="21">
        <v>12490</v>
      </c>
      <c r="D712" s="22"/>
      <c r="E712" s="23">
        <v>0.24530000686645509</v>
      </c>
      <c r="F712" s="24" t="s">
        <v>128</v>
      </c>
    </row>
    <row r="713" spans="1:6" ht="16" customHeight="1" x14ac:dyDescent="0.45">
      <c r="A713" s="19" t="s">
        <v>1544</v>
      </c>
      <c r="B713" s="20" t="s">
        <v>1545</v>
      </c>
      <c r="C713" s="21">
        <v>13450</v>
      </c>
      <c r="D713" s="22"/>
      <c r="E713" s="23">
        <v>0.18819999694824219</v>
      </c>
      <c r="F713" s="24" t="s">
        <v>128</v>
      </c>
    </row>
    <row r="714" spans="1:6" ht="16" customHeight="1" x14ac:dyDescent="0.45">
      <c r="A714" s="19" t="s">
        <v>1546</v>
      </c>
      <c r="B714" s="20" t="s">
        <v>1547</v>
      </c>
      <c r="C714" s="21">
        <v>4835</v>
      </c>
      <c r="D714" s="22"/>
      <c r="E714" s="23">
        <v>1.149999976158142E-2</v>
      </c>
      <c r="F714" s="24" t="s">
        <v>128</v>
      </c>
    </row>
    <row r="715" spans="1:6" ht="16" customHeight="1" x14ac:dyDescent="0.45">
      <c r="A715" s="19" t="s">
        <v>1548</v>
      </c>
      <c r="B715" s="20" t="s">
        <v>1549</v>
      </c>
      <c r="C715" s="21">
        <v>1224</v>
      </c>
      <c r="D715" s="22"/>
      <c r="E715" s="23">
        <v>-1.6900000572204591E-2</v>
      </c>
      <c r="F715" s="24" t="s">
        <v>125</v>
      </c>
    </row>
    <row r="716" spans="1:6" ht="16" customHeight="1" x14ac:dyDescent="0.45">
      <c r="A716" s="19" t="s">
        <v>1550</v>
      </c>
      <c r="B716" s="20" t="s">
        <v>1551</v>
      </c>
      <c r="C716" s="21">
        <v>8850</v>
      </c>
      <c r="D716" s="22"/>
      <c r="E716" s="23">
        <v>-1.340000033378601E-2</v>
      </c>
      <c r="F716" s="24" t="s">
        <v>125</v>
      </c>
    </row>
    <row r="717" spans="1:6" ht="16" customHeight="1" x14ac:dyDescent="0.45">
      <c r="A717" s="19" t="s">
        <v>1552</v>
      </c>
      <c r="B717" s="20" t="s">
        <v>1553</v>
      </c>
      <c r="C717" s="21">
        <v>973</v>
      </c>
      <c r="D717" s="22"/>
      <c r="E717" s="23">
        <v>0</v>
      </c>
      <c r="F717" s="24" t="s">
        <v>125</v>
      </c>
    </row>
    <row r="718" spans="1:6" ht="16" customHeight="1" x14ac:dyDescent="0.45">
      <c r="A718" s="19" t="s">
        <v>1554</v>
      </c>
      <c r="B718" s="20" t="s">
        <v>1555</v>
      </c>
      <c r="C718" s="21">
        <v>3575</v>
      </c>
      <c r="D718" s="22"/>
      <c r="E718" s="23">
        <v>0.23700000762939449</v>
      </c>
      <c r="F718" s="24" t="s">
        <v>125</v>
      </c>
    </row>
    <row r="719" spans="1:6" ht="16" customHeight="1" x14ac:dyDescent="0.45">
      <c r="A719" s="19" t="s">
        <v>1556</v>
      </c>
      <c r="B719" s="20" t="s">
        <v>1557</v>
      </c>
      <c r="C719" s="21">
        <v>4885</v>
      </c>
      <c r="D719" s="22"/>
      <c r="E719" s="23">
        <v>0</v>
      </c>
      <c r="F719" s="24" t="s">
        <v>125</v>
      </c>
    </row>
    <row r="720" spans="1:6" ht="16" customHeight="1" x14ac:dyDescent="0.45">
      <c r="A720" s="19" t="s">
        <v>1558</v>
      </c>
      <c r="B720" s="20" t="s">
        <v>1559</v>
      </c>
      <c r="C720" s="21">
        <v>1130</v>
      </c>
      <c r="D720" s="22"/>
      <c r="E720" s="23">
        <v>-5.1999998092651357E-2</v>
      </c>
      <c r="F720" s="24" t="s">
        <v>125</v>
      </c>
    </row>
    <row r="721" spans="1:6" ht="16" customHeight="1" x14ac:dyDescent="0.45">
      <c r="A721" s="19" t="s">
        <v>1560</v>
      </c>
      <c r="B721" s="20" t="s">
        <v>1561</v>
      </c>
      <c r="C721" s="21">
        <v>1701</v>
      </c>
      <c r="D721" s="22"/>
      <c r="E721" s="23">
        <v>-3.9000000953674313E-2</v>
      </c>
      <c r="F721" s="24" t="s">
        <v>125</v>
      </c>
    </row>
    <row r="722" spans="1:6" ht="16" customHeight="1" x14ac:dyDescent="0.45">
      <c r="A722" s="19" t="s">
        <v>1562</v>
      </c>
      <c r="B722" s="20" t="s">
        <v>1563</v>
      </c>
      <c r="C722" s="21">
        <v>6680</v>
      </c>
      <c r="D722" s="22"/>
      <c r="E722" s="23">
        <v>-1.6200000047683721E-2</v>
      </c>
      <c r="F722" s="24" t="s">
        <v>128</v>
      </c>
    </row>
    <row r="723" spans="1:6" ht="16" customHeight="1" x14ac:dyDescent="0.45">
      <c r="A723" s="19" t="s">
        <v>1564</v>
      </c>
      <c r="B723" s="20" t="s">
        <v>1565</v>
      </c>
      <c r="C723" s="21">
        <v>3780</v>
      </c>
      <c r="D723" s="22"/>
      <c r="E723" s="23">
        <v>-2.700000047683716E-2</v>
      </c>
      <c r="F723" s="24" t="s">
        <v>125</v>
      </c>
    </row>
    <row r="724" spans="1:6" ht="16" customHeight="1" x14ac:dyDescent="0.45">
      <c r="A724" s="19" t="s">
        <v>1566</v>
      </c>
      <c r="B724" s="20" t="s">
        <v>1567</v>
      </c>
      <c r="C724" s="21">
        <v>18020</v>
      </c>
      <c r="D724" s="22"/>
      <c r="E724" s="23">
        <v>-6.7300000190734857E-2</v>
      </c>
      <c r="F724" s="24" t="s">
        <v>125</v>
      </c>
    </row>
    <row r="725" spans="1:6" ht="16" customHeight="1" x14ac:dyDescent="0.45">
      <c r="A725" s="19" t="s">
        <v>1568</v>
      </c>
      <c r="B725" s="20" t="s">
        <v>1569</v>
      </c>
      <c r="C725" s="21">
        <v>2055</v>
      </c>
      <c r="D725" s="22"/>
      <c r="E725" s="23">
        <v>-2.39999994635582E-3</v>
      </c>
      <c r="F725" s="24" t="s">
        <v>125</v>
      </c>
    </row>
    <row r="726" spans="1:6" ht="16" customHeight="1" x14ac:dyDescent="0.45">
      <c r="A726" s="19" t="s">
        <v>1570</v>
      </c>
      <c r="B726" s="20" t="s">
        <v>1571</v>
      </c>
      <c r="C726" s="21">
        <v>2025</v>
      </c>
      <c r="D726" s="22"/>
      <c r="E726" s="23">
        <v>0</v>
      </c>
      <c r="F726" s="24" t="s">
        <v>125</v>
      </c>
    </row>
    <row r="727" spans="1:6" ht="16" customHeight="1" x14ac:dyDescent="0.45">
      <c r="A727" s="19" t="s">
        <v>1572</v>
      </c>
      <c r="B727" s="20" t="s">
        <v>1573</v>
      </c>
      <c r="C727" s="21">
        <v>12380</v>
      </c>
      <c r="D727" s="22"/>
      <c r="E727" s="23">
        <v>-3.1999999284744261E-3</v>
      </c>
      <c r="F727" s="24" t="s">
        <v>128</v>
      </c>
    </row>
    <row r="728" spans="1:6" ht="16" customHeight="1" x14ac:dyDescent="0.45">
      <c r="A728" s="19" t="s">
        <v>1574</v>
      </c>
      <c r="B728" s="20" t="s">
        <v>1575</v>
      </c>
      <c r="C728" s="21">
        <v>34800</v>
      </c>
      <c r="D728" s="22"/>
      <c r="E728" s="23">
        <v>2.9600000381469729E-2</v>
      </c>
      <c r="F728" s="24" t="s">
        <v>128</v>
      </c>
    </row>
    <row r="729" spans="1:6" ht="16" customHeight="1" x14ac:dyDescent="0.45">
      <c r="A729" s="19" t="s">
        <v>1576</v>
      </c>
      <c r="B729" s="20" t="s">
        <v>1577</v>
      </c>
      <c r="C729" s="21">
        <v>7190</v>
      </c>
      <c r="D729" s="22"/>
      <c r="E729" s="23">
        <v>-3.6199998855590818E-2</v>
      </c>
      <c r="F729" s="24" t="s">
        <v>128</v>
      </c>
    </row>
    <row r="730" spans="1:6" ht="16" customHeight="1" x14ac:dyDescent="0.45">
      <c r="A730" s="19" t="s">
        <v>1578</v>
      </c>
      <c r="B730" s="20" t="s">
        <v>1579</v>
      </c>
      <c r="C730" s="21">
        <v>25500</v>
      </c>
      <c r="D730" s="22"/>
      <c r="E730" s="23">
        <v>-2.000000029802323E-3</v>
      </c>
      <c r="F730" s="24" t="s">
        <v>125</v>
      </c>
    </row>
    <row r="731" spans="1:6" ht="16" customHeight="1" x14ac:dyDescent="0.45">
      <c r="A731" s="19" t="s">
        <v>1580</v>
      </c>
      <c r="B731" s="20" t="s">
        <v>1581</v>
      </c>
      <c r="C731" s="21">
        <v>5700</v>
      </c>
      <c r="D731" s="22"/>
      <c r="E731" s="23">
        <v>-1.210000038146973E-2</v>
      </c>
      <c r="F731" s="24" t="s">
        <v>125</v>
      </c>
    </row>
    <row r="732" spans="1:6" ht="16" customHeight="1" x14ac:dyDescent="0.45">
      <c r="A732" s="19" t="s">
        <v>1582</v>
      </c>
      <c r="B732" s="20" t="s">
        <v>1583</v>
      </c>
      <c r="C732" s="21">
        <v>1847</v>
      </c>
      <c r="D732" s="22"/>
      <c r="E732" s="23">
        <v>5.0000000745058064E-4</v>
      </c>
      <c r="F732" s="24" t="s">
        <v>125</v>
      </c>
    </row>
    <row r="733" spans="1:6" ht="16" customHeight="1" x14ac:dyDescent="0.45">
      <c r="A733" s="19" t="s">
        <v>1584</v>
      </c>
      <c r="B733" s="20" t="s">
        <v>1585</v>
      </c>
      <c r="C733" s="21">
        <v>71400</v>
      </c>
      <c r="D733" s="22"/>
      <c r="E733" s="23">
        <v>-4.6700000762939453E-2</v>
      </c>
      <c r="F733" s="24" t="s">
        <v>125</v>
      </c>
    </row>
    <row r="734" spans="1:6" ht="16" customHeight="1" x14ac:dyDescent="0.45">
      <c r="A734" s="19" t="s">
        <v>1586</v>
      </c>
      <c r="B734" s="20" t="s">
        <v>1587</v>
      </c>
      <c r="C734" s="21">
        <v>2960</v>
      </c>
      <c r="D734" s="22"/>
      <c r="E734" s="23">
        <v>-4.0500001907348628E-2</v>
      </c>
      <c r="F734" s="24" t="s">
        <v>128</v>
      </c>
    </row>
    <row r="735" spans="1:6" ht="16" customHeight="1" x14ac:dyDescent="0.45">
      <c r="A735" s="19" t="s">
        <v>1588</v>
      </c>
      <c r="B735" s="20" t="s">
        <v>1589</v>
      </c>
      <c r="C735" s="21">
        <v>11600</v>
      </c>
      <c r="D735" s="22"/>
      <c r="E735" s="23">
        <v>-4.2899999618530277E-2</v>
      </c>
      <c r="F735" s="24" t="s">
        <v>125</v>
      </c>
    </row>
    <row r="736" spans="1:6" ht="16" customHeight="1" x14ac:dyDescent="0.45">
      <c r="A736" s="19" t="s">
        <v>1590</v>
      </c>
      <c r="B736" s="20" t="s">
        <v>1591</v>
      </c>
      <c r="C736" s="21">
        <v>31800</v>
      </c>
      <c r="D736" s="22"/>
      <c r="E736" s="23">
        <v>-0.02</v>
      </c>
      <c r="F736" s="24" t="s">
        <v>125</v>
      </c>
    </row>
    <row r="737" spans="1:6" ht="16" customHeight="1" x14ac:dyDescent="0.45">
      <c r="A737" s="19" t="s">
        <v>1592</v>
      </c>
      <c r="B737" s="20" t="s">
        <v>1593</v>
      </c>
      <c r="C737" s="21">
        <v>677</v>
      </c>
      <c r="D737" s="22"/>
      <c r="E737" s="23">
        <v>0</v>
      </c>
      <c r="F737" s="24" t="s">
        <v>125</v>
      </c>
    </row>
    <row r="738" spans="1:6" ht="16" customHeight="1" x14ac:dyDescent="0.45">
      <c r="A738" s="19" t="s">
        <v>1594</v>
      </c>
      <c r="B738" s="20" t="s">
        <v>1595</v>
      </c>
      <c r="C738" s="21">
        <v>5970</v>
      </c>
      <c r="D738" s="22"/>
      <c r="E738" s="23">
        <v>2.2300000190734859E-2</v>
      </c>
      <c r="F738" s="24" t="s">
        <v>125</v>
      </c>
    </row>
    <row r="739" spans="1:6" ht="16" customHeight="1" x14ac:dyDescent="0.45">
      <c r="A739" s="19" t="s">
        <v>1596</v>
      </c>
      <c r="B739" s="20" t="s">
        <v>1597</v>
      </c>
      <c r="C739" s="21">
        <v>693</v>
      </c>
      <c r="D739" s="22"/>
      <c r="E739" s="23">
        <v>0</v>
      </c>
      <c r="F739" s="24" t="s">
        <v>125</v>
      </c>
    </row>
    <row r="740" spans="1:6" ht="16" customHeight="1" x14ac:dyDescent="0.45">
      <c r="A740" s="19" t="s">
        <v>1598</v>
      </c>
      <c r="B740" s="20" t="s">
        <v>1599</v>
      </c>
      <c r="C740" s="21">
        <v>6090</v>
      </c>
      <c r="D740" s="22"/>
      <c r="E740" s="23">
        <v>0</v>
      </c>
      <c r="F740" s="24" t="s">
        <v>125</v>
      </c>
    </row>
    <row r="741" spans="1:6" ht="16" customHeight="1" x14ac:dyDescent="0.45">
      <c r="A741" s="19" t="s">
        <v>1600</v>
      </c>
      <c r="B741" s="20" t="s">
        <v>1601</v>
      </c>
      <c r="C741" s="21">
        <v>1769</v>
      </c>
      <c r="D741" s="22"/>
      <c r="E741" s="23">
        <v>3.2699999809265128E-2</v>
      </c>
      <c r="F741" s="24" t="s">
        <v>125</v>
      </c>
    </row>
    <row r="742" spans="1:6" ht="16" customHeight="1" x14ac:dyDescent="0.45">
      <c r="A742" s="19" t="s">
        <v>1602</v>
      </c>
      <c r="B742" s="20" t="s">
        <v>1603</v>
      </c>
      <c r="C742" s="21">
        <v>23800</v>
      </c>
      <c r="D742" s="22"/>
      <c r="E742" s="23">
        <v>2.099999934434891E-3</v>
      </c>
      <c r="F742" s="24" t="s">
        <v>125</v>
      </c>
    </row>
    <row r="743" spans="1:6" ht="16" customHeight="1" x14ac:dyDescent="0.45">
      <c r="A743" s="19" t="s">
        <v>1604</v>
      </c>
      <c r="B743" s="20" t="s">
        <v>1605</v>
      </c>
      <c r="C743" s="21">
        <v>16670</v>
      </c>
      <c r="D743" s="22"/>
      <c r="E743" s="23">
        <v>-2.2300000190734859E-2</v>
      </c>
      <c r="F743" s="24" t="s">
        <v>125</v>
      </c>
    </row>
    <row r="744" spans="1:6" ht="16" customHeight="1" x14ac:dyDescent="0.45">
      <c r="A744" s="19" t="s">
        <v>1606</v>
      </c>
      <c r="B744" s="20" t="s">
        <v>1607</v>
      </c>
      <c r="C744" s="21">
        <v>5270</v>
      </c>
      <c r="D744" s="22"/>
      <c r="E744" s="23">
        <v>-1.899999976158142E-3</v>
      </c>
      <c r="F744" s="24" t="s">
        <v>128</v>
      </c>
    </row>
    <row r="745" spans="1:6" ht="16" customHeight="1" x14ac:dyDescent="0.45">
      <c r="A745" s="19" t="s">
        <v>1608</v>
      </c>
      <c r="B745" s="20" t="s">
        <v>1609</v>
      </c>
      <c r="C745" s="21">
        <v>2217</v>
      </c>
      <c r="D745" s="22"/>
      <c r="E745" s="23">
        <v>-2.759999990463257E-2</v>
      </c>
      <c r="F745" s="24" t="s">
        <v>128</v>
      </c>
    </row>
    <row r="746" spans="1:6" ht="16" customHeight="1" x14ac:dyDescent="0.45">
      <c r="A746" s="19" t="s">
        <v>1610</v>
      </c>
      <c r="B746" s="20" t="s">
        <v>1611</v>
      </c>
      <c r="C746" s="21">
        <v>1750</v>
      </c>
      <c r="D746" s="22"/>
      <c r="E746" s="23">
        <v>-2.6199998855590819E-2</v>
      </c>
      <c r="F746" s="24" t="s">
        <v>125</v>
      </c>
    </row>
    <row r="747" spans="1:6" ht="16" customHeight="1" x14ac:dyDescent="0.45">
      <c r="A747" s="19" t="s">
        <v>1612</v>
      </c>
      <c r="B747" s="20" t="s">
        <v>1613</v>
      </c>
      <c r="C747" s="21">
        <v>1525</v>
      </c>
      <c r="D747" s="22"/>
      <c r="E747" s="23">
        <v>-3.1700000762939447E-2</v>
      </c>
      <c r="F747" s="24" t="s">
        <v>125</v>
      </c>
    </row>
    <row r="748" spans="1:6" ht="16" customHeight="1" x14ac:dyDescent="0.45">
      <c r="A748" s="19" t="s">
        <v>1614</v>
      </c>
      <c r="B748" s="20" t="s">
        <v>1615</v>
      </c>
      <c r="C748" s="21">
        <v>940</v>
      </c>
      <c r="D748" s="22"/>
      <c r="E748" s="23">
        <v>-3.490000009536743E-2</v>
      </c>
      <c r="F748" s="24" t="s">
        <v>128</v>
      </c>
    </row>
    <row r="749" spans="1:6" ht="16" customHeight="1" x14ac:dyDescent="0.45">
      <c r="A749" s="19" t="s">
        <v>1616</v>
      </c>
      <c r="B749" s="20" t="s">
        <v>1617</v>
      </c>
      <c r="C749" s="21">
        <v>15530</v>
      </c>
      <c r="D749" s="22"/>
      <c r="E749" s="23">
        <v>-4.7199997901916507E-2</v>
      </c>
      <c r="F749" s="24" t="s">
        <v>128</v>
      </c>
    </row>
    <row r="750" spans="1:6" ht="16" customHeight="1" x14ac:dyDescent="0.45">
      <c r="A750" s="19" t="s">
        <v>1618</v>
      </c>
      <c r="B750" s="20" t="s">
        <v>1619</v>
      </c>
      <c r="C750" s="21">
        <v>14450</v>
      </c>
      <c r="D750" s="22"/>
      <c r="E750" s="23">
        <v>-3.539999961853027E-2</v>
      </c>
      <c r="F750" s="24" t="s">
        <v>125</v>
      </c>
    </row>
    <row r="751" spans="1:6" ht="16" customHeight="1" x14ac:dyDescent="0.45">
      <c r="A751" s="19" t="s">
        <v>1620</v>
      </c>
      <c r="B751" s="20" t="s">
        <v>1621</v>
      </c>
      <c r="C751" s="21">
        <v>700</v>
      </c>
      <c r="D751" s="22"/>
      <c r="E751" s="23">
        <v>-1.549999952316284E-2</v>
      </c>
      <c r="F751" s="24" t="s">
        <v>125</v>
      </c>
    </row>
    <row r="752" spans="1:6" ht="16" customHeight="1" x14ac:dyDescent="0.45">
      <c r="A752" s="19" t="s">
        <v>1622</v>
      </c>
      <c r="B752" s="20" t="s">
        <v>1623</v>
      </c>
      <c r="C752" s="21">
        <v>2670</v>
      </c>
      <c r="D752" s="22"/>
      <c r="E752" s="23">
        <v>2.5000000000000001E-2</v>
      </c>
      <c r="F752" s="24" t="s">
        <v>125</v>
      </c>
    </row>
    <row r="753" spans="1:6" ht="16" customHeight="1" x14ac:dyDescent="0.45">
      <c r="A753" s="19" t="s">
        <v>1624</v>
      </c>
      <c r="B753" s="20" t="s">
        <v>1625</v>
      </c>
      <c r="C753" s="21">
        <v>2015</v>
      </c>
      <c r="D753" s="22"/>
      <c r="E753" s="23">
        <v>-1.230000019073486E-2</v>
      </c>
      <c r="F753" s="24" t="s">
        <v>125</v>
      </c>
    </row>
    <row r="754" spans="1:6" ht="16" customHeight="1" x14ac:dyDescent="0.45">
      <c r="A754" s="19" t="s">
        <v>1626</v>
      </c>
      <c r="B754" s="20" t="s">
        <v>1627</v>
      </c>
      <c r="C754" s="21">
        <v>8130</v>
      </c>
      <c r="D754" s="22"/>
      <c r="E754" s="23">
        <v>-1.2200000286102301E-2</v>
      </c>
      <c r="F754" s="24" t="s">
        <v>125</v>
      </c>
    </row>
    <row r="755" spans="1:6" ht="16" customHeight="1" x14ac:dyDescent="0.45">
      <c r="A755" s="19" t="s">
        <v>1628</v>
      </c>
      <c r="B755" s="20" t="s">
        <v>1629</v>
      </c>
      <c r="C755" s="21">
        <v>2610</v>
      </c>
      <c r="D755" s="22"/>
      <c r="E755" s="23">
        <v>-4.0399999618530268E-2</v>
      </c>
      <c r="F755" s="24" t="s">
        <v>125</v>
      </c>
    </row>
    <row r="756" spans="1:6" ht="16" customHeight="1" x14ac:dyDescent="0.45">
      <c r="A756" s="19" t="s">
        <v>1630</v>
      </c>
      <c r="B756" s="20" t="s">
        <v>1631</v>
      </c>
      <c r="C756" s="21">
        <v>10500</v>
      </c>
      <c r="D756" s="22"/>
      <c r="E756" s="23">
        <v>-2.329999923706055E-2</v>
      </c>
      <c r="F756" s="24" t="s">
        <v>125</v>
      </c>
    </row>
    <row r="757" spans="1:6" ht="16" customHeight="1" x14ac:dyDescent="0.45">
      <c r="A757" s="19" t="s">
        <v>1632</v>
      </c>
      <c r="B757" s="20" t="s">
        <v>1633</v>
      </c>
      <c r="C757" s="21">
        <v>3725</v>
      </c>
      <c r="D757" s="22"/>
      <c r="E757" s="23">
        <v>2.4800000190734861E-2</v>
      </c>
      <c r="F757" s="24" t="s">
        <v>125</v>
      </c>
    </row>
    <row r="758" spans="1:6" ht="16" customHeight="1" x14ac:dyDescent="0.45">
      <c r="A758" s="19" t="s">
        <v>1634</v>
      </c>
      <c r="B758" s="20" t="s">
        <v>1635</v>
      </c>
      <c r="C758" s="21">
        <v>28800</v>
      </c>
      <c r="D758" s="22"/>
      <c r="E758" s="23">
        <v>8.4700002670288085E-2</v>
      </c>
      <c r="F758" s="24" t="s">
        <v>125</v>
      </c>
    </row>
    <row r="759" spans="1:6" ht="16" customHeight="1" x14ac:dyDescent="0.45">
      <c r="A759" s="19" t="s">
        <v>1636</v>
      </c>
      <c r="B759" s="20" t="s">
        <v>1637</v>
      </c>
      <c r="C759" s="21">
        <v>2755</v>
      </c>
      <c r="D759" s="22"/>
      <c r="E759" s="23">
        <v>-1.7799999713897709E-2</v>
      </c>
      <c r="F759" s="24" t="s">
        <v>125</v>
      </c>
    </row>
    <row r="760" spans="1:6" ht="16" customHeight="1" x14ac:dyDescent="0.45">
      <c r="A760" s="19" t="s">
        <v>1638</v>
      </c>
      <c r="B760" s="20" t="s">
        <v>1639</v>
      </c>
      <c r="C760" s="21">
        <v>3080</v>
      </c>
      <c r="D760" s="22"/>
      <c r="E760" s="23">
        <v>-4.639999866485596E-2</v>
      </c>
      <c r="F760" s="24" t="s">
        <v>125</v>
      </c>
    </row>
    <row r="761" spans="1:6" ht="16" customHeight="1" x14ac:dyDescent="0.45">
      <c r="A761" s="19" t="s">
        <v>1640</v>
      </c>
      <c r="B761" s="20" t="s">
        <v>1641</v>
      </c>
      <c r="C761" s="21">
        <v>3545</v>
      </c>
      <c r="D761" s="22"/>
      <c r="E761" s="23">
        <v>-4.1999998688697811E-3</v>
      </c>
      <c r="F761" s="24" t="s">
        <v>125</v>
      </c>
    </row>
    <row r="762" spans="1:6" ht="16" customHeight="1" x14ac:dyDescent="0.45">
      <c r="A762" s="19" t="s">
        <v>1642</v>
      </c>
      <c r="B762" s="20" t="s">
        <v>1643</v>
      </c>
      <c r="C762" s="21">
        <v>941</v>
      </c>
      <c r="D762" s="22"/>
      <c r="E762" s="23">
        <v>0</v>
      </c>
      <c r="F762" s="24" t="s">
        <v>125</v>
      </c>
    </row>
    <row r="763" spans="1:6" ht="16" customHeight="1" x14ac:dyDescent="0.45">
      <c r="A763" s="19" t="s">
        <v>1644</v>
      </c>
      <c r="B763" s="20" t="s">
        <v>1645</v>
      </c>
      <c r="C763" s="21">
        <v>3425</v>
      </c>
      <c r="D763" s="22"/>
      <c r="E763" s="23">
        <v>-5.6500000953674308E-2</v>
      </c>
      <c r="F763" s="24" t="s">
        <v>125</v>
      </c>
    </row>
    <row r="764" spans="1:6" ht="16" customHeight="1" x14ac:dyDescent="0.45">
      <c r="A764" s="19" t="s">
        <v>1646</v>
      </c>
      <c r="B764" s="20" t="s">
        <v>1647</v>
      </c>
      <c r="C764" s="21">
        <v>2440</v>
      </c>
      <c r="D764" s="22"/>
      <c r="E764" s="23">
        <v>-3.1700000762939447E-2</v>
      </c>
      <c r="F764" s="24" t="s">
        <v>125</v>
      </c>
    </row>
    <row r="765" spans="1:6" ht="16" customHeight="1" x14ac:dyDescent="0.45">
      <c r="A765" s="19" t="s">
        <v>1648</v>
      </c>
      <c r="B765" s="20" t="s">
        <v>1649</v>
      </c>
      <c r="C765" s="21">
        <v>4735</v>
      </c>
      <c r="D765" s="22"/>
      <c r="E765" s="23">
        <v>-1.559999942779541E-2</v>
      </c>
      <c r="F765" s="24" t="s">
        <v>125</v>
      </c>
    </row>
    <row r="766" spans="1:6" ht="16" customHeight="1" x14ac:dyDescent="0.45">
      <c r="A766" s="19" t="s">
        <v>1650</v>
      </c>
      <c r="B766" s="20" t="s">
        <v>1651</v>
      </c>
      <c r="C766" s="21">
        <v>17280</v>
      </c>
      <c r="D766" s="22"/>
      <c r="E766" s="23">
        <v>4.0999999642372144E-3</v>
      </c>
      <c r="F766" s="24" t="s">
        <v>125</v>
      </c>
    </row>
    <row r="767" spans="1:6" ht="16" customHeight="1" x14ac:dyDescent="0.45">
      <c r="A767" s="19" t="s">
        <v>1652</v>
      </c>
      <c r="B767" s="20" t="s">
        <v>1653</v>
      </c>
      <c r="C767" s="21">
        <v>13740</v>
      </c>
      <c r="D767" s="22"/>
      <c r="E767" s="23">
        <v>4.730000019073486E-2</v>
      </c>
      <c r="F767" s="24" t="s">
        <v>125</v>
      </c>
    </row>
    <row r="768" spans="1:6" ht="16" customHeight="1" x14ac:dyDescent="0.45">
      <c r="A768" s="19" t="s">
        <v>1654</v>
      </c>
      <c r="B768" s="20" t="s">
        <v>1655</v>
      </c>
      <c r="C768" s="21">
        <v>7290</v>
      </c>
      <c r="D768" s="22"/>
      <c r="E768" s="23">
        <v>1.400000005960465E-3</v>
      </c>
      <c r="F768" s="24" t="s">
        <v>125</v>
      </c>
    </row>
    <row r="769" spans="1:6" ht="16" customHeight="1" x14ac:dyDescent="0.45">
      <c r="A769" s="19" t="s">
        <v>1656</v>
      </c>
      <c r="B769" s="20" t="s">
        <v>1657</v>
      </c>
      <c r="C769" s="21">
        <v>1116</v>
      </c>
      <c r="D769" s="22"/>
      <c r="E769" s="23">
        <v>1.4500000476837161E-2</v>
      </c>
      <c r="F769" s="24" t="s">
        <v>125</v>
      </c>
    </row>
    <row r="770" spans="1:6" ht="16" customHeight="1" x14ac:dyDescent="0.45">
      <c r="A770" s="19" t="s">
        <v>1658</v>
      </c>
      <c r="B770" s="20" t="s">
        <v>1659</v>
      </c>
      <c r="C770" s="21">
        <v>2445</v>
      </c>
      <c r="D770" s="22"/>
      <c r="E770" s="23">
        <v>-4.1199998855590822E-2</v>
      </c>
      <c r="F770" s="24" t="s">
        <v>125</v>
      </c>
    </row>
    <row r="771" spans="1:6" ht="16" customHeight="1" x14ac:dyDescent="0.45">
      <c r="A771" s="19" t="s">
        <v>1660</v>
      </c>
      <c r="B771" s="20" t="s">
        <v>1661</v>
      </c>
      <c r="C771" s="21">
        <v>5180</v>
      </c>
      <c r="D771" s="22"/>
      <c r="E771" s="23">
        <v>-5.3000001907348632E-2</v>
      </c>
      <c r="F771" s="24" t="s">
        <v>125</v>
      </c>
    </row>
    <row r="772" spans="1:6" ht="16" customHeight="1" x14ac:dyDescent="0.45">
      <c r="A772" s="19" t="s">
        <v>1662</v>
      </c>
      <c r="B772" s="20" t="s">
        <v>1663</v>
      </c>
      <c r="C772" s="21">
        <v>8860</v>
      </c>
      <c r="D772" s="22"/>
      <c r="E772" s="23">
        <v>-4.2199997901916503E-2</v>
      </c>
      <c r="F772" s="24" t="s">
        <v>125</v>
      </c>
    </row>
    <row r="773" spans="1:6" ht="16" customHeight="1" x14ac:dyDescent="0.45">
      <c r="A773" s="19" t="s">
        <v>1664</v>
      </c>
      <c r="B773" s="20" t="s">
        <v>1665</v>
      </c>
      <c r="C773" s="21">
        <v>6950</v>
      </c>
      <c r="D773" s="22"/>
      <c r="E773" s="23">
        <v>7.2000002861022953E-3</v>
      </c>
      <c r="F773" s="24" t="s">
        <v>251</v>
      </c>
    </row>
    <row r="774" spans="1:6" ht="16" customHeight="1" x14ac:dyDescent="0.45">
      <c r="A774" s="19" t="s">
        <v>1666</v>
      </c>
      <c r="B774" s="20" t="s">
        <v>1667</v>
      </c>
      <c r="C774" s="21">
        <v>4070</v>
      </c>
      <c r="D774" s="22"/>
      <c r="E774" s="23">
        <v>8.970000267028809E-2</v>
      </c>
      <c r="F774" s="24" t="s">
        <v>125</v>
      </c>
    </row>
    <row r="775" spans="1:6" ht="16" customHeight="1" x14ac:dyDescent="0.45">
      <c r="A775" s="19" t="s">
        <v>1668</v>
      </c>
      <c r="B775" s="20" t="s">
        <v>1669</v>
      </c>
      <c r="C775" s="21">
        <v>1239</v>
      </c>
      <c r="D775" s="22"/>
      <c r="E775" s="23">
        <v>-2.9800000190734859E-2</v>
      </c>
      <c r="F775" s="24" t="s">
        <v>125</v>
      </c>
    </row>
    <row r="776" spans="1:6" ht="16" customHeight="1" x14ac:dyDescent="0.45">
      <c r="A776" s="19" t="s">
        <v>1670</v>
      </c>
      <c r="B776" s="20" t="s">
        <v>1671</v>
      </c>
      <c r="C776" s="21">
        <v>2760</v>
      </c>
      <c r="D776" s="22"/>
      <c r="E776" s="23">
        <v>-3.6600000858306878E-2</v>
      </c>
      <c r="F776" s="24" t="s">
        <v>125</v>
      </c>
    </row>
    <row r="777" spans="1:6" ht="16" customHeight="1" x14ac:dyDescent="0.45">
      <c r="A777" s="19" t="s">
        <v>1672</v>
      </c>
      <c r="B777" s="20" t="s">
        <v>1673</v>
      </c>
      <c r="C777" s="21">
        <v>709</v>
      </c>
      <c r="D777" s="22"/>
      <c r="E777" s="23">
        <v>1.400000005960465E-3</v>
      </c>
      <c r="F777" s="24" t="s">
        <v>251</v>
      </c>
    </row>
    <row r="778" spans="1:6" ht="16" customHeight="1" x14ac:dyDescent="0.45">
      <c r="A778" s="19" t="s">
        <v>1674</v>
      </c>
      <c r="B778" s="20" t="s">
        <v>1675</v>
      </c>
      <c r="C778" s="21">
        <v>1050</v>
      </c>
      <c r="D778" s="22"/>
      <c r="E778" s="23">
        <v>0</v>
      </c>
      <c r="F778" s="24" t="s">
        <v>251</v>
      </c>
    </row>
    <row r="779" spans="1:6" ht="16" customHeight="1" x14ac:dyDescent="0.45">
      <c r="A779" s="19" t="s">
        <v>1676</v>
      </c>
      <c r="B779" s="20" t="s">
        <v>1677</v>
      </c>
      <c r="C779" s="21">
        <v>10980</v>
      </c>
      <c r="D779" s="22"/>
      <c r="E779" s="23">
        <v>-2.9200000762939451E-2</v>
      </c>
      <c r="F779" s="24" t="s">
        <v>125</v>
      </c>
    </row>
    <row r="780" spans="1:6" ht="16" customHeight="1" x14ac:dyDescent="0.45">
      <c r="A780" s="19" t="s">
        <v>1678</v>
      </c>
      <c r="B780" s="20" t="s">
        <v>1679</v>
      </c>
      <c r="C780" s="21">
        <v>3295</v>
      </c>
      <c r="D780" s="22"/>
      <c r="E780" s="23">
        <v>-2.369999885559082E-2</v>
      </c>
      <c r="F780" s="24" t="s">
        <v>125</v>
      </c>
    </row>
    <row r="781" spans="1:6" ht="16" customHeight="1" x14ac:dyDescent="0.45">
      <c r="A781" s="19" t="s">
        <v>1680</v>
      </c>
      <c r="B781" s="20" t="s">
        <v>1681</v>
      </c>
      <c r="C781" s="21">
        <v>7350</v>
      </c>
      <c r="D781" s="22"/>
      <c r="E781" s="23">
        <v>-3.4200000762939463E-2</v>
      </c>
      <c r="F781" s="24" t="s">
        <v>125</v>
      </c>
    </row>
    <row r="782" spans="1:6" ht="16" customHeight="1" x14ac:dyDescent="0.45">
      <c r="A782" s="19" t="s">
        <v>1682</v>
      </c>
      <c r="B782" s="20" t="s">
        <v>1683</v>
      </c>
      <c r="C782" s="21">
        <v>7980</v>
      </c>
      <c r="D782" s="22"/>
      <c r="E782" s="23">
        <v>-6.9899997711181647E-2</v>
      </c>
      <c r="F782" s="24" t="s">
        <v>125</v>
      </c>
    </row>
    <row r="783" spans="1:6" ht="16" customHeight="1" x14ac:dyDescent="0.45">
      <c r="A783" s="19" t="s">
        <v>1684</v>
      </c>
      <c r="B783" s="20" t="s">
        <v>1685</v>
      </c>
      <c r="C783" s="21">
        <v>6040</v>
      </c>
      <c r="D783" s="22"/>
      <c r="E783" s="23">
        <v>-2.1099998950958251E-2</v>
      </c>
      <c r="F783" s="24" t="s">
        <v>125</v>
      </c>
    </row>
    <row r="784" spans="1:6" ht="16" customHeight="1" x14ac:dyDescent="0.45">
      <c r="A784" s="19" t="s">
        <v>1686</v>
      </c>
      <c r="B784" s="20" t="s">
        <v>1687</v>
      </c>
      <c r="C784" s="21">
        <v>7680</v>
      </c>
      <c r="D784" s="22"/>
      <c r="E784" s="23">
        <v>2.599999904632568E-3</v>
      </c>
      <c r="F784" s="24" t="s">
        <v>125</v>
      </c>
    </row>
    <row r="785" spans="1:6" ht="16" customHeight="1" x14ac:dyDescent="0.45">
      <c r="A785" s="19" t="s">
        <v>1688</v>
      </c>
      <c r="B785" s="20" t="s">
        <v>1689</v>
      </c>
      <c r="C785" s="21">
        <v>5340</v>
      </c>
      <c r="D785" s="22"/>
      <c r="E785" s="23">
        <v>-2.9100000858306881E-2</v>
      </c>
      <c r="F785" s="24" t="s">
        <v>125</v>
      </c>
    </row>
    <row r="786" spans="1:6" ht="16" customHeight="1" x14ac:dyDescent="0.45">
      <c r="A786" s="19" t="s">
        <v>1690</v>
      </c>
      <c r="B786" s="20" t="s">
        <v>1691</v>
      </c>
      <c r="C786" s="21">
        <v>23400</v>
      </c>
      <c r="D786" s="22"/>
      <c r="E786" s="23">
        <v>2.410000085830688E-2</v>
      </c>
      <c r="F786" s="24" t="s">
        <v>125</v>
      </c>
    </row>
    <row r="787" spans="1:6" ht="16" customHeight="1" x14ac:dyDescent="0.45">
      <c r="A787" s="19" t="s">
        <v>1692</v>
      </c>
      <c r="B787" s="20" t="s">
        <v>1693</v>
      </c>
      <c r="C787" s="21">
        <v>706000</v>
      </c>
      <c r="D787" s="22"/>
      <c r="E787" s="23">
        <v>3.069999933242798E-2</v>
      </c>
      <c r="F787" s="24" t="s">
        <v>125</v>
      </c>
    </row>
    <row r="788" spans="1:6" ht="16" customHeight="1" x14ac:dyDescent="0.45">
      <c r="A788" s="19" t="s">
        <v>1694</v>
      </c>
      <c r="B788" s="20" t="s">
        <v>1695</v>
      </c>
      <c r="C788" s="21">
        <v>7490</v>
      </c>
      <c r="D788" s="22"/>
      <c r="E788" s="23">
        <v>-2.730000019073486E-2</v>
      </c>
      <c r="F788" s="24" t="s">
        <v>125</v>
      </c>
    </row>
    <row r="789" spans="1:6" ht="16" customHeight="1" x14ac:dyDescent="0.45">
      <c r="A789" s="19" t="s">
        <v>1696</v>
      </c>
      <c r="B789" s="20" t="s">
        <v>1697</v>
      </c>
      <c r="C789" s="21">
        <v>69900</v>
      </c>
      <c r="D789" s="22"/>
      <c r="E789" s="23">
        <v>-2.369999885559082E-2</v>
      </c>
      <c r="F789" s="24" t="s">
        <v>125</v>
      </c>
    </row>
    <row r="790" spans="1:6" ht="16" customHeight="1" x14ac:dyDescent="0.45">
      <c r="A790" s="19" t="s">
        <v>1698</v>
      </c>
      <c r="B790" s="20" t="s">
        <v>1699</v>
      </c>
      <c r="C790" s="21">
        <v>315000</v>
      </c>
      <c r="D790" s="22"/>
      <c r="E790" s="23">
        <v>4.7999998927116391E-3</v>
      </c>
      <c r="F790" s="24" t="s">
        <v>125</v>
      </c>
    </row>
    <row r="791" spans="1:6" ht="16" customHeight="1" x14ac:dyDescent="0.45">
      <c r="A791" s="19" t="s">
        <v>1700</v>
      </c>
      <c r="B791" s="20" t="s">
        <v>1701</v>
      </c>
      <c r="C791" s="21">
        <v>1614</v>
      </c>
      <c r="D791" s="22"/>
      <c r="E791" s="23">
        <v>-1.8200000524520879E-2</v>
      </c>
      <c r="F791" s="24" t="s">
        <v>125</v>
      </c>
    </row>
    <row r="792" spans="1:6" ht="16" customHeight="1" x14ac:dyDescent="0.45">
      <c r="A792" s="19" t="s">
        <v>1702</v>
      </c>
      <c r="B792" s="20" t="s">
        <v>1703</v>
      </c>
      <c r="C792" s="21">
        <v>1963</v>
      </c>
      <c r="D792" s="22"/>
      <c r="E792" s="23">
        <v>-1.7500000000000002E-2</v>
      </c>
      <c r="F792" s="24" t="s">
        <v>125</v>
      </c>
    </row>
    <row r="793" spans="1:6" ht="16" customHeight="1" x14ac:dyDescent="0.45">
      <c r="A793" s="19" t="s">
        <v>1704</v>
      </c>
      <c r="B793" s="20" t="s">
        <v>1705</v>
      </c>
      <c r="C793" s="21">
        <v>1020</v>
      </c>
      <c r="D793" s="22"/>
      <c r="E793" s="23">
        <v>-3.5899999141693117E-2</v>
      </c>
      <c r="F793" s="24" t="s">
        <v>251</v>
      </c>
    </row>
    <row r="794" spans="1:6" ht="16" customHeight="1" x14ac:dyDescent="0.45">
      <c r="A794" s="19" t="s">
        <v>1706</v>
      </c>
      <c r="B794" s="20" t="s">
        <v>1707</v>
      </c>
      <c r="C794" s="21">
        <v>3260</v>
      </c>
      <c r="D794" s="22"/>
      <c r="E794" s="23">
        <v>9.3000000715255729E-3</v>
      </c>
      <c r="F794" s="24" t="s">
        <v>125</v>
      </c>
    </row>
    <row r="795" spans="1:6" ht="16" customHeight="1" x14ac:dyDescent="0.45">
      <c r="A795" s="19" t="s">
        <v>1708</v>
      </c>
      <c r="B795" s="20" t="s">
        <v>1709</v>
      </c>
      <c r="C795" s="21">
        <v>10290</v>
      </c>
      <c r="D795" s="22"/>
      <c r="E795" s="23">
        <v>8.8900003433227542E-2</v>
      </c>
      <c r="F795" s="24" t="s">
        <v>125</v>
      </c>
    </row>
    <row r="796" spans="1:6" ht="16" customHeight="1" x14ac:dyDescent="0.45">
      <c r="A796" s="19" t="s">
        <v>1710</v>
      </c>
      <c r="B796" s="20" t="s">
        <v>1711</v>
      </c>
      <c r="C796" s="21">
        <v>74800</v>
      </c>
      <c r="D796" s="22"/>
      <c r="E796" s="23">
        <v>4.6199998855590819E-2</v>
      </c>
      <c r="F796" s="24" t="s">
        <v>125</v>
      </c>
    </row>
    <row r="797" spans="1:6" ht="16" customHeight="1" x14ac:dyDescent="0.45">
      <c r="A797" s="19" t="s">
        <v>1712</v>
      </c>
      <c r="B797" s="20" t="s">
        <v>1713</v>
      </c>
      <c r="C797" s="21">
        <v>2290</v>
      </c>
      <c r="D797" s="22"/>
      <c r="E797" s="23">
        <v>0</v>
      </c>
      <c r="F797" s="24" t="s">
        <v>125</v>
      </c>
    </row>
    <row r="798" spans="1:6" ht="16" customHeight="1" x14ac:dyDescent="0.45">
      <c r="A798" s="19" t="s">
        <v>1714</v>
      </c>
      <c r="B798" s="20" t="s">
        <v>1715</v>
      </c>
      <c r="C798" s="21">
        <v>20200</v>
      </c>
      <c r="D798" s="22"/>
      <c r="E798" s="23">
        <v>-3.119999885559082E-2</v>
      </c>
      <c r="F798" s="24" t="s">
        <v>128</v>
      </c>
    </row>
    <row r="799" spans="1:6" ht="16" customHeight="1" x14ac:dyDescent="0.45">
      <c r="A799" s="19" t="s">
        <v>1716</v>
      </c>
      <c r="B799" s="20" t="s">
        <v>1717</v>
      </c>
      <c r="C799" s="21">
        <v>32000</v>
      </c>
      <c r="D799" s="22"/>
      <c r="E799" s="23">
        <v>-3.0299999713897709E-2</v>
      </c>
      <c r="F799" s="24" t="s">
        <v>128</v>
      </c>
    </row>
    <row r="800" spans="1:6" ht="16" customHeight="1" x14ac:dyDescent="0.45">
      <c r="A800" s="19" t="s">
        <v>1718</v>
      </c>
      <c r="B800" s="20" t="s">
        <v>1719</v>
      </c>
      <c r="C800" s="21">
        <v>4065</v>
      </c>
      <c r="D800" s="22"/>
      <c r="E800" s="23">
        <v>-4.8000001907348627E-2</v>
      </c>
      <c r="F800" s="24" t="s">
        <v>128</v>
      </c>
    </row>
    <row r="801" spans="1:6" ht="16" customHeight="1" x14ac:dyDescent="0.45">
      <c r="A801" s="19" t="s">
        <v>1720</v>
      </c>
      <c r="B801" s="20" t="s">
        <v>1721</v>
      </c>
      <c r="C801" s="21">
        <v>2165</v>
      </c>
      <c r="D801" s="22"/>
      <c r="E801" s="23">
        <v>-1.370000004768371E-2</v>
      </c>
      <c r="F801" s="24" t="s">
        <v>128</v>
      </c>
    </row>
    <row r="802" spans="1:6" ht="16" customHeight="1" x14ac:dyDescent="0.45">
      <c r="A802" s="19" t="s">
        <v>1722</v>
      </c>
      <c r="B802" s="20" t="s">
        <v>1723</v>
      </c>
      <c r="C802" s="21">
        <v>133700</v>
      </c>
      <c r="D802" s="22"/>
      <c r="E802" s="23">
        <v>-3.4700000286102303E-2</v>
      </c>
      <c r="F802" s="24" t="s">
        <v>128</v>
      </c>
    </row>
    <row r="803" spans="1:6" ht="16" customHeight="1" x14ac:dyDescent="0.45">
      <c r="A803" s="19" t="s">
        <v>1724</v>
      </c>
      <c r="B803" s="20" t="s">
        <v>1725</v>
      </c>
      <c r="C803" s="21">
        <v>78300</v>
      </c>
      <c r="D803" s="22"/>
      <c r="E803" s="23">
        <v>-2.5000000000000001E-3</v>
      </c>
      <c r="F803" s="24" t="s">
        <v>128</v>
      </c>
    </row>
    <row r="804" spans="1:6" ht="16" customHeight="1" x14ac:dyDescent="0.45">
      <c r="A804" s="19" t="s">
        <v>1726</v>
      </c>
      <c r="B804" s="20" t="s">
        <v>1727</v>
      </c>
      <c r="C804" s="21">
        <v>117600</v>
      </c>
      <c r="D804" s="22"/>
      <c r="E804" s="23">
        <v>-2.9700000286102299E-2</v>
      </c>
      <c r="F804" s="24" t="s">
        <v>128</v>
      </c>
    </row>
    <row r="805" spans="1:6" ht="16" customHeight="1" x14ac:dyDescent="0.45">
      <c r="A805" s="19" t="s">
        <v>1728</v>
      </c>
      <c r="B805" s="20" t="s">
        <v>1729</v>
      </c>
      <c r="C805" s="21">
        <v>22350</v>
      </c>
      <c r="D805" s="22"/>
      <c r="E805" s="23">
        <v>-2.4000000953674321E-2</v>
      </c>
      <c r="F805" s="24" t="s">
        <v>128</v>
      </c>
    </row>
    <row r="806" spans="1:6" ht="16" customHeight="1" x14ac:dyDescent="0.45">
      <c r="A806" s="19" t="s">
        <v>1730</v>
      </c>
      <c r="B806" s="20" t="s">
        <v>1731</v>
      </c>
      <c r="C806" s="21">
        <v>64900</v>
      </c>
      <c r="D806" s="22"/>
      <c r="E806" s="23">
        <v>-2.5499999523162838E-2</v>
      </c>
      <c r="F806" s="24" t="s">
        <v>128</v>
      </c>
    </row>
    <row r="807" spans="1:6" ht="16" customHeight="1" x14ac:dyDescent="0.45">
      <c r="A807" s="19" t="s">
        <v>1732</v>
      </c>
      <c r="B807" s="20" t="s">
        <v>1733</v>
      </c>
      <c r="C807" s="21">
        <v>29500</v>
      </c>
      <c r="D807" s="22"/>
      <c r="E807" s="23">
        <v>-1.8300000429153439E-2</v>
      </c>
      <c r="F807" s="24" t="s">
        <v>128</v>
      </c>
    </row>
    <row r="808" spans="1:6" ht="16" customHeight="1" x14ac:dyDescent="0.45">
      <c r="A808" s="19" t="s">
        <v>1734</v>
      </c>
      <c r="B808" s="20" t="s">
        <v>1735</v>
      </c>
      <c r="C808" s="21">
        <v>29200</v>
      </c>
      <c r="D808" s="22"/>
      <c r="E808" s="23">
        <v>-2.0099999904632571E-2</v>
      </c>
      <c r="F808" s="24" t="s">
        <v>128</v>
      </c>
    </row>
    <row r="809" spans="1:6" ht="16" customHeight="1" x14ac:dyDescent="0.45">
      <c r="A809" s="19" t="s">
        <v>1736</v>
      </c>
      <c r="B809" s="20" t="s">
        <v>1737</v>
      </c>
      <c r="C809" s="21">
        <v>121000</v>
      </c>
      <c r="D809" s="22"/>
      <c r="E809" s="23">
        <v>-4.2699999809265143E-2</v>
      </c>
      <c r="F809" s="24" t="s">
        <v>128</v>
      </c>
    </row>
    <row r="810" spans="1:6" ht="16" customHeight="1" x14ac:dyDescent="0.45">
      <c r="A810" s="19" t="s">
        <v>1738</v>
      </c>
      <c r="B810" s="20" t="s">
        <v>1739</v>
      </c>
      <c r="C810" s="21">
        <v>80200</v>
      </c>
      <c r="D810" s="22"/>
      <c r="E810" s="23">
        <v>-2.0799999237060551E-2</v>
      </c>
      <c r="F810" s="24" t="s">
        <v>128</v>
      </c>
    </row>
    <row r="811" spans="1:6" ht="16" customHeight="1" x14ac:dyDescent="0.45">
      <c r="A811" s="19" t="s">
        <v>1740</v>
      </c>
      <c r="B811" s="20" t="s">
        <v>1741</v>
      </c>
      <c r="C811" s="21">
        <v>99600</v>
      </c>
      <c r="D811" s="22"/>
      <c r="E811" s="23">
        <v>-6.2100000381469733E-2</v>
      </c>
      <c r="F811" s="24" t="s">
        <v>128</v>
      </c>
    </row>
    <row r="812" spans="1:6" ht="16" customHeight="1" x14ac:dyDescent="0.45">
      <c r="A812" s="19" t="s">
        <v>1742</v>
      </c>
      <c r="B812" s="20" t="s">
        <v>1743</v>
      </c>
      <c r="C812" s="21">
        <v>7800</v>
      </c>
      <c r="D812" s="22"/>
      <c r="E812" s="23">
        <v>-1.139999985694885E-2</v>
      </c>
      <c r="F812" s="24" t="s">
        <v>128</v>
      </c>
    </row>
    <row r="813" spans="1:6" ht="16" customHeight="1" x14ac:dyDescent="0.45">
      <c r="A813" s="19" t="s">
        <v>1744</v>
      </c>
      <c r="B813" s="20" t="s">
        <v>1745</v>
      </c>
      <c r="C813" s="21">
        <v>22500</v>
      </c>
      <c r="D813" s="22"/>
      <c r="E813" s="23">
        <v>8.1700000762939456E-2</v>
      </c>
      <c r="F813" s="24" t="s">
        <v>125</v>
      </c>
    </row>
    <row r="814" spans="1:6" ht="16" customHeight="1" x14ac:dyDescent="0.45">
      <c r="A814" s="19" t="s">
        <v>1746</v>
      </c>
      <c r="B814" s="20" t="s">
        <v>1747</v>
      </c>
      <c r="C814" s="21">
        <v>1586</v>
      </c>
      <c r="D814" s="22"/>
      <c r="E814" s="23">
        <v>0.3</v>
      </c>
      <c r="F814" s="24" t="s">
        <v>125</v>
      </c>
    </row>
    <row r="815" spans="1:6" ht="16" customHeight="1" x14ac:dyDescent="0.45">
      <c r="A815" s="19" t="s">
        <v>1748</v>
      </c>
      <c r="B815" s="20" t="s">
        <v>1749</v>
      </c>
      <c r="C815" s="21">
        <v>16440</v>
      </c>
      <c r="D815" s="22"/>
      <c r="E815" s="23">
        <v>1.039999961853027E-2</v>
      </c>
      <c r="F815" s="24" t="s">
        <v>125</v>
      </c>
    </row>
    <row r="816" spans="1:6" ht="16" customHeight="1" x14ac:dyDescent="0.45">
      <c r="A816" s="19" t="s">
        <v>1750</v>
      </c>
      <c r="B816" s="20" t="s">
        <v>1751</v>
      </c>
      <c r="C816" s="21">
        <v>3110</v>
      </c>
      <c r="D816" s="22"/>
      <c r="E816" s="23">
        <v>-8.0000001192092902E-3</v>
      </c>
      <c r="F816" s="24" t="s">
        <v>251</v>
      </c>
    </row>
    <row r="817" spans="1:6" ht="16" customHeight="1" x14ac:dyDescent="0.45">
      <c r="A817" s="19" t="s">
        <v>1752</v>
      </c>
      <c r="B817" s="20" t="s">
        <v>1753</v>
      </c>
      <c r="C817" s="21">
        <v>1254</v>
      </c>
      <c r="D817" s="22"/>
      <c r="E817" s="23">
        <v>0.1484000015258789</v>
      </c>
      <c r="F817" s="24" t="s">
        <v>251</v>
      </c>
    </row>
    <row r="818" spans="1:6" ht="16" customHeight="1" x14ac:dyDescent="0.45">
      <c r="A818" s="19" t="s">
        <v>1754</v>
      </c>
      <c r="B818" s="20" t="s">
        <v>1755</v>
      </c>
      <c r="C818" s="21">
        <v>178700</v>
      </c>
      <c r="D818" s="22"/>
      <c r="E818" s="23">
        <v>-1.539999961853027E-2</v>
      </c>
      <c r="F818" s="24" t="s">
        <v>125</v>
      </c>
    </row>
    <row r="819" spans="1:6" ht="16" customHeight="1" x14ac:dyDescent="0.45">
      <c r="A819" s="19" t="s">
        <v>1756</v>
      </c>
      <c r="B819" s="20" t="s">
        <v>1757</v>
      </c>
      <c r="C819" s="21">
        <v>115550</v>
      </c>
      <c r="D819" s="22"/>
      <c r="E819" s="23">
        <v>-4.3499999046325677E-2</v>
      </c>
      <c r="F819" s="24" t="s">
        <v>125</v>
      </c>
    </row>
    <row r="820" spans="1:6" ht="16" customHeight="1" x14ac:dyDescent="0.45">
      <c r="A820" s="19" t="s">
        <v>1758</v>
      </c>
      <c r="B820" s="20" t="s">
        <v>1759</v>
      </c>
      <c r="C820" s="21">
        <v>1756</v>
      </c>
      <c r="D820" s="22"/>
      <c r="E820" s="23">
        <v>-4.8200001716613768E-2</v>
      </c>
      <c r="F820" s="24" t="s">
        <v>125</v>
      </c>
    </row>
    <row r="821" spans="1:6" ht="16" customHeight="1" x14ac:dyDescent="0.45">
      <c r="A821" s="19" t="s">
        <v>1760</v>
      </c>
      <c r="B821" s="20" t="s">
        <v>1761</v>
      </c>
      <c r="C821" s="21">
        <v>3675</v>
      </c>
      <c r="D821" s="22"/>
      <c r="E821" s="23">
        <v>-2.7000001072883611E-3</v>
      </c>
      <c r="F821" s="24" t="s">
        <v>125</v>
      </c>
    </row>
    <row r="822" spans="1:6" ht="16" customHeight="1" x14ac:dyDescent="0.45">
      <c r="A822" s="19" t="s">
        <v>1762</v>
      </c>
      <c r="B822" s="20" t="s">
        <v>1763</v>
      </c>
      <c r="C822" s="21">
        <v>2985</v>
      </c>
      <c r="D822" s="22"/>
      <c r="E822" s="23">
        <v>-3.4000000953674323E-2</v>
      </c>
      <c r="F822" s="24" t="s">
        <v>125</v>
      </c>
    </row>
    <row r="823" spans="1:6" ht="16" customHeight="1" x14ac:dyDescent="0.45">
      <c r="A823" s="19" t="s">
        <v>1764</v>
      </c>
      <c r="B823" s="20" t="s">
        <v>1765</v>
      </c>
      <c r="C823" s="21">
        <v>67400</v>
      </c>
      <c r="D823" s="22"/>
      <c r="E823" s="23">
        <v>-3.4400000572204589E-2</v>
      </c>
      <c r="F823" s="24" t="s">
        <v>125</v>
      </c>
    </row>
    <row r="824" spans="1:6" ht="16" customHeight="1" x14ac:dyDescent="0.45">
      <c r="A824" s="19" t="s">
        <v>1766</v>
      </c>
      <c r="B824" s="20" t="s">
        <v>1767</v>
      </c>
      <c r="C824" s="21">
        <v>29650</v>
      </c>
      <c r="D824" s="22"/>
      <c r="E824" s="23">
        <v>-5.1199998855590817E-2</v>
      </c>
      <c r="F824" s="24" t="s">
        <v>125</v>
      </c>
    </row>
    <row r="825" spans="1:6" ht="16" customHeight="1" x14ac:dyDescent="0.45">
      <c r="A825" s="19" t="s">
        <v>1768</v>
      </c>
      <c r="B825" s="20" t="s">
        <v>1769</v>
      </c>
      <c r="C825" s="21">
        <v>821</v>
      </c>
      <c r="D825" s="22"/>
      <c r="E825" s="23">
        <v>0</v>
      </c>
      <c r="F825" s="24" t="s">
        <v>125</v>
      </c>
    </row>
    <row r="826" spans="1:6" ht="16" customHeight="1" x14ac:dyDescent="0.45">
      <c r="A826" s="19" t="s">
        <v>1770</v>
      </c>
      <c r="B826" s="20" t="s">
        <v>1771</v>
      </c>
      <c r="C826" s="21">
        <v>11890</v>
      </c>
      <c r="D826" s="22"/>
      <c r="E826" s="23">
        <v>-5.3299999237060552E-2</v>
      </c>
      <c r="F826" s="24" t="s">
        <v>125</v>
      </c>
    </row>
    <row r="827" spans="1:6" ht="16" customHeight="1" x14ac:dyDescent="0.45">
      <c r="A827" s="19" t="s">
        <v>1772</v>
      </c>
      <c r="B827" s="20" t="s">
        <v>1773</v>
      </c>
      <c r="C827" s="21">
        <v>4165</v>
      </c>
      <c r="D827" s="22"/>
      <c r="E827" s="23">
        <v>-2.1199998855590822E-2</v>
      </c>
      <c r="F827" s="24" t="s">
        <v>125</v>
      </c>
    </row>
    <row r="828" spans="1:6" ht="16" customHeight="1" x14ac:dyDescent="0.45">
      <c r="A828" s="19" t="s">
        <v>1774</v>
      </c>
      <c r="B828" s="20" t="s">
        <v>1775</v>
      </c>
      <c r="C828" s="21">
        <v>5810</v>
      </c>
      <c r="D828" s="22"/>
      <c r="E828" s="23">
        <v>-2.0199999809265141E-2</v>
      </c>
      <c r="F828" s="24" t="s">
        <v>125</v>
      </c>
    </row>
    <row r="829" spans="1:6" ht="16" customHeight="1" x14ac:dyDescent="0.45">
      <c r="A829" s="19" t="s">
        <v>1776</v>
      </c>
      <c r="B829" s="20" t="s">
        <v>1777</v>
      </c>
      <c r="C829" s="21">
        <v>396</v>
      </c>
      <c r="D829" s="22"/>
      <c r="E829" s="23">
        <v>0</v>
      </c>
      <c r="F829" s="24" t="s">
        <v>125</v>
      </c>
    </row>
    <row r="830" spans="1:6" ht="16" customHeight="1" x14ac:dyDescent="0.45">
      <c r="A830" s="19" t="s">
        <v>1778</v>
      </c>
      <c r="B830" s="20" t="s">
        <v>1779</v>
      </c>
      <c r="C830" s="21">
        <v>57800</v>
      </c>
      <c r="D830" s="22"/>
      <c r="E830" s="23">
        <v>-2.690000057220459E-2</v>
      </c>
      <c r="F830" s="24" t="s">
        <v>125</v>
      </c>
    </row>
    <row r="831" spans="1:6" ht="16" customHeight="1" x14ac:dyDescent="0.45">
      <c r="A831" s="19" t="s">
        <v>1780</v>
      </c>
      <c r="B831" s="20" t="s">
        <v>1781</v>
      </c>
      <c r="C831" s="21">
        <v>5200</v>
      </c>
      <c r="D831" s="22"/>
      <c r="E831" s="23">
        <v>1.7599999904632568E-2</v>
      </c>
      <c r="F831" s="24" t="s">
        <v>125</v>
      </c>
    </row>
    <row r="832" spans="1:6" ht="16" customHeight="1" x14ac:dyDescent="0.45">
      <c r="A832" s="19" t="s">
        <v>1782</v>
      </c>
      <c r="B832" s="20" t="s">
        <v>1783</v>
      </c>
      <c r="C832" s="21">
        <v>15050</v>
      </c>
      <c r="D832" s="22"/>
      <c r="E832" s="23">
        <v>-4.6300001144409179E-2</v>
      </c>
      <c r="F832" s="24" t="s">
        <v>125</v>
      </c>
    </row>
    <row r="833" spans="1:6" ht="16" customHeight="1" x14ac:dyDescent="0.45">
      <c r="A833" s="19" t="s">
        <v>1784</v>
      </c>
      <c r="B833" s="20" t="s">
        <v>1785</v>
      </c>
      <c r="C833" s="21">
        <v>821</v>
      </c>
      <c r="D833" s="22"/>
      <c r="E833" s="23">
        <v>0</v>
      </c>
      <c r="F833" s="24" t="s">
        <v>128</v>
      </c>
    </row>
    <row r="834" spans="1:6" ht="16" customHeight="1" x14ac:dyDescent="0.45">
      <c r="A834" s="19" t="s">
        <v>1786</v>
      </c>
      <c r="B834" s="20" t="s">
        <v>1787</v>
      </c>
      <c r="C834" s="21">
        <v>2770</v>
      </c>
      <c r="D834" s="22"/>
      <c r="E834" s="23">
        <v>-2.2899999618530269E-2</v>
      </c>
      <c r="F834" s="24" t="s">
        <v>125</v>
      </c>
    </row>
    <row r="835" spans="1:6" ht="16" customHeight="1" x14ac:dyDescent="0.45">
      <c r="A835" s="19" t="s">
        <v>1788</v>
      </c>
      <c r="B835" s="20" t="s">
        <v>1789</v>
      </c>
      <c r="C835" s="21">
        <v>1150</v>
      </c>
      <c r="D835" s="22"/>
      <c r="E835" s="23">
        <v>-6.1199998855590819E-2</v>
      </c>
      <c r="F835" s="24" t="s">
        <v>128</v>
      </c>
    </row>
    <row r="836" spans="1:6" ht="16" customHeight="1" x14ac:dyDescent="0.45">
      <c r="A836" s="19" t="s">
        <v>1790</v>
      </c>
      <c r="B836" s="20" t="s">
        <v>1791</v>
      </c>
      <c r="C836" s="21">
        <v>15500</v>
      </c>
      <c r="D836" s="22"/>
      <c r="E836" s="23">
        <v>-1.7699999809265139E-2</v>
      </c>
      <c r="F836" s="24" t="s">
        <v>125</v>
      </c>
    </row>
    <row r="837" spans="1:6" ht="16" customHeight="1" x14ac:dyDescent="0.45">
      <c r="A837" s="19" t="s">
        <v>1792</v>
      </c>
      <c r="B837" s="20" t="s">
        <v>1793</v>
      </c>
      <c r="C837" s="21">
        <v>5800</v>
      </c>
      <c r="D837" s="22"/>
      <c r="E837" s="23">
        <v>-5.3800001144409179E-2</v>
      </c>
      <c r="F837" s="24" t="s">
        <v>125</v>
      </c>
    </row>
    <row r="838" spans="1:6" ht="16" customHeight="1" x14ac:dyDescent="0.45">
      <c r="A838" s="19" t="s">
        <v>1794</v>
      </c>
      <c r="B838" s="20" t="s">
        <v>1795</v>
      </c>
      <c r="C838" s="21">
        <v>894</v>
      </c>
      <c r="D838" s="22"/>
      <c r="E838" s="23">
        <v>-6.2899999618530267E-2</v>
      </c>
      <c r="F838" s="24" t="s">
        <v>251</v>
      </c>
    </row>
    <row r="839" spans="1:6" ht="16" customHeight="1" x14ac:dyDescent="0.45">
      <c r="A839" s="19" t="s">
        <v>1796</v>
      </c>
      <c r="B839" s="20" t="s">
        <v>1797</v>
      </c>
      <c r="C839" s="21">
        <v>36000</v>
      </c>
      <c r="D839" s="22"/>
      <c r="E839" s="23">
        <v>1.400000005960465E-3</v>
      </c>
      <c r="F839" s="24" t="s">
        <v>125</v>
      </c>
    </row>
    <row r="840" spans="1:6" ht="16" customHeight="1" x14ac:dyDescent="0.45">
      <c r="A840" s="19" t="s">
        <v>1798</v>
      </c>
      <c r="B840" s="20" t="s">
        <v>1799</v>
      </c>
      <c r="C840" s="21">
        <v>14570</v>
      </c>
      <c r="D840" s="22"/>
      <c r="E840" s="23">
        <v>2.6099998950958249E-2</v>
      </c>
      <c r="F840" s="24" t="s">
        <v>125</v>
      </c>
    </row>
    <row r="841" spans="1:6" ht="16" customHeight="1" x14ac:dyDescent="0.45">
      <c r="A841" s="19" t="s">
        <v>1800</v>
      </c>
      <c r="B841" s="20" t="s">
        <v>1801</v>
      </c>
      <c r="C841" s="21">
        <v>15790</v>
      </c>
      <c r="D841" s="22"/>
      <c r="E841" s="23">
        <v>-2.6500000953674319E-2</v>
      </c>
      <c r="F841" s="24" t="s">
        <v>125</v>
      </c>
    </row>
    <row r="842" spans="1:6" ht="16" customHeight="1" x14ac:dyDescent="0.45">
      <c r="A842" s="19" t="s">
        <v>1802</v>
      </c>
      <c r="B842" s="20" t="s">
        <v>1803</v>
      </c>
      <c r="C842" s="21">
        <v>5090</v>
      </c>
      <c r="D842" s="22"/>
      <c r="E842" s="23">
        <v>-1.360000014305115E-2</v>
      </c>
      <c r="F842" s="24" t="s">
        <v>128</v>
      </c>
    </row>
    <row r="843" spans="1:6" ht="16" customHeight="1" x14ac:dyDescent="0.45">
      <c r="A843" s="19" t="s">
        <v>1804</v>
      </c>
      <c r="B843" s="20" t="s">
        <v>1805</v>
      </c>
      <c r="C843" s="21">
        <v>35900</v>
      </c>
      <c r="D843" s="22"/>
      <c r="E843" s="23">
        <v>-1.370000004768371E-2</v>
      </c>
      <c r="F843" s="24" t="s">
        <v>125</v>
      </c>
    </row>
    <row r="844" spans="1:6" ht="16" customHeight="1" x14ac:dyDescent="0.45">
      <c r="A844" s="19" t="s">
        <v>1806</v>
      </c>
      <c r="B844" s="20" t="s">
        <v>1807</v>
      </c>
      <c r="C844" s="21">
        <v>11280</v>
      </c>
      <c r="D844" s="22"/>
      <c r="E844" s="23">
        <v>-5.2999997138977054E-3</v>
      </c>
      <c r="F844" s="24" t="s">
        <v>125</v>
      </c>
    </row>
    <row r="845" spans="1:6" ht="16" customHeight="1" x14ac:dyDescent="0.45">
      <c r="A845" s="19" t="s">
        <v>1808</v>
      </c>
      <c r="B845" s="20" t="s">
        <v>1809</v>
      </c>
      <c r="C845" s="21">
        <v>27350</v>
      </c>
      <c r="D845" s="22"/>
      <c r="E845" s="23">
        <v>3.2100000381469727E-2</v>
      </c>
      <c r="F845" s="24" t="s">
        <v>125</v>
      </c>
    </row>
    <row r="846" spans="1:6" ht="16" customHeight="1" x14ac:dyDescent="0.45">
      <c r="A846" s="19" t="s">
        <v>1810</v>
      </c>
      <c r="B846" s="20" t="s">
        <v>1811</v>
      </c>
      <c r="C846" s="21">
        <v>11260</v>
      </c>
      <c r="D846" s="22"/>
      <c r="E846" s="23">
        <v>-3.4999999403953551E-3</v>
      </c>
      <c r="F846" s="24" t="s">
        <v>128</v>
      </c>
    </row>
    <row r="847" spans="1:6" ht="16" customHeight="1" x14ac:dyDescent="0.45">
      <c r="A847" s="19" t="s">
        <v>1812</v>
      </c>
      <c r="B847" s="20" t="s">
        <v>1813</v>
      </c>
      <c r="C847" s="21">
        <v>6030</v>
      </c>
      <c r="D847" s="22"/>
      <c r="E847" s="23">
        <v>-0.13859999656677249</v>
      </c>
      <c r="F847" s="24" t="s">
        <v>128</v>
      </c>
    </row>
    <row r="848" spans="1:6" ht="16" customHeight="1" x14ac:dyDescent="0.45">
      <c r="A848" s="19" t="s">
        <v>1814</v>
      </c>
      <c r="B848" s="20" t="s">
        <v>1815</v>
      </c>
      <c r="C848" s="21">
        <v>9800</v>
      </c>
      <c r="D848" s="22"/>
      <c r="E848" s="23">
        <v>6.5199999809265136E-2</v>
      </c>
      <c r="F848" s="24" t="s">
        <v>251</v>
      </c>
    </row>
    <row r="849" spans="1:6" ht="16" customHeight="1" x14ac:dyDescent="0.45">
      <c r="A849" s="19" t="s">
        <v>1816</v>
      </c>
      <c r="B849" s="20" t="s">
        <v>1817</v>
      </c>
      <c r="C849" s="21">
        <v>7960</v>
      </c>
      <c r="D849" s="22"/>
      <c r="E849" s="23">
        <v>7.420000076293945E-2</v>
      </c>
      <c r="F849" s="24" t="s">
        <v>125</v>
      </c>
    </row>
    <row r="850" spans="1:6" ht="16" customHeight="1" x14ac:dyDescent="0.45">
      <c r="A850" s="19" t="s">
        <v>1818</v>
      </c>
      <c r="B850" s="20" t="s">
        <v>1819</v>
      </c>
      <c r="C850" s="21">
        <v>27650</v>
      </c>
      <c r="D850" s="22"/>
      <c r="E850" s="23">
        <v>-1.800000071525574E-3</v>
      </c>
      <c r="F850" s="24" t="s">
        <v>125</v>
      </c>
    </row>
    <row r="851" spans="1:6" ht="16" customHeight="1" x14ac:dyDescent="0.45">
      <c r="A851" s="19" t="s">
        <v>1820</v>
      </c>
      <c r="B851" s="20" t="s">
        <v>1821</v>
      </c>
      <c r="C851" s="21">
        <v>13200</v>
      </c>
      <c r="D851" s="22"/>
      <c r="E851" s="23">
        <v>-1.500000059604645E-3</v>
      </c>
      <c r="F851" s="24" t="s">
        <v>125</v>
      </c>
    </row>
    <row r="852" spans="1:6" ht="16" customHeight="1" x14ac:dyDescent="0.45">
      <c r="A852" s="19" t="s">
        <v>1822</v>
      </c>
      <c r="B852" s="20" t="s">
        <v>1823</v>
      </c>
      <c r="C852" s="21">
        <v>45800</v>
      </c>
      <c r="D852" s="22"/>
      <c r="E852" s="23">
        <v>-2.1400001049041752E-2</v>
      </c>
      <c r="F852" s="24" t="s">
        <v>125</v>
      </c>
    </row>
    <row r="853" spans="1:6" ht="16" customHeight="1" x14ac:dyDescent="0.45">
      <c r="A853" s="19" t="s">
        <v>1824</v>
      </c>
      <c r="B853" s="20" t="s">
        <v>1825</v>
      </c>
      <c r="C853" s="21">
        <v>1840</v>
      </c>
      <c r="D853" s="22"/>
      <c r="E853" s="23">
        <v>-1.2899999618530269E-2</v>
      </c>
      <c r="F853" s="24" t="s">
        <v>125</v>
      </c>
    </row>
    <row r="854" spans="1:6" ht="16" customHeight="1" x14ac:dyDescent="0.45">
      <c r="A854" s="19" t="s">
        <v>1826</v>
      </c>
      <c r="B854" s="20" t="s">
        <v>1827</v>
      </c>
      <c r="C854" s="21">
        <v>7530</v>
      </c>
      <c r="D854" s="22"/>
      <c r="E854" s="23">
        <v>1.8899999856948849E-2</v>
      </c>
      <c r="F854" s="24" t="s">
        <v>125</v>
      </c>
    </row>
    <row r="855" spans="1:6" ht="16" customHeight="1" x14ac:dyDescent="0.45">
      <c r="A855" s="19" t="s">
        <v>1828</v>
      </c>
      <c r="B855" s="20" t="s">
        <v>1829</v>
      </c>
      <c r="C855" s="21">
        <v>5090</v>
      </c>
      <c r="D855" s="22"/>
      <c r="E855" s="23">
        <v>-3.0499999523162839E-2</v>
      </c>
      <c r="F855" s="24" t="s">
        <v>125</v>
      </c>
    </row>
    <row r="856" spans="1:6" ht="16" customHeight="1" x14ac:dyDescent="0.45">
      <c r="A856" s="19" t="s">
        <v>1830</v>
      </c>
      <c r="B856" s="20" t="s">
        <v>1831</v>
      </c>
      <c r="C856" s="21">
        <v>12140</v>
      </c>
      <c r="D856" s="22"/>
      <c r="E856" s="23">
        <v>0</v>
      </c>
      <c r="F856" s="24" t="s">
        <v>251</v>
      </c>
    </row>
    <row r="857" spans="1:6" ht="16" customHeight="1" x14ac:dyDescent="0.45">
      <c r="A857" s="19" t="s">
        <v>1832</v>
      </c>
      <c r="B857" s="20" t="s">
        <v>1833</v>
      </c>
      <c r="C857" s="21">
        <v>20450</v>
      </c>
      <c r="D857" s="22"/>
      <c r="E857" s="23">
        <v>-2.390000104904175E-2</v>
      </c>
      <c r="F857" s="24" t="s">
        <v>125</v>
      </c>
    </row>
    <row r="858" spans="1:6" ht="16" customHeight="1" x14ac:dyDescent="0.45">
      <c r="A858" s="19" t="s">
        <v>1834</v>
      </c>
      <c r="B858" s="20" t="s">
        <v>1835</v>
      </c>
      <c r="C858" s="21">
        <v>8600</v>
      </c>
      <c r="D858" s="22"/>
      <c r="E858" s="23">
        <v>-4.3400001525878897E-2</v>
      </c>
      <c r="F858" s="24" t="s">
        <v>251</v>
      </c>
    </row>
    <row r="859" spans="1:6" ht="16" customHeight="1" x14ac:dyDescent="0.45">
      <c r="A859" s="19" t="s">
        <v>1836</v>
      </c>
      <c r="B859" s="20" t="s">
        <v>1837</v>
      </c>
      <c r="C859" s="21">
        <v>1732</v>
      </c>
      <c r="D859" s="22"/>
      <c r="E859" s="23">
        <v>-3.7799999713897713E-2</v>
      </c>
      <c r="F859" s="24" t="s">
        <v>125</v>
      </c>
    </row>
    <row r="860" spans="1:6" ht="16" customHeight="1" x14ac:dyDescent="0.45">
      <c r="A860" s="19" t="s">
        <v>1838</v>
      </c>
      <c r="B860" s="20" t="s">
        <v>1839</v>
      </c>
      <c r="C860" s="21">
        <v>2100</v>
      </c>
      <c r="D860" s="22"/>
      <c r="E860" s="23">
        <v>0.1052999973297119</v>
      </c>
      <c r="F860" s="24" t="s">
        <v>251</v>
      </c>
    </row>
    <row r="861" spans="1:6" ht="16" customHeight="1" x14ac:dyDescent="0.45">
      <c r="A861" s="19" t="s">
        <v>1840</v>
      </c>
      <c r="B861" s="20" t="s">
        <v>1841</v>
      </c>
      <c r="C861" s="21">
        <v>2295</v>
      </c>
      <c r="D861" s="22"/>
      <c r="E861" s="23">
        <v>0</v>
      </c>
      <c r="F861" s="24" t="s">
        <v>125</v>
      </c>
    </row>
    <row r="862" spans="1:6" ht="16" customHeight="1" x14ac:dyDescent="0.45">
      <c r="A862" s="19" t="s">
        <v>1842</v>
      </c>
      <c r="B862" s="20" t="s">
        <v>1843</v>
      </c>
      <c r="C862" s="21">
        <v>102600</v>
      </c>
      <c r="D862" s="22"/>
      <c r="E862" s="23">
        <v>-2.75E-2</v>
      </c>
      <c r="F862" s="24" t="s">
        <v>125</v>
      </c>
    </row>
    <row r="863" spans="1:6" ht="16" customHeight="1" x14ac:dyDescent="0.45">
      <c r="A863" s="19" t="s">
        <v>1844</v>
      </c>
      <c r="B863" s="20" t="s">
        <v>1845</v>
      </c>
      <c r="C863" s="21">
        <v>26050</v>
      </c>
      <c r="D863" s="22"/>
      <c r="E863" s="23">
        <v>2.359999895095825E-2</v>
      </c>
      <c r="F863" s="24" t="s">
        <v>125</v>
      </c>
    </row>
    <row r="864" spans="1:6" ht="16" customHeight="1" x14ac:dyDescent="0.45">
      <c r="A864" s="19" t="s">
        <v>1846</v>
      </c>
      <c r="B864" s="20" t="s">
        <v>1847</v>
      </c>
      <c r="C864" s="21">
        <v>114200</v>
      </c>
      <c r="D864" s="22"/>
      <c r="E864" s="23">
        <v>7.0999997854232794E-3</v>
      </c>
      <c r="F864" s="24" t="s">
        <v>128</v>
      </c>
    </row>
    <row r="865" spans="1:6" ht="16" customHeight="1" x14ac:dyDescent="0.45">
      <c r="A865" s="19" t="s">
        <v>1848</v>
      </c>
      <c r="B865" s="20" t="s">
        <v>1849</v>
      </c>
      <c r="C865" s="21">
        <v>2185</v>
      </c>
      <c r="D865" s="22"/>
      <c r="E865" s="23">
        <v>2.300000041723252E-3</v>
      </c>
      <c r="F865" s="24" t="s">
        <v>125</v>
      </c>
    </row>
    <row r="866" spans="1:6" ht="16" customHeight="1" x14ac:dyDescent="0.45">
      <c r="A866" s="19" t="s">
        <v>1850</v>
      </c>
      <c r="B866" s="20" t="s">
        <v>1851</v>
      </c>
      <c r="C866" s="21">
        <v>3490</v>
      </c>
      <c r="D866" s="22"/>
      <c r="E866" s="23">
        <v>-2.0999999046325681E-2</v>
      </c>
      <c r="F866" s="24" t="s">
        <v>125</v>
      </c>
    </row>
    <row r="867" spans="1:6" ht="16" customHeight="1" x14ac:dyDescent="0.45">
      <c r="A867" s="19" t="s">
        <v>1852</v>
      </c>
      <c r="B867" s="20" t="s">
        <v>1853</v>
      </c>
      <c r="C867" s="21">
        <v>179</v>
      </c>
      <c r="D867" s="22"/>
      <c r="E867" s="23">
        <v>-1.1000000238418579E-2</v>
      </c>
      <c r="F867" s="24" t="s">
        <v>125</v>
      </c>
    </row>
    <row r="868" spans="1:6" ht="16" customHeight="1" x14ac:dyDescent="0.45">
      <c r="A868" s="19" t="s">
        <v>1854</v>
      </c>
      <c r="B868" s="20" t="s">
        <v>1855</v>
      </c>
      <c r="C868" s="21">
        <v>36000</v>
      </c>
      <c r="D868" s="22"/>
      <c r="E868" s="23">
        <v>-7.6900000572204585E-2</v>
      </c>
      <c r="F868" s="24" t="s">
        <v>125</v>
      </c>
    </row>
    <row r="869" spans="1:6" ht="16" customHeight="1" x14ac:dyDescent="0.45">
      <c r="A869" s="19" t="s">
        <v>1856</v>
      </c>
      <c r="B869" s="20" t="s">
        <v>1857</v>
      </c>
      <c r="C869" s="21">
        <v>87500</v>
      </c>
      <c r="D869" s="22"/>
      <c r="E869" s="23">
        <v>-4.0599999427795408E-2</v>
      </c>
      <c r="F869" s="24" t="s">
        <v>125</v>
      </c>
    </row>
    <row r="870" spans="1:6" ht="16" customHeight="1" x14ac:dyDescent="0.45">
      <c r="A870" s="19" t="s">
        <v>1858</v>
      </c>
      <c r="B870" s="20" t="s">
        <v>1859</v>
      </c>
      <c r="C870" s="21">
        <v>36450</v>
      </c>
      <c r="D870" s="22"/>
      <c r="E870" s="23">
        <v>-1.0900000333786009E-2</v>
      </c>
      <c r="F870" s="24" t="s">
        <v>125</v>
      </c>
    </row>
    <row r="871" spans="1:6" ht="16" customHeight="1" x14ac:dyDescent="0.45">
      <c r="A871" s="19" t="s">
        <v>1860</v>
      </c>
      <c r="B871" s="20" t="s">
        <v>1861</v>
      </c>
      <c r="C871" s="21">
        <v>1417</v>
      </c>
      <c r="D871" s="22"/>
      <c r="E871" s="23">
        <v>-2.75E-2</v>
      </c>
      <c r="F871" s="24" t="s">
        <v>128</v>
      </c>
    </row>
    <row r="872" spans="1:6" ht="16" customHeight="1" x14ac:dyDescent="0.45">
      <c r="A872" s="19" t="s">
        <v>1862</v>
      </c>
      <c r="B872" s="20" t="s">
        <v>1863</v>
      </c>
      <c r="C872" s="21">
        <v>4255</v>
      </c>
      <c r="D872" s="22"/>
      <c r="E872" s="23">
        <v>-2.9600000381469729E-2</v>
      </c>
      <c r="F872" s="24" t="s">
        <v>125</v>
      </c>
    </row>
    <row r="873" spans="1:6" ht="16" customHeight="1" x14ac:dyDescent="0.45">
      <c r="A873" s="19" t="s">
        <v>1864</v>
      </c>
      <c r="B873" s="20" t="s">
        <v>1865</v>
      </c>
      <c r="C873" s="21">
        <v>208</v>
      </c>
      <c r="D873" s="22"/>
      <c r="E873" s="23">
        <v>0</v>
      </c>
      <c r="F873" s="24" t="s">
        <v>128</v>
      </c>
    </row>
    <row r="874" spans="1:6" ht="16" customHeight="1" x14ac:dyDescent="0.45">
      <c r="A874" s="19" t="s">
        <v>1866</v>
      </c>
      <c r="B874" s="20" t="s">
        <v>1867</v>
      </c>
      <c r="C874" s="21">
        <v>2580</v>
      </c>
      <c r="D874" s="22"/>
      <c r="E874" s="23">
        <v>-5.489999771118164E-2</v>
      </c>
      <c r="F874" s="24" t="s">
        <v>125</v>
      </c>
    </row>
    <row r="875" spans="1:6" ht="16" customHeight="1" x14ac:dyDescent="0.45">
      <c r="A875" s="19" t="s">
        <v>1868</v>
      </c>
      <c r="B875" s="20" t="s">
        <v>1869</v>
      </c>
      <c r="C875" s="21">
        <v>707</v>
      </c>
      <c r="D875" s="22"/>
      <c r="E875" s="23">
        <v>0</v>
      </c>
      <c r="F875" s="24" t="s">
        <v>125</v>
      </c>
    </row>
    <row r="876" spans="1:6" ht="16" customHeight="1" x14ac:dyDescent="0.45">
      <c r="A876" s="19" t="s">
        <v>1870</v>
      </c>
      <c r="B876" s="20" t="s">
        <v>1871</v>
      </c>
      <c r="C876" s="21">
        <v>1740</v>
      </c>
      <c r="D876" s="22"/>
      <c r="E876" s="23">
        <v>-2.02999997138977E-2</v>
      </c>
      <c r="F876" s="24" t="s">
        <v>128</v>
      </c>
    </row>
    <row r="877" spans="1:6" ht="16" customHeight="1" x14ac:dyDescent="0.45">
      <c r="A877" s="19" t="s">
        <v>1872</v>
      </c>
      <c r="B877" s="20" t="s">
        <v>1873</v>
      </c>
      <c r="C877" s="21">
        <v>12560</v>
      </c>
      <c r="D877" s="22"/>
      <c r="E877" s="23">
        <v>-5.4200000762939453E-2</v>
      </c>
      <c r="F877" s="24" t="s">
        <v>128</v>
      </c>
    </row>
    <row r="878" spans="1:6" ht="16" customHeight="1" x14ac:dyDescent="0.45">
      <c r="A878" s="19" t="s">
        <v>1874</v>
      </c>
      <c r="B878" s="20" t="s">
        <v>1875</v>
      </c>
      <c r="C878" s="21">
        <v>54400</v>
      </c>
      <c r="D878" s="22"/>
      <c r="E878" s="23">
        <v>-2.8599998950958251E-2</v>
      </c>
      <c r="F878" s="24" t="s">
        <v>128</v>
      </c>
    </row>
    <row r="879" spans="1:6" ht="16" customHeight="1" x14ac:dyDescent="0.45">
      <c r="A879" s="19" t="s">
        <v>1876</v>
      </c>
      <c r="B879" s="20" t="s">
        <v>1877</v>
      </c>
      <c r="C879" s="21">
        <v>2310</v>
      </c>
      <c r="D879" s="22"/>
      <c r="E879" s="23">
        <v>-3.5499999523162837E-2</v>
      </c>
      <c r="F879" s="24" t="s">
        <v>128</v>
      </c>
    </row>
    <row r="880" spans="1:6" ht="16" customHeight="1" x14ac:dyDescent="0.45">
      <c r="A880" s="19" t="s">
        <v>1878</v>
      </c>
      <c r="B880" s="20" t="s">
        <v>1879</v>
      </c>
      <c r="C880" s="21">
        <v>1682</v>
      </c>
      <c r="D880" s="22"/>
      <c r="E880" s="23">
        <v>-1.350000023841858E-2</v>
      </c>
      <c r="F880" s="24" t="s">
        <v>128</v>
      </c>
    </row>
    <row r="881" spans="1:6" ht="16" customHeight="1" x14ac:dyDescent="0.45">
      <c r="A881" s="19" t="s">
        <v>1880</v>
      </c>
      <c r="B881" s="20" t="s">
        <v>1881</v>
      </c>
      <c r="C881" s="21">
        <v>3070</v>
      </c>
      <c r="D881" s="22"/>
      <c r="E881" s="23">
        <v>-1.600000023841858E-2</v>
      </c>
      <c r="F881" s="24" t="s">
        <v>128</v>
      </c>
    </row>
    <row r="882" spans="1:6" ht="16" customHeight="1" x14ac:dyDescent="0.45">
      <c r="A882" s="19" t="s">
        <v>1882</v>
      </c>
      <c r="B882" s="20" t="s">
        <v>1883</v>
      </c>
      <c r="C882" s="21">
        <v>4325</v>
      </c>
      <c r="D882" s="22"/>
      <c r="E882" s="23">
        <v>2.1300001144409181E-2</v>
      </c>
      <c r="F882" s="24" t="s">
        <v>125</v>
      </c>
    </row>
    <row r="883" spans="1:6" ht="16" customHeight="1" x14ac:dyDescent="0.45">
      <c r="A883" s="19" t="s">
        <v>1884</v>
      </c>
      <c r="B883" s="20" t="s">
        <v>1885</v>
      </c>
      <c r="C883" s="21">
        <v>1986</v>
      </c>
      <c r="D883" s="22"/>
      <c r="E883" s="23">
        <v>-1.190000057220459E-2</v>
      </c>
      <c r="F883" s="24" t="s">
        <v>125</v>
      </c>
    </row>
    <row r="884" spans="1:6" ht="16" customHeight="1" x14ac:dyDescent="0.45">
      <c r="A884" s="19" t="s">
        <v>1886</v>
      </c>
      <c r="B884" s="20" t="s">
        <v>1887</v>
      </c>
      <c r="C884" s="21">
        <v>18870</v>
      </c>
      <c r="D884" s="22"/>
      <c r="E884" s="23">
        <v>1.099999994039536E-3</v>
      </c>
      <c r="F884" s="24" t="s">
        <v>125</v>
      </c>
    </row>
    <row r="885" spans="1:6" ht="16" customHeight="1" x14ac:dyDescent="0.45">
      <c r="A885" s="19" t="s">
        <v>1888</v>
      </c>
      <c r="B885" s="20" t="s">
        <v>1889</v>
      </c>
      <c r="C885" s="21">
        <v>11000</v>
      </c>
      <c r="D885" s="22"/>
      <c r="E885" s="23">
        <v>-3.5899999141693117E-2</v>
      </c>
      <c r="F885" s="24" t="s">
        <v>125</v>
      </c>
    </row>
    <row r="886" spans="1:6" ht="16" customHeight="1" x14ac:dyDescent="0.45">
      <c r="A886" s="19" t="s">
        <v>1890</v>
      </c>
      <c r="B886" s="20" t="s">
        <v>1891</v>
      </c>
      <c r="C886" s="21">
        <v>2335</v>
      </c>
      <c r="D886" s="22"/>
      <c r="E886" s="23">
        <v>-2.099999934434891E-3</v>
      </c>
      <c r="F886" s="24" t="s">
        <v>125</v>
      </c>
    </row>
    <row r="887" spans="1:6" ht="16" customHeight="1" x14ac:dyDescent="0.45">
      <c r="A887" s="19" t="s">
        <v>1892</v>
      </c>
      <c r="B887" s="20" t="s">
        <v>1893</v>
      </c>
      <c r="C887" s="21">
        <v>4680</v>
      </c>
      <c r="D887" s="22"/>
      <c r="E887" s="23">
        <v>-1.0599999427795411E-2</v>
      </c>
      <c r="F887" s="24" t="s">
        <v>125</v>
      </c>
    </row>
    <row r="888" spans="1:6" ht="16" customHeight="1" x14ac:dyDescent="0.45">
      <c r="A888" s="19" t="s">
        <v>1894</v>
      </c>
      <c r="B888" s="20" t="s">
        <v>1895</v>
      </c>
      <c r="C888" s="21">
        <v>3965</v>
      </c>
      <c r="D888" s="22"/>
      <c r="E888" s="23">
        <v>1.149999976158142E-2</v>
      </c>
      <c r="F888" s="24" t="s">
        <v>125</v>
      </c>
    </row>
    <row r="889" spans="1:6" ht="16" customHeight="1" x14ac:dyDescent="0.45">
      <c r="A889" s="19" t="s">
        <v>1896</v>
      </c>
      <c r="B889" s="20" t="s">
        <v>1897</v>
      </c>
      <c r="C889" s="21">
        <v>1478</v>
      </c>
      <c r="D889" s="22"/>
      <c r="E889" s="23">
        <v>-1.7899999618530268E-2</v>
      </c>
      <c r="F889" s="24" t="s">
        <v>125</v>
      </c>
    </row>
    <row r="890" spans="1:6" ht="16" customHeight="1" x14ac:dyDescent="0.45">
      <c r="A890" s="19" t="s">
        <v>1898</v>
      </c>
      <c r="B890" s="20" t="s">
        <v>1899</v>
      </c>
      <c r="C890" s="21">
        <v>2325</v>
      </c>
      <c r="D890" s="22"/>
      <c r="E890" s="23">
        <v>-1.899999976158142E-2</v>
      </c>
      <c r="F890" s="24" t="s">
        <v>125</v>
      </c>
    </row>
    <row r="891" spans="1:6" ht="16" customHeight="1" x14ac:dyDescent="0.45">
      <c r="A891" s="19" t="s">
        <v>1900</v>
      </c>
      <c r="B891" s="20" t="s">
        <v>1901</v>
      </c>
      <c r="C891" s="21">
        <v>4900</v>
      </c>
      <c r="D891" s="22"/>
      <c r="E891" s="23">
        <v>1.6599999666213991E-2</v>
      </c>
      <c r="F891" s="24" t="s">
        <v>125</v>
      </c>
    </row>
    <row r="892" spans="1:6" ht="16" customHeight="1" x14ac:dyDescent="0.45">
      <c r="A892" s="19" t="s">
        <v>1902</v>
      </c>
      <c r="B892" s="20" t="s">
        <v>1903</v>
      </c>
      <c r="C892" s="21">
        <v>1157</v>
      </c>
      <c r="D892" s="22"/>
      <c r="E892" s="23">
        <v>-4.3800001144409177E-2</v>
      </c>
      <c r="F892" s="24" t="s">
        <v>125</v>
      </c>
    </row>
    <row r="893" spans="1:6" ht="16" customHeight="1" x14ac:dyDescent="0.45">
      <c r="A893" s="19" t="s">
        <v>1904</v>
      </c>
      <c r="B893" s="20" t="s">
        <v>1905</v>
      </c>
      <c r="C893" s="21">
        <v>783</v>
      </c>
      <c r="D893" s="22"/>
      <c r="E893" s="23">
        <v>-1.2599999904632571E-2</v>
      </c>
      <c r="F893" s="24" t="s">
        <v>125</v>
      </c>
    </row>
    <row r="894" spans="1:6" ht="16" customHeight="1" x14ac:dyDescent="0.45">
      <c r="A894" s="19" t="s">
        <v>1906</v>
      </c>
      <c r="B894" s="20" t="s">
        <v>1907</v>
      </c>
      <c r="C894" s="21">
        <v>3875</v>
      </c>
      <c r="D894" s="22"/>
      <c r="E894" s="23">
        <v>-2.2699999809265139E-2</v>
      </c>
      <c r="F894" s="24" t="s">
        <v>125</v>
      </c>
    </row>
    <row r="895" spans="1:6" ht="16" customHeight="1" x14ac:dyDescent="0.45">
      <c r="A895" s="19" t="s">
        <v>1908</v>
      </c>
      <c r="B895" s="20" t="s">
        <v>1909</v>
      </c>
      <c r="C895" s="21">
        <v>10890</v>
      </c>
      <c r="D895" s="22"/>
      <c r="E895" s="23">
        <v>-7.3000001907348629E-3</v>
      </c>
      <c r="F895" s="24" t="s">
        <v>128</v>
      </c>
    </row>
    <row r="896" spans="1:6" ht="16" customHeight="1" x14ac:dyDescent="0.45">
      <c r="A896" s="19" t="s">
        <v>1910</v>
      </c>
      <c r="B896" s="20" t="s">
        <v>1911</v>
      </c>
      <c r="C896" s="21">
        <v>9020</v>
      </c>
      <c r="D896" s="22"/>
      <c r="E896" s="23">
        <v>-1.960000038146973E-2</v>
      </c>
      <c r="F896" s="24" t="s">
        <v>125</v>
      </c>
    </row>
    <row r="897" spans="1:6" ht="16" customHeight="1" x14ac:dyDescent="0.45">
      <c r="A897" s="19" t="s">
        <v>1912</v>
      </c>
      <c r="B897" s="20" t="s">
        <v>1913</v>
      </c>
      <c r="C897" s="21">
        <v>8770</v>
      </c>
      <c r="D897" s="22"/>
      <c r="E897" s="23">
        <v>-3.6300001144409177E-2</v>
      </c>
      <c r="F897" s="24" t="s">
        <v>125</v>
      </c>
    </row>
    <row r="898" spans="1:6" ht="16" customHeight="1" x14ac:dyDescent="0.45">
      <c r="A898" s="19" t="s">
        <v>1914</v>
      </c>
      <c r="B898" s="20" t="s">
        <v>1915</v>
      </c>
      <c r="C898" s="21">
        <v>4695</v>
      </c>
      <c r="D898" s="22"/>
      <c r="E898" s="23">
        <v>-6.6599998474121097E-2</v>
      </c>
      <c r="F898" s="24" t="s">
        <v>125</v>
      </c>
    </row>
    <row r="899" spans="1:6" ht="16" customHeight="1" x14ac:dyDescent="0.45">
      <c r="A899" s="19" t="s">
        <v>1916</v>
      </c>
      <c r="B899" s="20" t="s">
        <v>1917</v>
      </c>
      <c r="C899" s="21">
        <v>2930</v>
      </c>
      <c r="D899" s="22"/>
      <c r="E899" s="23">
        <v>-2.1700000762939448E-2</v>
      </c>
      <c r="F899" s="24" t="s">
        <v>128</v>
      </c>
    </row>
    <row r="900" spans="1:6" ht="16" customHeight="1" x14ac:dyDescent="0.45">
      <c r="A900" s="19" t="s">
        <v>1918</v>
      </c>
      <c r="B900" s="20" t="s">
        <v>1919</v>
      </c>
      <c r="C900" s="21">
        <v>1663</v>
      </c>
      <c r="D900" s="22"/>
      <c r="E900" s="23">
        <v>-1.360000014305115E-2</v>
      </c>
      <c r="F900" s="24" t="s">
        <v>125</v>
      </c>
    </row>
    <row r="901" spans="1:6" ht="16" customHeight="1" x14ac:dyDescent="0.45">
      <c r="A901" s="19" t="s">
        <v>1920</v>
      </c>
      <c r="B901" s="20" t="s">
        <v>1921</v>
      </c>
      <c r="C901" s="21">
        <v>1982</v>
      </c>
      <c r="D901" s="22"/>
      <c r="E901" s="23">
        <v>-2.359999895095825E-2</v>
      </c>
      <c r="F901" s="24" t="s">
        <v>128</v>
      </c>
    </row>
    <row r="902" spans="1:6" ht="16" customHeight="1" x14ac:dyDescent="0.45">
      <c r="A902" s="19" t="s">
        <v>1922</v>
      </c>
      <c r="B902" s="20" t="s">
        <v>1923</v>
      </c>
      <c r="C902" s="21">
        <v>2935</v>
      </c>
      <c r="D902" s="22"/>
      <c r="E902" s="23">
        <v>-3.4000000357627871E-3</v>
      </c>
      <c r="F902" s="24" t="s">
        <v>251</v>
      </c>
    </row>
    <row r="903" spans="1:6" ht="16" customHeight="1" x14ac:dyDescent="0.45">
      <c r="A903" s="19" t="s">
        <v>1924</v>
      </c>
      <c r="B903" s="20" t="s">
        <v>1925</v>
      </c>
      <c r="C903" s="21">
        <v>8820</v>
      </c>
      <c r="D903" s="22"/>
      <c r="E903" s="23">
        <v>-1.099999994039536E-3</v>
      </c>
      <c r="F903" s="24" t="s">
        <v>128</v>
      </c>
    </row>
    <row r="904" spans="1:6" ht="16" customHeight="1" x14ac:dyDescent="0.45">
      <c r="A904" s="19" t="s">
        <v>1926</v>
      </c>
      <c r="B904" s="20" t="s">
        <v>1927</v>
      </c>
      <c r="C904" s="21">
        <v>2840</v>
      </c>
      <c r="D904" s="22"/>
      <c r="E904" s="23">
        <v>-4.8600001335144041E-2</v>
      </c>
      <c r="F904" s="24" t="s">
        <v>128</v>
      </c>
    </row>
    <row r="905" spans="1:6" ht="16" customHeight="1" x14ac:dyDescent="0.45">
      <c r="A905" s="19" t="s">
        <v>1928</v>
      </c>
      <c r="B905" s="20" t="s">
        <v>1929</v>
      </c>
      <c r="C905" s="21">
        <v>5460</v>
      </c>
      <c r="D905" s="22"/>
      <c r="E905" s="23">
        <v>-5.2100000381469717E-2</v>
      </c>
      <c r="F905" s="24" t="s">
        <v>125</v>
      </c>
    </row>
    <row r="906" spans="1:6" ht="16" customHeight="1" x14ac:dyDescent="0.45">
      <c r="A906" s="19" t="s">
        <v>1930</v>
      </c>
      <c r="B906" s="20" t="s">
        <v>1931</v>
      </c>
      <c r="C906" s="21">
        <v>11100</v>
      </c>
      <c r="D906" s="22"/>
      <c r="E906" s="23">
        <v>4.0300002098083487E-2</v>
      </c>
      <c r="F906" s="24" t="s">
        <v>125</v>
      </c>
    </row>
    <row r="907" spans="1:6" ht="16" customHeight="1" x14ac:dyDescent="0.45">
      <c r="A907" s="19" t="s">
        <v>1932</v>
      </c>
      <c r="B907" s="20" t="s">
        <v>1933</v>
      </c>
      <c r="C907" s="21">
        <v>29700</v>
      </c>
      <c r="D907" s="22"/>
      <c r="E907" s="23">
        <v>1.539999961853027E-2</v>
      </c>
      <c r="F907" s="24" t="s">
        <v>125</v>
      </c>
    </row>
    <row r="908" spans="1:6" ht="16" customHeight="1" x14ac:dyDescent="0.45">
      <c r="A908" s="19" t="s">
        <v>1934</v>
      </c>
      <c r="B908" s="20" t="s">
        <v>1935</v>
      </c>
      <c r="C908" s="21">
        <v>16650</v>
      </c>
      <c r="D908" s="22"/>
      <c r="E908" s="23">
        <v>4.0599999427795408E-2</v>
      </c>
      <c r="F908" s="24" t="s">
        <v>128</v>
      </c>
    </row>
    <row r="909" spans="1:6" ht="16" customHeight="1" x14ac:dyDescent="0.45">
      <c r="A909" s="19" t="s">
        <v>1936</v>
      </c>
      <c r="B909" s="20" t="s">
        <v>1937</v>
      </c>
      <c r="C909" s="21">
        <v>3110</v>
      </c>
      <c r="D909" s="22"/>
      <c r="E909" s="23">
        <v>-4.4499998092651358E-2</v>
      </c>
      <c r="F909" s="24" t="s">
        <v>125</v>
      </c>
    </row>
    <row r="910" spans="1:6" ht="16" customHeight="1" x14ac:dyDescent="0.45">
      <c r="A910" s="19" t="s">
        <v>1938</v>
      </c>
      <c r="B910" s="20" t="s">
        <v>1939</v>
      </c>
      <c r="C910" s="21">
        <v>1868</v>
      </c>
      <c r="D910" s="22"/>
      <c r="E910" s="23">
        <v>-2.7000001072883611E-3</v>
      </c>
      <c r="F910" s="24" t="s">
        <v>128</v>
      </c>
    </row>
    <row r="911" spans="1:6" ht="16" customHeight="1" x14ac:dyDescent="0.45">
      <c r="A911" s="19" t="s">
        <v>1940</v>
      </c>
      <c r="B911" s="20" t="s">
        <v>1941</v>
      </c>
      <c r="C911" s="21">
        <v>1950</v>
      </c>
      <c r="D911" s="22"/>
      <c r="E911" s="23">
        <v>-4.1799998283386229E-2</v>
      </c>
      <c r="F911" s="24" t="s">
        <v>128</v>
      </c>
    </row>
    <row r="912" spans="1:6" ht="16" customHeight="1" x14ac:dyDescent="0.45">
      <c r="A912" s="19" t="s">
        <v>1942</v>
      </c>
      <c r="B912" s="20" t="s">
        <v>1943</v>
      </c>
      <c r="C912" s="21">
        <v>2280</v>
      </c>
      <c r="D912" s="22"/>
      <c r="E912" s="23">
        <v>-4.3999999761581421E-3</v>
      </c>
      <c r="F912" s="24" t="s">
        <v>128</v>
      </c>
    </row>
    <row r="913" spans="1:6" ht="16" customHeight="1" x14ac:dyDescent="0.45">
      <c r="A913" s="19" t="s">
        <v>1944</v>
      </c>
      <c r="B913" s="20" t="s">
        <v>1945</v>
      </c>
      <c r="C913" s="21">
        <v>53200</v>
      </c>
      <c r="D913" s="22"/>
      <c r="E913" s="23">
        <v>1.139999985694885E-2</v>
      </c>
      <c r="F913" s="24" t="s">
        <v>125</v>
      </c>
    </row>
    <row r="914" spans="1:6" ht="16" customHeight="1" x14ac:dyDescent="0.45">
      <c r="A914" s="19" t="s">
        <v>1946</v>
      </c>
      <c r="B914" s="20" t="s">
        <v>1947</v>
      </c>
      <c r="C914" s="21">
        <v>2000</v>
      </c>
      <c r="D914" s="22"/>
      <c r="E914" s="23">
        <v>1.0000000149011611E-3</v>
      </c>
      <c r="F914" s="24" t="s">
        <v>125</v>
      </c>
    </row>
    <row r="915" spans="1:6" ht="16" customHeight="1" x14ac:dyDescent="0.45">
      <c r="A915" s="19" t="s">
        <v>1948</v>
      </c>
      <c r="B915" s="20" t="s">
        <v>1949</v>
      </c>
      <c r="C915" s="21">
        <v>1996</v>
      </c>
      <c r="D915" s="22"/>
      <c r="E915" s="23">
        <v>-2.000000029802323E-3</v>
      </c>
      <c r="F915" s="24" t="s">
        <v>125</v>
      </c>
    </row>
    <row r="916" spans="1:6" ht="16" customHeight="1" x14ac:dyDescent="0.45">
      <c r="A916" s="19" t="s">
        <v>1950</v>
      </c>
      <c r="B916" s="20" t="s">
        <v>1951</v>
      </c>
      <c r="C916" s="21">
        <v>2060</v>
      </c>
      <c r="D916" s="22"/>
      <c r="E916" s="23">
        <v>0</v>
      </c>
      <c r="F916" s="24" t="s">
        <v>125</v>
      </c>
    </row>
    <row r="917" spans="1:6" ht="16" customHeight="1" x14ac:dyDescent="0.45">
      <c r="A917" s="19" t="s">
        <v>1952</v>
      </c>
      <c r="B917" s="20" t="s">
        <v>1953</v>
      </c>
      <c r="C917" s="21">
        <v>2110</v>
      </c>
      <c r="D917" s="22"/>
      <c r="E917" s="23">
        <v>0</v>
      </c>
      <c r="F917" s="24" t="s">
        <v>125</v>
      </c>
    </row>
    <row r="918" spans="1:6" ht="16" customHeight="1" x14ac:dyDescent="0.45">
      <c r="A918" s="19" t="s">
        <v>1954</v>
      </c>
      <c r="B918" s="20" t="s">
        <v>1955</v>
      </c>
      <c r="C918" s="21">
        <v>2050</v>
      </c>
      <c r="D918" s="22"/>
      <c r="E918" s="23">
        <v>4.9000000953674317E-3</v>
      </c>
      <c r="F918" s="24" t="s">
        <v>125</v>
      </c>
    </row>
    <row r="919" spans="1:6" ht="16" customHeight="1" x14ac:dyDescent="0.45">
      <c r="A919" s="19" t="s">
        <v>1956</v>
      </c>
      <c r="B919" s="20" t="s">
        <v>1957</v>
      </c>
      <c r="C919" s="21">
        <v>2045</v>
      </c>
      <c r="D919" s="22"/>
      <c r="E919" s="23">
        <v>7.4000000953674313E-3</v>
      </c>
      <c r="F919" s="24" t="s">
        <v>125</v>
      </c>
    </row>
    <row r="920" spans="1:6" ht="16" customHeight="1" x14ac:dyDescent="0.45">
      <c r="A920" s="19" t="s">
        <v>1958</v>
      </c>
      <c r="B920" s="20" t="s">
        <v>1959</v>
      </c>
      <c r="C920" s="21">
        <v>1999</v>
      </c>
      <c r="D920" s="22"/>
      <c r="E920" s="23">
        <v>1.0000000149011611E-3</v>
      </c>
      <c r="F920" s="24" t="s">
        <v>125</v>
      </c>
    </row>
    <row r="921" spans="1:6" ht="16" customHeight="1" x14ac:dyDescent="0.45">
      <c r="A921" s="19" t="s">
        <v>1960</v>
      </c>
      <c r="B921" s="20" t="s">
        <v>1961</v>
      </c>
      <c r="C921" s="21">
        <v>1998</v>
      </c>
      <c r="D921" s="22"/>
      <c r="E921" s="23">
        <v>-5.0000000745058064E-4</v>
      </c>
      <c r="F921" s="24" t="s">
        <v>125</v>
      </c>
    </row>
    <row r="922" spans="1:6" ht="16" customHeight="1" x14ac:dyDescent="0.45">
      <c r="A922" s="19" t="s">
        <v>1962</v>
      </c>
      <c r="B922" s="20" t="s">
        <v>1963</v>
      </c>
      <c r="C922" s="21">
        <v>16180</v>
      </c>
      <c r="D922" s="22"/>
      <c r="E922" s="23">
        <v>-1.580000042915344E-2</v>
      </c>
      <c r="F922" s="24" t="s">
        <v>128</v>
      </c>
    </row>
    <row r="923" spans="1:6" ht="16" customHeight="1" x14ac:dyDescent="0.45">
      <c r="A923" s="19" t="s">
        <v>1964</v>
      </c>
      <c r="B923" s="20" t="s">
        <v>1965</v>
      </c>
      <c r="C923" s="21">
        <v>85700</v>
      </c>
      <c r="D923" s="22"/>
      <c r="E923" s="23">
        <v>0.21909999847412109</v>
      </c>
      <c r="F923" s="24" t="s">
        <v>128</v>
      </c>
    </row>
    <row r="924" spans="1:6" ht="16" customHeight="1" x14ac:dyDescent="0.45">
      <c r="A924" s="19" t="s">
        <v>1966</v>
      </c>
      <c r="B924" s="20" t="s">
        <v>1967</v>
      </c>
      <c r="C924" s="21">
        <v>23750</v>
      </c>
      <c r="D924" s="22"/>
      <c r="E924" s="23">
        <v>0.15569999694824219</v>
      </c>
      <c r="F924" s="24" t="s">
        <v>128</v>
      </c>
    </row>
    <row r="925" spans="1:6" ht="16" customHeight="1" x14ac:dyDescent="0.45">
      <c r="A925" s="19" t="s">
        <v>1968</v>
      </c>
      <c r="B925" s="20" t="s">
        <v>1969</v>
      </c>
      <c r="C925" s="21">
        <v>25725</v>
      </c>
      <c r="D925" s="22"/>
      <c r="E925" s="23">
        <v>0.14079999923706049</v>
      </c>
      <c r="F925" s="24" t="s">
        <v>128</v>
      </c>
    </row>
    <row r="926" spans="1:6" ht="16" customHeight="1" x14ac:dyDescent="0.45">
      <c r="A926" s="19" t="s">
        <v>1970</v>
      </c>
      <c r="B926" s="20" t="s">
        <v>1971</v>
      </c>
      <c r="C926" s="21">
        <v>985</v>
      </c>
      <c r="D926" s="22"/>
      <c r="E926" s="23">
        <v>0</v>
      </c>
      <c r="F926" s="24" t="s">
        <v>251</v>
      </c>
    </row>
    <row r="927" spans="1:6" ht="16" customHeight="1" x14ac:dyDescent="0.45">
      <c r="A927" s="19" t="s">
        <v>1972</v>
      </c>
      <c r="B927" s="20" t="s">
        <v>1973</v>
      </c>
      <c r="C927" s="21">
        <v>17070</v>
      </c>
      <c r="D927" s="22"/>
      <c r="E927" s="23">
        <v>4.5999999046325693E-2</v>
      </c>
      <c r="F927" s="24" t="s">
        <v>125</v>
      </c>
    </row>
    <row r="928" spans="1:6" ht="16" customHeight="1" x14ac:dyDescent="0.45">
      <c r="A928" s="19" t="s">
        <v>1974</v>
      </c>
      <c r="B928" s="20" t="s">
        <v>1975</v>
      </c>
      <c r="C928" s="21">
        <v>991</v>
      </c>
      <c r="D928" s="22"/>
      <c r="E928" s="23">
        <v>-1.200000047683716E-2</v>
      </c>
      <c r="F928" s="24" t="s">
        <v>125</v>
      </c>
    </row>
    <row r="929" spans="1:6" ht="16" customHeight="1" x14ac:dyDescent="0.45">
      <c r="A929" s="19" t="s">
        <v>1976</v>
      </c>
      <c r="B929" s="20" t="s">
        <v>1977</v>
      </c>
      <c r="C929" s="21">
        <v>39400</v>
      </c>
      <c r="D929" s="22"/>
      <c r="E929" s="23">
        <v>-2.349999904632568E-2</v>
      </c>
      <c r="F929" s="24" t="s">
        <v>128</v>
      </c>
    </row>
    <row r="930" spans="1:6" ht="16" customHeight="1" x14ac:dyDescent="0.45">
      <c r="A930" s="19" t="s">
        <v>1978</v>
      </c>
      <c r="B930" s="20" t="s">
        <v>1979</v>
      </c>
      <c r="C930" s="21">
        <v>144600</v>
      </c>
      <c r="D930" s="22"/>
      <c r="E930" s="23">
        <v>-4.8099999427795408E-2</v>
      </c>
      <c r="F930" s="24" t="s">
        <v>128</v>
      </c>
    </row>
    <row r="931" spans="1:6" ht="16" customHeight="1" x14ac:dyDescent="0.45">
      <c r="A931" s="19" t="s">
        <v>1980</v>
      </c>
      <c r="B931" s="20" t="s">
        <v>1981</v>
      </c>
      <c r="C931" s="21">
        <v>119400</v>
      </c>
      <c r="D931" s="22"/>
      <c r="E931" s="23">
        <v>-7.4999999999999997E-3</v>
      </c>
      <c r="F931" s="24" t="s">
        <v>128</v>
      </c>
    </row>
    <row r="932" spans="1:6" ht="16" customHeight="1" x14ac:dyDescent="0.45">
      <c r="A932" s="19" t="s">
        <v>1982</v>
      </c>
      <c r="B932" s="20" t="s">
        <v>1983</v>
      </c>
      <c r="C932" s="21">
        <v>63100</v>
      </c>
      <c r="D932" s="22"/>
      <c r="E932" s="23">
        <v>9.5999997854232782E-3</v>
      </c>
      <c r="F932" s="24" t="s">
        <v>128</v>
      </c>
    </row>
    <row r="933" spans="1:6" ht="16" customHeight="1" x14ac:dyDescent="0.45">
      <c r="A933" s="19" t="s">
        <v>1984</v>
      </c>
      <c r="B933" s="20" t="s">
        <v>1985</v>
      </c>
      <c r="C933" s="21">
        <v>12830</v>
      </c>
      <c r="D933" s="22"/>
      <c r="E933" s="23">
        <v>-4.6999999880790707E-3</v>
      </c>
      <c r="F933" s="24" t="s">
        <v>128</v>
      </c>
    </row>
    <row r="934" spans="1:6" ht="16" customHeight="1" x14ac:dyDescent="0.45">
      <c r="A934" s="19" t="s">
        <v>1986</v>
      </c>
      <c r="B934" s="20" t="s">
        <v>1987</v>
      </c>
      <c r="C934" s="21">
        <v>7000</v>
      </c>
      <c r="D934" s="22"/>
      <c r="E934" s="23">
        <v>2.9400000572204588E-2</v>
      </c>
      <c r="F934" s="24" t="s">
        <v>251</v>
      </c>
    </row>
    <row r="935" spans="1:6" ht="16" customHeight="1" x14ac:dyDescent="0.45">
      <c r="A935" s="19" t="s">
        <v>1988</v>
      </c>
      <c r="B935" s="20" t="s">
        <v>1989</v>
      </c>
      <c r="C935" s="21">
        <v>120800</v>
      </c>
      <c r="D935" s="22"/>
      <c r="E935" s="23">
        <v>-8.199999928474427E-3</v>
      </c>
      <c r="F935" s="24" t="s">
        <v>128</v>
      </c>
    </row>
    <row r="936" spans="1:6" ht="16" customHeight="1" x14ac:dyDescent="0.45">
      <c r="A936" s="19" t="s">
        <v>1990</v>
      </c>
      <c r="B936" s="20" t="s">
        <v>1991</v>
      </c>
      <c r="C936" s="21">
        <v>27600</v>
      </c>
      <c r="D936" s="22"/>
      <c r="E936" s="23">
        <v>5.7500000000000002E-2</v>
      </c>
      <c r="F936" s="24" t="s">
        <v>125</v>
      </c>
    </row>
    <row r="937" spans="1:6" ht="16" customHeight="1" x14ac:dyDescent="0.45">
      <c r="A937" s="19" t="s">
        <v>1992</v>
      </c>
      <c r="B937" s="20" t="s">
        <v>1993</v>
      </c>
      <c r="C937" s="21">
        <v>3375</v>
      </c>
      <c r="D937" s="22"/>
      <c r="E937" s="23">
        <v>5.9699997901916498E-2</v>
      </c>
      <c r="F937" s="24" t="s">
        <v>125</v>
      </c>
    </row>
    <row r="938" spans="1:6" ht="16" customHeight="1" x14ac:dyDescent="0.45">
      <c r="A938" s="19" t="s">
        <v>1994</v>
      </c>
      <c r="B938" s="20" t="s">
        <v>1995</v>
      </c>
      <c r="C938" s="21">
        <v>8150</v>
      </c>
      <c r="D938" s="22"/>
      <c r="E938" s="23">
        <v>-1.4500000476837161E-2</v>
      </c>
      <c r="F938" s="24" t="s">
        <v>125</v>
      </c>
    </row>
    <row r="939" spans="1:6" ht="16" customHeight="1" x14ac:dyDescent="0.45">
      <c r="A939" s="19" t="s">
        <v>1996</v>
      </c>
      <c r="B939" s="20" t="s">
        <v>1997</v>
      </c>
      <c r="C939" s="21">
        <v>2795</v>
      </c>
      <c r="D939" s="22"/>
      <c r="E939" s="23">
        <v>-2.6099998950958249E-2</v>
      </c>
      <c r="F939" s="24" t="s">
        <v>125</v>
      </c>
    </row>
    <row r="940" spans="1:6" ht="16" customHeight="1" x14ac:dyDescent="0.45">
      <c r="A940" s="19" t="s">
        <v>1998</v>
      </c>
      <c r="B940" s="20" t="s">
        <v>1999</v>
      </c>
      <c r="C940" s="21">
        <v>11320</v>
      </c>
      <c r="D940" s="22"/>
      <c r="E940" s="23">
        <v>-1.990000009536743E-2</v>
      </c>
      <c r="F940" s="24" t="s">
        <v>125</v>
      </c>
    </row>
    <row r="941" spans="1:6" ht="16" customHeight="1" x14ac:dyDescent="0.45">
      <c r="A941" s="19" t="s">
        <v>2000</v>
      </c>
      <c r="B941" s="20" t="s">
        <v>2001</v>
      </c>
      <c r="C941" s="21">
        <v>561</v>
      </c>
      <c r="D941" s="22"/>
      <c r="E941" s="23">
        <v>0</v>
      </c>
      <c r="F941" s="24" t="s">
        <v>125</v>
      </c>
    </row>
    <row r="942" spans="1:6" ht="16" customHeight="1" x14ac:dyDescent="0.45">
      <c r="A942" s="19" t="s">
        <v>2002</v>
      </c>
      <c r="B942" s="20" t="s">
        <v>2003</v>
      </c>
      <c r="C942" s="21">
        <v>963</v>
      </c>
      <c r="D942" s="22"/>
      <c r="E942" s="23">
        <v>-8.5500001907348633E-2</v>
      </c>
      <c r="F942" s="24" t="s">
        <v>125</v>
      </c>
    </row>
    <row r="943" spans="1:6" ht="16" customHeight="1" x14ac:dyDescent="0.45">
      <c r="A943" s="19" t="s">
        <v>2004</v>
      </c>
      <c r="B943" s="20" t="s">
        <v>2005</v>
      </c>
      <c r="C943" s="21">
        <v>4955</v>
      </c>
      <c r="D943" s="22"/>
      <c r="E943" s="23">
        <v>-5.0000000000000001E-3</v>
      </c>
      <c r="F943" s="24" t="s">
        <v>251</v>
      </c>
    </row>
    <row r="944" spans="1:6" ht="16" customHeight="1" x14ac:dyDescent="0.45">
      <c r="A944" s="19" t="s">
        <v>2006</v>
      </c>
      <c r="B944" s="20" t="s">
        <v>2007</v>
      </c>
      <c r="C944" s="21">
        <v>10800</v>
      </c>
      <c r="D944" s="22"/>
      <c r="E944" s="23">
        <v>-1.7300000190734861E-2</v>
      </c>
      <c r="F944" s="24" t="s">
        <v>125</v>
      </c>
    </row>
    <row r="945" spans="1:6" ht="16" customHeight="1" x14ac:dyDescent="0.45">
      <c r="A945" s="19" t="s">
        <v>2008</v>
      </c>
      <c r="B945" s="20" t="s">
        <v>2009</v>
      </c>
      <c r="C945" s="21">
        <v>2625</v>
      </c>
      <c r="D945" s="22"/>
      <c r="E945" s="23">
        <v>-3.1400001049041747E-2</v>
      </c>
      <c r="F945" s="24" t="s">
        <v>125</v>
      </c>
    </row>
    <row r="946" spans="1:6" ht="16" customHeight="1" x14ac:dyDescent="0.45">
      <c r="A946" s="19" t="s">
        <v>2010</v>
      </c>
      <c r="B946" s="20" t="s">
        <v>2011</v>
      </c>
      <c r="C946" s="21">
        <v>5010</v>
      </c>
      <c r="D946" s="22"/>
      <c r="E946" s="23">
        <v>-7.9000002145767217E-3</v>
      </c>
      <c r="F946" s="24" t="s">
        <v>128</v>
      </c>
    </row>
    <row r="947" spans="1:6" ht="16" customHeight="1" x14ac:dyDescent="0.45">
      <c r="A947" s="19" t="s">
        <v>2012</v>
      </c>
      <c r="B947" s="20" t="s">
        <v>2013</v>
      </c>
      <c r="C947" s="21">
        <v>10040</v>
      </c>
      <c r="D947" s="22"/>
      <c r="E947" s="23">
        <v>-1.8600000143051149E-2</v>
      </c>
      <c r="F947" s="24" t="s">
        <v>125</v>
      </c>
    </row>
    <row r="948" spans="1:6" ht="16" customHeight="1" x14ac:dyDescent="0.45">
      <c r="A948" s="19" t="s">
        <v>2014</v>
      </c>
      <c r="B948" s="20" t="s">
        <v>2015</v>
      </c>
      <c r="C948" s="21">
        <v>11180</v>
      </c>
      <c r="D948" s="22"/>
      <c r="E948" s="23">
        <v>-2.77999997138977E-2</v>
      </c>
      <c r="F948" s="24" t="s">
        <v>125</v>
      </c>
    </row>
    <row r="949" spans="1:6" ht="16" customHeight="1" x14ac:dyDescent="0.45">
      <c r="A949" s="19" t="s">
        <v>2016</v>
      </c>
      <c r="B949" s="20" t="s">
        <v>2017</v>
      </c>
      <c r="C949" s="21">
        <v>8000</v>
      </c>
      <c r="D949" s="22"/>
      <c r="E949" s="23">
        <v>-3.6099998950958251E-2</v>
      </c>
      <c r="F949" s="24" t="s">
        <v>125</v>
      </c>
    </row>
    <row r="950" spans="1:6" ht="16" customHeight="1" x14ac:dyDescent="0.45">
      <c r="A950" s="19" t="s">
        <v>2018</v>
      </c>
      <c r="B950" s="20" t="s">
        <v>2019</v>
      </c>
      <c r="C950" s="21">
        <v>11070</v>
      </c>
      <c r="D950" s="22"/>
      <c r="E950" s="23">
        <v>-2.9800000190734859E-2</v>
      </c>
      <c r="F950" s="24" t="s">
        <v>125</v>
      </c>
    </row>
    <row r="951" spans="1:6" ht="16" customHeight="1" x14ac:dyDescent="0.45">
      <c r="A951" s="19" t="s">
        <v>2020</v>
      </c>
      <c r="B951" s="20" t="s">
        <v>2021</v>
      </c>
      <c r="C951" s="21">
        <v>4375</v>
      </c>
      <c r="D951" s="22"/>
      <c r="E951" s="23">
        <v>-3.7400000095367432E-2</v>
      </c>
      <c r="F951" s="24" t="s">
        <v>125</v>
      </c>
    </row>
    <row r="952" spans="1:6" ht="16" customHeight="1" x14ac:dyDescent="0.45">
      <c r="A952" s="19" t="s">
        <v>2022</v>
      </c>
      <c r="B952" s="20" t="s">
        <v>2023</v>
      </c>
      <c r="C952" s="21">
        <v>13390</v>
      </c>
      <c r="D952" s="22"/>
      <c r="E952" s="23">
        <v>-3.0399999618530269E-2</v>
      </c>
      <c r="F952" s="24" t="s">
        <v>125</v>
      </c>
    </row>
    <row r="953" spans="1:6" ht="16" customHeight="1" x14ac:dyDescent="0.45">
      <c r="A953" s="19" t="s">
        <v>2024</v>
      </c>
      <c r="B953" s="20" t="s">
        <v>2025</v>
      </c>
      <c r="C953" s="21">
        <v>4025</v>
      </c>
      <c r="D953" s="22"/>
      <c r="E953" s="23">
        <v>-2.9000000953674322E-2</v>
      </c>
      <c r="F953" s="24" t="s">
        <v>125</v>
      </c>
    </row>
    <row r="954" spans="1:6" ht="16" customHeight="1" x14ac:dyDescent="0.45">
      <c r="A954" s="19" t="s">
        <v>2026</v>
      </c>
      <c r="B954" s="20" t="s">
        <v>2027</v>
      </c>
      <c r="C954" s="21">
        <v>119</v>
      </c>
      <c r="D954" s="22"/>
      <c r="E954" s="23">
        <v>4.3899998664855958E-2</v>
      </c>
      <c r="F954" s="24" t="s">
        <v>251</v>
      </c>
    </row>
    <row r="955" spans="1:6" ht="16" customHeight="1" x14ac:dyDescent="0.45">
      <c r="A955" s="19" t="s">
        <v>2028</v>
      </c>
      <c r="B955" s="20" t="s">
        <v>2029</v>
      </c>
      <c r="C955" s="21">
        <v>3690</v>
      </c>
      <c r="D955" s="22"/>
      <c r="E955" s="23">
        <v>6.1900000572204593E-2</v>
      </c>
      <c r="F955" s="24" t="s">
        <v>251</v>
      </c>
    </row>
    <row r="956" spans="1:6" ht="16" customHeight="1" x14ac:dyDescent="0.45">
      <c r="A956" s="19" t="s">
        <v>2030</v>
      </c>
      <c r="B956" s="20" t="s">
        <v>2031</v>
      </c>
      <c r="C956" s="21">
        <v>3165</v>
      </c>
      <c r="D956" s="22"/>
      <c r="E956" s="23">
        <v>-4.0900001525878908E-2</v>
      </c>
      <c r="F956" s="24" t="s">
        <v>125</v>
      </c>
    </row>
    <row r="957" spans="1:6" ht="16" customHeight="1" x14ac:dyDescent="0.45">
      <c r="A957" s="19" t="s">
        <v>2032</v>
      </c>
      <c r="B957" s="20" t="s">
        <v>2033</v>
      </c>
      <c r="C957" s="21">
        <v>6020</v>
      </c>
      <c r="D957" s="22"/>
      <c r="E957" s="23">
        <v>-4.1399998664855962E-2</v>
      </c>
      <c r="F957" s="24" t="s">
        <v>125</v>
      </c>
    </row>
    <row r="958" spans="1:6" ht="16" customHeight="1" x14ac:dyDescent="0.45">
      <c r="A958" s="19" t="s">
        <v>2034</v>
      </c>
      <c r="B958" s="20" t="s">
        <v>2035</v>
      </c>
      <c r="C958" s="21">
        <v>444</v>
      </c>
      <c r="D958" s="22"/>
      <c r="E958" s="23">
        <v>9.1000002622604378E-3</v>
      </c>
      <c r="F958" s="24" t="s">
        <v>251</v>
      </c>
    </row>
    <row r="959" spans="1:6" ht="16" customHeight="1" x14ac:dyDescent="0.45">
      <c r="A959" s="19" t="s">
        <v>2036</v>
      </c>
      <c r="B959" s="20" t="s">
        <v>2037</v>
      </c>
      <c r="C959" s="21">
        <v>5720</v>
      </c>
      <c r="D959" s="22"/>
      <c r="E959" s="23">
        <v>-2.5599999427795408E-2</v>
      </c>
      <c r="F959" s="24" t="s">
        <v>125</v>
      </c>
    </row>
    <row r="960" spans="1:6" ht="16" customHeight="1" x14ac:dyDescent="0.45">
      <c r="A960" s="19" t="s">
        <v>2038</v>
      </c>
      <c r="B960" s="20" t="s">
        <v>2039</v>
      </c>
      <c r="C960" s="21">
        <v>604</v>
      </c>
      <c r="D960" s="22"/>
      <c r="E960" s="23">
        <v>0</v>
      </c>
      <c r="F960" s="24" t="s">
        <v>125</v>
      </c>
    </row>
    <row r="961" spans="1:6" ht="16" customHeight="1" x14ac:dyDescent="0.45">
      <c r="A961" s="19" t="s">
        <v>2040</v>
      </c>
      <c r="B961" s="20" t="s">
        <v>2041</v>
      </c>
      <c r="C961" s="21">
        <v>10310</v>
      </c>
      <c r="D961" s="22"/>
      <c r="E961" s="23">
        <v>-1.899999976158142E-3</v>
      </c>
      <c r="F961" s="24" t="s">
        <v>125</v>
      </c>
    </row>
    <row r="962" spans="1:6" ht="16" customHeight="1" x14ac:dyDescent="0.45">
      <c r="A962" s="19" t="s">
        <v>2042</v>
      </c>
      <c r="B962" s="20" t="s">
        <v>2043</v>
      </c>
      <c r="C962" s="21">
        <v>22750</v>
      </c>
      <c r="D962" s="22"/>
      <c r="E962" s="23">
        <v>-2.359999895095825E-2</v>
      </c>
      <c r="F962" s="24" t="s">
        <v>125</v>
      </c>
    </row>
    <row r="963" spans="1:6" ht="16" customHeight="1" x14ac:dyDescent="0.45">
      <c r="A963" s="19" t="s">
        <v>2044</v>
      </c>
      <c r="B963" s="20" t="s">
        <v>2045</v>
      </c>
      <c r="C963" s="21">
        <v>7140</v>
      </c>
      <c r="D963" s="22"/>
      <c r="E963" s="23">
        <v>-1.379999995231628E-2</v>
      </c>
      <c r="F963" s="24" t="s">
        <v>125</v>
      </c>
    </row>
    <row r="964" spans="1:6" ht="16" customHeight="1" x14ac:dyDescent="0.45">
      <c r="A964" s="19" t="s">
        <v>2046</v>
      </c>
      <c r="B964" s="20" t="s">
        <v>2047</v>
      </c>
      <c r="C964" s="21">
        <v>5590</v>
      </c>
      <c r="D964" s="22"/>
      <c r="E964" s="23">
        <v>-4.2800002098083503E-2</v>
      </c>
      <c r="F964" s="24" t="s">
        <v>128</v>
      </c>
    </row>
    <row r="965" spans="1:6" ht="16" customHeight="1" x14ac:dyDescent="0.45">
      <c r="A965" s="19" t="s">
        <v>2048</v>
      </c>
      <c r="B965" s="20" t="s">
        <v>2049</v>
      </c>
      <c r="C965" s="21">
        <v>3475</v>
      </c>
      <c r="D965" s="22"/>
      <c r="E965" s="23">
        <v>-5.6999999284744274E-3</v>
      </c>
      <c r="F965" s="24" t="s">
        <v>125</v>
      </c>
    </row>
    <row r="966" spans="1:6" ht="16" customHeight="1" x14ac:dyDescent="0.45">
      <c r="A966" s="19" t="s">
        <v>2050</v>
      </c>
      <c r="B966" s="20" t="s">
        <v>2051</v>
      </c>
      <c r="C966" s="21">
        <v>3130</v>
      </c>
      <c r="D966" s="22"/>
      <c r="E966" s="23">
        <v>-2.1900000572204589E-2</v>
      </c>
      <c r="F966" s="24" t="s">
        <v>125</v>
      </c>
    </row>
    <row r="967" spans="1:6" ht="16" customHeight="1" x14ac:dyDescent="0.45">
      <c r="A967" s="19" t="s">
        <v>2052</v>
      </c>
      <c r="B967" s="20" t="s">
        <v>2053</v>
      </c>
      <c r="C967" s="21">
        <v>12060</v>
      </c>
      <c r="D967" s="22"/>
      <c r="E967" s="23">
        <v>-1.7100000381469731E-2</v>
      </c>
      <c r="F967" s="24" t="s">
        <v>128</v>
      </c>
    </row>
    <row r="968" spans="1:6" ht="16" customHeight="1" x14ac:dyDescent="0.45">
      <c r="A968" s="19" t="s">
        <v>2054</v>
      </c>
      <c r="B968" s="20" t="s">
        <v>2055</v>
      </c>
      <c r="C968" s="21">
        <v>2495</v>
      </c>
      <c r="D968" s="22"/>
      <c r="E968" s="23">
        <v>-4.5900001525878913E-2</v>
      </c>
      <c r="F968" s="24" t="s">
        <v>125</v>
      </c>
    </row>
    <row r="969" spans="1:6" ht="16" customHeight="1" x14ac:dyDescent="0.45">
      <c r="A969" s="19" t="s">
        <v>2056</v>
      </c>
      <c r="B969" s="20" t="s">
        <v>2057</v>
      </c>
      <c r="C969" s="21">
        <v>5140</v>
      </c>
      <c r="D969" s="22"/>
      <c r="E969" s="23">
        <v>1.980000019073486E-2</v>
      </c>
      <c r="F969" s="24" t="s">
        <v>125</v>
      </c>
    </row>
    <row r="970" spans="1:6" ht="16" customHeight="1" x14ac:dyDescent="0.45">
      <c r="A970" s="19" t="s">
        <v>2058</v>
      </c>
      <c r="B970" s="20" t="s">
        <v>2059</v>
      </c>
      <c r="C970" s="21">
        <v>3205</v>
      </c>
      <c r="D970" s="22"/>
      <c r="E970" s="23">
        <v>-4.1900000572204589E-2</v>
      </c>
      <c r="F970" s="24" t="s">
        <v>125</v>
      </c>
    </row>
    <row r="971" spans="1:6" ht="16" customHeight="1" x14ac:dyDescent="0.45">
      <c r="A971" s="19" t="s">
        <v>2060</v>
      </c>
      <c r="B971" s="20" t="s">
        <v>2061</v>
      </c>
      <c r="C971" s="21">
        <v>1153</v>
      </c>
      <c r="D971" s="22"/>
      <c r="E971" s="23">
        <v>0</v>
      </c>
      <c r="F971" s="24" t="s">
        <v>125</v>
      </c>
    </row>
    <row r="972" spans="1:6" ht="16" customHeight="1" x14ac:dyDescent="0.45">
      <c r="A972" s="19" t="s">
        <v>2062</v>
      </c>
      <c r="B972" s="20" t="s">
        <v>2063</v>
      </c>
      <c r="C972" s="21">
        <v>1935</v>
      </c>
      <c r="D972" s="22"/>
      <c r="E972" s="23">
        <v>0</v>
      </c>
      <c r="F972" s="24" t="s">
        <v>128</v>
      </c>
    </row>
    <row r="973" spans="1:6" ht="16" customHeight="1" x14ac:dyDescent="0.45">
      <c r="A973" s="19" t="s">
        <v>2064</v>
      </c>
      <c r="B973" s="20" t="s">
        <v>2065</v>
      </c>
      <c r="C973" s="21">
        <v>40200</v>
      </c>
      <c r="D973" s="22"/>
      <c r="E973" s="23">
        <v>0.1197999954223633</v>
      </c>
      <c r="F973" s="24" t="s">
        <v>125</v>
      </c>
    </row>
    <row r="974" spans="1:6" ht="16" customHeight="1" x14ac:dyDescent="0.45">
      <c r="A974" s="19" t="s">
        <v>2066</v>
      </c>
      <c r="B974" s="20" t="s">
        <v>2067</v>
      </c>
      <c r="C974" s="21">
        <v>1254</v>
      </c>
      <c r="D974" s="22"/>
      <c r="E974" s="23">
        <v>-3.3900001049041749E-2</v>
      </c>
      <c r="F974" s="24" t="s">
        <v>125</v>
      </c>
    </row>
    <row r="975" spans="1:6" ht="16" customHeight="1" x14ac:dyDescent="0.45">
      <c r="A975" s="19" t="s">
        <v>2068</v>
      </c>
      <c r="B975" s="20" t="s">
        <v>2069</v>
      </c>
      <c r="C975" s="21">
        <v>4970</v>
      </c>
      <c r="D975" s="22"/>
      <c r="E975" s="23">
        <v>1.120000004768372E-2</v>
      </c>
      <c r="F975" s="24" t="s">
        <v>125</v>
      </c>
    </row>
    <row r="976" spans="1:6" ht="16" customHeight="1" x14ac:dyDescent="0.45">
      <c r="A976" s="19" t="s">
        <v>2070</v>
      </c>
      <c r="B976" s="20" t="s">
        <v>2071</v>
      </c>
      <c r="C976" s="21">
        <v>1004</v>
      </c>
      <c r="D976" s="22"/>
      <c r="E976" s="23">
        <v>-3.2799999713897708E-2</v>
      </c>
      <c r="F976" s="24" t="s">
        <v>125</v>
      </c>
    </row>
    <row r="977" spans="1:6" ht="16" customHeight="1" x14ac:dyDescent="0.45">
      <c r="A977" s="19" t="s">
        <v>2072</v>
      </c>
      <c r="B977" s="20" t="s">
        <v>2073</v>
      </c>
      <c r="C977" s="21">
        <v>2250</v>
      </c>
      <c r="D977" s="22"/>
      <c r="E977" s="23">
        <v>3.2100000381469727E-2</v>
      </c>
      <c r="F977" s="24" t="s">
        <v>125</v>
      </c>
    </row>
    <row r="978" spans="1:6" ht="16" customHeight="1" x14ac:dyDescent="0.45">
      <c r="A978" s="19" t="s">
        <v>2074</v>
      </c>
      <c r="B978" s="20" t="s">
        <v>2075</v>
      </c>
      <c r="C978" s="21">
        <v>1887</v>
      </c>
      <c r="D978" s="22"/>
      <c r="E978" s="23">
        <v>0</v>
      </c>
      <c r="F978" s="24" t="s">
        <v>125</v>
      </c>
    </row>
    <row r="979" spans="1:6" ht="16" customHeight="1" x14ac:dyDescent="0.45">
      <c r="A979" s="19" t="s">
        <v>2076</v>
      </c>
      <c r="B979" s="20" t="s">
        <v>2077</v>
      </c>
      <c r="C979" s="21">
        <v>2120</v>
      </c>
      <c r="D979" s="22"/>
      <c r="E979" s="23">
        <v>-2.75E-2</v>
      </c>
      <c r="F979" s="24" t="s">
        <v>128</v>
      </c>
    </row>
    <row r="980" spans="1:6" ht="16" customHeight="1" x14ac:dyDescent="0.45">
      <c r="A980" s="19" t="s">
        <v>2078</v>
      </c>
      <c r="B980" s="20" t="s">
        <v>2079</v>
      </c>
      <c r="C980" s="21">
        <v>7550</v>
      </c>
      <c r="D980" s="22"/>
      <c r="E980" s="23">
        <v>-2.329999923706055E-2</v>
      </c>
      <c r="F980" s="24" t="s">
        <v>125</v>
      </c>
    </row>
    <row r="981" spans="1:6" ht="16" customHeight="1" x14ac:dyDescent="0.45">
      <c r="A981" s="19" t="s">
        <v>2080</v>
      </c>
      <c r="B981" s="20" t="s">
        <v>2081</v>
      </c>
      <c r="C981" s="21">
        <v>1098</v>
      </c>
      <c r="D981" s="22"/>
      <c r="E981" s="23">
        <v>-2.5699999332427979E-2</v>
      </c>
      <c r="F981" s="24" t="s">
        <v>128</v>
      </c>
    </row>
    <row r="982" spans="1:6" ht="16" customHeight="1" x14ac:dyDescent="0.45">
      <c r="A982" s="19" t="s">
        <v>2082</v>
      </c>
      <c r="B982" s="20" t="s">
        <v>2083</v>
      </c>
      <c r="C982" s="21">
        <v>9840</v>
      </c>
      <c r="D982" s="22"/>
      <c r="E982" s="23">
        <v>-1.7000000476837161E-2</v>
      </c>
      <c r="F982" s="24" t="s">
        <v>128</v>
      </c>
    </row>
    <row r="983" spans="1:6" ht="16" customHeight="1" x14ac:dyDescent="0.45">
      <c r="A983" s="19" t="s">
        <v>2084</v>
      </c>
      <c r="B983" s="20" t="s">
        <v>2085</v>
      </c>
      <c r="C983" s="21">
        <v>279500</v>
      </c>
      <c r="D983" s="22"/>
      <c r="E983" s="23">
        <v>-4.2800002098083503E-2</v>
      </c>
      <c r="F983" s="24" t="s">
        <v>125</v>
      </c>
    </row>
    <row r="984" spans="1:6" ht="16" customHeight="1" x14ac:dyDescent="0.45">
      <c r="A984" s="19" t="s">
        <v>2086</v>
      </c>
      <c r="B984" s="20" t="s">
        <v>2087</v>
      </c>
      <c r="C984" s="21">
        <v>15400</v>
      </c>
      <c r="D984" s="22"/>
      <c r="E984" s="23">
        <v>7.3200001716613769E-2</v>
      </c>
      <c r="F984" s="24" t="s">
        <v>125</v>
      </c>
    </row>
    <row r="985" spans="1:6" ht="16" customHeight="1" x14ac:dyDescent="0.45">
      <c r="A985" s="19" t="s">
        <v>2088</v>
      </c>
      <c r="B985" s="20" t="s">
        <v>2089</v>
      </c>
      <c r="C985" s="21">
        <v>6040</v>
      </c>
      <c r="D985" s="22"/>
      <c r="E985" s="23">
        <v>1.169999957084656E-2</v>
      </c>
      <c r="F985" s="24" t="s">
        <v>125</v>
      </c>
    </row>
    <row r="986" spans="1:6" ht="16" customHeight="1" x14ac:dyDescent="0.45">
      <c r="A986" s="19" t="s">
        <v>2090</v>
      </c>
      <c r="B986" s="20" t="s">
        <v>2091</v>
      </c>
      <c r="C986" s="21">
        <v>422</v>
      </c>
      <c r="D986" s="22"/>
      <c r="E986" s="23">
        <v>0</v>
      </c>
      <c r="F986" s="24" t="s">
        <v>128</v>
      </c>
    </row>
    <row r="987" spans="1:6" ht="16" customHeight="1" x14ac:dyDescent="0.45">
      <c r="A987" s="19" t="s">
        <v>2092</v>
      </c>
      <c r="B987" s="20" t="s">
        <v>2093</v>
      </c>
      <c r="C987" s="21">
        <v>647</v>
      </c>
      <c r="D987" s="22"/>
      <c r="E987" s="23">
        <v>0</v>
      </c>
      <c r="F987" s="24" t="s">
        <v>125</v>
      </c>
    </row>
    <row r="988" spans="1:6" ht="16" customHeight="1" x14ac:dyDescent="0.45">
      <c r="A988" s="19" t="s">
        <v>2094</v>
      </c>
      <c r="B988" s="20" t="s">
        <v>2095</v>
      </c>
      <c r="C988" s="21">
        <v>1023000</v>
      </c>
      <c r="D988" s="22"/>
      <c r="E988" s="23">
        <v>0</v>
      </c>
      <c r="F988" s="24" t="s">
        <v>251</v>
      </c>
    </row>
    <row r="989" spans="1:6" ht="16" customHeight="1" x14ac:dyDescent="0.45">
      <c r="A989" s="19" t="s">
        <v>2096</v>
      </c>
      <c r="B989" s="20" t="s">
        <v>2097</v>
      </c>
      <c r="C989" s="21">
        <v>1914</v>
      </c>
      <c r="D989" s="22"/>
      <c r="E989" s="23">
        <v>0.13250000000000001</v>
      </c>
      <c r="F989" s="24" t="s">
        <v>251</v>
      </c>
    </row>
    <row r="990" spans="1:6" ht="16" customHeight="1" x14ac:dyDescent="0.45">
      <c r="A990" s="19" t="s">
        <v>2098</v>
      </c>
      <c r="B990" s="20" t="s">
        <v>2099</v>
      </c>
      <c r="C990" s="21">
        <v>6100</v>
      </c>
      <c r="D990" s="22"/>
      <c r="E990" s="23">
        <v>-3.0199999809265139E-2</v>
      </c>
      <c r="F990" s="24" t="s">
        <v>128</v>
      </c>
    </row>
    <row r="991" spans="1:6" ht="16" customHeight="1" x14ac:dyDescent="0.45">
      <c r="A991" s="19" t="s">
        <v>2100</v>
      </c>
      <c r="B991" s="20" t="s">
        <v>2101</v>
      </c>
      <c r="C991" s="21">
        <v>79900</v>
      </c>
      <c r="D991" s="22"/>
      <c r="E991" s="23">
        <v>4.5799999237060553E-2</v>
      </c>
      <c r="F991" s="24" t="s">
        <v>128</v>
      </c>
    </row>
    <row r="992" spans="1:6" ht="16" customHeight="1" x14ac:dyDescent="0.45">
      <c r="A992" s="19" t="s">
        <v>2102</v>
      </c>
      <c r="B992" s="20" t="s">
        <v>2103</v>
      </c>
      <c r="C992" s="21">
        <v>36650</v>
      </c>
      <c r="D992" s="22"/>
      <c r="E992" s="23">
        <v>6.8999999761581417E-3</v>
      </c>
      <c r="F992" s="24" t="s">
        <v>128</v>
      </c>
    </row>
    <row r="993" spans="1:6" ht="16" customHeight="1" x14ac:dyDescent="0.45">
      <c r="A993" s="19" t="s">
        <v>2104</v>
      </c>
      <c r="B993" s="20" t="s">
        <v>2105</v>
      </c>
      <c r="C993" s="21">
        <v>2930</v>
      </c>
      <c r="D993" s="22"/>
      <c r="E993" s="23">
        <v>6.8999999761581417E-3</v>
      </c>
      <c r="F993" s="24" t="s">
        <v>128</v>
      </c>
    </row>
    <row r="994" spans="1:6" ht="16" customHeight="1" x14ac:dyDescent="0.45">
      <c r="A994" s="19" t="s">
        <v>2106</v>
      </c>
      <c r="B994" s="20" t="s">
        <v>2107</v>
      </c>
      <c r="C994" s="21">
        <v>1384</v>
      </c>
      <c r="D994" s="22"/>
      <c r="E994" s="23">
        <v>-4.8099999427795408E-2</v>
      </c>
      <c r="F994" s="24" t="s">
        <v>125</v>
      </c>
    </row>
    <row r="995" spans="1:6" ht="16" customHeight="1" x14ac:dyDescent="0.45">
      <c r="A995" s="19" t="s">
        <v>2108</v>
      </c>
      <c r="B995" s="20" t="s">
        <v>2109</v>
      </c>
      <c r="C995" s="21">
        <v>76800</v>
      </c>
      <c r="D995" s="22"/>
      <c r="E995" s="23">
        <v>0</v>
      </c>
      <c r="F995" s="24" t="s">
        <v>128</v>
      </c>
    </row>
    <row r="996" spans="1:6" ht="16" customHeight="1" x14ac:dyDescent="0.45">
      <c r="A996" s="19" t="s">
        <v>2110</v>
      </c>
      <c r="B996" s="20" t="s">
        <v>2111</v>
      </c>
      <c r="C996" s="21">
        <v>486</v>
      </c>
      <c r="D996" s="22"/>
      <c r="E996" s="23">
        <v>0</v>
      </c>
      <c r="F996" s="24" t="s">
        <v>128</v>
      </c>
    </row>
    <row r="997" spans="1:6" ht="16" customHeight="1" x14ac:dyDescent="0.45">
      <c r="A997" s="19" t="s">
        <v>2112</v>
      </c>
      <c r="B997" s="20" t="s">
        <v>2113</v>
      </c>
      <c r="C997" s="21">
        <v>3815</v>
      </c>
      <c r="D997" s="22"/>
      <c r="E997" s="23">
        <v>-1.6799999475479121E-2</v>
      </c>
      <c r="F997" s="24" t="s">
        <v>125</v>
      </c>
    </row>
    <row r="998" spans="1:6" ht="16" customHeight="1" x14ac:dyDescent="0.45">
      <c r="A998" s="19" t="s">
        <v>2114</v>
      </c>
      <c r="B998" s="20" t="s">
        <v>2115</v>
      </c>
      <c r="C998" s="21">
        <v>14320</v>
      </c>
      <c r="D998" s="22"/>
      <c r="E998" s="23">
        <v>-0.16989999771118161</v>
      </c>
      <c r="F998" s="24" t="s">
        <v>125</v>
      </c>
    </row>
    <row r="999" spans="1:6" ht="16" customHeight="1" x14ac:dyDescent="0.45">
      <c r="A999" s="19" t="s">
        <v>2116</v>
      </c>
      <c r="B999" s="20" t="s">
        <v>2117</v>
      </c>
      <c r="C999" s="21">
        <v>29850</v>
      </c>
      <c r="D999" s="22"/>
      <c r="E999" s="23">
        <v>8.939999580383301E-2</v>
      </c>
      <c r="F999" s="24" t="s">
        <v>125</v>
      </c>
    </row>
    <row r="1000" spans="1:6" ht="16" customHeight="1" x14ac:dyDescent="0.45">
      <c r="A1000" s="19" t="s">
        <v>2118</v>
      </c>
      <c r="B1000" s="20" t="s">
        <v>2119</v>
      </c>
      <c r="C1000" s="21">
        <v>2945</v>
      </c>
      <c r="D1000" s="22"/>
      <c r="E1000" s="23">
        <v>-6.3600001335144041E-2</v>
      </c>
      <c r="F1000" s="24" t="s">
        <v>125</v>
      </c>
    </row>
    <row r="1001" spans="1:6" ht="16" customHeight="1" x14ac:dyDescent="0.45">
      <c r="A1001" s="19" t="s">
        <v>2120</v>
      </c>
      <c r="B1001" s="20" t="s">
        <v>2121</v>
      </c>
      <c r="C1001" s="21">
        <v>4415</v>
      </c>
      <c r="D1001" s="22"/>
      <c r="E1001" s="23">
        <v>-3.180000066757202E-2</v>
      </c>
      <c r="F1001" s="24" t="s">
        <v>125</v>
      </c>
    </row>
    <row r="1002" spans="1:6" ht="16" customHeight="1" x14ac:dyDescent="0.45">
      <c r="A1002" s="19" t="s">
        <v>2122</v>
      </c>
      <c r="B1002" s="20" t="s">
        <v>2123</v>
      </c>
      <c r="C1002" s="21">
        <v>4280</v>
      </c>
      <c r="D1002" s="22"/>
      <c r="E1002" s="23">
        <v>-2.300000041723252E-3</v>
      </c>
      <c r="F1002" s="24" t="s">
        <v>125</v>
      </c>
    </row>
    <row r="1003" spans="1:6" ht="16" customHeight="1" x14ac:dyDescent="0.45">
      <c r="A1003" s="19" t="s">
        <v>2124</v>
      </c>
      <c r="B1003" s="20" t="s">
        <v>2125</v>
      </c>
      <c r="C1003" s="21">
        <v>3115</v>
      </c>
      <c r="D1003" s="22"/>
      <c r="E1003" s="23">
        <v>-1.599999964237213E-3</v>
      </c>
      <c r="F1003" s="24" t="s">
        <v>125</v>
      </c>
    </row>
    <row r="1004" spans="1:6" ht="16" customHeight="1" x14ac:dyDescent="0.45">
      <c r="A1004" s="19" t="s">
        <v>2126</v>
      </c>
      <c r="B1004" s="20" t="s">
        <v>2127</v>
      </c>
      <c r="C1004" s="21">
        <v>56800</v>
      </c>
      <c r="D1004" s="22"/>
      <c r="E1004" s="23">
        <v>1.6100000143051151E-2</v>
      </c>
      <c r="F1004" s="24" t="s">
        <v>125</v>
      </c>
    </row>
    <row r="1005" spans="1:6" ht="16" customHeight="1" x14ac:dyDescent="0.45">
      <c r="A1005" s="19" t="s">
        <v>2128</v>
      </c>
      <c r="B1005" s="20" t="s">
        <v>2129</v>
      </c>
      <c r="C1005" s="21">
        <v>6050</v>
      </c>
      <c r="D1005" s="22"/>
      <c r="E1005" s="23">
        <v>-3.0399999618530269E-2</v>
      </c>
      <c r="F1005" s="24" t="s">
        <v>125</v>
      </c>
    </row>
    <row r="1006" spans="1:6" ht="16" customHeight="1" x14ac:dyDescent="0.45">
      <c r="A1006" s="19" t="s">
        <v>2130</v>
      </c>
      <c r="B1006" s="20" t="s">
        <v>2131</v>
      </c>
      <c r="C1006" s="21">
        <v>16440</v>
      </c>
      <c r="D1006" s="22"/>
      <c r="E1006" s="23">
        <v>-1.7300000190734861E-2</v>
      </c>
      <c r="F1006" s="24" t="s">
        <v>125</v>
      </c>
    </row>
    <row r="1007" spans="1:6" ht="16" customHeight="1" x14ac:dyDescent="0.45">
      <c r="A1007" s="19" t="s">
        <v>2132</v>
      </c>
      <c r="B1007" s="20" t="s">
        <v>2133</v>
      </c>
      <c r="C1007" s="21">
        <v>3365</v>
      </c>
      <c r="D1007" s="22"/>
      <c r="E1007" s="23">
        <v>-3.5799999237060537E-2</v>
      </c>
      <c r="F1007" s="24" t="s">
        <v>125</v>
      </c>
    </row>
    <row r="1008" spans="1:6" ht="16" customHeight="1" x14ac:dyDescent="0.45">
      <c r="A1008" s="19" t="s">
        <v>2134</v>
      </c>
      <c r="B1008" s="20" t="s">
        <v>2135</v>
      </c>
      <c r="C1008" s="21">
        <v>589</v>
      </c>
      <c r="D1008" s="22"/>
      <c r="E1008" s="23">
        <v>0</v>
      </c>
      <c r="F1008" s="24" t="s">
        <v>128</v>
      </c>
    </row>
    <row r="1009" spans="1:6" ht="16" customHeight="1" x14ac:dyDescent="0.45">
      <c r="A1009" s="19" t="s">
        <v>2136</v>
      </c>
      <c r="B1009" s="20" t="s">
        <v>2137</v>
      </c>
      <c r="C1009" s="21">
        <v>3150</v>
      </c>
      <c r="D1009" s="22"/>
      <c r="E1009" s="23">
        <v>-3.3699998855590822E-2</v>
      </c>
      <c r="F1009" s="24" t="s">
        <v>125</v>
      </c>
    </row>
    <row r="1010" spans="1:6" ht="16" customHeight="1" x14ac:dyDescent="0.45">
      <c r="A1010" s="19" t="s">
        <v>2138</v>
      </c>
      <c r="B1010" s="20" t="s">
        <v>2139</v>
      </c>
      <c r="C1010" s="21">
        <v>3385</v>
      </c>
      <c r="D1010" s="22"/>
      <c r="E1010" s="23">
        <v>-5.8999997377395634E-3</v>
      </c>
      <c r="F1010" s="24" t="s">
        <v>125</v>
      </c>
    </row>
    <row r="1011" spans="1:6" ht="16" customHeight="1" x14ac:dyDescent="0.45">
      <c r="A1011" s="19" t="s">
        <v>2140</v>
      </c>
      <c r="B1011" s="20" t="s">
        <v>2141</v>
      </c>
      <c r="C1011" s="21">
        <v>7000</v>
      </c>
      <c r="D1011" s="22"/>
      <c r="E1011" s="23">
        <v>-5.1500000953674317E-2</v>
      </c>
      <c r="F1011" s="24" t="s">
        <v>251</v>
      </c>
    </row>
    <row r="1012" spans="1:6" ht="16" customHeight="1" x14ac:dyDescent="0.45">
      <c r="A1012" s="19" t="s">
        <v>2142</v>
      </c>
      <c r="B1012" s="20" t="s">
        <v>2143</v>
      </c>
      <c r="C1012" s="21">
        <v>1129</v>
      </c>
      <c r="D1012" s="22"/>
      <c r="E1012" s="23">
        <v>-2.8399999141693111E-2</v>
      </c>
      <c r="F1012" s="24" t="s">
        <v>125</v>
      </c>
    </row>
    <row r="1013" spans="1:6" ht="16" customHeight="1" x14ac:dyDescent="0.45">
      <c r="A1013" s="19" t="s">
        <v>2144</v>
      </c>
      <c r="B1013" s="20" t="s">
        <v>2145</v>
      </c>
      <c r="C1013" s="21">
        <v>191000</v>
      </c>
      <c r="D1013" s="22"/>
      <c r="E1013" s="23">
        <v>3.4100000858306882E-2</v>
      </c>
      <c r="F1013" s="24" t="s">
        <v>125</v>
      </c>
    </row>
    <row r="1014" spans="1:6" ht="16" customHeight="1" x14ac:dyDescent="0.45">
      <c r="A1014" s="19" t="s">
        <v>2146</v>
      </c>
      <c r="B1014" s="20" t="s">
        <v>2147</v>
      </c>
      <c r="C1014" s="21">
        <v>3320</v>
      </c>
      <c r="D1014" s="22"/>
      <c r="E1014" s="23">
        <v>0</v>
      </c>
      <c r="F1014" s="24" t="s">
        <v>125</v>
      </c>
    </row>
    <row r="1015" spans="1:6" ht="16" customHeight="1" x14ac:dyDescent="0.45">
      <c r="A1015" s="19" t="s">
        <v>2148</v>
      </c>
      <c r="B1015" s="20" t="s">
        <v>2149</v>
      </c>
      <c r="C1015" s="21">
        <v>3105</v>
      </c>
      <c r="D1015" s="22"/>
      <c r="E1015" s="23">
        <v>-2.6600000858306889E-2</v>
      </c>
      <c r="F1015" s="24" t="s">
        <v>125</v>
      </c>
    </row>
    <row r="1016" spans="1:6" ht="16" customHeight="1" x14ac:dyDescent="0.45">
      <c r="A1016" s="19" t="s">
        <v>2150</v>
      </c>
      <c r="B1016" s="20" t="s">
        <v>2151</v>
      </c>
      <c r="C1016" s="21">
        <v>7400</v>
      </c>
      <c r="D1016" s="22"/>
      <c r="E1016" s="23">
        <v>-1.990000009536743E-2</v>
      </c>
      <c r="F1016" s="24" t="s">
        <v>125</v>
      </c>
    </row>
    <row r="1017" spans="1:6" ht="16" customHeight="1" x14ac:dyDescent="0.45">
      <c r="A1017" s="19" t="s">
        <v>2152</v>
      </c>
      <c r="B1017" s="20" t="s">
        <v>2153</v>
      </c>
      <c r="C1017" s="21">
        <v>11750</v>
      </c>
      <c r="D1017" s="22"/>
      <c r="E1017" s="23">
        <v>-0.16069999694824219</v>
      </c>
      <c r="F1017" s="24" t="s">
        <v>128</v>
      </c>
    </row>
    <row r="1018" spans="1:6" ht="16" customHeight="1" x14ac:dyDescent="0.45">
      <c r="A1018" s="19" t="s">
        <v>2154</v>
      </c>
      <c r="B1018" s="20" t="s">
        <v>2155</v>
      </c>
      <c r="C1018" s="21">
        <v>7150</v>
      </c>
      <c r="D1018" s="22"/>
      <c r="E1018" s="23">
        <v>-3.3800001144409182E-2</v>
      </c>
      <c r="F1018" s="24" t="s">
        <v>128</v>
      </c>
    </row>
    <row r="1019" spans="1:6" ht="16" customHeight="1" x14ac:dyDescent="0.45">
      <c r="A1019" s="19" t="s">
        <v>2156</v>
      </c>
      <c r="B1019" s="20" t="s">
        <v>2157</v>
      </c>
      <c r="C1019" s="21">
        <v>877</v>
      </c>
      <c r="D1019" s="22"/>
      <c r="E1019" s="23">
        <v>0</v>
      </c>
      <c r="F1019" s="24" t="s">
        <v>125</v>
      </c>
    </row>
    <row r="1020" spans="1:6" ht="16" customHeight="1" x14ac:dyDescent="0.45">
      <c r="A1020" s="19" t="s">
        <v>2158</v>
      </c>
      <c r="B1020" s="20" t="s">
        <v>2159</v>
      </c>
      <c r="C1020" s="21">
        <v>18030</v>
      </c>
      <c r="D1020" s="22"/>
      <c r="E1020" s="23">
        <v>-6.6000002622604373E-3</v>
      </c>
      <c r="F1020" s="24" t="s">
        <v>125</v>
      </c>
    </row>
    <row r="1021" spans="1:6" ht="16" customHeight="1" x14ac:dyDescent="0.45">
      <c r="A1021" s="19" t="s">
        <v>2160</v>
      </c>
      <c r="B1021" s="20" t="s">
        <v>2161</v>
      </c>
      <c r="C1021" s="21">
        <v>4355</v>
      </c>
      <c r="D1021" s="22"/>
      <c r="E1021" s="23">
        <v>-1.2500000000000001E-2</v>
      </c>
      <c r="F1021" s="24" t="s">
        <v>125</v>
      </c>
    </row>
    <row r="1022" spans="1:6" ht="16" customHeight="1" x14ac:dyDescent="0.45">
      <c r="A1022" s="19" t="s">
        <v>2162</v>
      </c>
      <c r="B1022" s="20" t="s">
        <v>2163</v>
      </c>
      <c r="C1022" s="21">
        <v>8500</v>
      </c>
      <c r="D1022" s="22"/>
      <c r="E1022" s="23">
        <v>-1.960000038146973E-2</v>
      </c>
      <c r="F1022" s="24" t="s">
        <v>125</v>
      </c>
    </row>
    <row r="1023" spans="1:6" ht="16" customHeight="1" x14ac:dyDescent="0.45">
      <c r="A1023" s="19" t="s">
        <v>2164</v>
      </c>
      <c r="B1023" s="20" t="s">
        <v>2165</v>
      </c>
      <c r="C1023" s="21">
        <v>11800</v>
      </c>
      <c r="D1023" s="22"/>
      <c r="E1023" s="23">
        <v>-9.2000001668930062E-3</v>
      </c>
      <c r="F1023" s="24" t="s">
        <v>125</v>
      </c>
    </row>
    <row r="1024" spans="1:6" ht="16" customHeight="1" x14ac:dyDescent="0.45">
      <c r="A1024" s="19" t="s">
        <v>2166</v>
      </c>
      <c r="B1024" s="20" t="s">
        <v>2167</v>
      </c>
      <c r="C1024" s="21">
        <v>32200</v>
      </c>
      <c r="D1024" s="22"/>
      <c r="E1024" s="23">
        <v>7.799999713897705E-3</v>
      </c>
      <c r="F1024" s="24" t="s">
        <v>128</v>
      </c>
    </row>
    <row r="1025" spans="1:6" ht="16" customHeight="1" x14ac:dyDescent="0.45">
      <c r="A1025" s="19" t="s">
        <v>2168</v>
      </c>
      <c r="B1025" s="20" t="s">
        <v>2169</v>
      </c>
      <c r="C1025" s="21">
        <v>97000</v>
      </c>
      <c r="D1025" s="22"/>
      <c r="E1025" s="23">
        <v>-2.2200000286102299E-2</v>
      </c>
      <c r="F1025" s="24" t="s">
        <v>125</v>
      </c>
    </row>
    <row r="1026" spans="1:6" ht="16" customHeight="1" x14ac:dyDescent="0.45">
      <c r="A1026" s="19" t="s">
        <v>2170</v>
      </c>
      <c r="B1026" s="20" t="s">
        <v>2171</v>
      </c>
      <c r="C1026" s="21">
        <v>2007</v>
      </c>
      <c r="D1026" s="22"/>
      <c r="E1026" s="23">
        <v>3.4999999403953551E-3</v>
      </c>
      <c r="F1026" s="24" t="s">
        <v>125</v>
      </c>
    </row>
    <row r="1027" spans="1:6" ht="16" customHeight="1" x14ac:dyDescent="0.45">
      <c r="A1027" s="19" t="s">
        <v>2172</v>
      </c>
      <c r="B1027" s="20" t="s">
        <v>2173</v>
      </c>
      <c r="C1027" s="21">
        <v>2245</v>
      </c>
      <c r="D1027" s="22"/>
      <c r="E1027" s="23">
        <v>-1.970000028610229E-2</v>
      </c>
      <c r="F1027" s="24" t="s">
        <v>125</v>
      </c>
    </row>
    <row r="1028" spans="1:6" ht="16" customHeight="1" x14ac:dyDescent="0.45">
      <c r="A1028" s="19" t="s">
        <v>2174</v>
      </c>
      <c r="B1028" s="20" t="s">
        <v>2175</v>
      </c>
      <c r="C1028" s="21">
        <v>17800</v>
      </c>
      <c r="D1028" s="22"/>
      <c r="E1028" s="23">
        <v>0</v>
      </c>
      <c r="F1028" s="24" t="s">
        <v>125</v>
      </c>
    </row>
    <row r="1029" spans="1:6" ht="16" customHeight="1" x14ac:dyDescent="0.45">
      <c r="A1029" s="19" t="s">
        <v>2176</v>
      </c>
      <c r="B1029" s="20" t="s">
        <v>2177</v>
      </c>
      <c r="C1029" s="21">
        <v>229</v>
      </c>
      <c r="D1029" s="22"/>
      <c r="E1029" s="23">
        <v>0</v>
      </c>
      <c r="F1029" s="24" t="s">
        <v>125</v>
      </c>
    </row>
    <row r="1030" spans="1:6" ht="16" customHeight="1" x14ac:dyDescent="0.45">
      <c r="A1030" s="19" t="s">
        <v>2178</v>
      </c>
      <c r="B1030" s="20" t="s">
        <v>2179</v>
      </c>
      <c r="C1030" s="21">
        <v>19110</v>
      </c>
      <c r="D1030" s="22"/>
      <c r="E1030" s="23">
        <v>-1.549999952316284E-2</v>
      </c>
      <c r="F1030" s="24" t="s">
        <v>125</v>
      </c>
    </row>
    <row r="1031" spans="1:6" ht="16" customHeight="1" x14ac:dyDescent="0.45">
      <c r="A1031" s="19" t="s">
        <v>2180</v>
      </c>
      <c r="B1031" s="20" t="s">
        <v>2181</v>
      </c>
      <c r="C1031" s="21">
        <v>56500</v>
      </c>
      <c r="D1031" s="22"/>
      <c r="E1031" s="23">
        <v>-1.7400000095367432E-2</v>
      </c>
      <c r="F1031" s="24" t="s">
        <v>125</v>
      </c>
    </row>
    <row r="1032" spans="1:6" ht="16" customHeight="1" x14ac:dyDescent="0.45">
      <c r="A1032" s="19" t="s">
        <v>2182</v>
      </c>
      <c r="B1032" s="20" t="s">
        <v>2183</v>
      </c>
      <c r="C1032" s="21">
        <v>548</v>
      </c>
      <c r="D1032" s="22"/>
      <c r="E1032" s="23">
        <v>0</v>
      </c>
      <c r="F1032" s="24" t="s">
        <v>125</v>
      </c>
    </row>
    <row r="1033" spans="1:6" ht="16" customHeight="1" x14ac:dyDescent="0.45">
      <c r="A1033" s="19" t="s">
        <v>2184</v>
      </c>
      <c r="B1033" s="20" t="s">
        <v>2185</v>
      </c>
      <c r="C1033" s="21">
        <v>19720</v>
      </c>
      <c r="D1033" s="22"/>
      <c r="E1033" s="23">
        <v>7.8800001144409174E-2</v>
      </c>
      <c r="F1033" s="24" t="s">
        <v>125</v>
      </c>
    </row>
    <row r="1034" spans="1:6" ht="16" customHeight="1" x14ac:dyDescent="0.45">
      <c r="A1034" s="19" t="s">
        <v>2186</v>
      </c>
      <c r="B1034" s="20" t="s">
        <v>2187</v>
      </c>
      <c r="C1034" s="21">
        <v>744</v>
      </c>
      <c r="D1034" s="22"/>
      <c r="E1034" s="23">
        <v>-3.7499999999999999E-2</v>
      </c>
      <c r="F1034" s="24" t="s">
        <v>125</v>
      </c>
    </row>
    <row r="1035" spans="1:6" ht="16" customHeight="1" x14ac:dyDescent="0.45">
      <c r="A1035" s="19" t="s">
        <v>2188</v>
      </c>
      <c r="B1035" s="20" t="s">
        <v>2189</v>
      </c>
      <c r="C1035" s="21">
        <v>1209</v>
      </c>
      <c r="D1035" s="22"/>
      <c r="E1035" s="23">
        <v>-2.5799999237060549E-2</v>
      </c>
      <c r="F1035" s="24" t="s">
        <v>125</v>
      </c>
    </row>
    <row r="1036" spans="1:6" ht="16" customHeight="1" x14ac:dyDescent="0.45">
      <c r="A1036" s="19" t="s">
        <v>2190</v>
      </c>
      <c r="B1036" s="20" t="s">
        <v>2191</v>
      </c>
      <c r="C1036" s="21">
        <v>1141</v>
      </c>
      <c r="D1036" s="22"/>
      <c r="E1036" s="23">
        <v>9.0000003576278691E-4</v>
      </c>
      <c r="F1036" s="24" t="s">
        <v>125</v>
      </c>
    </row>
    <row r="1037" spans="1:6" ht="16" customHeight="1" x14ac:dyDescent="0.45">
      <c r="A1037" s="19" t="s">
        <v>2192</v>
      </c>
      <c r="B1037" s="20" t="s">
        <v>2193</v>
      </c>
      <c r="C1037" s="21">
        <v>3290</v>
      </c>
      <c r="D1037" s="22"/>
      <c r="E1037" s="23">
        <v>0.13250000000000001</v>
      </c>
      <c r="F1037" s="24" t="s">
        <v>125</v>
      </c>
    </row>
    <row r="1038" spans="1:6" ht="16" customHeight="1" x14ac:dyDescent="0.45">
      <c r="A1038" s="19" t="s">
        <v>2194</v>
      </c>
      <c r="B1038" s="20" t="s">
        <v>2195</v>
      </c>
      <c r="C1038" s="21">
        <v>5300</v>
      </c>
      <c r="D1038" s="22"/>
      <c r="E1038" s="23">
        <v>-2.390000104904175E-2</v>
      </c>
      <c r="F1038" s="24" t="s">
        <v>125</v>
      </c>
    </row>
    <row r="1039" spans="1:6" ht="16" customHeight="1" x14ac:dyDescent="0.45">
      <c r="A1039" s="19" t="s">
        <v>2196</v>
      </c>
      <c r="B1039" s="20" t="s">
        <v>2197</v>
      </c>
      <c r="C1039" s="21">
        <v>672</v>
      </c>
      <c r="D1039" s="22"/>
      <c r="E1039" s="23">
        <v>0</v>
      </c>
      <c r="F1039" s="24" t="s">
        <v>125</v>
      </c>
    </row>
    <row r="1040" spans="1:6" ht="16" customHeight="1" x14ac:dyDescent="0.45">
      <c r="A1040" s="19" t="s">
        <v>2198</v>
      </c>
      <c r="B1040" s="20" t="s">
        <v>2199</v>
      </c>
      <c r="C1040" s="21">
        <v>2810</v>
      </c>
      <c r="D1040" s="22"/>
      <c r="E1040" s="23">
        <v>-8.7999999523162842E-3</v>
      </c>
      <c r="F1040" s="24" t="s">
        <v>125</v>
      </c>
    </row>
    <row r="1041" spans="1:6" ht="16" customHeight="1" x14ac:dyDescent="0.45">
      <c r="A1041" s="19" t="s">
        <v>2200</v>
      </c>
      <c r="B1041" s="20" t="s">
        <v>2201</v>
      </c>
      <c r="C1041" s="21">
        <v>8070</v>
      </c>
      <c r="D1041" s="22"/>
      <c r="E1041" s="23">
        <v>-1.19999997317791E-3</v>
      </c>
      <c r="F1041" s="24" t="s">
        <v>125</v>
      </c>
    </row>
    <row r="1042" spans="1:6" ht="16" customHeight="1" x14ac:dyDescent="0.45">
      <c r="A1042" s="19" t="s">
        <v>2202</v>
      </c>
      <c r="B1042" s="20" t="s">
        <v>2203</v>
      </c>
      <c r="C1042" s="21">
        <v>5490</v>
      </c>
      <c r="D1042" s="22"/>
      <c r="E1042" s="23">
        <v>-4.8499999046325681E-2</v>
      </c>
      <c r="F1042" s="24" t="s">
        <v>125</v>
      </c>
    </row>
    <row r="1043" spans="1:6" ht="16" customHeight="1" x14ac:dyDescent="0.45">
      <c r="A1043" s="19" t="s">
        <v>2204</v>
      </c>
      <c r="B1043" s="20" t="s">
        <v>2205</v>
      </c>
      <c r="C1043" s="21">
        <v>445</v>
      </c>
      <c r="D1043" s="22"/>
      <c r="E1043" s="23">
        <v>0</v>
      </c>
      <c r="F1043" s="24" t="s">
        <v>125</v>
      </c>
    </row>
    <row r="1044" spans="1:6" ht="16" customHeight="1" x14ac:dyDescent="0.45">
      <c r="A1044" s="19" t="s">
        <v>2206</v>
      </c>
      <c r="B1044" s="20" t="s">
        <v>2207</v>
      </c>
      <c r="C1044" s="21">
        <v>72800</v>
      </c>
      <c r="D1044" s="22"/>
      <c r="E1044" s="23">
        <v>-2.1500000953674311E-2</v>
      </c>
      <c r="F1044" s="24" t="s">
        <v>128</v>
      </c>
    </row>
    <row r="1045" spans="1:6" ht="16" customHeight="1" x14ac:dyDescent="0.45">
      <c r="A1045" s="19" t="s">
        <v>2208</v>
      </c>
      <c r="B1045" s="20" t="s">
        <v>2209</v>
      </c>
      <c r="C1045" s="21">
        <v>4960</v>
      </c>
      <c r="D1045" s="22"/>
      <c r="E1045" s="23">
        <v>-4.8000001907348627E-2</v>
      </c>
      <c r="F1045" s="24" t="s">
        <v>125</v>
      </c>
    </row>
    <row r="1046" spans="1:6" ht="16" customHeight="1" x14ac:dyDescent="0.45">
      <c r="A1046" s="19" t="s">
        <v>2210</v>
      </c>
      <c r="B1046" s="20" t="s">
        <v>2211</v>
      </c>
      <c r="C1046" s="21">
        <v>12450</v>
      </c>
      <c r="D1046" s="22"/>
      <c r="E1046" s="23">
        <v>-4.0100002288818361E-2</v>
      </c>
      <c r="F1046" s="24" t="s">
        <v>125</v>
      </c>
    </row>
    <row r="1047" spans="1:6" ht="16" customHeight="1" x14ac:dyDescent="0.45">
      <c r="A1047" s="19" t="s">
        <v>2212</v>
      </c>
      <c r="B1047" s="20" t="s">
        <v>2213</v>
      </c>
      <c r="C1047" s="21">
        <v>8650</v>
      </c>
      <c r="D1047" s="22"/>
      <c r="E1047" s="23">
        <v>-1.929999947547913E-2</v>
      </c>
      <c r="F1047" s="24" t="s">
        <v>125</v>
      </c>
    </row>
    <row r="1048" spans="1:6" ht="16" customHeight="1" x14ac:dyDescent="0.45">
      <c r="A1048" s="19" t="s">
        <v>2214</v>
      </c>
      <c r="B1048" s="20" t="s">
        <v>2215</v>
      </c>
      <c r="C1048" s="21">
        <v>16630</v>
      </c>
      <c r="D1048" s="22"/>
      <c r="E1048" s="23">
        <v>-1.4800000190734861E-2</v>
      </c>
      <c r="F1048" s="24" t="s">
        <v>125</v>
      </c>
    </row>
    <row r="1049" spans="1:6" ht="16" customHeight="1" x14ac:dyDescent="0.45">
      <c r="A1049" s="19" t="s">
        <v>2216</v>
      </c>
      <c r="B1049" s="20" t="s">
        <v>2217</v>
      </c>
      <c r="C1049" s="21">
        <v>11350</v>
      </c>
      <c r="D1049" s="22"/>
      <c r="E1049" s="23">
        <v>-3.1600000858306887E-2</v>
      </c>
      <c r="F1049" s="24" t="s">
        <v>125</v>
      </c>
    </row>
    <row r="1050" spans="1:6" ht="16" customHeight="1" x14ac:dyDescent="0.45">
      <c r="A1050" s="19" t="s">
        <v>2218</v>
      </c>
      <c r="B1050" s="20" t="s">
        <v>2219</v>
      </c>
      <c r="C1050" s="21">
        <v>31750</v>
      </c>
      <c r="D1050" s="22"/>
      <c r="E1050" s="23">
        <v>-1.549999952316284E-2</v>
      </c>
      <c r="F1050" s="24" t="s">
        <v>128</v>
      </c>
    </row>
    <row r="1051" spans="1:6" ht="16" customHeight="1" x14ac:dyDescent="0.45">
      <c r="A1051" s="19" t="s">
        <v>2220</v>
      </c>
      <c r="B1051" s="20" t="s">
        <v>2221</v>
      </c>
      <c r="C1051" s="21">
        <v>1035</v>
      </c>
      <c r="D1051" s="22"/>
      <c r="E1051" s="23">
        <v>-7.6999998092651366E-3</v>
      </c>
      <c r="F1051" s="24" t="s">
        <v>128</v>
      </c>
    </row>
    <row r="1052" spans="1:6" ht="16" customHeight="1" x14ac:dyDescent="0.45">
      <c r="A1052" s="19" t="s">
        <v>2222</v>
      </c>
      <c r="B1052" s="20" t="s">
        <v>2223</v>
      </c>
      <c r="C1052" s="21">
        <v>52600</v>
      </c>
      <c r="D1052" s="22"/>
      <c r="E1052" s="23">
        <v>-5.6999999284744274E-3</v>
      </c>
      <c r="F1052" s="24" t="s">
        <v>128</v>
      </c>
    </row>
    <row r="1053" spans="1:6" ht="16" customHeight="1" x14ac:dyDescent="0.45">
      <c r="A1053" s="19" t="s">
        <v>2224</v>
      </c>
      <c r="B1053" s="20" t="s">
        <v>2225</v>
      </c>
      <c r="C1053" s="21">
        <v>8030</v>
      </c>
      <c r="D1053" s="22"/>
      <c r="E1053" s="23">
        <v>-5.0000000000000001E-3</v>
      </c>
      <c r="F1053" s="24" t="s">
        <v>128</v>
      </c>
    </row>
    <row r="1054" spans="1:6" ht="16" customHeight="1" x14ac:dyDescent="0.45">
      <c r="A1054" s="19" t="s">
        <v>2226</v>
      </c>
      <c r="B1054" s="20" t="s">
        <v>2227</v>
      </c>
      <c r="C1054" s="21">
        <v>8350</v>
      </c>
      <c r="D1054" s="22"/>
      <c r="E1054" s="23">
        <v>-8.2999998331069955E-3</v>
      </c>
      <c r="F1054" s="24" t="s">
        <v>128</v>
      </c>
    </row>
    <row r="1055" spans="1:6" ht="16" customHeight="1" x14ac:dyDescent="0.45">
      <c r="A1055" s="19" t="s">
        <v>2228</v>
      </c>
      <c r="B1055" s="20" t="s">
        <v>2229</v>
      </c>
      <c r="C1055" s="21">
        <v>2275</v>
      </c>
      <c r="D1055" s="22"/>
      <c r="E1055" s="23">
        <v>0</v>
      </c>
      <c r="F1055" s="24" t="s">
        <v>125</v>
      </c>
    </row>
    <row r="1056" spans="1:6" ht="16" customHeight="1" x14ac:dyDescent="0.45">
      <c r="A1056" s="19" t="s">
        <v>2230</v>
      </c>
      <c r="B1056" s="20" t="s">
        <v>2231</v>
      </c>
      <c r="C1056" s="21">
        <v>43950</v>
      </c>
      <c r="D1056" s="22"/>
      <c r="E1056" s="23">
        <v>3.4000000357627871E-3</v>
      </c>
      <c r="F1056" s="24" t="s">
        <v>125</v>
      </c>
    </row>
    <row r="1057" spans="1:6" ht="16" customHeight="1" x14ac:dyDescent="0.45">
      <c r="A1057" s="19" t="s">
        <v>2232</v>
      </c>
      <c r="B1057" s="20" t="s">
        <v>2233</v>
      </c>
      <c r="C1057" s="21">
        <v>3980</v>
      </c>
      <c r="D1057" s="22"/>
      <c r="E1057" s="23">
        <v>-6.2000000476837161E-3</v>
      </c>
      <c r="F1057" s="24" t="s">
        <v>125</v>
      </c>
    </row>
    <row r="1058" spans="1:6" ht="16" customHeight="1" x14ac:dyDescent="0.45">
      <c r="A1058" s="19" t="s">
        <v>2234</v>
      </c>
      <c r="B1058" s="20" t="s">
        <v>2235</v>
      </c>
      <c r="C1058" s="21">
        <v>318000</v>
      </c>
      <c r="D1058" s="22"/>
      <c r="E1058" s="23">
        <v>-4.650000095367432E-2</v>
      </c>
      <c r="F1058" s="24" t="s">
        <v>128</v>
      </c>
    </row>
    <row r="1059" spans="1:6" ht="16" customHeight="1" x14ac:dyDescent="0.45">
      <c r="A1059" s="19" t="s">
        <v>2236</v>
      </c>
      <c r="B1059" s="20" t="s">
        <v>2237</v>
      </c>
      <c r="C1059" s="21">
        <v>1476</v>
      </c>
      <c r="D1059" s="22"/>
      <c r="E1059" s="23">
        <v>-2.1199998855590822E-2</v>
      </c>
      <c r="F1059" s="24" t="s">
        <v>125</v>
      </c>
    </row>
    <row r="1060" spans="1:6" ht="16" customHeight="1" x14ac:dyDescent="0.45">
      <c r="A1060" s="19" t="s">
        <v>2238</v>
      </c>
      <c r="B1060" s="20" t="s">
        <v>2239</v>
      </c>
      <c r="C1060" s="21">
        <v>1866</v>
      </c>
      <c r="D1060" s="22"/>
      <c r="E1060" s="23">
        <v>-1.2200000286102301E-2</v>
      </c>
      <c r="F1060" s="24" t="s">
        <v>125</v>
      </c>
    </row>
    <row r="1061" spans="1:6" ht="16" customHeight="1" x14ac:dyDescent="0.45">
      <c r="A1061" s="19" t="s">
        <v>2240</v>
      </c>
      <c r="B1061" s="20" t="s">
        <v>2241</v>
      </c>
      <c r="C1061" s="21">
        <v>6910</v>
      </c>
      <c r="D1061" s="22"/>
      <c r="E1061" s="23">
        <v>-3.8900001049041753E-2</v>
      </c>
      <c r="F1061" s="24" t="s">
        <v>125</v>
      </c>
    </row>
    <row r="1062" spans="1:6" ht="16" customHeight="1" x14ac:dyDescent="0.45">
      <c r="A1062" s="19" t="s">
        <v>2242</v>
      </c>
      <c r="B1062" s="20" t="s">
        <v>2243</v>
      </c>
      <c r="C1062" s="21">
        <v>48400</v>
      </c>
      <c r="D1062" s="22"/>
      <c r="E1062" s="23">
        <v>-2.2200000286102299E-2</v>
      </c>
      <c r="F1062" s="24" t="s">
        <v>128</v>
      </c>
    </row>
    <row r="1063" spans="1:6" ht="16" customHeight="1" x14ac:dyDescent="0.45">
      <c r="A1063" s="19" t="s">
        <v>2244</v>
      </c>
      <c r="B1063" s="20" t="s">
        <v>2245</v>
      </c>
      <c r="C1063" s="21">
        <v>18460</v>
      </c>
      <c r="D1063" s="22"/>
      <c r="E1063" s="23">
        <v>-2.4300000667572021E-2</v>
      </c>
      <c r="F1063" s="24" t="s">
        <v>125</v>
      </c>
    </row>
    <row r="1064" spans="1:6" ht="16" customHeight="1" x14ac:dyDescent="0.45">
      <c r="A1064" s="19" t="s">
        <v>2246</v>
      </c>
      <c r="B1064" s="20" t="s">
        <v>2247</v>
      </c>
      <c r="C1064" s="21">
        <v>14840</v>
      </c>
      <c r="D1064" s="22"/>
      <c r="E1064" s="23">
        <v>-3.950000047683716E-2</v>
      </c>
      <c r="F1064" s="24" t="s">
        <v>125</v>
      </c>
    </row>
    <row r="1065" spans="1:6" ht="16" customHeight="1" x14ac:dyDescent="0.45">
      <c r="A1065" s="19" t="s">
        <v>2248</v>
      </c>
      <c r="B1065" s="20" t="s">
        <v>2249</v>
      </c>
      <c r="C1065" s="21">
        <v>5760</v>
      </c>
      <c r="D1065" s="22"/>
      <c r="E1065" s="23">
        <v>-1.539999961853027E-2</v>
      </c>
      <c r="F1065" s="24" t="s">
        <v>125</v>
      </c>
    </row>
    <row r="1066" spans="1:6" ht="16" customHeight="1" x14ac:dyDescent="0.45">
      <c r="A1066" s="19" t="s">
        <v>2250</v>
      </c>
      <c r="B1066" s="20" t="s">
        <v>2251</v>
      </c>
      <c r="C1066" s="21">
        <v>956</v>
      </c>
      <c r="D1066" s="22"/>
      <c r="E1066" s="23">
        <v>-4.0199999809265127E-2</v>
      </c>
      <c r="F1066" s="24" t="s">
        <v>125</v>
      </c>
    </row>
    <row r="1067" spans="1:6" ht="16" customHeight="1" x14ac:dyDescent="0.45">
      <c r="A1067" s="19" t="s">
        <v>2252</v>
      </c>
      <c r="B1067" s="20" t="s">
        <v>2253</v>
      </c>
      <c r="C1067" s="21">
        <v>9830</v>
      </c>
      <c r="D1067" s="22"/>
      <c r="E1067" s="23">
        <v>-2.0899999141693111E-2</v>
      </c>
      <c r="F1067" s="24" t="s">
        <v>125</v>
      </c>
    </row>
    <row r="1068" spans="1:6" ht="16" customHeight="1" x14ac:dyDescent="0.45">
      <c r="A1068" s="19" t="s">
        <v>2254</v>
      </c>
      <c r="B1068" s="20" t="s">
        <v>2255</v>
      </c>
      <c r="C1068" s="21">
        <v>347</v>
      </c>
      <c r="D1068" s="22"/>
      <c r="E1068" s="23">
        <v>0</v>
      </c>
      <c r="F1068" s="24" t="s">
        <v>128</v>
      </c>
    </row>
    <row r="1069" spans="1:6" ht="16" customHeight="1" x14ac:dyDescent="0.45">
      <c r="A1069" s="19" t="s">
        <v>2256</v>
      </c>
      <c r="B1069" s="20" t="s">
        <v>2257</v>
      </c>
      <c r="C1069" s="21">
        <v>53100</v>
      </c>
      <c r="D1069" s="22"/>
      <c r="E1069" s="23">
        <v>-3.4500000476837163E-2</v>
      </c>
      <c r="F1069" s="24" t="s">
        <v>128</v>
      </c>
    </row>
    <row r="1070" spans="1:6" ht="16" customHeight="1" x14ac:dyDescent="0.45">
      <c r="A1070" s="19" t="s">
        <v>2258</v>
      </c>
      <c r="B1070" s="20" t="s">
        <v>2259</v>
      </c>
      <c r="C1070" s="21">
        <v>5630</v>
      </c>
      <c r="D1070" s="22"/>
      <c r="E1070" s="23">
        <v>-2.4300000667572021E-2</v>
      </c>
      <c r="F1070" s="24" t="s">
        <v>128</v>
      </c>
    </row>
    <row r="1071" spans="1:6" ht="16" customHeight="1" x14ac:dyDescent="0.45">
      <c r="A1071" s="19" t="s">
        <v>2260</v>
      </c>
      <c r="B1071" s="20" t="s">
        <v>2261</v>
      </c>
      <c r="C1071" s="21">
        <v>702000</v>
      </c>
      <c r="D1071" s="22"/>
      <c r="E1071" s="23">
        <v>-4.3000000715255737E-3</v>
      </c>
      <c r="F1071" s="24" t="s">
        <v>128</v>
      </c>
    </row>
    <row r="1072" spans="1:6" ht="16" customHeight="1" x14ac:dyDescent="0.45">
      <c r="A1072" s="19" t="s">
        <v>2262</v>
      </c>
      <c r="B1072" s="20" t="s">
        <v>2263</v>
      </c>
      <c r="C1072" s="21">
        <v>351000</v>
      </c>
      <c r="D1072" s="22"/>
      <c r="E1072" s="23">
        <v>-1.2699999809265139E-2</v>
      </c>
      <c r="F1072" s="24" t="s">
        <v>128</v>
      </c>
    </row>
    <row r="1073" spans="1:6" ht="16" customHeight="1" x14ac:dyDescent="0.45">
      <c r="A1073" s="19" t="s">
        <v>2264</v>
      </c>
      <c r="B1073" s="20" t="s">
        <v>2265</v>
      </c>
      <c r="C1073" s="21">
        <v>14700</v>
      </c>
      <c r="D1073" s="22"/>
      <c r="E1073" s="23">
        <v>0.1196000003814697</v>
      </c>
      <c r="F1073" s="24" t="s">
        <v>128</v>
      </c>
    </row>
    <row r="1074" spans="1:6" ht="16" customHeight="1" x14ac:dyDescent="0.45">
      <c r="A1074" s="19" t="s">
        <v>2266</v>
      </c>
      <c r="B1074" s="20" t="s">
        <v>2267</v>
      </c>
      <c r="C1074" s="21">
        <v>379500</v>
      </c>
      <c r="D1074" s="22"/>
      <c r="E1074" s="23">
        <v>0.18590000152587891</v>
      </c>
      <c r="F1074" s="24" t="s">
        <v>128</v>
      </c>
    </row>
    <row r="1075" spans="1:6" ht="16" customHeight="1" x14ac:dyDescent="0.45">
      <c r="A1075" s="19" t="s">
        <v>2268</v>
      </c>
      <c r="B1075" s="20" t="s">
        <v>2269</v>
      </c>
      <c r="C1075" s="21">
        <v>221500</v>
      </c>
      <c r="D1075" s="22"/>
      <c r="E1075" s="23">
        <v>0.1352999973297119</v>
      </c>
      <c r="F1075" s="24" t="s">
        <v>128</v>
      </c>
    </row>
    <row r="1076" spans="1:6" ht="16" customHeight="1" x14ac:dyDescent="0.45">
      <c r="A1076" s="19" t="s">
        <v>2270</v>
      </c>
      <c r="B1076" s="20" t="s">
        <v>2271</v>
      </c>
      <c r="C1076" s="21">
        <v>1480000</v>
      </c>
      <c r="D1076" s="22"/>
      <c r="E1076" s="23">
        <v>-3.4000000357627871E-3</v>
      </c>
      <c r="F1076" s="24" t="s">
        <v>128</v>
      </c>
    </row>
    <row r="1077" spans="1:6" ht="16" customHeight="1" x14ac:dyDescent="0.45">
      <c r="A1077" s="19" t="s">
        <v>2272</v>
      </c>
      <c r="B1077" s="20" t="s">
        <v>2273</v>
      </c>
      <c r="C1077" s="21">
        <v>304000</v>
      </c>
      <c r="D1077" s="22"/>
      <c r="E1077" s="23">
        <v>0.1472000026702881</v>
      </c>
      <c r="F1077" s="24" t="s">
        <v>128</v>
      </c>
    </row>
    <row r="1078" spans="1:6" ht="16" customHeight="1" x14ac:dyDescent="0.45">
      <c r="A1078" s="19" t="s">
        <v>2274</v>
      </c>
      <c r="B1078" s="20" t="s">
        <v>2275</v>
      </c>
      <c r="C1078" s="21">
        <v>2010</v>
      </c>
      <c r="D1078" s="22"/>
      <c r="E1078" s="23">
        <v>-1.230000019073486E-2</v>
      </c>
      <c r="F1078" s="24" t="s">
        <v>125</v>
      </c>
    </row>
    <row r="1079" spans="1:6" ht="16" customHeight="1" x14ac:dyDescent="0.45">
      <c r="A1079" s="19" t="s">
        <v>2276</v>
      </c>
      <c r="B1079" s="20" t="s">
        <v>2277</v>
      </c>
      <c r="C1079" s="21">
        <v>2015</v>
      </c>
      <c r="D1079" s="22"/>
      <c r="E1079" s="23">
        <v>2.5000000000000001E-3</v>
      </c>
      <c r="F1079" s="24" t="s">
        <v>125</v>
      </c>
    </row>
    <row r="1080" spans="1:6" ht="16" customHeight="1" x14ac:dyDescent="0.45">
      <c r="A1080" s="19" t="s">
        <v>2278</v>
      </c>
      <c r="B1080" s="20" t="s">
        <v>2279</v>
      </c>
      <c r="C1080" s="21">
        <v>2002</v>
      </c>
      <c r="D1080" s="22"/>
      <c r="E1080" s="23">
        <v>-1.500000059604645E-3</v>
      </c>
      <c r="F1080" s="24" t="s">
        <v>125</v>
      </c>
    </row>
    <row r="1081" spans="1:6" ht="16" customHeight="1" x14ac:dyDescent="0.45">
      <c r="A1081" s="19" t="s">
        <v>2280</v>
      </c>
      <c r="B1081" s="20" t="s">
        <v>2281</v>
      </c>
      <c r="C1081" s="21">
        <v>2010</v>
      </c>
      <c r="D1081" s="22"/>
      <c r="E1081" s="23">
        <v>-2.5000000000000001E-3</v>
      </c>
      <c r="F1081" s="24" t="s">
        <v>125</v>
      </c>
    </row>
    <row r="1082" spans="1:6" ht="16" customHeight="1" x14ac:dyDescent="0.45">
      <c r="A1082" s="19" t="s">
        <v>2282</v>
      </c>
      <c r="B1082" s="20" t="s">
        <v>2283</v>
      </c>
      <c r="C1082" s="21">
        <v>172100</v>
      </c>
      <c r="D1082" s="22"/>
      <c r="E1082" s="23">
        <v>3.119999885559082E-2</v>
      </c>
      <c r="F1082" s="24" t="s">
        <v>128</v>
      </c>
    </row>
    <row r="1083" spans="1:6" ht="16" customHeight="1" x14ac:dyDescent="0.45">
      <c r="A1083" s="19" t="s">
        <v>2284</v>
      </c>
      <c r="B1083" s="20" t="s">
        <v>2285</v>
      </c>
      <c r="C1083" s="21">
        <v>516000</v>
      </c>
      <c r="D1083" s="22"/>
      <c r="E1083" s="23">
        <v>-2.4600000381469731E-2</v>
      </c>
      <c r="F1083" s="24" t="s">
        <v>128</v>
      </c>
    </row>
    <row r="1084" spans="1:6" ht="16" customHeight="1" x14ac:dyDescent="0.45">
      <c r="A1084" s="19" t="s">
        <v>2286</v>
      </c>
      <c r="B1084" s="20" t="s">
        <v>2287</v>
      </c>
      <c r="C1084" s="21">
        <v>918000</v>
      </c>
      <c r="D1084" s="22"/>
      <c r="E1084" s="23">
        <v>0</v>
      </c>
      <c r="F1084" s="24" t="s">
        <v>128</v>
      </c>
    </row>
    <row r="1085" spans="1:6" ht="16" customHeight="1" x14ac:dyDescent="0.45">
      <c r="A1085" s="19" t="s">
        <v>2288</v>
      </c>
      <c r="B1085" s="20" t="s">
        <v>2289</v>
      </c>
      <c r="C1085" s="21">
        <v>381500</v>
      </c>
      <c r="D1085" s="22"/>
      <c r="E1085" s="23">
        <v>1.4600000381469729E-2</v>
      </c>
      <c r="F1085" s="24" t="s">
        <v>128</v>
      </c>
    </row>
    <row r="1086" spans="1:6" ht="16" customHeight="1" x14ac:dyDescent="0.45">
      <c r="A1086" s="19" t="s">
        <v>67</v>
      </c>
      <c r="B1086" s="20" t="s">
        <v>2290</v>
      </c>
      <c r="C1086" s="21">
        <v>267750</v>
      </c>
      <c r="D1086" s="22"/>
      <c r="E1086" s="23">
        <v>0.15159999847412109</v>
      </c>
      <c r="F1086" s="24" t="s">
        <v>128</v>
      </c>
    </row>
    <row r="1087" spans="1:6" ht="16" customHeight="1" x14ac:dyDescent="0.45">
      <c r="A1087" s="19" t="s">
        <v>2291</v>
      </c>
      <c r="B1087" s="20" t="s">
        <v>2292</v>
      </c>
      <c r="C1087" s="21">
        <v>185900</v>
      </c>
      <c r="D1087" s="22"/>
      <c r="E1087" s="23">
        <v>9.6099996566772455E-2</v>
      </c>
      <c r="F1087" s="24" t="s">
        <v>128</v>
      </c>
    </row>
    <row r="1088" spans="1:6" ht="16" customHeight="1" x14ac:dyDescent="0.45">
      <c r="A1088" s="19" t="s">
        <v>2293</v>
      </c>
      <c r="B1088" s="20" t="s">
        <v>2294</v>
      </c>
      <c r="C1088" s="21">
        <v>1914</v>
      </c>
      <c r="D1088" s="22"/>
      <c r="E1088" s="23">
        <v>-3.9200000762939453E-2</v>
      </c>
      <c r="F1088" s="24" t="s">
        <v>128</v>
      </c>
    </row>
    <row r="1089" spans="1:6" ht="16" customHeight="1" x14ac:dyDescent="0.45">
      <c r="A1089" s="19" t="s">
        <v>2295</v>
      </c>
      <c r="B1089" s="20" t="s">
        <v>2296</v>
      </c>
      <c r="C1089" s="21">
        <v>31750</v>
      </c>
      <c r="D1089" s="22"/>
      <c r="E1089" s="23">
        <v>-1.549999952316284E-2</v>
      </c>
      <c r="F1089" s="24" t="s">
        <v>128</v>
      </c>
    </row>
    <row r="1090" spans="1:6" ht="16" customHeight="1" x14ac:dyDescent="0.45">
      <c r="A1090" s="19" t="s">
        <v>2297</v>
      </c>
      <c r="B1090" s="20" t="s">
        <v>2298</v>
      </c>
      <c r="C1090" s="21">
        <v>153400</v>
      </c>
      <c r="D1090" s="22"/>
      <c r="E1090" s="23">
        <v>0.1123999977111816</v>
      </c>
      <c r="F1090" s="24" t="s">
        <v>128</v>
      </c>
    </row>
    <row r="1091" spans="1:6" ht="16" customHeight="1" x14ac:dyDescent="0.45">
      <c r="A1091" s="19" t="s">
        <v>2299</v>
      </c>
      <c r="B1091" s="20" t="s">
        <v>2300</v>
      </c>
      <c r="C1091" s="21">
        <v>8290</v>
      </c>
      <c r="D1091" s="22"/>
      <c r="E1091" s="23">
        <v>-6.7500000000000004E-2</v>
      </c>
      <c r="F1091" s="24" t="s">
        <v>128</v>
      </c>
    </row>
    <row r="1092" spans="1:6" ht="16" customHeight="1" x14ac:dyDescent="0.45">
      <c r="A1092" s="19" t="s">
        <v>2301</v>
      </c>
      <c r="B1092" s="20" t="s">
        <v>2302</v>
      </c>
      <c r="C1092" s="21">
        <v>52100</v>
      </c>
      <c r="D1092" s="22"/>
      <c r="E1092" s="23">
        <v>-7.5999999046325682E-3</v>
      </c>
      <c r="F1092" s="24" t="s">
        <v>128</v>
      </c>
    </row>
    <row r="1093" spans="1:6" ht="16" customHeight="1" x14ac:dyDescent="0.45">
      <c r="A1093" s="19" t="s">
        <v>2303</v>
      </c>
      <c r="B1093" s="20" t="s">
        <v>2304</v>
      </c>
      <c r="C1093" s="21">
        <v>483500</v>
      </c>
      <c r="D1093" s="22"/>
      <c r="E1093" s="23">
        <v>2.1099998950958251E-2</v>
      </c>
      <c r="F1093" s="24" t="s">
        <v>128</v>
      </c>
    </row>
    <row r="1094" spans="1:6" ht="16" customHeight="1" x14ac:dyDescent="0.45">
      <c r="A1094" s="19" t="s">
        <v>2305</v>
      </c>
      <c r="B1094" s="20" t="s">
        <v>2306</v>
      </c>
      <c r="C1094" s="21">
        <v>373500</v>
      </c>
      <c r="D1094" s="22"/>
      <c r="E1094" s="23">
        <v>1.299999952316284E-3</v>
      </c>
      <c r="F1094" s="24" t="s">
        <v>128</v>
      </c>
    </row>
    <row r="1095" spans="1:6" ht="16" customHeight="1" x14ac:dyDescent="0.45">
      <c r="A1095" s="19" t="s">
        <v>2307</v>
      </c>
      <c r="B1095" s="20" t="s">
        <v>2308</v>
      </c>
      <c r="C1095" s="21">
        <v>65900</v>
      </c>
      <c r="D1095" s="22"/>
      <c r="E1095" s="23">
        <v>-1.350000023841858E-2</v>
      </c>
      <c r="F1095" s="24" t="s">
        <v>128</v>
      </c>
    </row>
    <row r="1096" spans="1:6" ht="16" customHeight="1" x14ac:dyDescent="0.45">
      <c r="A1096" s="19" t="s">
        <v>2309</v>
      </c>
      <c r="B1096" s="20" t="s">
        <v>2310</v>
      </c>
      <c r="C1096" s="21">
        <v>16430</v>
      </c>
      <c r="D1096" s="22"/>
      <c r="E1096" s="23">
        <v>-8.999999761581421E-3</v>
      </c>
      <c r="F1096" s="24" t="s">
        <v>125</v>
      </c>
    </row>
    <row r="1097" spans="1:6" ht="16" customHeight="1" x14ac:dyDescent="0.45">
      <c r="A1097" s="19" t="s">
        <v>2311</v>
      </c>
      <c r="B1097" s="20" t="s">
        <v>2312</v>
      </c>
      <c r="C1097" s="21">
        <v>72700</v>
      </c>
      <c r="D1097" s="22"/>
      <c r="E1097" s="23">
        <v>-1.2200000286102301E-2</v>
      </c>
      <c r="F1097" s="24" t="s">
        <v>128</v>
      </c>
    </row>
    <row r="1098" spans="1:6" ht="16" customHeight="1" x14ac:dyDescent="0.45">
      <c r="A1098" s="19" t="s">
        <v>2313</v>
      </c>
      <c r="B1098" s="20" t="s">
        <v>2314</v>
      </c>
      <c r="C1098" s="21">
        <v>47050</v>
      </c>
      <c r="D1098" s="22"/>
      <c r="E1098" s="23">
        <v>-1.360000014305115E-2</v>
      </c>
      <c r="F1098" s="24" t="s">
        <v>128</v>
      </c>
    </row>
    <row r="1099" spans="1:6" ht="16" customHeight="1" x14ac:dyDescent="0.45">
      <c r="A1099" s="19" t="s">
        <v>2315</v>
      </c>
      <c r="B1099" s="20" t="s">
        <v>2316</v>
      </c>
      <c r="C1099" s="21">
        <v>33600</v>
      </c>
      <c r="D1099" s="22"/>
      <c r="E1099" s="23">
        <v>-1.500000059604645E-3</v>
      </c>
      <c r="F1099" s="24" t="s">
        <v>128</v>
      </c>
    </row>
    <row r="1100" spans="1:6" ht="16" customHeight="1" x14ac:dyDescent="0.45">
      <c r="A1100" s="19" t="s">
        <v>2317</v>
      </c>
      <c r="B1100" s="20" t="s">
        <v>2318</v>
      </c>
      <c r="C1100" s="21">
        <v>1298000</v>
      </c>
      <c r="D1100" s="22"/>
      <c r="E1100" s="23">
        <v>-1.370000004768371E-2</v>
      </c>
      <c r="F1100" s="24" t="s">
        <v>128</v>
      </c>
    </row>
    <row r="1101" spans="1:6" ht="16" customHeight="1" x14ac:dyDescent="0.45">
      <c r="A1101" s="19" t="s">
        <v>2319</v>
      </c>
      <c r="B1101" s="20" t="s">
        <v>2320</v>
      </c>
      <c r="C1101" s="21">
        <v>19820</v>
      </c>
      <c r="D1101" s="22"/>
      <c r="E1101" s="23">
        <v>5.0999999046325694E-3</v>
      </c>
      <c r="F1101" s="24" t="s">
        <v>125</v>
      </c>
    </row>
    <row r="1102" spans="1:6" ht="16" customHeight="1" x14ac:dyDescent="0.45">
      <c r="A1102" s="19" t="s">
        <v>2321</v>
      </c>
      <c r="B1102" s="20" t="s">
        <v>2322</v>
      </c>
      <c r="C1102" s="21">
        <v>12580</v>
      </c>
      <c r="D1102" s="22"/>
      <c r="E1102" s="23">
        <v>-2.710000038146973E-2</v>
      </c>
      <c r="F1102" s="24" t="s">
        <v>125</v>
      </c>
    </row>
    <row r="1103" spans="1:6" ht="16" customHeight="1" x14ac:dyDescent="0.45">
      <c r="A1103" s="19" t="s">
        <v>2323</v>
      </c>
      <c r="B1103" s="20" t="s">
        <v>2324</v>
      </c>
      <c r="C1103" s="21">
        <v>5990</v>
      </c>
      <c r="D1103" s="22"/>
      <c r="E1103" s="23">
        <v>-1.7999999523162839E-2</v>
      </c>
      <c r="F1103" s="24" t="s">
        <v>125</v>
      </c>
    </row>
    <row r="1104" spans="1:6" ht="16" customHeight="1" x14ac:dyDescent="0.45">
      <c r="A1104" s="19" t="s">
        <v>2325</v>
      </c>
      <c r="B1104" s="20" t="s">
        <v>2326</v>
      </c>
      <c r="C1104" s="21">
        <v>11200</v>
      </c>
      <c r="D1104" s="22"/>
      <c r="E1104" s="23">
        <v>-3.5299999713897703E-2</v>
      </c>
      <c r="F1104" s="24" t="s">
        <v>128</v>
      </c>
    </row>
    <row r="1105" spans="1:6" ht="16" customHeight="1" x14ac:dyDescent="0.45">
      <c r="A1105" s="19" t="s">
        <v>2327</v>
      </c>
      <c r="B1105" s="20" t="s">
        <v>2328</v>
      </c>
      <c r="C1105" s="21">
        <v>67000</v>
      </c>
      <c r="D1105" s="22"/>
      <c r="E1105" s="23">
        <v>-1.7599999904632568E-2</v>
      </c>
      <c r="F1105" s="24" t="s">
        <v>128</v>
      </c>
    </row>
    <row r="1106" spans="1:6" ht="16" customHeight="1" x14ac:dyDescent="0.45">
      <c r="A1106" s="19" t="s">
        <v>2329</v>
      </c>
      <c r="B1106" s="20" t="s">
        <v>2330</v>
      </c>
      <c r="C1106" s="21">
        <v>13150</v>
      </c>
      <c r="D1106" s="22"/>
      <c r="E1106" s="23">
        <v>5.1999998092651357E-2</v>
      </c>
      <c r="F1106" s="24" t="s">
        <v>128</v>
      </c>
    </row>
    <row r="1107" spans="1:6" ht="16" customHeight="1" x14ac:dyDescent="0.45">
      <c r="A1107" s="19" t="s">
        <v>2331</v>
      </c>
      <c r="B1107" s="20" t="s">
        <v>2332</v>
      </c>
      <c r="C1107" s="21">
        <v>20800</v>
      </c>
      <c r="D1107" s="22"/>
      <c r="E1107" s="23">
        <v>2.39999994635582E-3</v>
      </c>
      <c r="F1107" s="24" t="s">
        <v>128</v>
      </c>
    </row>
    <row r="1108" spans="1:6" ht="16" customHeight="1" x14ac:dyDescent="0.45">
      <c r="A1108" s="19" t="s">
        <v>2333</v>
      </c>
      <c r="B1108" s="20" t="s">
        <v>2334</v>
      </c>
      <c r="C1108" s="21">
        <v>3265</v>
      </c>
      <c r="D1108" s="22"/>
      <c r="E1108" s="23">
        <v>-1.7999999523162839E-2</v>
      </c>
      <c r="F1108" s="24" t="s">
        <v>125</v>
      </c>
    </row>
    <row r="1109" spans="1:6" ht="16" customHeight="1" x14ac:dyDescent="0.45">
      <c r="A1109" s="19" t="s">
        <v>2335</v>
      </c>
      <c r="B1109" s="20" t="s">
        <v>2336</v>
      </c>
      <c r="C1109" s="21">
        <v>13100</v>
      </c>
      <c r="D1109" s="22"/>
      <c r="E1109" s="23">
        <v>-1.6499999761581421E-2</v>
      </c>
      <c r="F1109" s="24" t="s">
        <v>125</v>
      </c>
    </row>
    <row r="1110" spans="1:6" ht="16" customHeight="1" x14ac:dyDescent="0.45">
      <c r="A1110" s="19" t="s">
        <v>2337</v>
      </c>
      <c r="B1110" s="20" t="s">
        <v>2338</v>
      </c>
      <c r="C1110" s="21">
        <v>764</v>
      </c>
      <c r="D1110" s="22"/>
      <c r="E1110" s="23">
        <v>0</v>
      </c>
      <c r="F1110" s="24" t="s">
        <v>125</v>
      </c>
    </row>
    <row r="1111" spans="1:6" ht="16" customHeight="1" x14ac:dyDescent="0.45">
      <c r="A1111" s="19" t="s">
        <v>2339</v>
      </c>
      <c r="B1111" s="20" t="s">
        <v>2340</v>
      </c>
      <c r="C1111" s="21">
        <v>15340</v>
      </c>
      <c r="D1111" s="22"/>
      <c r="E1111" s="23">
        <v>-2.5999999046325679E-2</v>
      </c>
      <c r="F1111" s="24" t="s">
        <v>128</v>
      </c>
    </row>
    <row r="1112" spans="1:6" ht="16" customHeight="1" x14ac:dyDescent="0.45">
      <c r="A1112" s="19" t="s">
        <v>2341</v>
      </c>
      <c r="B1112" s="20" t="s">
        <v>2342</v>
      </c>
      <c r="C1112" s="21">
        <v>2425</v>
      </c>
      <c r="D1112" s="22"/>
      <c r="E1112" s="23">
        <v>1.039999961853027E-2</v>
      </c>
      <c r="F1112" s="24" t="s">
        <v>128</v>
      </c>
    </row>
    <row r="1113" spans="1:6" ht="16" customHeight="1" x14ac:dyDescent="0.45">
      <c r="A1113" s="19" t="s">
        <v>2343</v>
      </c>
      <c r="B1113" s="20" t="s">
        <v>2344</v>
      </c>
      <c r="C1113" s="21">
        <v>11600</v>
      </c>
      <c r="D1113" s="22"/>
      <c r="E1113" s="23">
        <v>-2.2699999809265139E-2</v>
      </c>
      <c r="F1113" s="24" t="s">
        <v>128</v>
      </c>
    </row>
    <row r="1114" spans="1:6" ht="16" customHeight="1" x14ac:dyDescent="0.45">
      <c r="A1114" s="19" t="s">
        <v>2345</v>
      </c>
      <c r="B1114" s="20" t="s">
        <v>2346</v>
      </c>
      <c r="C1114" s="21">
        <v>1208</v>
      </c>
      <c r="D1114" s="22"/>
      <c r="E1114" s="23">
        <v>-2.1099998950958251E-2</v>
      </c>
      <c r="F1114" s="24" t="s">
        <v>128</v>
      </c>
    </row>
    <row r="1115" spans="1:6" ht="16" customHeight="1" x14ac:dyDescent="0.45">
      <c r="A1115" s="19" t="s">
        <v>2347</v>
      </c>
      <c r="B1115" s="20" t="s">
        <v>2348</v>
      </c>
      <c r="C1115" s="21">
        <v>8990</v>
      </c>
      <c r="D1115" s="22"/>
      <c r="E1115" s="23">
        <v>-5.7699999809265143E-2</v>
      </c>
      <c r="F1115" s="24" t="s">
        <v>125</v>
      </c>
    </row>
    <row r="1116" spans="1:6" ht="16" customHeight="1" x14ac:dyDescent="0.45">
      <c r="A1116" s="19" t="s">
        <v>2349</v>
      </c>
      <c r="B1116" s="20" t="s">
        <v>2350</v>
      </c>
      <c r="C1116" s="21">
        <v>1379</v>
      </c>
      <c r="D1116" s="22"/>
      <c r="E1116" s="23">
        <v>-1.4299999475479131E-2</v>
      </c>
      <c r="F1116" s="24" t="s">
        <v>125</v>
      </c>
    </row>
    <row r="1117" spans="1:6" ht="16" customHeight="1" x14ac:dyDescent="0.45">
      <c r="A1117" s="19" t="s">
        <v>2351</v>
      </c>
      <c r="B1117" s="20" t="s">
        <v>2352</v>
      </c>
      <c r="C1117" s="21">
        <v>4110</v>
      </c>
      <c r="D1117" s="22"/>
      <c r="E1117" s="23">
        <v>-1.200000047683716E-2</v>
      </c>
      <c r="F1117" s="24" t="s">
        <v>125</v>
      </c>
    </row>
    <row r="1118" spans="1:6" ht="16" customHeight="1" x14ac:dyDescent="0.45">
      <c r="A1118" s="19" t="s">
        <v>2353</v>
      </c>
      <c r="B1118" s="20" t="s">
        <v>2354</v>
      </c>
      <c r="C1118" s="21">
        <v>7510</v>
      </c>
      <c r="D1118" s="22"/>
      <c r="E1118" s="23">
        <v>-1.960000038146973E-2</v>
      </c>
      <c r="F1118" s="24" t="s">
        <v>128</v>
      </c>
    </row>
    <row r="1119" spans="1:6" ht="16" customHeight="1" x14ac:dyDescent="0.45">
      <c r="A1119" s="19" t="s">
        <v>2355</v>
      </c>
      <c r="B1119" s="20" t="s">
        <v>2356</v>
      </c>
      <c r="C1119" s="21">
        <v>9310</v>
      </c>
      <c r="D1119" s="22"/>
      <c r="E1119" s="23">
        <v>1.4199999570846561E-2</v>
      </c>
      <c r="F1119" s="24" t="s">
        <v>128</v>
      </c>
    </row>
    <row r="1120" spans="1:6" ht="16" customHeight="1" x14ac:dyDescent="0.45">
      <c r="A1120" s="19" t="s">
        <v>2357</v>
      </c>
      <c r="B1120" s="20" t="s">
        <v>2358</v>
      </c>
      <c r="C1120" s="21">
        <v>30600</v>
      </c>
      <c r="D1120" s="22"/>
      <c r="E1120" s="23">
        <v>-1.2899999618530269E-2</v>
      </c>
      <c r="F1120" s="24" t="s">
        <v>128</v>
      </c>
    </row>
    <row r="1121" spans="1:6" ht="16" customHeight="1" x14ac:dyDescent="0.45">
      <c r="A1121" s="19" t="s">
        <v>2359</v>
      </c>
      <c r="B1121" s="20" t="s">
        <v>2360</v>
      </c>
      <c r="C1121" s="21">
        <v>37900</v>
      </c>
      <c r="D1121" s="22"/>
      <c r="E1121" s="23">
        <v>0.1065999984741211</v>
      </c>
      <c r="F1121" s="24" t="s">
        <v>125</v>
      </c>
    </row>
    <row r="1122" spans="1:6" ht="16" customHeight="1" x14ac:dyDescent="0.45">
      <c r="A1122" s="19" t="s">
        <v>2361</v>
      </c>
      <c r="B1122" s="20" t="s">
        <v>2362</v>
      </c>
      <c r="C1122" s="21">
        <v>3520</v>
      </c>
      <c r="D1122" s="22"/>
      <c r="E1122" s="23">
        <v>-1.950000047683716E-2</v>
      </c>
      <c r="F1122" s="24" t="s">
        <v>125</v>
      </c>
    </row>
    <row r="1123" spans="1:6" ht="16" customHeight="1" x14ac:dyDescent="0.45">
      <c r="A1123" s="19" t="s">
        <v>2363</v>
      </c>
      <c r="B1123" s="20" t="s">
        <v>2364</v>
      </c>
      <c r="C1123" s="21">
        <v>7120</v>
      </c>
      <c r="D1123" s="22"/>
      <c r="E1123" s="23">
        <v>-3.2599999904632568E-2</v>
      </c>
      <c r="F1123" s="24" t="s">
        <v>125</v>
      </c>
    </row>
    <row r="1124" spans="1:6" ht="16" customHeight="1" x14ac:dyDescent="0.45">
      <c r="A1124" s="19" t="s">
        <v>2365</v>
      </c>
      <c r="B1124" s="20" t="s">
        <v>2366</v>
      </c>
      <c r="C1124" s="21">
        <v>1111</v>
      </c>
      <c r="D1124" s="22"/>
      <c r="E1124" s="23">
        <v>-6.2999999523162854E-3</v>
      </c>
      <c r="F1124" s="24" t="s">
        <v>125</v>
      </c>
    </row>
    <row r="1125" spans="1:6" ht="16" customHeight="1" x14ac:dyDescent="0.45">
      <c r="A1125" s="19" t="s">
        <v>2367</v>
      </c>
      <c r="B1125" s="20" t="s">
        <v>2368</v>
      </c>
      <c r="C1125" s="21">
        <v>18380</v>
      </c>
      <c r="D1125" s="22"/>
      <c r="E1125" s="23">
        <v>-1.389999985694885E-2</v>
      </c>
      <c r="F1125" s="24" t="s">
        <v>128</v>
      </c>
    </row>
    <row r="1126" spans="1:6" ht="16" customHeight="1" x14ac:dyDescent="0.45">
      <c r="A1126" s="19" t="s">
        <v>2369</v>
      </c>
      <c r="B1126" s="20" t="s">
        <v>2370</v>
      </c>
      <c r="C1126" s="21">
        <v>401500</v>
      </c>
      <c r="D1126" s="22"/>
      <c r="E1126" s="23">
        <v>-1.950000047683716E-2</v>
      </c>
      <c r="F1126" s="24" t="s">
        <v>125</v>
      </c>
    </row>
    <row r="1127" spans="1:6" ht="16" customHeight="1" x14ac:dyDescent="0.45">
      <c r="A1127" s="19" t="s">
        <v>2371</v>
      </c>
      <c r="B1127" s="20" t="s">
        <v>2372</v>
      </c>
      <c r="C1127" s="21">
        <v>148500</v>
      </c>
      <c r="D1127" s="22"/>
      <c r="E1127" s="23">
        <v>0</v>
      </c>
      <c r="F1127" s="24" t="s">
        <v>128</v>
      </c>
    </row>
    <row r="1128" spans="1:6" ht="16" customHeight="1" x14ac:dyDescent="0.45">
      <c r="A1128" s="19" t="s">
        <v>2373</v>
      </c>
      <c r="B1128" s="20" t="s">
        <v>2374</v>
      </c>
      <c r="C1128" s="21">
        <v>4990</v>
      </c>
      <c r="D1128" s="22"/>
      <c r="E1128" s="23">
        <v>-2.5399999618530279E-2</v>
      </c>
      <c r="F1128" s="24" t="s">
        <v>125</v>
      </c>
    </row>
    <row r="1129" spans="1:6" ht="16" customHeight="1" x14ac:dyDescent="0.45">
      <c r="A1129" s="19" t="s">
        <v>2375</v>
      </c>
      <c r="B1129" s="20" t="s">
        <v>2376</v>
      </c>
      <c r="C1129" s="21">
        <v>15330</v>
      </c>
      <c r="D1129" s="22"/>
      <c r="E1129" s="23">
        <v>-5.8899998664855957E-2</v>
      </c>
      <c r="F1129" s="24" t="s">
        <v>125</v>
      </c>
    </row>
    <row r="1130" spans="1:6" ht="16" customHeight="1" x14ac:dyDescent="0.45">
      <c r="A1130" s="19" t="s">
        <v>2377</v>
      </c>
      <c r="B1130" s="20" t="s">
        <v>2378</v>
      </c>
      <c r="C1130" s="21">
        <v>51600</v>
      </c>
      <c r="D1130" s="22"/>
      <c r="E1130" s="23">
        <v>-3.5499999523162837E-2</v>
      </c>
      <c r="F1130" s="24" t="s">
        <v>125</v>
      </c>
    </row>
    <row r="1131" spans="1:6" ht="16" customHeight="1" x14ac:dyDescent="0.45">
      <c r="A1131" s="19" t="s">
        <v>2379</v>
      </c>
      <c r="B1131" s="20" t="s">
        <v>2380</v>
      </c>
      <c r="C1131" s="21">
        <v>4980</v>
      </c>
      <c r="D1131" s="22"/>
      <c r="E1131" s="23">
        <v>-8.0000001192092902E-3</v>
      </c>
      <c r="F1131" s="24" t="s">
        <v>125</v>
      </c>
    </row>
    <row r="1132" spans="1:6" ht="16" customHeight="1" x14ac:dyDescent="0.45">
      <c r="A1132" s="19" t="s">
        <v>2381</v>
      </c>
      <c r="B1132" s="20" t="s">
        <v>2382</v>
      </c>
      <c r="C1132" s="21">
        <v>3890</v>
      </c>
      <c r="D1132" s="22"/>
      <c r="E1132" s="23">
        <v>-1.389999985694885E-2</v>
      </c>
      <c r="F1132" s="24" t="s">
        <v>128</v>
      </c>
    </row>
    <row r="1133" spans="1:6" ht="16" customHeight="1" x14ac:dyDescent="0.45">
      <c r="A1133" s="19" t="s">
        <v>2383</v>
      </c>
      <c r="B1133" s="20" t="s">
        <v>2384</v>
      </c>
      <c r="C1133" s="21">
        <v>991</v>
      </c>
      <c r="D1133" s="22"/>
      <c r="E1133" s="23">
        <v>0</v>
      </c>
      <c r="F1133" s="24" t="s">
        <v>125</v>
      </c>
    </row>
    <row r="1134" spans="1:6" ht="16" customHeight="1" x14ac:dyDescent="0.45">
      <c r="A1134" s="19" t="s">
        <v>2385</v>
      </c>
      <c r="B1134" s="20" t="s">
        <v>2386</v>
      </c>
      <c r="C1134" s="21">
        <v>28900</v>
      </c>
      <c r="D1134" s="22"/>
      <c r="E1134" s="23">
        <v>1.700000017881394E-3</v>
      </c>
      <c r="F1134" s="24" t="s">
        <v>128</v>
      </c>
    </row>
    <row r="1135" spans="1:6" ht="16" customHeight="1" x14ac:dyDescent="0.45">
      <c r="A1135" s="19" t="s">
        <v>2387</v>
      </c>
      <c r="B1135" s="20" t="s">
        <v>2388</v>
      </c>
      <c r="C1135" s="21">
        <v>47850</v>
      </c>
      <c r="D1135" s="22"/>
      <c r="E1135" s="23">
        <v>-1.539999961853027E-2</v>
      </c>
      <c r="F1135" s="24" t="s">
        <v>128</v>
      </c>
    </row>
    <row r="1136" spans="1:6" ht="16" customHeight="1" x14ac:dyDescent="0.45">
      <c r="A1136" s="19" t="s">
        <v>2389</v>
      </c>
      <c r="B1136" s="20" t="s">
        <v>2390</v>
      </c>
      <c r="C1136" s="21">
        <v>2370</v>
      </c>
      <c r="D1136" s="22"/>
      <c r="E1136" s="23">
        <v>-3.2699999809265128E-2</v>
      </c>
      <c r="F1136" s="24" t="s">
        <v>128</v>
      </c>
    </row>
    <row r="1137" spans="1:6" ht="16" customHeight="1" x14ac:dyDescent="0.45">
      <c r="A1137" s="19" t="s">
        <v>2391</v>
      </c>
      <c r="B1137" s="20" t="s">
        <v>2392</v>
      </c>
      <c r="C1137" s="21">
        <v>66300</v>
      </c>
      <c r="D1137" s="22"/>
      <c r="E1137" s="23">
        <v>-3.069999933242798E-2</v>
      </c>
      <c r="F1137" s="24" t="s">
        <v>128</v>
      </c>
    </row>
    <row r="1138" spans="1:6" ht="16" customHeight="1" x14ac:dyDescent="0.45">
      <c r="A1138" s="19" t="s">
        <v>2393</v>
      </c>
      <c r="B1138" s="20" t="s">
        <v>2394</v>
      </c>
      <c r="C1138" s="21">
        <v>598</v>
      </c>
      <c r="D1138" s="22"/>
      <c r="E1138" s="23">
        <v>0</v>
      </c>
      <c r="F1138" s="24" t="s">
        <v>125</v>
      </c>
    </row>
    <row r="1139" spans="1:6" ht="16" customHeight="1" x14ac:dyDescent="0.45">
      <c r="A1139" s="19" t="s">
        <v>2395</v>
      </c>
      <c r="B1139" s="20" t="s">
        <v>2396</v>
      </c>
      <c r="C1139" s="21">
        <v>2195</v>
      </c>
      <c r="D1139" s="22"/>
      <c r="E1139" s="23">
        <v>-1.570000052452087E-2</v>
      </c>
      <c r="F1139" s="24" t="s">
        <v>125</v>
      </c>
    </row>
    <row r="1140" spans="1:6" ht="16" customHeight="1" x14ac:dyDescent="0.45">
      <c r="A1140" s="19" t="s">
        <v>2397</v>
      </c>
      <c r="B1140" s="20" t="s">
        <v>2398</v>
      </c>
      <c r="C1140" s="21">
        <v>1402</v>
      </c>
      <c r="D1140" s="22"/>
      <c r="E1140" s="23">
        <v>4.9400000572204589E-2</v>
      </c>
      <c r="F1140" s="24" t="s">
        <v>128</v>
      </c>
    </row>
    <row r="1141" spans="1:6" ht="16" customHeight="1" x14ac:dyDescent="0.45">
      <c r="A1141" s="19" t="s">
        <v>2399</v>
      </c>
      <c r="B1141" s="20" t="s">
        <v>2400</v>
      </c>
      <c r="C1141" s="21">
        <v>2705</v>
      </c>
      <c r="D1141" s="22"/>
      <c r="E1141" s="23">
        <v>-2.5199999809265142E-2</v>
      </c>
      <c r="F1141" s="24" t="s">
        <v>128</v>
      </c>
    </row>
    <row r="1142" spans="1:6" ht="16" customHeight="1" x14ac:dyDescent="0.45">
      <c r="A1142" s="19" t="s">
        <v>2401</v>
      </c>
      <c r="B1142" s="20" t="s">
        <v>2402</v>
      </c>
      <c r="C1142" s="21">
        <v>26800</v>
      </c>
      <c r="D1142" s="22"/>
      <c r="E1142" s="23">
        <v>-1.110000014305115E-2</v>
      </c>
      <c r="F1142" s="24" t="s">
        <v>125</v>
      </c>
    </row>
    <row r="1143" spans="1:6" ht="16" customHeight="1" x14ac:dyDescent="0.45">
      <c r="A1143" s="19" t="s">
        <v>2403</v>
      </c>
      <c r="B1143" s="20" t="s">
        <v>2404</v>
      </c>
      <c r="C1143" s="21">
        <v>3030</v>
      </c>
      <c r="D1143" s="22"/>
      <c r="E1143" s="23">
        <v>-2.730000019073486E-2</v>
      </c>
      <c r="F1143" s="24" t="s">
        <v>125</v>
      </c>
    </row>
    <row r="1144" spans="1:6" ht="16" customHeight="1" x14ac:dyDescent="0.45">
      <c r="A1144" s="19" t="s">
        <v>2405</v>
      </c>
      <c r="B1144" s="20" t="s">
        <v>2406</v>
      </c>
      <c r="C1144" s="21">
        <v>28450</v>
      </c>
      <c r="D1144" s="22"/>
      <c r="E1144" s="23">
        <v>1.4299999475479131E-2</v>
      </c>
      <c r="F1144" s="24" t="s">
        <v>125</v>
      </c>
    </row>
    <row r="1145" spans="1:6" ht="16" customHeight="1" x14ac:dyDescent="0.45">
      <c r="A1145" s="19" t="s">
        <v>2407</v>
      </c>
      <c r="B1145" s="20" t="s">
        <v>2408</v>
      </c>
      <c r="C1145" s="21">
        <v>10150</v>
      </c>
      <c r="D1145" s="22"/>
      <c r="E1145" s="23">
        <v>-2.02999997138977E-2</v>
      </c>
      <c r="F1145" s="24" t="s">
        <v>125</v>
      </c>
    </row>
    <row r="1146" spans="1:6" ht="16" customHeight="1" x14ac:dyDescent="0.45">
      <c r="A1146" s="19" t="s">
        <v>2409</v>
      </c>
      <c r="B1146" s="20" t="s">
        <v>2410</v>
      </c>
      <c r="C1146" s="21">
        <v>20900</v>
      </c>
      <c r="D1146" s="22"/>
      <c r="E1146" s="23">
        <v>-3.2400000095367427E-2</v>
      </c>
      <c r="F1146" s="24" t="s">
        <v>125</v>
      </c>
    </row>
    <row r="1147" spans="1:6" ht="16" customHeight="1" x14ac:dyDescent="0.45">
      <c r="A1147" s="19" t="s">
        <v>2411</v>
      </c>
      <c r="B1147" s="20" t="s">
        <v>2412</v>
      </c>
      <c r="C1147" s="21">
        <v>3010</v>
      </c>
      <c r="D1147" s="22"/>
      <c r="E1147" s="23">
        <v>-1.700000017881394E-3</v>
      </c>
      <c r="F1147" s="24" t="s">
        <v>128</v>
      </c>
    </row>
    <row r="1148" spans="1:6" ht="16" customHeight="1" x14ac:dyDescent="0.45">
      <c r="A1148" s="19" t="s">
        <v>2413</v>
      </c>
      <c r="B1148" s="20" t="s">
        <v>2414</v>
      </c>
      <c r="C1148" s="21">
        <v>31300</v>
      </c>
      <c r="D1148" s="22"/>
      <c r="E1148" s="23">
        <v>-6.2999999523162854E-3</v>
      </c>
      <c r="F1148" s="24" t="s">
        <v>125</v>
      </c>
    </row>
    <row r="1149" spans="1:6" ht="16" customHeight="1" x14ac:dyDescent="0.45">
      <c r="A1149" s="19" t="s">
        <v>2415</v>
      </c>
      <c r="B1149" s="20" t="s">
        <v>2416</v>
      </c>
      <c r="C1149" s="21">
        <v>8290</v>
      </c>
      <c r="D1149" s="22"/>
      <c r="E1149" s="23">
        <v>6.1000001430511477E-3</v>
      </c>
      <c r="F1149" s="24" t="s">
        <v>125</v>
      </c>
    </row>
    <row r="1150" spans="1:6" ht="16" customHeight="1" x14ac:dyDescent="0.45">
      <c r="A1150" s="19" t="s">
        <v>2417</v>
      </c>
      <c r="B1150" s="20" t="s">
        <v>2418</v>
      </c>
      <c r="C1150" s="21">
        <v>13950</v>
      </c>
      <c r="D1150" s="22"/>
      <c r="E1150" s="23">
        <v>-1.2699999809265139E-2</v>
      </c>
      <c r="F1150" s="24" t="s">
        <v>125</v>
      </c>
    </row>
    <row r="1151" spans="1:6" ht="16" customHeight="1" x14ac:dyDescent="0.45">
      <c r="A1151" s="19" t="s">
        <v>2419</v>
      </c>
      <c r="B1151" s="20" t="s">
        <v>2420</v>
      </c>
      <c r="C1151" s="21">
        <v>50400</v>
      </c>
      <c r="D1151" s="22"/>
      <c r="E1151" s="23">
        <v>-1.370000004768371E-2</v>
      </c>
      <c r="F1151" s="24" t="s">
        <v>128</v>
      </c>
    </row>
    <row r="1152" spans="1:6" ht="16" customHeight="1" x14ac:dyDescent="0.45">
      <c r="A1152" s="19" t="s">
        <v>2421</v>
      </c>
      <c r="B1152" s="20" t="s">
        <v>2422</v>
      </c>
      <c r="C1152" s="21">
        <v>26900</v>
      </c>
      <c r="D1152" s="22"/>
      <c r="E1152" s="23">
        <v>-1.1000000238418579E-2</v>
      </c>
      <c r="F1152" s="24" t="s">
        <v>128</v>
      </c>
    </row>
    <row r="1153" spans="1:6" ht="16" customHeight="1" x14ac:dyDescent="0.45">
      <c r="A1153" s="19" t="s">
        <v>2423</v>
      </c>
      <c r="B1153" s="20" t="s">
        <v>2424</v>
      </c>
      <c r="C1153" s="21">
        <v>1845</v>
      </c>
      <c r="D1153" s="22"/>
      <c r="E1153" s="23">
        <v>-1.7000000476837161E-2</v>
      </c>
      <c r="F1153" s="24" t="s">
        <v>125</v>
      </c>
    </row>
    <row r="1154" spans="1:6" ht="16" customHeight="1" x14ac:dyDescent="0.45">
      <c r="A1154" s="19" t="s">
        <v>2425</v>
      </c>
      <c r="B1154" s="20" t="s">
        <v>2426</v>
      </c>
      <c r="C1154" s="21">
        <v>4460</v>
      </c>
      <c r="D1154" s="22"/>
      <c r="E1154" s="23">
        <v>-4.4999999999999998E-2</v>
      </c>
      <c r="F1154" s="24" t="s">
        <v>125</v>
      </c>
    </row>
    <row r="1155" spans="1:6" ht="16" customHeight="1" x14ac:dyDescent="0.45">
      <c r="A1155" s="19" t="s">
        <v>2427</v>
      </c>
      <c r="B1155" s="20" t="s">
        <v>2428</v>
      </c>
      <c r="C1155" s="21">
        <v>6180</v>
      </c>
      <c r="D1155" s="22"/>
      <c r="E1155" s="23">
        <v>-2.0599999427795411E-2</v>
      </c>
      <c r="F1155" s="24" t="s">
        <v>125</v>
      </c>
    </row>
    <row r="1156" spans="1:6" ht="16" customHeight="1" x14ac:dyDescent="0.45">
      <c r="A1156" s="19" t="s">
        <v>2429</v>
      </c>
      <c r="B1156" s="20" t="s">
        <v>2430</v>
      </c>
      <c r="C1156" s="21">
        <v>14230</v>
      </c>
      <c r="D1156" s="22"/>
      <c r="E1156" s="23">
        <v>-4.8800001144409182E-2</v>
      </c>
      <c r="F1156" s="24" t="s">
        <v>125</v>
      </c>
    </row>
    <row r="1157" spans="1:6" ht="16" customHeight="1" x14ac:dyDescent="0.45">
      <c r="A1157" s="19" t="s">
        <v>2431</v>
      </c>
      <c r="B1157" s="20" t="s">
        <v>2432</v>
      </c>
      <c r="C1157" s="21">
        <v>1322</v>
      </c>
      <c r="D1157" s="22"/>
      <c r="E1157" s="23">
        <v>2.8800001144409181E-2</v>
      </c>
      <c r="F1157" s="24" t="s">
        <v>125</v>
      </c>
    </row>
    <row r="1158" spans="1:6" ht="16" customHeight="1" x14ac:dyDescent="0.45">
      <c r="A1158" s="19" t="s">
        <v>2433</v>
      </c>
      <c r="B1158" s="20" t="s">
        <v>2434</v>
      </c>
      <c r="C1158" s="21">
        <v>4465</v>
      </c>
      <c r="D1158" s="22"/>
      <c r="E1158" s="23">
        <v>-1.2200000286102301E-2</v>
      </c>
      <c r="F1158" s="24" t="s">
        <v>125</v>
      </c>
    </row>
    <row r="1159" spans="1:6" ht="16" customHeight="1" x14ac:dyDescent="0.45">
      <c r="A1159" s="19" t="s">
        <v>2435</v>
      </c>
      <c r="B1159" s="20" t="s">
        <v>2436</v>
      </c>
      <c r="C1159" s="21">
        <v>9350</v>
      </c>
      <c r="D1159" s="22"/>
      <c r="E1159" s="23">
        <v>-1.370000004768371E-2</v>
      </c>
      <c r="F1159" s="24" t="s">
        <v>128</v>
      </c>
    </row>
    <row r="1160" spans="1:6" ht="16" customHeight="1" x14ac:dyDescent="0.45">
      <c r="A1160" s="19" t="s">
        <v>2437</v>
      </c>
      <c r="B1160" s="20" t="s">
        <v>2438</v>
      </c>
      <c r="C1160" s="21">
        <v>14190</v>
      </c>
      <c r="D1160" s="22"/>
      <c r="E1160" s="23">
        <v>-8.3999997377395622E-3</v>
      </c>
      <c r="F1160" s="24" t="s">
        <v>128</v>
      </c>
    </row>
    <row r="1161" spans="1:6" ht="16" customHeight="1" x14ac:dyDescent="0.45">
      <c r="A1161" s="19" t="s">
        <v>2439</v>
      </c>
      <c r="B1161" s="20" t="s">
        <v>2440</v>
      </c>
      <c r="C1161" s="21">
        <v>4060</v>
      </c>
      <c r="D1161" s="22"/>
      <c r="E1161" s="23">
        <v>-3.4500000476837163E-2</v>
      </c>
      <c r="F1161" s="24" t="s">
        <v>125</v>
      </c>
    </row>
    <row r="1162" spans="1:6" ht="16" customHeight="1" x14ac:dyDescent="0.45">
      <c r="A1162" s="19" t="s">
        <v>2441</v>
      </c>
      <c r="B1162" s="20" t="s">
        <v>2442</v>
      </c>
      <c r="C1162" s="21">
        <v>63300</v>
      </c>
      <c r="D1162" s="22"/>
      <c r="E1162" s="23">
        <v>-1.559999942779541E-2</v>
      </c>
      <c r="F1162" s="24" t="s">
        <v>128</v>
      </c>
    </row>
    <row r="1163" spans="1:6" ht="16" customHeight="1" x14ac:dyDescent="0.45">
      <c r="A1163" s="19" t="s">
        <v>2443</v>
      </c>
      <c r="B1163" s="20" t="s">
        <v>2444</v>
      </c>
      <c r="C1163" s="21">
        <v>12540</v>
      </c>
      <c r="D1163" s="22"/>
      <c r="E1163" s="23">
        <v>0.1167000007629395</v>
      </c>
      <c r="F1163" s="24" t="s">
        <v>125</v>
      </c>
    </row>
    <row r="1164" spans="1:6" ht="16" customHeight="1" x14ac:dyDescent="0.45">
      <c r="A1164" s="19" t="s">
        <v>2445</v>
      </c>
      <c r="B1164" s="20" t="s">
        <v>2446</v>
      </c>
      <c r="C1164" s="21">
        <v>16740</v>
      </c>
      <c r="D1164" s="22"/>
      <c r="E1164" s="23">
        <v>-6.6399998664855964E-2</v>
      </c>
      <c r="F1164" s="24" t="s">
        <v>125</v>
      </c>
    </row>
    <row r="1165" spans="1:6" ht="16" customHeight="1" x14ac:dyDescent="0.45">
      <c r="A1165" s="19" t="s">
        <v>2447</v>
      </c>
      <c r="B1165" s="20" t="s">
        <v>2448</v>
      </c>
      <c r="C1165" s="21">
        <v>46600</v>
      </c>
      <c r="D1165" s="22"/>
      <c r="E1165" s="23">
        <v>-1.169999957084656E-2</v>
      </c>
      <c r="F1165" s="24" t="s">
        <v>128</v>
      </c>
    </row>
    <row r="1166" spans="1:6" ht="16" customHeight="1" x14ac:dyDescent="0.45">
      <c r="A1166" s="19" t="s">
        <v>2449</v>
      </c>
      <c r="B1166" s="20" t="s">
        <v>2450</v>
      </c>
      <c r="C1166" s="21">
        <v>158</v>
      </c>
      <c r="D1166" s="22"/>
      <c r="E1166" s="23">
        <v>0</v>
      </c>
      <c r="F1166" s="24" t="s">
        <v>128</v>
      </c>
    </row>
    <row r="1167" spans="1:6" ht="16" customHeight="1" x14ac:dyDescent="0.45">
      <c r="A1167" s="19" t="s">
        <v>2451</v>
      </c>
      <c r="B1167" s="20" t="s">
        <v>2452</v>
      </c>
      <c r="C1167" s="21">
        <v>1193</v>
      </c>
      <c r="D1167" s="22"/>
      <c r="E1167" s="23">
        <v>0</v>
      </c>
      <c r="F1167" s="24" t="s">
        <v>128</v>
      </c>
    </row>
    <row r="1168" spans="1:6" ht="16" customHeight="1" x14ac:dyDescent="0.45">
      <c r="A1168" s="19" t="s">
        <v>2453</v>
      </c>
      <c r="B1168" s="20" t="s">
        <v>2454</v>
      </c>
      <c r="C1168" s="21">
        <v>7090</v>
      </c>
      <c r="D1168" s="22"/>
      <c r="E1168" s="23">
        <v>4.1999998688697811E-3</v>
      </c>
      <c r="F1168" s="24" t="s">
        <v>125</v>
      </c>
    </row>
    <row r="1169" spans="1:6" ht="16" customHeight="1" x14ac:dyDescent="0.45">
      <c r="A1169" s="19" t="s">
        <v>2455</v>
      </c>
      <c r="B1169" s="20" t="s">
        <v>2456</v>
      </c>
      <c r="C1169" s="21">
        <v>480</v>
      </c>
      <c r="D1169" s="22"/>
      <c r="E1169" s="23">
        <v>0</v>
      </c>
      <c r="F1169" s="24" t="s">
        <v>125</v>
      </c>
    </row>
    <row r="1170" spans="1:6" ht="16" customHeight="1" x14ac:dyDescent="0.45">
      <c r="A1170" s="19" t="s">
        <v>2457</v>
      </c>
      <c r="B1170" s="20" t="s">
        <v>2458</v>
      </c>
      <c r="C1170" s="21">
        <v>2790</v>
      </c>
      <c r="D1170" s="22"/>
      <c r="E1170" s="23">
        <v>-1.0599999427795411E-2</v>
      </c>
      <c r="F1170" s="24" t="s">
        <v>125</v>
      </c>
    </row>
    <row r="1171" spans="1:6" ht="16" customHeight="1" x14ac:dyDescent="0.45">
      <c r="A1171" s="19" t="s">
        <v>2459</v>
      </c>
      <c r="B1171" s="20" t="s">
        <v>2460</v>
      </c>
      <c r="C1171" s="21">
        <v>1922</v>
      </c>
      <c r="D1171" s="22"/>
      <c r="E1171" s="23">
        <v>-2.390000104904175E-2</v>
      </c>
      <c r="F1171" s="24" t="s">
        <v>125</v>
      </c>
    </row>
    <row r="1172" spans="1:6" ht="16" customHeight="1" x14ac:dyDescent="0.45">
      <c r="A1172" s="19" t="s">
        <v>2461</v>
      </c>
      <c r="B1172" s="20" t="s">
        <v>2462</v>
      </c>
      <c r="C1172" s="21">
        <v>1739</v>
      </c>
      <c r="D1172" s="22"/>
      <c r="E1172" s="23">
        <v>-5.9499998092651357E-2</v>
      </c>
      <c r="F1172" s="24" t="s">
        <v>128</v>
      </c>
    </row>
    <row r="1173" spans="1:6" ht="16" customHeight="1" x14ac:dyDescent="0.45">
      <c r="A1173" s="19" t="s">
        <v>2463</v>
      </c>
      <c r="B1173" s="20" t="s">
        <v>2464</v>
      </c>
      <c r="C1173" s="21">
        <v>5140</v>
      </c>
      <c r="D1173" s="22"/>
      <c r="E1173" s="23">
        <v>-1.52999997138977E-2</v>
      </c>
      <c r="F1173" s="24" t="s">
        <v>125</v>
      </c>
    </row>
    <row r="1174" spans="1:6" ht="16" customHeight="1" x14ac:dyDescent="0.45">
      <c r="A1174" s="19" t="s">
        <v>2465</v>
      </c>
      <c r="B1174" s="20" t="s">
        <v>2466</v>
      </c>
      <c r="C1174" s="21">
        <v>10590</v>
      </c>
      <c r="D1174" s="22"/>
      <c r="E1174" s="23">
        <v>0.1898999977111816</v>
      </c>
      <c r="F1174" s="24" t="s">
        <v>125</v>
      </c>
    </row>
    <row r="1175" spans="1:6" ht="16" customHeight="1" x14ac:dyDescent="0.45">
      <c r="A1175" s="19" t="s">
        <v>2467</v>
      </c>
      <c r="B1175" s="20" t="s">
        <v>2468</v>
      </c>
      <c r="C1175" s="21">
        <v>58600</v>
      </c>
      <c r="D1175" s="22"/>
      <c r="E1175" s="23">
        <v>-4.4000000953674318E-2</v>
      </c>
      <c r="F1175" s="24" t="s">
        <v>125</v>
      </c>
    </row>
    <row r="1176" spans="1:6" ht="16" customHeight="1" x14ac:dyDescent="0.45">
      <c r="A1176" s="19" t="s">
        <v>2469</v>
      </c>
      <c r="B1176" s="20" t="s">
        <v>2470</v>
      </c>
      <c r="C1176" s="21">
        <v>2215</v>
      </c>
      <c r="D1176" s="22"/>
      <c r="E1176" s="23">
        <v>-5.3400001525878912E-2</v>
      </c>
      <c r="F1176" s="24" t="s">
        <v>125</v>
      </c>
    </row>
    <row r="1177" spans="1:6" ht="16" customHeight="1" x14ac:dyDescent="0.45">
      <c r="A1177" s="19" t="s">
        <v>2471</v>
      </c>
      <c r="B1177" s="20" t="s">
        <v>2472</v>
      </c>
      <c r="C1177" s="21">
        <v>2550</v>
      </c>
      <c r="D1177" s="22"/>
      <c r="E1177" s="23">
        <v>-1.919999957084656E-2</v>
      </c>
      <c r="F1177" s="24" t="s">
        <v>125</v>
      </c>
    </row>
    <row r="1178" spans="1:6" ht="16" customHeight="1" x14ac:dyDescent="0.45">
      <c r="A1178" s="19" t="s">
        <v>2473</v>
      </c>
      <c r="B1178" s="20" t="s">
        <v>2474</v>
      </c>
      <c r="C1178" s="21">
        <v>1068</v>
      </c>
      <c r="D1178" s="22"/>
      <c r="E1178" s="23">
        <v>-4.6999999880790707E-3</v>
      </c>
      <c r="F1178" s="24" t="s">
        <v>125</v>
      </c>
    </row>
    <row r="1179" spans="1:6" ht="16" customHeight="1" x14ac:dyDescent="0.45">
      <c r="A1179" s="19" t="s">
        <v>2475</v>
      </c>
      <c r="B1179" s="20" t="s">
        <v>2476</v>
      </c>
      <c r="C1179" s="21">
        <v>45150</v>
      </c>
      <c r="D1179" s="22"/>
      <c r="E1179" s="23">
        <v>-1.7400000095367432E-2</v>
      </c>
      <c r="F1179" s="24" t="s">
        <v>125</v>
      </c>
    </row>
    <row r="1180" spans="1:6" ht="16" customHeight="1" x14ac:dyDescent="0.45">
      <c r="A1180" s="19" t="s">
        <v>2477</v>
      </c>
      <c r="B1180" s="20" t="s">
        <v>2478</v>
      </c>
      <c r="C1180" s="21">
        <v>19540</v>
      </c>
      <c r="D1180" s="22"/>
      <c r="E1180" s="23">
        <v>-3.0299999713897709E-2</v>
      </c>
      <c r="F1180" s="24" t="s">
        <v>128</v>
      </c>
    </row>
    <row r="1181" spans="1:6" ht="16" customHeight="1" x14ac:dyDescent="0.45">
      <c r="A1181" s="19" t="s">
        <v>2479</v>
      </c>
      <c r="B1181" s="20" t="s">
        <v>2480</v>
      </c>
      <c r="C1181" s="21">
        <v>2892</v>
      </c>
      <c r="D1181" s="22"/>
      <c r="E1181" s="23">
        <v>-0.13670000076293939</v>
      </c>
      <c r="F1181" s="24" t="s">
        <v>125</v>
      </c>
    </row>
    <row r="1182" spans="1:6" ht="16" customHeight="1" x14ac:dyDescent="0.45">
      <c r="A1182" s="19" t="s">
        <v>2481</v>
      </c>
      <c r="B1182" s="20" t="s">
        <v>2482</v>
      </c>
      <c r="C1182" s="21">
        <v>59100</v>
      </c>
      <c r="D1182" s="22"/>
      <c r="E1182" s="23">
        <v>1.899999976158142E-2</v>
      </c>
      <c r="F1182" s="24" t="s">
        <v>125</v>
      </c>
    </row>
    <row r="1183" spans="1:6" ht="16" customHeight="1" x14ac:dyDescent="0.45">
      <c r="A1183" s="19" t="s">
        <v>2483</v>
      </c>
      <c r="B1183" s="20" t="s">
        <v>2484</v>
      </c>
      <c r="C1183" s="21">
        <v>29450</v>
      </c>
      <c r="D1183" s="22"/>
      <c r="E1183" s="23">
        <v>6.9000000953674312E-2</v>
      </c>
      <c r="F1183" s="24" t="s">
        <v>125</v>
      </c>
    </row>
    <row r="1184" spans="1:6" ht="16" customHeight="1" x14ac:dyDescent="0.45">
      <c r="A1184" s="19" t="s">
        <v>2485</v>
      </c>
      <c r="B1184" s="20" t="s">
        <v>2486</v>
      </c>
      <c r="C1184" s="21">
        <v>13480</v>
      </c>
      <c r="D1184" s="22"/>
      <c r="E1184" s="23">
        <v>0.2277000045776367</v>
      </c>
      <c r="F1184" s="24" t="s">
        <v>128</v>
      </c>
    </row>
    <row r="1185" spans="1:6" ht="16" customHeight="1" x14ac:dyDescent="0.45">
      <c r="A1185" s="19" t="s">
        <v>2487</v>
      </c>
      <c r="B1185" s="20" t="s">
        <v>2488</v>
      </c>
      <c r="C1185" s="21">
        <v>7450</v>
      </c>
      <c r="D1185" s="22"/>
      <c r="E1185" s="23">
        <v>-6.4099998474121095E-2</v>
      </c>
      <c r="F1185" s="24" t="s">
        <v>125</v>
      </c>
    </row>
    <row r="1186" spans="1:6" ht="16" customHeight="1" x14ac:dyDescent="0.45">
      <c r="A1186" s="19" t="s">
        <v>2489</v>
      </c>
      <c r="B1186" s="20" t="s">
        <v>2490</v>
      </c>
      <c r="C1186" s="21">
        <v>30</v>
      </c>
      <c r="D1186" s="22"/>
      <c r="E1186" s="23">
        <v>-0.25</v>
      </c>
      <c r="F1186" s="24" t="s">
        <v>125</v>
      </c>
    </row>
    <row r="1187" spans="1:6" ht="16" customHeight="1" x14ac:dyDescent="0.45">
      <c r="A1187" s="19" t="s">
        <v>2491</v>
      </c>
      <c r="B1187" s="20" t="s">
        <v>2492</v>
      </c>
      <c r="C1187" s="21">
        <v>91500</v>
      </c>
      <c r="D1187" s="22"/>
      <c r="E1187" s="23">
        <v>-7.1100001335144047E-2</v>
      </c>
      <c r="F1187" s="24" t="s">
        <v>125</v>
      </c>
    </row>
    <row r="1188" spans="1:6" ht="16" customHeight="1" x14ac:dyDescent="0.45">
      <c r="A1188" s="19" t="s">
        <v>2493</v>
      </c>
      <c r="B1188" s="20" t="s">
        <v>2494</v>
      </c>
      <c r="C1188" s="21">
        <v>11370</v>
      </c>
      <c r="D1188" s="22"/>
      <c r="E1188" s="23">
        <v>1.340000033378601E-2</v>
      </c>
      <c r="F1188" s="24" t="s">
        <v>128</v>
      </c>
    </row>
    <row r="1189" spans="1:6" ht="16" customHeight="1" x14ac:dyDescent="0.45">
      <c r="A1189" s="19" t="s">
        <v>2495</v>
      </c>
      <c r="B1189" s="20" t="s">
        <v>2496</v>
      </c>
      <c r="C1189" s="21">
        <v>10480</v>
      </c>
      <c r="D1189" s="22"/>
      <c r="E1189" s="23">
        <v>-3.5000000000000003E-2</v>
      </c>
      <c r="F1189" s="24" t="s">
        <v>125</v>
      </c>
    </row>
    <row r="1190" spans="1:6" ht="16" customHeight="1" x14ac:dyDescent="0.45">
      <c r="A1190" s="19" t="s">
        <v>2497</v>
      </c>
      <c r="B1190" s="20" t="s">
        <v>2498</v>
      </c>
      <c r="C1190" s="21">
        <v>45600</v>
      </c>
      <c r="D1190" s="22"/>
      <c r="E1190" s="23">
        <v>-1.940000057220459E-2</v>
      </c>
      <c r="F1190" s="24" t="s">
        <v>125</v>
      </c>
    </row>
    <row r="1191" spans="1:6" ht="16" customHeight="1" x14ac:dyDescent="0.45">
      <c r="A1191" s="19" t="s">
        <v>2499</v>
      </c>
      <c r="B1191" s="20" t="s">
        <v>2500</v>
      </c>
      <c r="C1191" s="21">
        <v>13190</v>
      </c>
      <c r="D1191" s="22"/>
      <c r="E1191" s="23">
        <v>-5.2999997138977054E-3</v>
      </c>
      <c r="F1191" s="24" t="s">
        <v>125</v>
      </c>
    </row>
    <row r="1192" spans="1:6" ht="16" customHeight="1" x14ac:dyDescent="0.45">
      <c r="A1192" s="19" t="s">
        <v>2501</v>
      </c>
      <c r="B1192" s="20" t="s">
        <v>2502</v>
      </c>
      <c r="C1192" s="21">
        <v>1854</v>
      </c>
      <c r="D1192" s="22"/>
      <c r="E1192" s="23">
        <v>-2.8299999237060551E-2</v>
      </c>
      <c r="F1192" s="24" t="s">
        <v>128</v>
      </c>
    </row>
    <row r="1193" spans="1:6" ht="16" customHeight="1" x14ac:dyDescent="0.45">
      <c r="A1193" s="19" t="s">
        <v>2503</v>
      </c>
      <c r="B1193" s="20" t="s">
        <v>2504</v>
      </c>
      <c r="C1193" s="21">
        <v>4540</v>
      </c>
      <c r="D1193" s="22"/>
      <c r="E1193" s="23">
        <v>1.340000033378601E-2</v>
      </c>
      <c r="F1193" s="24" t="s">
        <v>128</v>
      </c>
    </row>
    <row r="1194" spans="1:6" ht="16" customHeight="1" x14ac:dyDescent="0.45">
      <c r="A1194" s="19" t="s">
        <v>2505</v>
      </c>
      <c r="B1194" s="20" t="s">
        <v>2506</v>
      </c>
      <c r="C1194" s="21">
        <v>11250</v>
      </c>
      <c r="D1194" s="22"/>
      <c r="E1194" s="23">
        <v>-2.4300000667572021E-2</v>
      </c>
      <c r="F1194" s="24" t="s">
        <v>128</v>
      </c>
    </row>
    <row r="1195" spans="1:6" ht="16" customHeight="1" x14ac:dyDescent="0.45">
      <c r="A1195" s="19" t="s">
        <v>2507</v>
      </c>
      <c r="B1195" s="20" t="s">
        <v>2508</v>
      </c>
      <c r="C1195" s="21">
        <v>11560</v>
      </c>
      <c r="D1195" s="22"/>
      <c r="E1195" s="23">
        <v>-2.02999997138977E-2</v>
      </c>
      <c r="F1195" s="24" t="s">
        <v>128</v>
      </c>
    </row>
    <row r="1196" spans="1:6" ht="16" customHeight="1" x14ac:dyDescent="0.45">
      <c r="A1196" s="19" t="s">
        <v>2509</v>
      </c>
      <c r="B1196" s="20" t="s">
        <v>2510</v>
      </c>
      <c r="C1196" s="21">
        <v>14230</v>
      </c>
      <c r="D1196" s="22"/>
      <c r="E1196" s="23">
        <v>7.799999713897705E-3</v>
      </c>
      <c r="F1196" s="24" t="s">
        <v>125</v>
      </c>
    </row>
    <row r="1197" spans="1:6" ht="16" customHeight="1" x14ac:dyDescent="0.45">
      <c r="A1197" s="19" t="s">
        <v>2511</v>
      </c>
      <c r="B1197" s="20" t="s">
        <v>2512</v>
      </c>
      <c r="C1197" s="21">
        <v>3110</v>
      </c>
      <c r="D1197" s="22"/>
      <c r="E1197" s="23">
        <v>-3.119999885559082E-2</v>
      </c>
      <c r="F1197" s="24" t="s">
        <v>125</v>
      </c>
    </row>
    <row r="1198" spans="1:6" ht="16" customHeight="1" x14ac:dyDescent="0.45">
      <c r="A1198" s="19" t="s">
        <v>2513</v>
      </c>
      <c r="B1198" s="20" t="s">
        <v>2514</v>
      </c>
      <c r="C1198" s="21">
        <v>3255</v>
      </c>
      <c r="D1198" s="22"/>
      <c r="E1198" s="23">
        <v>-3.1000000238418581E-3</v>
      </c>
      <c r="F1198" s="24" t="s">
        <v>125</v>
      </c>
    </row>
    <row r="1199" spans="1:6" ht="16" customHeight="1" x14ac:dyDescent="0.45">
      <c r="A1199" s="19" t="s">
        <v>2515</v>
      </c>
      <c r="B1199" s="20" t="s">
        <v>2516</v>
      </c>
      <c r="C1199" s="21">
        <v>8910</v>
      </c>
      <c r="D1199" s="22"/>
      <c r="E1199" s="23">
        <v>-1.549999952316284E-2</v>
      </c>
      <c r="F1199" s="24" t="s">
        <v>125</v>
      </c>
    </row>
    <row r="1200" spans="1:6" ht="16" customHeight="1" x14ac:dyDescent="0.45">
      <c r="A1200" s="19" t="s">
        <v>2517</v>
      </c>
      <c r="B1200" s="20" t="s">
        <v>2518</v>
      </c>
      <c r="C1200" s="21">
        <v>78800</v>
      </c>
      <c r="D1200" s="22"/>
      <c r="E1200" s="23">
        <v>-1.2500000000000001E-2</v>
      </c>
      <c r="F1200" s="24" t="s">
        <v>125</v>
      </c>
    </row>
    <row r="1201" spans="1:6" ht="16" customHeight="1" x14ac:dyDescent="0.45">
      <c r="A1201" s="19" t="s">
        <v>2519</v>
      </c>
      <c r="B1201" s="20" t="s">
        <v>2520</v>
      </c>
      <c r="C1201" s="21">
        <v>6880</v>
      </c>
      <c r="D1201" s="22"/>
      <c r="E1201" s="23">
        <v>-3.7799999713897713E-2</v>
      </c>
      <c r="F1201" s="24" t="s">
        <v>128</v>
      </c>
    </row>
    <row r="1202" spans="1:6" ht="16" customHeight="1" x14ac:dyDescent="0.45">
      <c r="A1202" s="19" t="s">
        <v>2521</v>
      </c>
      <c r="B1202" s="20" t="s">
        <v>2522</v>
      </c>
      <c r="C1202" s="21">
        <v>4150</v>
      </c>
      <c r="D1202" s="22"/>
      <c r="E1202" s="23">
        <v>-3.2599999904632568E-2</v>
      </c>
      <c r="F1202" s="24" t="s">
        <v>125</v>
      </c>
    </row>
    <row r="1203" spans="1:6" ht="16" customHeight="1" x14ac:dyDescent="0.45">
      <c r="A1203" s="19" t="s">
        <v>2523</v>
      </c>
      <c r="B1203" s="20" t="s">
        <v>2524</v>
      </c>
      <c r="C1203" s="21">
        <v>40150</v>
      </c>
      <c r="D1203" s="22"/>
      <c r="E1203" s="23">
        <v>-7.5900001525878905E-2</v>
      </c>
      <c r="F1203" s="24" t="s">
        <v>125</v>
      </c>
    </row>
    <row r="1204" spans="1:6" ht="16" customHeight="1" x14ac:dyDescent="0.45">
      <c r="A1204" s="19" t="s">
        <v>2525</v>
      </c>
      <c r="B1204" s="20" t="s">
        <v>2526</v>
      </c>
      <c r="C1204" s="21">
        <v>4835</v>
      </c>
      <c r="D1204" s="22"/>
      <c r="E1204" s="23">
        <v>3.1000000238418581E-3</v>
      </c>
      <c r="F1204" s="24" t="s">
        <v>125</v>
      </c>
    </row>
    <row r="1205" spans="1:6" ht="16" customHeight="1" x14ac:dyDescent="0.45">
      <c r="A1205" s="19" t="s">
        <v>2527</v>
      </c>
      <c r="B1205" s="20" t="s">
        <v>2528</v>
      </c>
      <c r="C1205" s="21">
        <v>5250</v>
      </c>
      <c r="D1205" s="22"/>
      <c r="E1205" s="23">
        <v>-2.420000076293945E-2</v>
      </c>
      <c r="F1205" s="24" t="s">
        <v>128</v>
      </c>
    </row>
    <row r="1206" spans="1:6" ht="16" customHeight="1" x14ac:dyDescent="0.45">
      <c r="A1206" s="19" t="s">
        <v>2529</v>
      </c>
      <c r="B1206" s="20" t="s">
        <v>2530</v>
      </c>
      <c r="C1206" s="21">
        <v>41250</v>
      </c>
      <c r="D1206" s="22"/>
      <c r="E1206" s="23">
        <v>-2.710000038146973E-2</v>
      </c>
      <c r="F1206" s="24" t="s">
        <v>125</v>
      </c>
    </row>
    <row r="1207" spans="1:6" ht="16" customHeight="1" x14ac:dyDescent="0.45">
      <c r="A1207" s="19" t="s">
        <v>2531</v>
      </c>
      <c r="B1207" s="20" t="s">
        <v>2532</v>
      </c>
      <c r="C1207" s="21">
        <v>2020</v>
      </c>
      <c r="D1207" s="22"/>
      <c r="E1207" s="23">
        <v>-4.2699999809265143E-2</v>
      </c>
      <c r="F1207" s="24" t="s">
        <v>125</v>
      </c>
    </row>
    <row r="1208" spans="1:6" ht="16" customHeight="1" x14ac:dyDescent="0.45">
      <c r="A1208" s="19" t="s">
        <v>2533</v>
      </c>
      <c r="B1208" s="20" t="s">
        <v>2534</v>
      </c>
      <c r="C1208" s="21">
        <v>1304</v>
      </c>
      <c r="D1208" s="22"/>
      <c r="E1208" s="23">
        <v>-1.8799999952316279E-2</v>
      </c>
      <c r="F1208" s="24" t="s">
        <v>125</v>
      </c>
    </row>
    <row r="1209" spans="1:6" ht="16" customHeight="1" x14ac:dyDescent="0.45">
      <c r="A1209" s="19" t="s">
        <v>2535</v>
      </c>
      <c r="B1209" s="20" t="s">
        <v>2536</v>
      </c>
      <c r="C1209" s="21">
        <v>2195</v>
      </c>
      <c r="D1209" s="22"/>
      <c r="E1209" s="23">
        <v>-6.7899999618530271E-2</v>
      </c>
      <c r="F1209" s="24" t="s">
        <v>125</v>
      </c>
    </row>
    <row r="1210" spans="1:6" ht="16" customHeight="1" x14ac:dyDescent="0.45">
      <c r="A1210" s="19" t="s">
        <v>2537</v>
      </c>
      <c r="B1210" s="20" t="s">
        <v>2538</v>
      </c>
      <c r="C1210" s="21">
        <v>15850</v>
      </c>
      <c r="D1210" s="22"/>
      <c r="E1210" s="23">
        <v>5.0999999046325694E-3</v>
      </c>
      <c r="F1210" s="24" t="s">
        <v>125</v>
      </c>
    </row>
    <row r="1211" spans="1:6" ht="16" customHeight="1" x14ac:dyDescent="0.45">
      <c r="A1211" s="19" t="s">
        <v>2539</v>
      </c>
      <c r="B1211" s="20" t="s">
        <v>2540</v>
      </c>
      <c r="C1211" s="21">
        <v>45350</v>
      </c>
      <c r="D1211" s="22"/>
      <c r="E1211" s="23">
        <v>-7.0700001716613767E-2</v>
      </c>
      <c r="F1211" s="24" t="s">
        <v>125</v>
      </c>
    </row>
    <row r="1212" spans="1:6" ht="16" customHeight="1" x14ac:dyDescent="0.45">
      <c r="A1212" s="19" t="s">
        <v>2541</v>
      </c>
      <c r="B1212" s="20" t="s">
        <v>2542</v>
      </c>
      <c r="C1212" s="21">
        <v>16110</v>
      </c>
      <c r="D1212" s="22"/>
      <c r="E1212" s="23">
        <v>-1.4700000286102291E-2</v>
      </c>
      <c r="F1212" s="24" t="s">
        <v>128</v>
      </c>
    </row>
    <row r="1213" spans="1:6" ht="16" customHeight="1" x14ac:dyDescent="0.45">
      <c r="A1213" s="19" t="s">
        <v>2543</v>
      </c>
      <c r="B1213" s="20" t="s">
        <v>2544</v>
      </c>
      <c r="C1213" s="21">
        <v>10590</v>
      </c>
      <c r="D1213" s="22"/>
      <c r="E1213" s="23">
        <v>1.629999995231628E-2</v>
      </c>
      <c r="F1213" s="24" t="s">
        <v>128</v>
      </c>
    </row>
    <row r="1214" spans="1:6" ht="16" customHeight="1" x14ac:dyDescent="0.45">
      <c r="A1214" s="19" t="s">
        <v>2545</v>
      </c>
      <c r="B1214" s="20" t="s">
        <v>2546</v>
      </c>
      <c r="C1214" s="21">
        <v>65100</v>
      </c>
      <c r="D1214" s="22"/>
      <c r="E1214" s="23">
        <v>-2.9800000190734859E-2</v>
      </c>
      <c r="F1214" s="24" t="s">
        <v>128</v>
      </c>
    </row>
    <row r="1215" spans="1:6" ht="16" customHeight="1" x14ac:dyDescent="0.45">
      <c r="A1215" s="19" t="s">
        <v>2547</v>
      </c>
      <c r="B1215" s="20" t="s">
        <v>2548</v>
      </c>
      <c r="C1215" s="21">
        <v>22050</v>
      </c>
      <c r="D1215" s="22"/>
      <c r="E1215" s="23">
        <v>-2.6500000953674319E-2</v>
      </c>
      <c r="F1215" s="24" t="s">
        <v>125</v>
      </c>
    </row>
    <row r="1216" spans="1:6" ht="16" customHeight="1" x14ac:dyDescent="0.45">
      <c r="A1216" s="19" t="s">
        <v>2549</v>
      </c>
      <c r="B1216" s="20" t="s">
        <v>2550</v>
      </c>
      <c r="C1216" s="21">
        <v>486</v>
      </c>
      <c r="D1216" s="22"/>
      <c r="E1216" s="23">
        <v>0</v>
      </c>
      <c r="F1216" s="24" t="s">
        <v>251</v>
      </c>
    </row>
    <row r="1217" spans="1:6" ht="16" customHeight="1" x14ac:dyDescent="0.45">
      <c r="A1217" s="19" t="s">
        <v>2551</v>
      </c>
      <c r="B1217" s="20" t="s">
        <v>2552</v>
      </c>
      <c r="C1217" s="21">
        <v>6570</v>
      </c>
      <c r="D1217" s="22"/>
      <c r="E1217" s="23">
        <v>9.2000001668930062E-3</v>
      </c>
      <c r="F1217" s="24" t="s">
        <v>125</v>
      </c>
    </row>
    <row r="1218" spans="1:6" ht="16" customHeight="1" x14ac:dyDescent="0.45">
      <c r="A1218" s="19" t="s">
        <v>2553</v>
      </c>
      <c r="B1218" s="20" t="s">
        <v>2554</v>
      </c>
      <c r="C1218" s="21">
        <v>71300</v>
      </c>
      <c r="D1218" s="22"/>
      <c r="E1218" s="23">
        <v>-6.9999998807907101E-3</v>
      </c>
      <c r="F1218" s="24" t="s">
        <v>128</v>
      </c>
    </row>
    <row r="1219" spans="1:6" ht="16" customHeight="1" x14ac:dyDescent="0.45">
      <c r="A1219" s="19" t="s">
        <v>2555</v>
      </c>
      <c r="B1219" s="20" t="s">
        <v>2556</v>
      </c>
      <c r="C1219" s="21">
        <v>176900</v>
      </c>
      <c r="D1219" s="22"/>
      <c r="E1219" s="23">
        <v>-1.6100000143051151E-2</v>
      </c>
      <c r="F1219" s="24" t="s">
        <v>128</v>
      </c>
    </row>
    <row r="1220" spans="1:6" ht="16" customHeight="1" x14ac:dyDescent="0.45">
      <c r="A1220" s="19" t="s">
        <v>2557</v>
      </c>
      <c r="B1220" s="20" t="s">
        <v>2558</v>
      </c>
      <c r="C1220" s="21">
        <v>222500</v>
      </c>
      <c r="D1220" s="22"/>
      <c r="E1220" s="23">
        <v>-2.8399999141693111E-2</v>
      </c>
      <c r="F1220" s="24" t="s">
        <v>128</v>
      </c>
    </row>
    <row r="1221" spans="1:6" ht="16" customHeight="1" x14ac:dyDescent="0.45">
      <c r="A1221" s="19" t="s">
        <v>2559</v>
      </c>
      <c r="B1221" s="20" t="s">
        <v>2560</v>
      </c>
      <c r="C1221" s="21">
        <v>156200</v>
      </c>
      <c r="D1221" s="22"/>
      <c r="E1221" s="23">
        <v>-2.9200000762939451E-2</v>
      </c>
      <c r="F1221" s="24" t="s">
        <v>128</v>
      </c>
    </row>
    <row r="1222" spans="1:6" ht="16" customHeight="1" x14ac:dyDescent="0.45">
      <c r="A1222" s="19" t="s">
        <v>2561</v>
      </c>
      <c r="B1222" s="20" t="s">
        <v>2562</v>
      </c>
      <c r="C1222" s="21">
        <v>1293</v>
      </c>
      <c r="D1222" s="22"/>
      <c r="E1222" s="23">
        <v>0</v>
      </c>
      <c r="F1222" s="24" t="s">
        <v>128</v>
      </c>
    </row>
    <row r="1223" spans="1:6" ht="16" customHeight="1" x14ac:dyDescent="0.45">
      <c r="A1223" s="19" t="s">
        <v>2563</v>
      </c>
      <c r="B1223" s="20" t="s">
        <v>2564</v>
      </c>
      <c r="C1223" s="21">
        <v>2730</v>
      </c>
      <c r="D1223" s="22"/>
      <c r="E1223" s="23">
        <v>-3.7000000476837158E-2</v>
      </c>
      <c r="F1223" s="24" t="s">
        <v>125</v>
      </c>
    </row>
    <row r="1224" spans="1:6" ht="16" customHeight="1" x14ac:dyDescent="0.45">
      <c r="A1224" s="19" t="s">
        <v>2565</v>
      </c>
      <c r="B1224" s="20" t="s">
        <v>2566</v>
      </c>
      <c r="C1224" s="21">
        <v>10930</v>
      </c>
      <c r="D1224" s="22"/>
      <c r="E1224" s="23">
        <v>-3.2699999809265128E-2</v>
      </c>
      <c r="F1224" s="24" t="s">
        <v>125</v>
      </c>
    </row>
    <row r="1225" spans="1:6" ht="16" customHeight="1" x14ac:dyDescent="0.45">
      <c r="A1225" s="19" t="s">
        <v>2567</v>
      </c>
      <c r="B1225" s="20" t="s">
        <v>2568</v>
      </c>
      <c r="C1225" s="21">
        <v>15120</v>
      </c>
      <c r="D1225" s="22"/>
      <c r="E1225" s="23">
        <v>-1.8799999952316279E-2</v>
      </c>
      <c r="F1225" s="24" t="s">
        <v>128</v>
      </c>
    </row>
    <row r="1226" spans="1:6" ht="16" customHeight="1" x14ac:dyDescent="0.45">
      <c r="A1226" s="19" t="s">
        <v>2569</v>
      </c>
      <c r="B1226" s="20" t="s">
        <v>2570</v>
      </c>
      <c r="C1226" s="21">
        <v>3155</v>
      </c>
      <c r="D1226" s="22"/>
      <c r="E1226" s="23">
        <v>-1.8700000047683719E-2</v>
      </c>
      <c r="F1226" s="24" t="s">
        <v>128</v>
      </c>
    </row>
    <row r="1227" spans="1:6" ht="16" customHeight="1" x14ac:dyDescent="0.45">
      <c r="A1227" s="19" t="s">
        <v>2571</v>
      </c>
      <c r="B1227" s="20" t="s">
        <v>2572</v>
      </c>
      <c r="C1227" s="21">
        <v>412</v>
      </c>
      <c r="D1227" s="22"/>
      <c r="E1227" s="23">
        <v>0</v>
      </c>
      <c r="F1227" s="24" t="s">
        <v>125</v>
      </c>
    </row>
    <row r="1228" spans="1:6" ht="16" customHeight="1" x14ac:dyDescent="0.45">
      <c r="A1228" s="19" t="s">
        <v>2573</v>
      </c>
      <c r="B1228" s="20" t="s">
        <v>2574</v>
      </c>
      <c r="C1228" s="21">
        <v>9690</v>
      </c>
      <c r="D1228" s="22"/>
      <c r="E1228" s="23">
        <v>-1.4199999570846561E-2</v>
      </c>
      <c r="F1228" s="24" t="s">
        <v>125</v>
      </c>
    </row>
    <row r="1229" spans="1:6" ht="16" customHeight="1" x14ac:dyDescent="0.45">
      <c r="A1229" s="19" t="s">
        <v>2575</v>
      </c>
      <c r="B1229" s="20" t="s">
        <v>2576</v>
      </c>
      <c r="C1229" s="21">
        <v>1561</v>
      </c>
      <c r="D1229" s="22"/>
      <c r="E1229" s="23">
        <v>-6.25E-2</v>
      </c>
      <c r="F1229" s="24" t="s">
        <v>125</v>
      </c>
    </row>
    <row r="1230" spans="1:6" ht="16" customHeight="1" x14ac:dyDescent="0.45">
      <c r="A1230" s="19" t="s">
        <v>2577</v>
      </c>
      <c r="B1230" s="20" t="s">
        <v>2578</v>
      </c>
      <c r="C1230" s="21">
        <v>19440</v>
      </c>
      <c r="D1230" s="22"/>
      <c r="E1230" s="23">
        <v>-4.2399997711181643E-2</v>
      </c>
      <c r="F1230" s="24" t="s">
        <v>128</v>
      </c>
    </row>
    <row r="1231" spans="1:6" ht="16" customHeight="1" x14ac:dyDescent="0.45">
      <c r="A1231" s="19" t="s">
        <v>2579</v>
      </c>
      <c r="B1231" s="20" t="s">
        <v>2580</v>
      </c>
      <c r="C1231" s="21">
        <v>2290</v>
      </c>
      <c r="D1231" s="22"/>
      <c r="E1231" s="23">
        <v>-1.2899999618530269E-2</v>
      </c>
      <c r="F1231" s="24" t="s">
        <v>125</v>
      </c>
    </row>
    <row r="1232" spans="1:6" ht="16" customHeight="1" x14ac:dyDescent="0.45">
      <c r="A1232" s="19" t="s">
        <v>2581</v>
      </c>
      <c r="B1232" s="20" t="s">
        <v>2582</v>
      </c>
      <c r="C1232" s="21">
        <v>5600</v>
      </c>
      <c r="D1232" s="22"/>
      <c r="E1232" s="23">
        <v>-3.6000001430511481E-3</v>
      </c>
      <c r="F1232" s="24" t="s">
        <v>125</v>
      </c>
    </row>
    <row r="1233" spans="1:6" ht="16" customHeight="1" x14ac:dyDescent="0.45">
      <c r="A1233" s="19" t="s">
        <v>2583</v>
      </c>
      <c r="B1233" s="20" t="s">
        <v>2584</v>
      </c>
      <c r="C1233" s="21">
        <v>804</v>
      </c>
      <c r="D1233" s="22"/>
      <c r="E1233" s="23">
        <v>-3.0199999809265139E-2</v>
      </c>
      <c r="F1233" s="24" t="s">
        <v>125</v>
      </c>
    </row>
    <row r="1234" spans="1:6" ht="16" customHeight="1" x14ac:dyDescent="0.45">
      <c r="A1234" s="19" t="s">
        <v>2585</v>
      </c>
      <c r="B1234" s="20" t="s">
        <v>2586</v>
      </c>
      <c r="C1234" s="21">
        <v>3310</v>
      </c>
      <c r="D1234" s="22"/>
      <c r="E1234" s="23">
        <v>-7.1500000953674314E-2</v>
      </c>
      <c r="F1234" s="24" t="s">
        <v>125</v>
      </c>
    </row>
    <row r="1235" spans="1:6" ht="16" customHeight="1" x14ac:dyDescent="0.45">
      <c r="A1235" s="19" t="s">
        <v>2587</v>
      </c>
      <c r="B1235" s="20" t="s">
        <v>2588</v>
      </c>
      <c r="C1235" s="21">
        <v>2505</v>
      </c>
      <c r="D1235" s="22"/>
      <c r="E1235" s="23">
        <v>3.9400000572204587E-2</v>
      </c>
      <c r="F1235" s="24" t="s">
        <v>125</v>
      </c>
    </row>
    <row r="1236" spans="1:6" ht="16" customHeight="1" x14ac:dyDescent="0.45">
      <c r="A1236" s="19" t="s">
        <v>2589</v>
      </c>
      <c r="B1236" s="20" t="s">
        <v>2590</v>
      </c>
      <c r="C1236" s="21">
        <v>13820</v>
      </c>
      <c r="D1236" s="22"/>
      <c r="E1236" s="23">
        <v>-3.0199999809265139E-2</v>
      </c>
      <c r="F1236" s="24" t="s">
        <v>125</v>
      </c>
    </row>
    <row r="1237" spans="1:6" ht="16" customHeight="1" x14ac:dyDescent="0.45">
      <c r="A1237" s="19" t="s">
        <v>2591</v>
      </c>
      <c r="B1237" s="20" t="s">
        <v>2592</v>
      </c>
      <c r="C1237" s="21">
        <v>5250</v>
      </c>
      <c r="D1237" s="22"/>
      <c r="E1237" s="23">
        <v>0</v>
      </c>
      <c r="F1237" s="24" t="s">
        <v>125</v>
      </c>
    </row>
    <row r="1238" spans="1:6" ht="16" customHeight="1" x14ac:dyDescent="0.45">
      <c r="A1238" s="19" t="s">
        <v>2593</v>
      </c>
      <c r="B1238" s="20" t="s">
        <v>2594</v>
      </c>
      <c r="C1238" s="21">
        <v>5010</v>
      </c>
      <c r="D1238" s="22"/>
      <c r="E1238" s="23">
        <v>-3.8399999141693113E-2</v>
      </c>
      <c r="F1238" s="24" t="s">
        <v>125</v>
      </c>
    </row>
    <row r="1239" spans="1:6" ht="16" customHeight="1" x14ac:dyDescent="0.45">
      <c r="A1239" s="19" t="s">
        <v>2595</v>
      </c>
      <c r="B1239" s="20" t="s">
        <v>2596</v>
      </c>
      <c r="C1239" s="21">
        <v>1009</v>
      </c>
      <c r="D1239" s="22"/>
      <c r="E1239" s="23">
        <v>0</v>
      </c>
      <c r="F1239" s="24" t="s">
        <v>125</v>
      </c>
    </row>
    <row r="1240" spans="1:6" ht="16" customHeight="1" x14ac:dyDescent="0.45">
      <c r="A1240" s="19" t="s">
        <v>2597</v>
      </c>
      <c r="B1240" s="20" t="s">
        <v>2598</v>
      </c>
      <c r="C1240" s="21">
        <v>3130</v>
      </c>
      <c r="D1240" s="22"/>
      <c r="E1240" s="23">
        <v>-2.339999914169312E-2</v>
      </c>
      <c r="F1240" s="24" t="s">
        <v>125</v>
      </c>
    </row>
    <row r="1241" spans="1:6" ht="16" customHeight="1" x14ac:dyDescent="0.45">
      <c r="A1241" s="19" t="s">
        <v>2599</v>
      </c>
      <c r="B1241" s="20" t="s">
        <v>2600</v>
      </c>
      <c r="C1241" s="21">
        <v>12730</v>
      </c>
      <c r="D1241" s="22"/>
      <c r="E1241" s="23">
        <v>-2.380000114440918E-2</v>
      </c>
      <c r="F1241" s="24" t="s">
        <v>125</v>
      </c>
    </row>
    <row r="1242" spans="1:6" ht="16" customHeight="1" x14ac:dyDescent="0.45">
      <c r="A1242" s="19" t="s">
        <v>2601</v>
      </c>
      <c r="B1242" s="20" t="s">
        <v>2602</v>
      </c>
      <c r="C1242" s="21">
        <v>4120</v>
      </c>
      <c r="D1242" s="22"/>
      <c r="E1242" s="23">
        <v>-3.0599999427795409E-2</v>
      </c>
      <c r="F1242" s="24" t="s">
        <v>125</v>
      </c>
    </row>
    <row r="1243" spans="1:6" ht="16" customHeight="1" x14ac:dyDescent="0.45">
      <c r="A1243" s="19" t="s">
        <v>2603</v>
      </c>
      <c r="B1243" s="20" t="s">
        <v>2604</v>
      </c>
      <c r="C1243" s="21">
        <v>7720</v>
      </c>
      <c r="D1243" s="22"/>
      <c r="E1243" s="23">
        <v>-4.4600000381469718E-2</v>
      </c>
      <c r="F1243" s="24" t="s">
        <v>125</v>
      </c>
    </row>
    <row r="1244" spans="1:6" ht="16" customHeight="1" x14ac:dyDescent="0.45">
      <c r="A1244" s="19" t="s">
        <v>2605</v>
      </c>
      <c r="B1244" s="20" t="s">
        <v>2606</v>
      </c>
      <c r="C1244" s="21">
        <v>30800</v>
      </c>
      <c r="D1244" s="22"/>
      <c r="E1244" s="23">
        <v>-0.14329999923706049</v>
      </c>
      <c r="F1244" s="24" t="s">
        <v>125</v>
      </c>
    </row>
    <row r="1245" spans="1:6" ht="16" customHeight="1" x14ac:dyDescent="0.45">
      <c r="A1245" s="19" t="s">
        <v>2607</v>
      </c>
      <c r="B1245" s="20" t="s">
        <v>2608</v>
      </c>
      <c r="C1245" s="21">
        <v>196300</v>
      </c>
      <c r="D1245" s="22"/>
      <c r="E1245" s="23">
        <v>-7.5999999046325682E-3</v>
      </c>
      <c r="F1245" s="24" t="s">
        <v>128</v>
      </c>
    </row>
    <row r="1246" spans="1:6" ht="16" customHeight="1" x14ac:dyDescent="0.45">
      <c r="A1246" s="19" t="s">
        <v>2609</v>
      </c>
      <c r="B1246" s="20" t="s">
        <v>2610</v>
      </c>
      <c r="C1246" s="21">
        <v>55000</v>
      </c>
      <c r="D1246" s="22"/>
      <c r="E1246" s="23">
        <v>-1.0800000429153441E-2</v>
      </c>
      <c r="F1246" s="24" t="s">
        <v>125</v>
      </c>
    </row>
    <row r="1247" spans="1:6" ht="16" customHeight="1" x14ac:dyDescent="0.45">
      <c r="A1247" s="19" t="s">
        <v>2611</v>
      </c>
      <c r="B1247" s="20" t="s">
        <v>2612</v>
      </c>
      <c r="C1247" s="21">
        <v>778</v>
      </c>
      <c r="D1247" s="22"/>
      <c r="E1247" s="23">
        <v>0</v>
      </c>
      <c r="F1247" s="24" t="s">
        <v>125</v>
      </c>
    </row>
    <row r="1248" spans="1:6" ht="16" customHeight="1" x14ac:dyDescent="0.45">
      <c r="A1248" s="19" t="s">
        <v>2613</v>
      </c>
      <c r="B1248" s="20" t="s">
        <v>2614</v>
      </c>
      <c r="C1248" s="21">
        <v>420</v>
      </c>
      <c r="D1248" s="22"/>
      <c r="E1248" s="23">
        <v>-9.3999999761581413E-3</v>
      </c>
      <c r="F1248" s="24" t="s">
        <v>125</v>
      </c>
    </row>
    <row r="1249" spans="1:6" ht="16" customHeight="1" x14ac:dyDescent="0.45">
      <c r="A1249" s="19" t="s">
        <v>2615</v>
      </c>
      <c r="B1249" s="20" t="s">
        <v>2616</v>
      </c>
      <c r="C1249" s="21">
        <v>3465</v>
      </c>
      <c r="D1249" s="22"/>
      <c r="E1249" s="23">
        <v>-4.4099998474121091E-2</v>
      </c>
      <c r="F1249" s="24" t="s">
        <v>125</v>
      </c>
    </row>
    <row r="1250" spans="1:6" ht="16" customHeight="1" x14ac:dyDescent="0.45">
      <c r="A1250" s="19" t="s">
        <v>2617</v>
      </c>
      <c r="B1250" s="20" t="s">
        <v>2618</v>
      </c>
      <c r="C1250" s="21">
        <v>3465</v>
      </c>
      <c r="D1250" s="22"/>
      <c r="E1250" s="23">
        <v>-1.980000019073486E-2</v>
      </c>
      <c r="F1250" s="24" t="s">
        <v>125</v>
      </c>
    </row>
    <row r="1251" spans="1:6" ht="16" customHeight="1" x14ac:dyDescent="0.45">
      <c r="A1251" s="19" t="s">
        <v>2619</v>
      </c>
      <c r="B1251" s="20" t="s">
        <v>2620</v>
      </c>
      <c r="C1251" s="21">
        <v>268</v>
      </c>
      <c r="D1251" s="22"/>
      <c r="E1251" s="23">
        <v>0</v>
      </c>
      <c r="F1251" s="24" t="s">
        <v>125</v>
      </c>
    </row>
    <row r="1252" spans="1:6" ht="16" customHeight="1" x14ac:dyDescent="0.45">
      <c r="A1252" s="19" t="s">
        <v>2621</v>
      </c>
      <c r="B1252" s="20" t="s">
        <v>2622</v>
      </c>
      <c r="C1252" s="21">
        <v>6270</v>
      </c>
      <c r="D1252" s="22"/>
      <c r="E1252" s="23">
        <v>0</v>
      </c>
      <c r="F1252" s="24" t="s">
        <v>125</v>
      </c>
    </row>
    <row r="1253" spans="1:6" ht="16" customHeight="1" x14ac:dyDescent="0.45">
      <c r="A1253" s="19" t="s">
        <v>2623</v>
      </c>
      <c r="B1253" s="20" t="s">
        <v>2624</v>
      </c>
      <c r="C1253" s="21">
        <v>1718</v>
      </c>
      <c r="D1253" s="22"/>
      <c r="E1253" s="23">
        <v>0</v>
      </c>
      <c r="F1253" s="24" t="s">
        <v>125</v>
      </c>
    </row>
    <row r="1254" spans="1:6" ht="16" customHeight="1" x14ac:dyDescent="0.45">
      <c r="A1254" s="19" t="s">
        <v>2625</v>
      </c>
      <c r="B1254" s="20" t="s">
        <v>2626</v>
      </c>
      <c r="C1254" s="21">
        <v>680</v>
      </c>
      <c r="D1254" s="22"/>
      <c r="E1254" s="23">
        <v>0</v>
      </c>
      <c r="F1254" s="24" t="s">
        <v>125</v>
      </c>
    </row>
    <row r="1255" spans="1:6" ht="16" customHeight="1" x14ac:dyDescent="0.45">
      <c r="A1255" s="19" t="s">
        <v>2627</v>
      </c>
      <c r="B1255" s="20" t="s">
        <v>2628</v>
      </c>
      <c r="C1255" s="21">
        <v>2910</v>
      </c>
      <c r="D1255" s="22"/>
      <c r="E1255" s="23">
        <v>-1.519999980926514E-2</v>
      </c>
      <c r="F1255" s="24" t="s">
        <v>125</v>
      </c>
    </row>
    <row r="1256" spans="1:6" ht="16" customHeight="1" x14ac:dyDescent="0.45">
      <c r="A1256" s="19" t="s">
        <v>2629</v>
      </c>
      <c r="B1256" s="20" t="s">
        <v>2630</v>
      </c>
      <c r="C1256" s="21">
        <v>190</v>
      </c>
      <c r="D1256" s="22"/>
      <c r="E1256" s="23">
        <v>0</v>
      </c>
      <c r="F1256" s="24" t="s">
        <v>251</v>
      </c>
    </row>
    <row r="1257" spans="1:6" ht="16" customHeight="1" x14ac:dyDescent="0.45">
      <c r="A1257" s="19" t="s">
        <v>2631</v>
      </c>
      <c r="B1257" s="20" t="s">
        <v>2632</v>
      </c>
      <c r="C1257" s="21">
        <v>13260</v>
      </c>
      <c r="D1257" s="22"/>
      <c r="E1257" s="23">
        <v>-2.9300000667572022E-2</v>
      </c>
      <c r="F1257" s="24" t="s">
        <v>128</v>
      </c>
    </row>
    <row r="1258" spans="1:6" ht="16" customHeight="1" x14ac:dyDescent="0.45">
      <c r="A1258" s="19" t="s">
        <v>2633</v>
      </c>
      <c r="B1258" s="20" t="s">
        <v>2634</v>
      </c>
      <c r="C1258" s="21">
        <v>2620</v>
      </c>
      <c r="D1258" s="22"/>
      <c r="E1258" s="23">
        <v>-1.3200000524520869E-2</v>
      </c>
      <c r="F1258" s="24" t="s">
        <v>128</v>
      </c>
    </row>
    <row r="1259" spans="1:6" ht="16" customHeight="1" x14ac:dyDescent="0.45">
      <c r="A1259" s="19" t="s">
        <v>2635</v>
      </c>
      <c r="B1259" s="20" t="s">
        <v>2636</v>
      </c>
      <c r="C1259" s="21">
        <v>3600</v>
      </c>
      <c r="D1259" s="22"/>
      <c r="E1259" s="23">
        <v>-2.0399999618530271E-2</v>
      </c>
      <c r="F1259" s="24" t="s">
        <v>128</v>
      </c>
    </row>
    <row r="1260" spans="1:6" ht="16" customHeight="1" x14ac:dyDescent="0.45">
      <c r="A1260" s="19" t="s">
        <v>2637</v>
      </c>
      <c r="B1260" s="20" t="s">
        <v>2638</v>
      </c>
      <c r="C1260" s="21">
        <v>22800</v>
      </c>
      <c r="D1260" s="22"/>
      <c r="E1260" s="23">
        <v>9.3500003814697266E-2</v>
      </c>
      <c r="F1260" s="24" t="s">
        <v>128</v>
      </c>
    </row>
    <row r="1261" spans="1:6" ht="16" customHeight="1" x14ac:dyDescent="0.45">
      <c r="A1261" s="19" t="s">
        <v>2639</v>
      </c>
      <c r="B1261" s="20" t="s">
        <v>2640</v>
      </c>
      <c r="C1261" s="21">
        <v>3775</v>
      </c>
      <c r="D1261" s="22"/>
      <c r="E1261" s="23">
        <v>-6.6000002622604373E-3</v>
      </c>
      <c r="F1261" s="24" t="s">
        <v>125</v>
      </c>
    </row>
    <row r="1262" spans="1:6" ht="16" customHeight="1" x14ac:dyDescent="0.45">
      <c r="A1262" s="19" t="s">
        <v>2641</v>
      </c>
      <c r="B1262" s="20" t="s">
        <v>2642</v>
      </c>
      <c r="C1262" s="21">
        <v>458500</v>
      </c>
      <c r="D1262" s="22"/>
      <c r="E1262" s="23">
        <v>0</v>
      </c>
      <c r="F1262" s="24" t="s">
        <v>125</v>
      </c>
    </row>
    <row r="1263" spans="1:6" ht="16" customHeight="1" x14ac:dyDescent="0.45">
      <c r="A1263" s="19" t="s">
        <v>2643</v>
      </c>
      <c r="B1263" s="20" t="s">
        <v>2644</v>
      </c>
      <c r="C1263" s="21">
        <v>71300</v>
      </c>
      <c r="D1263" s="22"/>
      <c r="E1263" s="23">
        <v>-8.2999998331069955E-3</v>
      </c>
      <c r="F1263" s="24" t="s">
        <v>125</v>
      </c>
    </row>
    <row r="1264" spans="1:6" ht="16" customHeight="1" x14ac:dyDescent="0.45">
      <c r="A1264" s="19" t="s">
        <v>2645</v>
      </c>
      <c r="B1264" s="20" t="s">
        <v>2646</v>
      </c>
      <c r="C1264" s="21">
        <v>22300</v>
      </c>
      <c r="D1264" s="22"/>
      <c r="E1264" s="23">
        <v>-3.2500000000000001E-2</v>
      </c>
      <c r="F1264" s="24" t="s">
        <v>125</v>
      </c>
    </row>
    <row r="1265" spans="1:6" ht="16" customHeight="1" x14ac:dyDescent="0.45">
      <c r="A1265" s="19" t="s">
        <v>2647</v>
      </c>
      <c r="B1265" s="20" t="s">
        <v>2648</v>
      </c>
      <c r="C1265" s="21">
        <v>885</v>
      </c>
      <c r="D1265" s="22"/>
      <c r="E1265" s="23">
        <v>0</v>
      </c>
      <c r="F1265" s="24" t="s">
        <v>125</v>
      </c>
    </row>
    <row r="1266" spans="1:6" ht="16" customHeight="1" x14ac:dyDescent="0.45">
      <c r="A1266" s="19" t="s">
        <v>2649</v>
      </c>
      <c r="B1266" s="20" t="s">
        <v>2650</v>
      </c>
      <c r="C1266" s="21">
        <v>15150</v>
      </c>
      <c r="D1266" s="22"/>
      <c r="E1266" s="23">
        <v>-3.8099999427795413E-2</v>
      </c>
      <c r="F1266" s="24" t="s">
        <v>128</v>
      </c>
    </row>
    <row r="1267" spans="1:6" ht="16" customHeight="1" x14ac:dyDescent="0.45">
      <c r="A1267" s="19" t="s">
        <v>2651</v>
      </c>
      <c r="B1267" s="20" t="s">
        <v>2652</v>
      </c>
      <c r="C1267" s="21">
        <v>3000</v>
      </c>
      <c r="D1267" s="22"/>
      <c r="E1267" s="23">
        <v>1.350000023841858E-2</v>
      </c>
      <c r="F1267" s="24" t="s">
        <v>125</v>
      </c>
    </row>
    <row r="1268" spans="1:6" ht="16" customHeight="1" x14ac:dyDescent="0.45">
      <c r="A1268" s="19" t="s">
        <v>2653</v>
      </c>
      <c r="B1268" s="20" t="s">
        <v>2654</v>
      </c>
      <c r="C1268" s="21">
        <v>3090</v>
      </c>
      <c r="D1268" s="22"/>
      <c r="E1268" s="23">
        <v>3.1999999284744261E-3</v>
      </c>
      <c r="F1268" s="24" t="s">
        <v>128</v>
      </c>
    </row>
    <row r="1269" spans="1:6" ht="16" customHeight="1" x14ac:dyDescent="0.45">
      <c r="A1269" s="19" t="s">
        <v>2655</v>
      </c>
      <c r="B1269" s="20" t="s">
        <v>2656</v>
      </c>
      <c r="C1269" s="21">
        <v>9450</v>
      </c>
      <c r="D1269" s="22"/>
      <c r="E1269" s="23">
        <v>-5.2999997138977054E-3</v>
      </c>
      <c r="F1269" s="24" t="s">
        <v>125</v>
      </c>
    </row>
    <row r="1270" spans="1:6" ht="16" customHeight="1" x14ac:dyDescent="0.45">
      <c r="A1270" s="19" t="s">
        <v>2657</v>
      </c>
      <c r="B1270" s="20" t="s">
        <v>2658</v>
      </c>
      <c r="C1270" s="21">
        <v>34400</v>
      </c>
      <c r="D1270" s="22"/>
      <c r="E1270" s="23">
        <v>-3.6400001049041751E-2</v>
      </c>
      <c r="F1270" s="24" t="s">
        <v>128</v>
      </c>
    </row>
    <row r="1271" spans="1:6" ht="16" customHeight="1" x14ac:dyDescent="0.45">
      <c r="A1271" s="19" t="s">
        <v>2659</v>
      </c>
      <c r="B1271" s="20" t="s">
        <v>2660</v>
      </c>
      <c r="C1271" s="21">
        <v>1159</v>
      </c>
      <c r="D1271" s="22"/>
      <c r="E1271" s="23">
        <v>-4.6900000572204593E-2</v>
      </c>
      <c r="F1271" s="24" t="s">
        <v>125</v>
      </c>
    </row>
    <row r="1272" spans="1:6" ht="16" customHeight="1" x14ac:dyDescent="0.45">
      <c r="A1272" s="19" t="s">
        <v>2661</v>
      </c>
      <c r="B1272" s="20" t="s">
        <v>2662</v>
      </c>
      <c r="C1272" s="21">
        <v>5400</v>
      </c>
      <c r="D1272" s="22"/>
      <c r="E1272" s="23">
        <v>-2.349999904632568E-2</v>
      </c>
      <c r="F1272" s="24" t="s">
        <v>125</v>
      </c>
    </row>
    <row r="1273" spans="1:6" ht="16" customHeight="1" x14ac:dyDescent="0.45">
      <c r="A1273" s="19" t="s">
        <v>2663</v>
      </c>
      <c r="B1273" s="20" t="s">
        <v>2664</v>
      </c>
      <c r="C1273" s="21">
        <v>997</v>
      </c>
      <c r="D1273" s="22"/>
      <c r="E1273" s="23">
        <v>-1.0000000149011611E-3</v>
      </c>
      <c r="F1273" s="24" t="s">
        <v>251</v>
      </c>
    </row>
    <row r="1274" spans="1:6" ht="16" customHeight="1" x14ac:dyDescent="0.45">
      <c r="A1274" s="19" t="s">
        <v>2665</v>
      </c>
      <c r="B1274" s="20" t="s">
        <v>2666</v>
      </c>
      <c r="C1274" s="21">
        <v>7710</v>
      </c>
      <c r="D1274" s="22"/>
      <c r="E1274" s="23">
        <v>-1.0299999713897711E-2</v>
      </c>
      <c r="F1274" s="24" t="s">
        <v>125</v>
      </c>
    </row>
    <row r="1275" spans="1:6" ht="16" customHeight="1" x14ac:dyDescent="0.45">
      <c r="A1275" s="19" t="s">
        <v>2667</v>
      </c>
      <c r="B1275" s="20" t="s">
        <v>2668</v>
      </c>
      <c r="C1275" s="21">
        <v>52300</v>
      </c>
      <c r="D1275" s="22"/>
      <c r="E1275" s="23">
        <v>-3.8599998950958253E-2</v>
      </c>
      <c r="F1275" s="24" t="s">
        <v>125</v>
      </c>
    </row>
    <row r="1276" spans="1:6" ht="16" customHeight="1" x14ac:dyDescent="0.45">
      <c r="A1276" s="19" t="s">
        <v>2669</v>
      </c>
      <c r="B1276" s="20" t="s">
        <v>2670</v>
      </c>
      <c r="C1276" s="21">
        <v>11810</v>
      </c>
      <c r="D1276" s="22"/>
      <c r="E1276" s="23">
        <v>2.700000047683716E-2</v>
      </c>
      <c r="F1276" s="24" t="s">
        <v>125</v>
      </c>
    </row>
    <row r="1277" spans="1:6" ht="16" customHeight="1" x14ac:dyDescent="0.45">
      <c r="A1277" s="19" t="s">
        <v>2671</v>
      </c>
      <c r="B1277" s="20" t="s">
        <v>2672</v>
      </c>
      <c r="C1277" s="21">
        <v>27000</v>
      </c>
      <c r="D1277" s="22"/>
      <c r="E1277" s="23">
        <v>3.7000000476837161E-3</v>
      </c>
      <c r="F1277" s="24" t="s">
        <v>125</v>
      </c>
    </row>
    <row r="1278" spans="1:6" ht="16" customHeight="1" x14ac:dyDescent="0.45">
      <c r="A1278" s="19" t="s">
        <v>2673</v>
      </c>
      <c r="B1278" s="20" t="s">
        <v>2674</v>
      </c>
      <c r="C1278" s="21">
        <v>7250</v>
      </c>
      <c r="D1278" s="22"/>
      <c r="E1278" s="23">
        <v>2.9800000190734859E-2</v>
      </c>
      <c r="F1278" s="24" t="s">
        <v>125</v>
      </c>
    </row>
    <row r="1279" spans="1:6" ht="16" customHeight="1" x14ac:dyDescent="0.45">
      <c r="A1279" s="19" t="s">
        <v>2675</v>
      </c>
      <c r="B1279" s="20" t="s">
        <v>2676</v>
      </c>
      <c r="C1279" s="21">
        <v>4110</v>
      </c>
      <c r="D1279" s="22"/>
      <c r="E1279" s="23">
        <v>-4.5300002098083499E-2</v>
      </c>
      <c r="F1279" s="24" t="s">
        <v>125</v>
      </c>
    </row>
    <row r="1280" spans="1:6" ht="16" customHeight="1" x14ac:dyDescent="0.45">
      <c r="A1280" s="19" t="s">
        <v>2677</v>
      </c>
      <c r="B1280" s="20" t="s">
        <v>2678</v>
      </c>
      <c r="C1280" s="21">
        <v>2675</v>
      </c>
      <c r="D1280" s="22"/>
      <c r="E1280" s="23">
        <v>-3.4300000667572023E-2</v>
      </c>
      <c r="F1280" s="24" t="s">
        <v>125</v>
      </c>
    </row>
    <row r="1281" spans="1:6" ht="16" customHeight="1" x14ac:dyDescent="0.45">
      <c r="A1281" s="19" t="s">
        <v>2679</v>
      </c>
      <c r="B1281" s="20" t="s">
        <v>2680</v>
      </c>
      <c r="C1281" s="21">
        <v>4775</v>
      </c>
      <c r="D1281" s="22"/>
      <c r="E1281" s="23">
        <v>-2.349999904632568E-2</v>
      </c>
      <c r="F1281" s="24" t="s">
        <v>128</v>
      </c>
    </row>
    <row r="1282" spans="1:6" ht="16" customHeight="1" x14ac:dyDescent="0.45">
      <c r="A1282" s="19" t="s">
        <v>2681</v>
      </c>
      <c r="B1282" s="20" t="s">
        <v>2682</v>
      </c>
      <c r="C1282" s="21">
        <v>327</v>
      </c>
      <c r="D1282" s="22"/>
      <c r="E1282" s="23">
        <v>0</v>
      </c>
      <c r="F1282" s="24" t="s">
        <v>125</v>
      </c>
    </row>
    <row r="1283" spans="1:6" ht="16" customHeight="1" x14ac:dyDescent="0.45">
      <c r="A1283" s="19" t="s">
        <v>2683</v>
      </c>
      <c r="B1283" s="20" t="s">
        <v>2684</v>
      </c>
      <c r="C1283" s="21">
        <v>2035</v>
      </c>
      <c r="D1283" s="22"/>
      <c r="E1283" s="23">
        <v>0</v>
      </c>
      <c r="F1283" s="24" t="s">
        <v>128</v>
      </c>
    </row>
    <row r="1284" spans="1:6" ht="16" customHeight="1" x14ac:dyDescent="0.45">
      <c r="A1284" s="19" t="s">
        <v>2685</v>
      </c>
      <c r="B1284" s="20" t="s">
        <v>2686</v>
      </c>
      <c r="C1284" s="21">
        <v>1976</v>
      </c>
      <c r="D1284" s="22"/>
      <c r="E1284" s="23">
        <v>0</v>
      </c>
      <c r="F1284" s="24" t="s">
        <v>125</v>
      </c>
    </row>
    <row r="1285" spans="1:6" ht="16" customHeight="1" x14ac:dyDescent="0.45">
      <c r="A1285" s="19" t="s">
        <v>2687</v>
      </c>
      <c r="B1285" s="20" t="s">
        <v>2688</v>
      </c>
      <c r="C1285" s="21">
        <v>3060</v>
      </c>
      <c r="D1285" s="22"/>
      <c r="E1285" s="23">
        <v>-3.0099999904632569E-2</v>
      </c>
      <c r="F1285" s="24" t="s">
        <v>125</v>
      </c>
    </row>
    <row r="1286" spans="1:6" ht="16" customHeight="1" x14ac:dyDescent="0.45">
      <c r="A1286" s="19" t="s">
        <v>2689</v>
      </c>
      <c r="B1286" s="20" t="s">
        <v>2690</v>
      </c>
      <c r="C1286" s="21">
        <v>3950</v>
      </c>
      <c r="D1286" s="22"/>
      <c r="E1286" s="23">
        <v>-2.5000000000000001E-3</v>
      </c>
      <c r="F1286" s="24" t="s">
        <v>125</v>
      </c>
    </row>
    <row r="1287" spans="1:6" ht="16" customHeight="1" x14ac:dyDescent="0.45">
      <c r="A1287" s="19" t="s">
        <v>2691</v>
      </c>
      <c r="B1287" s="20" t="s">
        <v>2692</v>
      </c>
      <c r="C1287" s="21">
        <v>6470</v>
      </c>
      <c r="D1287" s="22"/>
      <c r="E1287" s="23">
        <v>-3.1400001049041747E-2</v>
      </c>
      <c r="F1287" s="24" t="s">
        <v>125</v>
      </c>
    </row>
    <row r="1288" spans="1:6" ht="16" customHeight="1" x14ac:dyDescent="0.45">
      <c r="A1288" s="19" t="s">
        <v>2693</v>
      </c>
      <c r="B1288" s="20" t="s">
        <v>2694</v>
      </c>
      <c r="C1288" s="21">
        <v>3750</v>
      </c>
      <c r="D1288" s="22"/>
      <c r="E1288" s="23">
        <v>-1.570000052452087E-2</v>
      </c>
      <c r="F1288" s="24" t="s">
        <v>125</v>
      </c>
    </row>
    <row r="1289" spans="1:6" ht="16" customHeight="1" x14ac:dyDescent="0.45">
      <c r="A1289" s="19" t="s">
        <v>2695</v>
      </c>
      <c r="B1289" s="20" t="s">
        <v>2696</v>
      </c>
      <c r="C1289" s="21">
        <v>34050</v>
      </c>
      <c r="D1289" s="22"/>
      <c r="E1289" s="23">
        <v>-2.1600000858306889E-2</v>
      </c>
      <c r="F1289" s="24" t="s">
        <v>125</v>
      </c>
    </row>
    <row r="1290" spans="1:6" ht="16" customHeight="1" x14ac:dyDescent="0.45">
      <c r="A1290" s="19" t="s">
        <v>2697</v>
      </c>
      <c r="B1290" s="20" t="s">
        <v>2698</v>
      </c>
      <c r="C1290" s="21">
        <v>2770</v>
      </c>
      <c r="D1290" s="22"/>
      <c r="E1290" s="23">
        <v>6.1300001144409179E-2</v>
      </c>
      <c r="F1290" s="24" t="s">
        <v>125</v>
      </c>
    </row>
    <row r="1291" spans="1:6" ht="16" customHeight="1" x14ac:dyDescent="0.45">
      <c r="A1291" s="19" t="s">
        <v>2699</v>
      </c>
      <c r="B1291" s="20" t="s">
        <v>2700</v>
      </c>
      <c r="C1291" s="21">
        <v>2150</v>
      </c>
      <c r="D1291" s="22"/>
      <c r="E1291" s="23">
        <v>-3.3699998855590822E-2</v>
      </c>
      <c r="F1291" s="24" t="s">
        <v>125</v>
      </c>
    </row>
    <row r="1292" spans="1:6" ht="16" customHeight="1" x14ac:dyDescent="0.45">
      <c r="A1292" s="19" t="s">
        <v>2701</v>
      </c>
      <c r="B1292" s="20" t="s">
        <v>2702</v>
      </c>
      <c r="C1292" s="21">
        <v>9810</v>
      </c>
      <c r="D1292" s="22"/>
      <c r="E1292" s="23">
        <v>-1.600000023841858E-2</v>
      </c>
      <c r="F1292" s="24" t="s">
        <v>128</v>
      </c>
    </row>
    <row r="1293" spans="1:6" ht="16" customHeight="1" x14ac:dyDescent="0.45">
      <c r="A1293" s="19" t="s">
        <v>2703</v>
      </c>
      <c r="B1293" s="20" t="s">
        <v>2704</v>
      </c>
      <c r="C1293" s="21">
        <v>2790</v>
      </c>
      <c r="D1293" s="22"/>
      <c r="E1293" s="23">
        <v>-4.1199998855590822E-2</v>
      </c>
      <c r="F1293" s="24" t="s">
        <v>125</v>
      </c>
    </row>
    <row r="1294" spans="1:6" ht="16" customHeight="1" x14ac:dyDescent="0.45">
      <c r="A1294" s="19" t="s">
        <v>2705</v>
      </c>
      <c r="B1294" s="20" t="s">
        <v>2706</v>
      </c>
      <c r="C1294" s="21">
        <v>40650</v>
      </c>
      <c r="D1294" s="22"/>
      <c r="E1294" s="23">
        <v>-1.929999947547913E-2</v>
      </c>
      <c r="F1294" s="24" t="s">
        <v>125</v>
      </c>
    </row>
    <row r="1295" spans="1:6" ht="16" customHeight="1" x14ac:dyDescent="0.45">
      <c r="A1295" s="19" t="s">
        <v>2707</v>
      </c>
      <c r="B1295" s="20" t="s">
        <v>2708</v>
      </c>
      <c r="C1295" s="21">
        <v>7490</v>
      </c>
      <c r="D1295" s="22"/>
      <c r="E1295" s="23">
        <v>4.0000000596046451E-3</v>
      </c>
      <c r="F1295" s="24" t="s">
        <v>125</v>
      </c>
    </row>
    <row r="1296" spans="1:6" ht="16" customHeight="1" x14ac:dyDescent="0.45">
      <c r="A1296" s="19" t="s">
        <v>2709</v>
      </c>
      <c r="B1296" s="20" t="s">
        <v>2710</v>
      </c>
      <c r="C1296" s="21">
        <v>4860</v>
      </c>
      <c r="D1296" s="22"/>
      <c r="E1296" s="23">
        <v>-1.3200000524520869E-2</v>
      </c>
      <c r="F1296" s="24" t="s">
        <v>125</v>
      </c>
    </row>
    <row r="1297" spans="1:6" ht="16" customHeight="1" x14ac:dyDescent="0.45">
      <c r="A1297" s="19" t="s">
        <v>2711</v>
      </c>
      <c r="B1297" s="20" t="s">
        <v>2712</v>
      </c>
      <c r="C1297" s="21">
        <v>906</v>
      </c>
      <c r="D1297" s="22"/>
      <c r="E1297" s="23">
        <v>1.4600000381469729E-2</v>
      </c>
      <c r="F1297" s="24" t="s">
        <v>125</v>
      </c>
    </row>
    <row r="1298" spans="1:6" ht="16" customHeight="1" x14ac:dyDescent="0.45">
      <c r="A1298" s="19" t="s">
        <v>2713</v>
      </c>
      <c r="B1298" s="20" t="s">
        <v>2714</v>
      </c>
      <c r="C1298" s="21">
        <v>2040</v>
      </c>
      <c r="D1298" s="22"/>
      <c r="E1298" s="23">
        <v>-2.39999994635582E-3</v>
      </c>
      <c r="F1298" s="24" t="s">
        <v>125</v>
      </c>
    </row>
    <row r="1299" spans="1:6" ht="16" customHeight="1" x14ac:dyDescent="0.45">
      <c r="A1299" s="19" t="s">
        <v>2715</v>
      </c>
      <c r="B1299" s="20" t="s">
        <v>2716</v>
      </c>
      <c r="C1299" s="21">
        <v>5920</v>
      </c>
      <c r="D1299" s="22"/>
      <c r="E1299" s="23">
        <v>-1.8200000524520879E-2</v>
      </c>
      <c r="F1299" s="24" t="s">
        <v>125</v>
      </c>
    </row>
    <row r="1300" spans="1:6" ht="16" customHeight="1" x14ac:dyDescent="0.45">
      <c r="A1300" s="19" t="s">
        <v>2717</v>
      </c>
      <c r="B1300" s="20" t="s">
        <v>2718</v>
      </c>
      <c r="C1300" s="21">
        <v>19400</v>
      </c>
      <c r="D1300" s="22"/>
      <c r="E1300" s="23">
        <v>3.1000000238418581E-3</v>
      </c>
      <c r="F1300" s="24" t="s">
        <v>128</v>
      </c>
    </row>
    <row r="1301" spans="1:6" ht="16" customHeight="1" x14ac:dyDescent="0.45">
      <c r="A1301" s="19" t="s">
        <v>2719</v>
      </c>
      <c r="B1301" s="20" t="s">
        <v>2720</v>
      </c>
      <c r="C1301" s="21">
        <v>3265</v>
      </c>
      <c r="D1301" s="22"/>
      <c r="E1301" s="23">
        <v>9.3000000715255729E-3</v>
      </c>
      <c r="F1301" s="24" t="s">
        <v>125</v>
      </c>
    </row>
    <row r="1302" spans="1:6" ht="16" customHeight="1" x14ac:dyDescent="0.45">
      <c r="A1302" s="19" t="s">
        <v>2721</v>
      </c>
      <c r="B1302" s="20" t="s">
        <v>2722</v>
      </c>
      <c r="C1302" s="21">
        <v>889</v>
      </c>
      <c r="D1302" s="22"/>
      <c r="E1302" s="23">
        <v>0</v>
      </c>
      <c r="F1302" s="24" t="s">
        <v>125</v>
      </c>
    </row>
    <row r="1303" spans="1:6" ht="16" customHeight="1" x14ac:dyDescent="0.45">
      <c r="A1303" s="19" t="s">
        <v>2723</v>
      </c>
      <c r="B1303" s="20" t="s">
        <v>2724</v>
      </c>
      <c r="C1303" s="21">
        <v>1818</v>
      </c>
      <c r="D1303" s="22"/>
      <c r="E1303" s="23">
        <v>-2.9900000095367429E-2</v>
      </c>
      <c r="F1303" s="24" t="s">
        <v>125</v>
      </c>
    </row>
    <row r="1304" spans="1:6" ht="16" customHeight="1" x14ac:dyDescent="0.45">
      <c r="A1304" s="19" t="s">
        <v>2725</v>
      </c>
      <c r="B1304" s="20" t="s">
        <v>2726</v>
      </c>
      <c r="C1304" s="21">
        <v>8760</v>
      </c>
      <c r="D1304" s="22"/>
      <c r="E1304" s="23">
        <v>0.15109999656677239</v>
      </c>
      <c r="F1304" s="24" t="s">
        <v>125</v>
      </c>
    </row>
    <row r="1305" spans="1:6" ht="16" customHeight="1" x14ac:dyDescent="0.45">
      <c r="A1305" s="19" t="s">
        <v>2727</v>
      </c>
      <c r="B1305" s="20" t="s">
        <v>2728</v>
      </c>
      <c r="C1305" s="21">
        <v>6550</v>
      </c>
      <c r="D1305" s="22"/>
      <c r="E1305" s="23">
        <v>0</v>
      </c>
      <c r="F1305" s="24" t="s">
        <v>125</v>
      </c>
    </row>
    <row r="1306" spans="1:6" ht="16" customHeight="1" x14ac:dyDescent="0.45">
      <c r="A1306" s="19" t="s">
        <v>2729</v>
      </c>
      <c r="B1306" s="20" t="s">
        <v>2730</v>
      </c>
      <c r="C1306" s="21">
        <v>4165</v>
      </c>
      <c r="D1306" s="22"/>
      <c r="E1306" s="23">
        <v>-2.7999999523162841E-2</v>
      </c>
      <c r="F1306" s="24" t="s">
        <v>125</v>
      </c>
    </row>
    <row r="1307" spans="1:6" ht="16" customHeight="1" x14ac:dyDescent="0.45">
      <c r="A1307" s="19" t="s">
        <v>2731</v>
      </c>
      <c r="B1307" s="20" t="s">
        <v>2732</v>
      </c>
      <c r="C1307" s="21">
        <v>33000</v>
      </c>
      <c r="D1307" s="22"/>
      <c r="E1307" s="23">
        <v>-1.0499999523162841E-2</v>
      </c>
      <c r="F1307" s="24" t="s">
        <v>128</v>
      </c>
    </row>
    <row r="1308" spans="1:6" ht="16" customHeight="1" x14ac:dyDescent="0.45">
      <c r="A1308" s="19" t="s">
        <v>2733</v>
      </c>
      <c r="B1308" s="20" t="s">
        <v>2734</v>
      </c>
      <c r="C1308" s="21">
        <v>12400</v>
      </c>
      <c r="D1308" s="22"/>
      <c r="E1308" s="23">
        <v>-2.5899999141693119E-2</v>
      </c>
      <c r="F1308" s="24" t="s">
        <v>128</v>
      </c>
    </row>
    <row r="1309" spans="1:6" ht="16" customHeight="1" x14ac:dyDescent="0.45">
      <c r="A1309" s="19" t="s">
        <v>2735</v>
      </c>
      <c r="B1309" s="20" t="s">
        <v>2736</v>
      </c>
      <c r="C1309" s="21">
        <v>2975</v>
      </c>
      <c r="D1309" s="22"/>
      <c r="E1309" s="23">
        <v>0.1311999988555908</v>
      </c>
      <c r="F1309" s="24" t="s">
        <v>125</v>
      </c>
    </row>
    <row r="1310" spans="1:6" ht="16" customHeight="1" x14ac:dyDescent="0.45">
      <c r="A1310" s="19" t="s">
        <v>2737</v>
      </c>
      <c r="B1310" s="20" t="s">
        <v>2738</v>
      </c>
      <c r="C1310" s="21">
        <v>49250</v>
      </c>
      <c r="D1310" s="22"/>
      <c r="E1310" s="23">
        <v>-1.009999990463257E-2</v>
      </c>
      <c r="F1310" s="24" t="s">
        <v>128</v>
      </c>
    </row>
    <row r="1311" spans="1:6" ht="16" customHeight="1" x14ac:dyDescent="0.45">
      <c r="A1311" s="19" t="s">
        <v>2739</v>
      </c>
      <c r="B1311" s="20" t="s">
        <v>2740</v>
      </c>
      <c r="C1311" s="21">
        <v>9540</v>
      </c>
      <c r="D1311" s="22"/>
      <c r="E1311" s="23">
        <v>-6.2999999523162854E-3</v>
      </c>
      <c r="F1311" s="24" t="s">
        <v>128</v>
      </c>
    </row>
    <row r="1312" spans="1:6" ht="16" customHeight="1" x14ac:dyDescent="0.45">
      <c r="A1312" s="19" t="s">
        <v>2741</v>
      </c>
      <c r="B1312" s="20" t="s">
        <v>2742</v>
      </c>
      <c r="C1312" s="21">
        <v>1520</v>
      </c>
      <c r="D1312" s="22"/>
      <c r="E1312" s="23">
        <v>-7.1999998092651368E-2</v>
      </c>
      <c r="F1312" s="24" t="s">
        <v>125</v>
      </c>
    </row>
    <row r="1313" spans="1:6" ht="16" customHeight="1" x14ac:dyDescent="0.45">
      <c r="A1313" s="19" t="s">
        <v>2743</v>
      </c>
      <c r="B1313" s="20" t="s">
        <v>2744</v>
      </c>
      <c r="C1313" s="21">
        <v>4310</v>
      </c>
      <c r="D1313" s="22"/>
      <c r="E1313" s="23">
        <v>-3.1500000953674313E-2</v>
      </c>
      <c r="F1313" s="24" t="s">
        <v>125</v>
      </c>
    </row>
    <row r="1314" spans="1:6" ht="16" customHeight="1" x14ac:dyDescent="0.45">
      <c r="A1314" s="19" t="s">
        <v>2745</v>
      </c>
      <c r="B1314" s="20" t="s">
        <v>2746</v>
      </c>
      <c r="C1314" s="21">
        <v>3335</v>
      </c>
      <c r="D1314" s="22"/>
      <c r="E1314" s="23">
        <v>-1.6200000047683721E-2</v>
      </c>
      <c r="F1314" s="24" t="s">
        <v>125</v>
      </c>
    </row>
    <row r="1315" spans="1:6" ht="16" customHeight="1" x14ac:dyDescent="0.45">
      <c r="A1315" s="19" t="s">
        <v>2747</v>
      </c>
      <c r="B1315" s="20" t="s">
        <v>2748</v>
      </c>
      <c r="C1315" s="21">
        <v>56900</v>
      </c>
      <c r="D1315" s="22"/>
      <c r="E1315" s="23">
        <v>-1.899999976158142E-2</v>
      </c>
      <c r="F1315" s="24" t="s">
        <v>125</v>
      </c>
    </row>
    <row r="1316" spans="1:6" ht="16" customHeight="1" x14ac:dyDescent="0.45">
      <c r="A1316" s="19" t="s">
        <v>2749</v>
      </c>
      <c r="B1316" s="20" t="s">
        <v>2750</v>
      </c>
      <c r="C1316" s="21">
        <v>38000</v>
      </c>
      <c r="D1316" s="22"/>
      <c r="E1316" s="23">
        <v>-6.4999997615814214E-3</v>
      </c>
      <c r="F1316" s="24" t="s">
        <v>125</v>
      </c>
    </row>
    <row r="1317" spans="1:6" ht="16" customHeight="1" x14ac:dyDescent="0.45">
      <c r="A1317" s="19" t="s">
        <v>2751</v>
      </c>
      <c r="B1317" s="20" t="s">
        <v>2752</v>
      </c>
      <c r="C1317" s="21">
        <v>3995</v>
      </c>
      <c r="D1317" s="22"/>
      <c r="E1317" s="23">
        <v>0</v>
      </c>
      <c r="F1317" s="24" t="s">
        <v>128</v>
      </c>
    </row>
    <row r="1318" spans="1:6" ht="16" customHeight="1" x14ac:dyDescent="0.45">
      <c r="A1318" s="19" t="s">
        <v>2753</v>
      </c>
      <c r="B1318" s="20" t="s">
        <v>2754</v>
      </c>
      <c r="C1318" s="21">
        <v>412000</v>
      </c>
      <c r="D1318" s="22"/>
      <c r="E1318" s="23">
        <v>3.7000000476837161E-3</v>
      </c>
      <c r="F1318" s="24" t="s">
        <v>128</v>
      </c>
    </row>
    <row r="1319" spans="1:6" ht="16" customHeight="1" x14ac:dyDescent="0.45">
      <c r="A1319" s="19" t="s">
        <v>2755</v>
      </c>
      <c r="B1319" s="20" t="s">
        <v>2756</v>
      </c>
      <c r="C1319" s="21">
        <v>20350</v>
      </c>
      <c r="D1319" s="22"/>
      <c r="E1319" s="23">
        <v>-2.1600000858306889E-2</v>
      </c>
      <c r="F1319" s="24" t="s">
        <v>128</v>
      </c>
    </row>
    <row r="1320" spans="1:6" ht="16" customHeight="1" x14ac:dyDescent="0.45">
      <c r="A1320" s="19" t="s">
        <v>2757</v>
      </c>
      <c r="B1320" s="20" t="s">
        <v>2758</v>
      </c>
      <c r="C1320" s="21">
        <v>14170</v>
      </c>
      <c r="D1320" s="22"/>
      <c r="E1320" s="23">
        <v>-4.639999866485596E-2</v>
      </c>
      <c r="F1320" s="24" t="s">
        <v>128</v>
      </c>
    </row>
    <row r="1321" spans="1:6" ht="16" customHeight="1" x14ac:dyDescent="0.45">
      <c r="A1321" s="19" t="s">
        <v>2759</v>
      </c>
      <c r="B1321" s="20" t="s">
        <v>2760</v>
      </c>
      <c r="C1321" s="21">
        <v>50700</v>
      </c>
      <c r="D1321" s="22"/>
      <c r="E1321" s="23">
        <v>-1.7400000095367432E-2</v>
      </c>
      <c r="F1321" s="24" t="s">
        <v>128</v>
      </c>
    </row>
    <row r="1322" spans="1:6" ht="16" customHeight="1" x14ac:dyDescent="0.45">
      <c r="A1322" s="19" t="s">
        <v>2761</v>
      </c>
      <c r="B1322" s="20" t="s">
        <v>2762</v>
      </c>
      <c r="C1322" s="21">
        <v>6955</v>
      </c>
      <c r="D1322" s="22"/>
      <c r="E1322" s="23">
        <v>-3.2699999809265128E-2</v>
      </c>
      <c r="F1322" s="24" t="s">
        <v>128</v>
      </c>
    </row>
    <row r="1323" spans="1:6" ht="16" customHeight="1" x14ac:dyDescent="0.45">
      <c r="A1323" s="19" t="s">
        <v>2763</v>
      </c>
      <c r="B1323" s="20" t="s">
        <v>2764</v>
      </c>
      <c r="C1323" s="21">
        <v>1920</v>
      </c>
      <c r="D1323" s="22"/>
      <c r="E1323" s="23">
        <v>-2.77999997138977E-2</v>
      </c>
      <c r="F1323" s="24" t="s">
        <v>125</v>
      </c>
    </row>
    <row r="1324" spans="1:6" ht="16" customHeight="1" x14ac:dyDescent="0.45">
      <c r="A1324" s="19" t="s">
        <v>2765</v>
      </c>
      <c r="B1324" s="20" t="s">
        <v>2766</v>
      </c>
      <c r="C1324" s="21">
        <v>5645</v>
      </c>
      <c r="D1324" s="22"/>
      <c r="E1324" s="23">
        <v>-3.1700000762939447E-2</v>
      </c>
      <c r="F1324" s="24" t="s">
        <v>125</v>
      </c>
    </row>
    <row r="1325" spans="1:6" ht="16" customHeight="1" x14ac:dyDescent="0.45">
      <c r="A1325" s="19" t="s">
        <v>2767</v>
      </c>
      <c r="B1325" s="20" t="s">
        <v>2768</v>
      </c>
      <c r="C1325" s="21">
        <v>2125</v>
      </c>
      <c r="D1325" s="22"/>
      <c r="E1325" s="23">
        <v>-6.9999998807907101E-3</v>
      </c>
      <c r="F1325" s="24" t="s">
        <v>125</v>
      </c>
    </row>
    <row r="1326" spans="1:6" ht="16" customHeight="1" x14ac:dyDescent="0.45">
      <c r="A1326" s="19" t="s">
        <v>2769</v>
      </c>
      <c r="B1326" s="20" t="s">
        <v>2770</v>
      </c>
      <c r="C1326" s="21">
        <v>2080</v>
      </c>
      <c r="D1326" s="22"/>
      <c r="E1326" s="23">
        <v>-2.39999994635582E-3</v>
      </c>
      <c r="F1326" s="24" t="s">
        <v>125</v>
      </c>
    </row>
    <row r="1327" spans="1:6" ht="16" customHeight="1" x14ac:dyDescent="0.45">
      <c r="A1327" s="19" t="s">
        <v>2771</v>
      </c>
      <c r="B1327" s="20" t="s">
        <v>2772</v>
      </c>
      <c r="C1327" s="21">
        <v>14900</v>
      </c>
      <c r="D1327" s="22"/>
      <c r="E1327" s="23">
        <v>-1.3200000524520869E-2</v>
      </c>
      <c r="F1327" s="24" t="s">
        <v>128</v>
      </c>
    </row>
    <row r="1328" spans="1:6" ht="16" customHeight="1" x14ac:dyDescent="0.45">
      <c r="A1328" s="19" t="s">
        <v>2773</v>
      </c>
      <c r="B1328" s="20" t="s">
        <v>2774</v>
      </c>
      <c r="C1328" s="21">
        <v>213500</v>
      </c>
      <c r="D1328" s="22"/>
      <c r="E1328" s="23">
        <v>3.3900001049041749E-2</v>
      </c>
      <c r="F1328" s="24" t="s">
        <v>128</v>
      </c>
    </row>
    <row r="1329" spans="1:6" ht="16" customHeight="1" x14ac:dyDescent="0.45">
      <c r="A1329" s="19" t="s">
        <v>2775</v>
      </c>
      <c r="B1329" s="20" t="s">
        <v>2776</v>
      </c>
      <c r="C1329" s="21">
        <v>1427</v>
      </c>
      <c r="D1329" s="22"/>
      <c r="E1329" s="23">
        <v>6.2999999523162854E-3</v>
      </c>
      <c r="F1329" s="24" t="s">
        <v>128</v>
      </c>
    </row>
    <row r="1330" spans="1:6" ht="16" customHeight="1" x14ac:dyDescent="0.45">
      <c r="A1330" s="19" t="s">
        <v>2777</v>
      </c>
      <c r="B1330" s="20" t="s">
        <v>2778</v>
      </c>
      <c r="C1330" s="21">
        <v>2965</v>
      </c>
      <c r="D1330" s="22"/>
      <c r="E1330" s="23">
        <v>-3.4200000762939463E-2</v>
      </c>
      <c r="F1330" s="24" t="s">
        <v>125</v>
      </c>
    </row>
    <row r="1331" spans="1:6" ht="16" customHeight="1" x14ac:dyDescent="0.45">
      <c r="A1331" s="19" t="s">
        <v>2779</v>
      </c>
      <c r="B1331" s="20" t="s">
        <v>2780</v>
      </c>
      <c r="C1331" s="21">
        <v>1446</v>
      </c>
      <c r="D1331" s="22"/>
      <c r="E1331" s="23">
        <v>-1.2999999523162839E-2</v>
      </c>
      <c r="F1331" s="24" t="s">
        <v>128</v>
      </c>
    </row>
    <row r="1332" spans="1:6" ht="16" customHeight="1" x14ac:dyDescent="0.45">
      <c r="A1332" s="19" t="s">
        <v>2781</v>
      </c>
      <c r="B1332" s="20" t="s">
        <v>2782</v>
      </c>
      <c r="C1332" s="21">
        <v>6040</v>
      </c>
      <c r="D1332" s="22"/>
      <c r="E1332" s="23">
        <v>-1.950000047683716E-2</v>
      </c>
      <c r="F1332" s="24" t="s">
        <v>125</v>
      </c>
    </row>
    <row r="1333" spans="1:6" ht="16" customHeight="1" x14ac:dyDescent="0.45">
      <c r="A1333" s="19" t="s">
        <v>2783</v>
      </c>
      <c r="B1333" s="20" t="s">
        <v>2784</v>
      </c>
      <c r="C1333" s="21">
        <v>1848</v>
      </c>
      <c r="D1333" s="22"/>
      <c r="E1333" s="23">
        <v>-3.8499999046325693E-2</v>
      </c>
      <c r="F1333" s="24" t="s">
        <v>125</v>
      </c>
    </row>
    <row r="1334" spans="1:6" ht="16" customHeight="1" x14ac:dyDescent="0.45">
      <c r="A1334" s="19" t="s">
        <v>2785</v>
      </c>
      <c r="B1334" s="20" t="s">
        <v>2786</v>
      </c>
      <c r="C1334" s="21">
        <v>2995</v>
      </c>
      <c r="D1334" s="22"/>
      <c r="E1334" s="23">
        <v>-5.820000171661377E-2</v>
      </c>
      <c r="F1334" s="24" t="s">
        <v>125</v>
      </c>
    </row>
    <row r="1335" spans="1:6" ht="16" customHeight="1" x14ac:dyDescent="0.45">
      <c r="A1335" s="19" t="s">
        <v>2787</v>
      </c>
      <c r="B1335" s="20" t="s">
        <v>2788</v>
      </c>
      <c r="C1335" s="21">
        <v>1065</v>
      </c>
      <c r="D1335" s="22"/>
      <c r="E1335" s="23">
        <v>-4.4800000190734858E-2</v>
      </c>
      <c r="F1335" s="24" t="s">
        <v>128</v>
      </c>
    </row>
    <row r="1336" spans="1:6" ht="16" customHeight="1" x14ac:dyDescent="0.45">
      <c r="A1336" s="19" t="s">
        <v>2789</v>
      </c>
      <c r="B1336" s="20" t="s">
        <v>2790</v>
      </c>
      <c r="C1336" s="21">
        <v>11160</v>
      </c>
      <c r="D1336" s="22"/>
      <c r="E1336" s="23">
        <v>-2.4500000476837161E-2</v>
      </c>
      <c r="F1336" s="24" t="s">
        <v>128</v>
      </c>
    </row>
    <row r="1337" spans="1:6" ht="16" customHeight="1" x14ac:dyDescent="0.45">
      <c r="A1337" s="19" t="s">
        <v>2791</v>
      </c>
      <c r="B1337" s="20" t="s">
        <v>2792</v>
      </c>
      <c r="C1337" s="21">
        <v>18900</v>
      </c>
      <c r="D1337" s="22"/>
      <c r="E1337" s="23">
        <v>-2.599999904632568E-3</v>
      </c>
      <c r="F1337" s="24" t="s">
        <v>128</v>
      </c>
    </row>
    <row r="1338" spans="1:6" ht="16" customHeight="1" x14ac:dyDescent="0.45">
      <c r="A1338" s="19" t="s">
        <v>2793</v>
      </c>
      <c r="B1338" s="20" t="s">
        <v>2794</v>
      </c>
      <c r="C1338" s="21">
        <v>1109</v>
      </c>
      <c r="D1338" s="22"/>
      <c r="E1338" s="23">
        <v>-1.330000042915344E-2</v>
      </c>
      <c r="F1338" s="24" t="s">
        <v>128</v>
      </c>
    </row>
    <row r="1339" spans="1:6" ht="16" customHeight="1" x14ac:dyDescent="0.45">
      <c r="A1339" s="19" t="s">
        <v>2795</v>
      </c>
      <c r="B1339" s="20" t="s">
        <v>2796</v>
      </c>
      <c r="C1339" s="21">
        <v>4230</v>
      </c>
      <c r="D1339" s="22"/>
      <c r="E1339" s="23">
        <v>-4.730000019073486E-2</v>
      </c>
      <c r="F1339" s="24" t="s">
        <v>128</v>
      </c>
    </row>
    <row r="1340" spans="1:6" ht="16" customHeight="1" x14ac:dyDescent="0.45">
      <c r="A1340" s="19" t="s">
        <v>2797</v>
      </c>
      <c r="B1340" s="20" t="s">
        <v>2798</v>
      </c>
      <c r="C1340" s="21">
        <v>5680</v>
      </c>
      <c r="D1340" s="22"/>
      <c r="E1340" s="23">
        <v>-3.2400000095367427E-2</v>
      </c>
      <c r="F1340" s="24" t="s">
        <v>128</v>
      </c>
    </row>
    <row r="1341" spans="1:6" ht="16" customHeight="1" x14ac:dyDescent="0.45">
      <c r="A1341" s="19" t="s">
        <v>2799</v>
      </c>
      <c r="B1341" s="20" t="s">
        <v>2800</v>
      </c>
      <c r="C1341" s="21">
        <v>2110</v>
      </c>
      <c r="D1341" s="22"/>
      <c r="E1341" s="23">
        <v>0</v>
      </c>
      <c r="F1341" s="24" t="s">
        <v>125</v>
      </c>
    </row>
    <row r="1342" spans="1:6" ht="16" customHeight="1" x14ac:dyDescent="0.45">
      <c r="A1342" s="19" t="s">
        <v>2801</v>
      </c>
      <c r="B1342" s="20" t="s">
        <v>2802</v>
      </c>
      <c r="C1342" s="21">
        <v>2055</v>
      </c>
      <c r="D1342" s="22"/>
      <c r="E1342" s="23">
        <v>0</v>
      </c>
      <c r="F1342" s="24" t="s">
        <v>125</v>
      </c>
    </row>
    <row r="1343" spans="1:6" ht="16" customHeight="1" x14ac:dyDescent="0.45">
      <c r="A1343" s="19" t="s">
        <v>2803</v>
      </c>
      <c r="B1343" s="20" t="s">
        <v>2804</v>
      </c>
      <c r="C1343" s="21">
        <v>2115</v>
      </c>
      <c r="D1343" s="22"/>
      <c r="E1343" s="23">
        <v>0</v>
      </c>
      <c r="F1343" s="24" t="s">
        <v>125</v>
      </c>
    </row>
    <row r="1344" spans="1:6" ht="16" customHeight="1" x14ac:dyDescent="0.45">
      <c r="A1344" s="19" t="s">
        <v>2805</v>
      </c>
      <c r="B1344" s="20" t="s">
        <v>2806</v>
      </c>
      <c r="C1344" s="21">
        <v>2025</v>
      </c>
      <c r="D1344" s="22"/>
      <c r="E1344" s="23">
        <v>0</v>
      </c>
      <c r="F1344" s="24" t="s">
        <v>125</v>
      </c>
    </row>
    <row r="1345" spans="1:6" ht="16" customHeight="1" x14ac:dyDescent="0.45">
      <c r="A1345" s="19" t="s">
        <v>2807</v>
      </c>
      <c r="B1345" s="20" t="s">
        <v>2808</v>
      </c>
      <c r="C1345" s="21">
        <v>2055</v>
      </c>
      <c r="D1345" s="22"/>
      <c r="E1345" s="23">
        <v>4.9000000953674317E-3</v>
      </c>
      <c r="F1345" s="24" t="s">
        <v>125</v>
      </c>
    </row>
    <row r="1346" spans="1:6" ht="16" customHeight="1" x14ac:dyDescent="0.45">
      <c r="A1346" s="19" t="s">
        <v>2809</v>
      </c>
      <c r="B1346" s="20" t="s">
        <v>2810</v>
      </c>
      <c r="C1346" s="21">
        <v>2015</v>
      </c>
      <c r="D1346" s="22"/>
      <c r="E1346" s="23">
        <v>0</v>
      </c>
      <c r="F1346" s="24" t="s">
        <v>125</v>
      </c>
    </row>
    <row r="1347" spans="1:6" ht="16" customHeight="1" x14ac:dyDescent="0.45">
      <c r="A1347" s="19" t="s">
        <v>2811</v>
      </c>
      <c r="B1347" s="20" t="s">
        <v>2812</v>
      </c>
      <c r="C1347" s="21">
        <v>1995</v>
      </c>
      <c r="D1347" s="22"/>
      <c r="E1347" s="23">
        <v>-1.500000059604645E-3</v>
      </c>
      <c r="F1347" s="24" t="s">
        <v>125</v>
      </c>
    </row>
    <row r="1348" spans="1:6" ht="16" customHeight="1" x14ac:dyDescent="0.45">
      <c r="A1348" s="19" t="s">
        <v>2813</v>
      </c>
      <c r="B1348" s="20" t="s">
        <v>2814</v>
      </c>
      <c r="C1348" s="21">
        <v>1998</v>
      </c>
      <c r="D1348" s="22"/>
      <c r="E1348" s="23">
        <v>1.500000059604645E-3</v>
      </c>
      <c r="F1348" s="24" t="s">
        <v>125</v>
      </c>
    </row>
    <row r="1349" spans="1:6" ht="16" customHeight="1" x14ac:dyDescent="0.45">
      <c r="A1349" s="19" t="s">
        <v>2815</v>
      </c>
      <c r="B1349" s="20" t="s">
        <v>2816</v>
      </c>
      <c r="C1349" s="21">
        <v>98200</v>
      </c>
      <c r="D1349" s="22"/>
      <c r="E1349" s="23">
        <v>2.000000029802323E-3</v>
      </c>
      <c r="F1349" s="24" t="s">
        <v>128</v>
      </c>
    </row>
    <row r="1350" spans="1:6" ht="16" customHeight="1" x14ac:dyDescent="0.45">
      <c r="A1350" s="19" t="s">
        <v>2817</v>
      </c>
      <c r="B1350" s="20" t="s">
        <v>2818</v>
      </c>
      <c r="C1350" s="21">
        <v>1882</v>
      </c>
      <c r="D1350" s="22"/>
      <c r="E1350" s="23">
        <v>-2.339999914169312E-2</v>
      </c>
      <c r="F1350" s="24" t="s">
        <v>125</v>
      </c>
    </row>
    <row r="1351" spans="1:6" ht="16" customHeight="1" x14ac:dyDescent="0.45">
      <c r="A1351" s="19" t="s">
        <v>2819</v>
      </c>
      <c r="B1351" s="20" t="s">
        <v>2820</v>
      </c>
      <c r="C1351" s="21">
        <v>3910</v>
      </c>
      <c r="D1351" s="22"/>
      <c r="E1351" s="23">
        <v>-5.0999999046325694E-3</v>
      </c>
      <c r="F1351" s="24" t="s">
        <v>125</v>
      </c>
    </row>
    <row r="1352" spans="1:6" ht="16" customHeight="1" x14ac:dyDescent="0.45">
      <c r="A1352" s="19" t="s">
        <v>2821</v>
      </c>
      <c r="B1352" s="20" t="s">
        <v>2822</v>
      </c>
      <c r="C1352" s="21">
        <v>2490</v>
      </c>
      <c r="D1352" s="22"/>
      <c r="E1352" s="23">
        <v>-2.5399999618530279E-2</v>
      </c>
      <c r="F1352" s="24" t="s">
        <v>125</v>
      </c>
    </row>
    <row r="1353" spans="1:6" ht="16" customHeight="1" x14ac:dyDescent="0.45">
      <c r="A1353" s="19" t="s">
        <v>2823</v>
      </c>
      <c r="B1353" s="20" t="s">
        <v>2824</v>
      </c>
      <c r="C1353" s="21">
        <v>13690</v>
      </c>
      <c r="D1353" s="22"/>
      <c r="E1353" s="23">
        <v>-0.02</v>
      </c>
      <c r="F1353" s="24" t="s">
        <v>128</v>
      </c>
    </row>
    <row r="1354" spans="1:6" ht="16" customHeight="1" x14ac:dyDescent="0.45">
      <c r="A1354" s="19" t="s">
        <v>2825</v>
      </c>
      <c r="B1354" s="20" t="s">
        <v>2826</v>
      </c>
      <c r="C1354" s="21">
        <v>10180</v>
      </c>
      <c r="D1354" s="22"/>
      <c r="E1354" s="23">
        <v>-3.5999999046325677E-2</v>
      </c>
      <c r="F1354" s="24" t="s">
        <v>125</v>
      </c>
    </row>
    <row r="1355" spans="1:6" ht="16" customHeight="1" x14ac:dyDescent="0.45">
      <c r="A1355" s="19" t="s">
        <v>2827</v>
      </c>
      <c r="B1355" s="20" t="s">
        <v>2828</v>
      </c>
      <c r="C1355" s="21">
        <v>43400</v>
      </c>
      <c r="D1355" s="22"/>
      <c r="E1355" s="23">
        <v>0</v>
      </c>
      <c r="F1355" s="24" t="s">
        <v>125</v>
      </c>
    </row>
    <row r="1356" spans="1:6" ht="16" customHeight="1" x14ac:dyDescent="0.45">
      <c r="A1356" s="19" t="s">
        <v>2829</v>
      </c>
      <c r="B1356" s="20" t="s">
        <v>2830</v>
      </c>
      <c r="C1356" s="21">
        <v>93300</v>
      </c>
      <c r="D1356" s="22"/>
      <c r="E1356" s="23">
        <v>5.7800002098083503E-2</v>
      </c>
      <c r="F1356" s="24" t="s">
        <v>125</v>
      </c>
    </row>
    <row r="1357" spans="1:6" ht="16" customHeight="1" x14ac:dyDescent="0.45">
      <c r="A1357" s="19" t="s">
        <v>2831</v>
      </c>
      <c r="B1357" s="20" t="s">
        <v>2832</v>
      </c>
      <c r="C1357" s="21">
        <v>3990</v>
      </c>
      <c r="D1357" s="22"/>
      <c r="E1357" s="23">
        <v>6.8299999237060552E-2</v>
      </c>
      <c r="F1357" s="24" t="s">
        <v>125</v>
      </c>
    </row>
    <row r="1358" spans="1:6" ht="16" customHeight="1" x14ac:dyDescent="0.45">
      <c r="A1358" s="19" t="s">
        <v>2833</v>
      </c>
      <c r="B1358" s="20" t="s">
        <v>2834</v>
      </c>
      <c r="C1358" s="21">
        <v>10170</v>
      </c>
      <c r="D1358" s="22"/>
      <c r="E1358" s="23">
        <v>-1.4500000476837161E-2</v>
      </c>
      <c r="F1358" s="24" t="s">
        <v>125</v>
      </c>
    </row>
    <row r="1359" spans="1:6" ht="16" customHeight="1" x14ac:dyDescent="0.45">
      <c r="A1359" s="19" t="s">
        <v>2835</v>
      </c>
      <c r="B1359" s="20" t="s">
        <v>2836</v>
      </c>
      <c r="C1359" s="21">
        <v>7530</v>
      </c>
      <c r="D1359" s="22"/>
      <c r="E1359" s="23">
        <v>2.02999997138977E-2</v>
      </c>
      <c r="F1359" s="24" t="s">
        <v>125</v>
      </c>
    </row>
    <row r="1360" spans="1:6" ht="16" customHeight="1" x14ac:dyDescent="0.45">
      <c r="A1360" s="19" t="s">
        <v>2837</v>
      </c>
      <c r="B1360" s="20" t="s">
        <v>2838</v>
      </c>
      <c r="C1360" s="21">
        <v>39600</v>
      </c>
      <c r="D1360" s="22"/>
      <c r="E1360" s="23">
        <v>5.1799998283386231E-2</v>
      </c>
      <c r="F1360" s="24" t="s">
        <v>125</v>
      </c>
    </row>
    <row r="1361" spans="1:6" ht="16" customHeight="1" x14ac:dyDescent="0.45">
      <c r="A1361" s="19" t="s">
        <v>2839</v>
      </c>
      <c r="B1361" s="20" t="s">
        <v>2840</v>
      </c>
      <c r="C1361" s="21">
        <v>3925</v>
      </c>
      <c r="D1361" s="22"/>
      <c r="E1361" s="23">
        <v>3.7000000476837158E-2</v>
      </c>
      <c r="F1361" s="24" t="s">
        <v>125</v>
      </c>
    </row>
    <row r="1362" spans="1:6" ht="16" customHeight="1" x14ac:dyDescent="0.45">
      <c r="A1362" s="19" t="s">
        <v>2841</v>
      </c>
      <c r="B1362" s="20" t="s">
        <v>2842</v>
      </c>
      <c r="C1362" s="21">
        <v>6650</v>
      </c>
      <c r="D1362" s="22"/>
      <c r="E1362" s="23">
        <v>7.9499998092651361E-2</v>
      </c>
      <c r="F1362" s="24" t="s">
        <v>125</v>
      </c>
    </row>
    <row r="1363" spans="1:6" ht="16" customHeight="1" x14ac:dyDescent="0.45">
      <c r="A1363" s="19" t="s">
        <v>2843</v>
      </c>
      <c r="B1363" s="20" t="s">
        <v>2844</v>
      </c>
      <c r="C1363" s="21">
        <v>1770</v>
      </c>
      <c r="D1363" s="22"/>
      <c r="E1363" s="23">
        <v>-3.7999999523162839E-2</v>
      </c>
      <c r="F1363" s="24" t="s">
        <v>128</v>
      </c>
    </row>
    <row r="1364" spans="1:6" ht="16" customHeight="1" x14ac:dyDescent="0.45">
      <c r="A1364" s="19" t="s">
        <v>2845</v>
      </c>
      <c r="B1364" s="20" t="s">
        <v>2846</v>
      </c>
      <c r="C1364" s="21">
        <v>6000</v>
      </c>
      <c r="D1364" s="22"/>
      <c r="E1364" s="23">
        <v>-0.1071000003814697</v>
      </c>
      <c r="F1364" s="24" t="s">
        <v>251</v>
      </c>
    </row>
    <row r="1365" spans="1:6" ht="16" customHeight="1" x14ac:dyDescent="0.45">
      <c r="A1365" s="19" t="s">
        <v>2847</v>
      </c>
      <c r="B1365" s="20" t="s">
        <v>2848</v>
      </c>
      <c r="C1365" s="21">
        <v>196</v>
      </c>
      <c r="D1365" s="22"/>
      <c r="E1365" s="23">
        <v>0</v>
      </c>
      <c r="F1365" s="24" t="s">
        <v>125</v>
      </c>
    </row>
    <row r="1366" spans="1:6" ht="16" customHeight="1" x14ac:dyDescent="0.45">
      <c r="A1366" s="19" t="s">
        <v>2849</v>
      </c>
      <c r="B1366" s="20" t="s">
        <v>2850</v>
      </c>
      <c r="C1366" s="21">
        <v>1655</v>
      </c>
      <c r="D1366" s="22"/>
      <c r="E1366" s="23">
        <v>-1.4900000095367429E-2</v>
      </c>
      <c r="F1366" s="24" t="s">
        <v>125</v>
      </c>
    </row>
    <row r="1367" spans="1:6" ht="16" customHeight="1" x14ac:dyDescent="0.45">
      <c r="A1367" s="19" t="s">
        <v>2851</v>
      </c>
      <c r="B1367" s="20" t="s">
        <v>2852</v>
      </c>
      <c r="C1367" s="21">
        <v>2300</v>
      </c>
      <c r="D1367" s="22"/>
      <c r="E1367" s="23">
        <v>-1.0800000429153441E-2</v>
      </c>
      <c r="F1367" s="24" t="s">
        <v>125</v>
      </c>
    </row>
    <row r="1368" spans="1:6" ht="16" customHeight="1" x14ac:dyDescent="0.45">
      <c r="A1368" s="19" t="s">
        <v>2853</v>
      </c>
      <c r="B1368" s="20" t="s">
        <v>2854</v>
      </c>
      <c r="C1368" s="21">
        <v>14370</v>
      </c>
      <c r="D1368" s="22"/>
      <c r="E1368" s="23">
        <v>6.3699998855590814E-2</v>
      </c>
      <c r="F1368" s="24" t="s">
        <v>125</v>
      </c>
    </row>
    <row r="1369" spans="1:6" ht="16" customHeight="1" x14ac:dyDescent="0.45">
      <c r="A1369" s="19" t="s">
        <v>2855</v>
      </c>
      <c r="B1369" s="20" t="s">
        <v>2856</v>
      </c>
      <c r="C1369" s="21">
        <v>173500</v>
      </c>
      <c r="D1369" s="22"/>
      <c r="E1369" s="23">
        <v>3.2699999809265128E-2</v>
      </c>
      <c r="F1369" s="24" t="s">
        <v>125</v>
      </c>
    </row>
    <row r="1370" spans="1:6" ht="16" customHeight="1" x14ac:dyDescent="0.45">
      <c r="A1370" s="19" t="s">
        <v>2857</v>
      </c>
      <c r="B1370" s="20" t="s">
        <v>2858</v>
      </c>
      <c r="C1370" s="21">
        <v>15730</v>
      </c>
      <c r="D1370" s="22"/>
      <c r="E1370" s="23">
        <v>-6.8999999761581417E-3</v>
      </c>
      <c r="F1370" s="24" t="s">
        <v>125</v>
      </c>
    </row>
    <row r="1371" spans="1:6" ht="16" customHeight="1" x14ac:dyDescent="0.45">
      <c r="A1371" s="19" t="s">
        <v>2859</v>
      </c>
      <c r="B1371" s="20" t="s">
        <v>2860</v>
      </c>
      <c r="C1371" s="21">
        <v>7700</v>
      </c>
      <c r="D1371" s="22"/>
      <c r="E1371" s="23">
        <v>7.9000002145767217E-3</v>
      </c>
      <c r="F1371" s="24" t="s">
        <v>125</v>
      </c>
    </row>
    <row r="1372" spans="1:6" ht="16" customHeight="1" x14ac:dyDescent="0.45">
      <c r="A1372" s="19" t="s">
        <v>2861</v>
      </c>
      <c r="B1372" s="20" t="s">
        <v>2862</v>
      </c>
      <c r="C1372" s="21">
        <v>14970</v>
      </c>
      <c r="D1372" s="22"/>
      <c r="E1372" s="23">
        <v>-9.0500001907348637E-2</v>
      </c>
      <c r="F1372" s="24" t="s">
        <v>128</v>
      </c>
    </row>
    <row r="1373" spans="1:6" ht="16" customHeight="1" x14ac:dyDescent="0.45">
      <c r="A1373" s="19" t="s">
        <v>2863</v>
      </c>
      <c r="B1373" s="20" t="s">
        <v>2864</v>
      </c>
      <c r="C1373" s="21">
        <v>18490</v>
      </c>
      <c r="D1373" s="22"/>
      <c r="E1373" s="23">
        <v>-8.0000001192092902E-3</v>
      </c>
      <c r="F1373" s="24" t="s">
        <v>125</v>
      </c>
    </row>
    <row r="1374" spans="1:6" ht="16" customHeight="1" x14ac:dyDescent="0.45">
      <c r="A1374" s="19" t="s">
        <v>2865</v>
      </c>
      <c r="B1374" s="20" t="s">
        <v>2866</v>
      </c>
      <c r="C1374" s="21">
        <v>12450</v>
      </c>
      <c r="D1374" s="22"/>
      <c r="E1374" s="23">
        <v>-5.1799998283386231E-2</v>
      </c>
      <c r="F1374" s="24" t="s">
        <v>125</v>
      </c>
    </row>
    <row r="1375" spans="1:6" ht="16" customHeight="1" x14ac:dyDescent="0.45">
      <c r="A1375" s="19" t="s">
        <v>2867</v>
      </c>
      <c r="B1375" s="20" t="s">
        <v>2868</v>
      </c>
      <c r="C1375" s="21">
        <v>7700</v>
      </c>
      <c r="D1375" s="22"/>
      <c r="E1375" s="23">
        <v>3.2200000286102287E-2</v>
      </c>
      <c r="F1375" s="24" t="s">
        <v>125</v>
      </c>
    </row>
    <row r="1376" spans="1:6" ht="16" customHeight="1" x14ac:dyDescent="0.45">
      <c r="A1376" s="19" t="s">
        <v>2869</v>
      </c>
      <c r="B1376" s="20" t="s">
        <v>2870</v>
      </c>
      <c r="C1376" s="21">
        <v>35200</v>
      </c>
      <c r="D1376" s="22"/>
      <c r="E1376" s="23">
        <v>-1.950000047683716E-2</v>
      </c>
      <c r="F1376" s="24" t="s">
        <v>125</v>
      </c>
    </row>
    <row r="1377" spans="1:6" ht="16" customHeight="1" x14ac:dyDescent="0.45">
      <c r="A1377" s="19" t="s">
        <v>2871</v>
      </c>
      <c r="B1377" s="20" t="s">
        <v>2872</v>
      </c>
      <c r="C1377" s="21">
        <v>4855</v>
      </c>
      <c r="D1377" s="22"/>
      <c r="E1377" s="23">
        <v>-3.4800000190734863E-2</v>
      </c>
      <c r="F1377" s="24" t="s">
        <v>125</v>
      </c>
    </row>
    <row r="1378" spans="1:6" ht="16" customHeight="1" x14ac:dyDescent="0.45">
      <c r="A1378" s="19" t="s">
        <v>2873</v>
      </c>
      <c r="B1378" s="20" t="s">
        <v>2874</v>
      </c>
      <c r="C1378" s="21">
        <v>1493</v>
      </c>
      <c r="D1378" s="22"/>
      <c r="E1378" s="23">
        <v>0</v>
      </c>
      <c r="F1378" s="24" t="s">
        <v>125</v>
      </c>
    </row>
    <row r="1379" spans="1:6" ht="16" customHeight="1" x14ac:dyDescent="0.45">
      <c r="A1379" s="19" t="s">
        <v>2875</v>
      </c>
      <c r="B1379" s="20" t="s">
        <v>2876</v>
      </c>
      <c r="C1379" s="21">
        <v>16810</v>
      </c>
      <c r="D1379" s="22"/>
      <c r="E1379" s="23">
        <v>-2.2100000381469729E-2</v>
      </c>
      <c r="F1379" s="24" t="s">
        <v>125</v>
      </c>
    </row>
    <row r="1380" spans="1:6" ht="16" customHeight="1" x14ac:dyDescent="0.45">
      <c r="A1380" s="19" t="s">
        <v>2877</v>
      </c>
      <c r="B1380" s="20" t="s">
        <v>2878</v>
      </c>
      <c r="C1380" s="21">
        <v>1244</v>
      </c>
      <c r="D1380" s="22"/>
      <c r="E1380" s="23">
        <v>3.069999933242798E-2</v>
      </c>
      <c r="F1380" s="24" t="s">
        <v>128</v>
      </c>
    </row>
    <row r="1381" spans="1:6" ht="16" customHeight="1" x14ac:dyDescent="0.45">
      <c r="A1381" s="19" t="s">
        <v>2879</v>
      </c>
      <c r="B1381" s="20" t="s">
        <v>2880</v>
      </c>
      <c r="C1381" s="21">
        <v>3390</v>
      </c>
      <c r="D1381" s="22"/>
      <c r="E1381" s="23">
        <v>0</v>
      </c>
      <c r="F1381" s="24" t="s">
        <v>251</v>
      </c>
    </row>
    <row r="1382" spans="1:6" ht="16" customHeight="1" x14ac:dyDescent="0.45">
      <c r="A1382" s="19" t="s">
        <v>2881</v>
      </c>
      <c r="B1382" s="20" t="s">
        <v>2882</v>
      </c>
      <c r="C1382" s="21">
        <v>1590</v>
      </c>
      <c r="D1382" s="22"/>
      <c r="E1382" s="23">
        <v>0.1356999969482422</v>
      </c>
      <c r="F1382" s="24" t="s">
        <v>251</v>
      </c>
    </row>
    <row r="1383" spans="1:6" ht="16" customHeight="1" x14ac:dyDescent="0.45">
      <c r="A1383" s="19" t="s">
        <v>2883</v>
      </c>
      <c r="B1383" s="20" t="s">
        <v>2884</v>
      </c>
      <c r="C1383" s="21">
        <v>27500</v>
      </c>
      <c r="D1383" s="22"/>
      <c r="E1383" s="23">
        <v>-0.03</v>
      </c>
      <c r="F1383" s="24" t="s">
        <v>125</v>
      </c>
    </row>
    <row r="1384" spans="1:6" ht="16" customHeight="1" x14ac:dyDescent="0.45">
      <c r="A1384" s="19" t="s">
        <v>2885</v>
      </c>
      <c r="B1384" s="20" t="s">
        <v>2886</v>
      </c>
      <c r="C1384" s="21">
        <v>1700</v>
      </c>
      <c r="D1384" s="22"/>
      <c r="E1384" s="23">
        <v>5.9999998658895489E-4</v>
      </c>
      <c r="F1384" s="24" t="s">
        <v>251</v>
      </c>
    </row>
    <row r="1385" spans="1:6" ht="16" customHeight="1" x14ac:dyDescent="0.45">
      <c r="A1385" s="19" t="s">
        <v>2887</v>
      </c>
      <c r="B1385" s="20" t="s">
        <v>2888</v>
      </c>
      <c r="C1385" s="21">
        <v>25000</v>
      </c>
      <c r="D1385" s="22"/>
      <c r="E1385" s="23">
        <v>0.1061999988555908</v>
      </c>
      <c r="F1385" s="24" t="s">
        <v>125</v>
      </c>
    </row>
    <row r="1386" spans="1:6" ht="16" customHeight="1" x14ac:dyDescent="0.45">
      <c r="A1386" s="19" t="s">
        <v>2889</v>
      </c>
      <c r="B1386" s="20" t="s">
        <v>2890</v>
      </c>
      <c r="C1386" s="21">
        <v>1999</v>
      </c>
      <c r="D1386" s="22"/>
      <c r="E1386" s="23">
        <v>-3.2000000476837161E-2</v>
      </c>
      <c r="F1386" s="24" t="s">
        <v>125</v>
      </c>
    </row>
    <row r="1387" spans="1:6" ht="16" customHeight="1" x14ac:dyDescent="0.45">
      <c r="A1387" s="19" t="s">
        <v>2891</v>
      </c>
      <c r="B1387" s="20" t="s">
        <v>2892</v>
      </c>
      <c r="C1387" s="21">
        <v>46000</v>
      </c>
      <c r="D1387" s="22"/>
      <c r="E1387" s="23">
        <v>-5.7399997711181643E-2</v>
      </c>
      <c r="F1387" s="24" t="s">
        <v>125</v>
      </c>
    </row>
    <row r="1388" spans="1:6" ht="16" customHeight="1" x14ac:dyDescent="0.45">
      <c r="A1388" s="19" t="s">
        <v>2893</v>
      </c>
      <c r="B1388" s="20" t="s">
        <v>2894</v>
      </c>
      <c r="C1388" s="21">
        <v>8400</v>
      </c>
      <c r="D1388" s="22"/>
      <c r="E1388" s="23">
        <v>-4.5500001907348632E-2</v>
      </c>
      <c r="F1388" s="24" t="s">
        <v>125</v>
      </c>
    </row>
    <row r="1389" spans="1:6" ht="16" customHeight="1" x14ac:dyDescent="0.45">
      <c r="A1389" s="19" t="s">
        <v>2895</v>
      </c>
      <c r="B1389" s="20" t="s">
        <v>2896</v>
      </c>
      <c r="C1389" s="21">
        <v>66300</v>
      </c>
      <c r="D1389" s="22"/>
      <c r="E1389" s="23">
        <v>-4.8800001144409182E-2</v>
      </c>
      <c r="F1389" s="24" t="s">
        <v>128</v>
      </c>
    </row>
    <row r="1390" spans="1:6" ht="16" customHeight="1" x14ac:dyDescent="0.45">
      <c r="A1390" s="19" t="s">
        <v>2897</v>
      </c>
      <c r="B1390" s="20" t="s">
        <v>2898</v>
      </c>
      <c r="C1390" s="21">
        <v>403</v>
      </c>
      <c r="D1390" s="22"/>
      <c r="E1390" s="23">
        <v>-3.3599998950958249E-2</v>
      </c>
      <c r="F1390" s="24" t="s">
        <v>125</v>
      </c>
    </row>
    <row r="1391" spans="1:6" ht="16" customHeight="1" x14ac:dyDescent="0.45">
      <c r="A1391" s="19" t="s">
        <v>2899</v>
      </c>
      <c r="B1391" s="20" t="s">
        <v>2900</v>
      </c>
      <c r="C1391" s="21">
        <v>737</v>
      </c>
      <c r="D1391" s="22"/>
      <c r="E1391" s="23">
        <v>-4.6599998474121093E-2</v>
      </c>
      <c r="F1391" s="24" t="s">
        <v>125</v>
      </c>
    </row>
    <row r="1392" spans="1:6" ht="16" customHeight="1" x14ac:dyDescent="0.45">
      <c r="A1392" s="19" t="s">
        <v>2901</v>
      </c>
      <c r="B1392" s="20" t="s">
        <v>2902</v>
      </c>
      <c r="C1392" s="21">
        <v>336</v>
      </c>
      <c r="D1392" s="22"/>
      <c r="E1392" s="23">
        <v>0</v>
      </c>
      <c r="F1392" s="24" t="s">
        <v>125</v>
      </c>
    </row>
    <row r="1393" spans="1:6" ht="16" customHeight="1" x14ac:dyDescent="0.45">
      <c r="A1393" s="19" t="s">
        <v>2903</v>
      </c>
      <c r="B1393" s="20" t="s">
        <v>2904</v>
      </c>
      <c r="C1393" s="21">
        <v>137400</v>
      </c>
      <c r="D1393" s="22"/>
      <c r="E1393" s="23">
        <v>-0.02</v>
      </c>
      <c r="F1393" s="24" t="s">
        <v>125</v>
      </c>
    </row>
    <row r="1394" spans="1:6" ht="16" customHeight="1" x14ac:dyDescent="0.45">
      <c r="A1394" s="19" t="s">
        <v>2905</v>
      </c>
      <c r="B1394" s="20" t="s">
        <v>2906</v>
      </c>
      <c r="C1394" s="21">
        <v>548</v>
      </c>
      <c r="D1394" s="22"/>
      <c r="E1394" s="23">
        <v>0</v>
      </c>
      <c r="F1394" s="24" t="s">
        <v>125</v>
      </c>
    </row>
    <row r="1395" spans="1:6" ht="16" customHeight="1" x14ac:dyDescent="0.45">
      <c r="A1395" s="19" t="s">
        <v>2907</v>
      </c>
      <c r="B1395" s="20" t="s">
        <v>2908</v>
      </c>
      <c r="C1395" s="21">
        <v>2930</v>
      </c>
      <c r="D1395" s="22"/>
      <c r="E1395" s="23">
        <v>1.0299999713897711E-2</v>
      </c>
      <c r="F1395" s="24" t="s">
        <v>125</v>
      </c>
    </row>
    <row r="1396" spans="1:6" ht="16" customHeight="1" x14ac:dyDescent="0.45">
      <c r="A1396" s="19" t="s">
        <v>2909</v>
      </c>
      <c r="B1396" s="20" t="s">
        <v>2910</v>
      </c>
      <c r="C1396" s="21">
        <v>7180</v>
      </c>
      <c r="D1396" s="22"/>
      <c r="E1396" s="23">
        <v>9.8000001907348634E-3</v>
      </c>
      <c r="F1396" s="24" t="s">
        <v>125</v>
      </c>
    </row>
    <row r="1397" spans="1:6" ht="16" customHeight="1" x14ac:dyDescent="0.45">
      <c r="A1397" s="19" t="s">
        <v>2911</v>
      </c>
      <c r="B1397" s="20" t="s">
        <v>2912</v>
      </c>
      <c r="C1397" s="21">
        <v>24000</v>
      </c>
      <c r="D1397" s="22"/>
      <c r="E1397" s="23">
        <v>-2.0399999618530271E-2</v>
      </c>
      <c r="F1397" s="24" t="s">
        <v>125</v>
      </c>
    </row>
    <row r="1398" spans="1:6" ht="16" customHeight="1" x14ac:dyDescent="0.45">
      <c r="A1398" s="19" t="s">
        <v>2913</v>
      </c>
      <c r="B1398" s="20" t="s">
        <v>2914</v>
      </c>
      <c r="C1398" s="21">
        <v>2730</v>
      </c>
      <c r="D1398" s="22"/>
      <c r="E1398" s="23">
        <v>6.2300000190734867E-2</v>
      </c>
      <c r="F1398" s="24" t="s">
        <v>128</v>
      </c>
    </row>
    <row r="1399" spans="1:6" ht="16" customHeight="1" x14ac:dyDescent="0.45">
      <c r="A1399" s="19" t="s">
        <v>2915</v>
      </c>
      <c r="B1399" s="20" t="s">
        <v>2916</v>
      </c>
      <c r="C1399" s="21">
        <v>4090</v>
      </c>
      <c r="D1399" s="22"/>
      <c r="E1399" s="23">
        <v>-6.1000001430511477E-3</v>
      </c>
      <c r="F1399" s="24" t="s">
        <v>125</v>
      </c>
    </row>
    <row r="1400" spans="1:6" ht="16" customHeight="1" x14ac:dyDescent="0.45">
      <c r="A1400" s="19" t="s">
        <v>2917</v>
      </c>
      <c r="B1400" s="20" t="s">
        <v>2918</v>
      </c>
      <c r="C1400" s="21">
        <v>3700</v>
      </c>
      <c r="D1400" s="22"/>
      <c r="E1400" s="23">
        <v>-4.0199999809265127E-2</v>
      </c>
      <c r="F1400" s="24" t="s">
        <v>125</v>
      </c>
    </row>
    <row r="1401" spans="1:6" ht="16" customHeight="1" x14ac:dyDescent="0.45">
      <c r="A1401" s="19" t="s">
        <v>2919</v>
      </c>
      <c r="B1401" s="20" t="s">
        <v>2920</v>
      </c>
      <c r="C1401" s="21">
        <v>5180</v>
      </c>
      <c r="D1401" s="22"/>
      <c r="E1401" s="23">
        <v>-9.5999997854232782E-3</v>
      </c>
      <c r="F1401" s="24" t="s">
        <v>128</v>
      </c>
    </row>
    <row r="1402" spans="1:6" ht="16" customHeight="1" x14ac:dyDescent="0.45">
      <c r="A1402" s="19" t="s">
        <v>2921</v>
      </c>
      <c r="B1402" s="20" t="s">
        <v>2922</v>
      </c>
      <c r="C1402" s="21">
        <v>3755</v>
      </c>
      <c r="D1402" s="22"/>
      <c r="E1402" s="23">
        <v>-3.2200000286102287E-2</v>
      </c>
      <c r="F1402" s="24" t="s">
        <v>125</v>
      </c>
    </row>
    <row r="1403" spans="1:6" ht="16" customHeight="1" x14ac:dyDescent="0.45">
      <c r="A1403" s="19" t="s">
        <v>2923</v>
      </c>
      <c r="B1403" s="20" t="s">
        <v>2924</v>
      </c>
      <c r="C1403" s="21">
        <v>3840</v>
      </c>
      <c r="D1403" s="22"/>
      <c r="E1403" s="23">
        <v>-3.6400001049041751E-2</v>
      </c>
      <c r="F1403" s="24" t="s">
        <v>125</v>
      </c>
    </row>
    <row r="1404" spans="1:6" ht="16" customHeight="1" x14ac:dyDescent="0.45">
      <c r="A1404" s="19" t="s">
        <v>2925</v>
      </c>
      <c r="B1404" s="20" t="s">
        <v>2926</v>
      </c>
      <c r="C1404" s="21">
        <v>4975</v>
      </c>
      <c r="D1404" s="22"/>
      <c r="E1404" s="23">
        <v>-2.4500000476837161E-2</v>
      </c>
      <c r="F1404" s="24" t="s">
        <v>125</v>
      </c>
    </row>
    <row r="1405" spans="1:6" ht="16" customHeight="1" x14ac:dyDescent="0.45">
      <c r="A1405" s="19" t="s">
        <v>2927</v>
      </c>
      <c r="B1405" s="20" t="s">
        <v>2928</v>
      </c>
      <c r="C1405" s="21">
        <v>17730</v>
      </c>
      <c r="D1405" s="22"/>
      <c r="E1405" s="23">
        <v>-1.4500000476837161E-2</v>
      </c>
      <c r="F1405" s="24" t="s">
        <v>125</v>
      </c>
    </row>
    <row r="1406" spans="1:6" ht="16" customHeight="1" x14ac:dyDescent="0.45">
      <c r="A1406" s="19" t="s">
        <v>2929</v>
      </c>
      <c r="B1406" s="20" t="s">
        <v>2930</v>
      </c>
      <c r="C1406" s="21">
        <v>7580</v>
      </c>
      <c r="D1406" s="22"/>
      <c r="E1406" s="23">
        <v>-7.9000002145767217E-3</v>
      </c>
      <c r="F1406" s="24" t="s">
        <v>125</v>
      </c>
    </row>
    <row r="1407" spans="1:6" ht="16" customHeight="1" x14ac:dyDescent="0.45">
      <c r="A1407" s="19" t="s">
        <v>2931</v>
      </c>
      <c r="B1407" s="20" t="s">
        <v>2932</v>
      </c>
      <c r="C1407" s="21">
        <v>1435</v>
      </c>
      <c r="D1407" s="22"/>
      <c r="E1407" s="23">
        <v>-3.559999942779541E-2</v>
      </c>
      <c r="F1407" s="24" t="s">
        <v>128</v>
      </c>
    </row>
    <row r="1408" spans="1:6" ht="16" customHeight="1" x14ac:dyDescent="0.45">
      <c r="A1408" s="19" t="s">
        <v>2933</v>
      </c>
      <c r="B1408" s="20" t="s">
        <v>2934</v>
      </c>
      <c r="C1408" s="21">
        <v>9680</v>
      </c>
      <c r="D1408" s="22"/>
      <c r="E1408" s="23">
        <v>8.2999998331069955E-3</v>
      </c>
      <c r="F1408" s="24" t="s">
        <v>125</v>
      </c>
    </row>
    <row r="1409" spans="1:6" ht="16" customHeight="1" x14ac:dyDescent="0.45">
      <c r="A1409" s="19" t="s">
        <v>2935</v>
      </c>
      <c r="B1409" s="20" t="s">
        <v>2936</v>
      </c>
      <c r="C1409" s="21">
        <v>15170</v>
      </c>
      <c r="D1409" s="22"/>
      <c r="E1409" s="23">
        <v>1.6100000143051151E-2</v>
      </c>
      <c r="F1409" s="24" t="s">
        <v>125</v>
      </c>
    </row>
    <row r="1410" spans="1:6" ht="16" customHeight="1" x14ac:dyDescent="0.45">
      <c r="A1410" s="19" t="s">
        <v>2937</v>
      </c>
      <c r="B1410" s="20" t="s">
        <v>2938</v>
      </c>
      <c r="C1410" s="21">
        <v>130500</v>
      </c>
      <c r="D1410" s="22"/>
      <c r="E1410" s="23">
        <v>-2.8299999237060551E-2</v>
      </c>
      <c r="F1410" s="24" t="s">
        <v>128</v>
      </c>
    </row>
    <row r="1411" spans="1:6" ht="16" customHeight="1" x14ac:dyDescent="0.45">
      <c r="A1411" s="19" t="s">
        <v>2939</v>
      </c>
      <c r="B1411" s="20" t="s">
        <v>2940</v>
      </c>
      <c r="C1411" s="21">
        <v>46600</v>
      </c>
      <c r="D1411" s="22"/>
      <c r="E1411" s="23">
        <v>-3.119999885559082E-2</v>
      </c>
      <c r="F1411" s="24" t="s">
        <v>128</v>
      </c>
    </row>
    <row r="1412" spans="1:6" ht="16" customHeight="1" x14ac:dyDescent="0.45">
      <c r="A1412" s="19" t="s">
        <v>2941</v>
      </c>
      <c r="B1412" s="20" t="s">
        <v>2942</v>
      </c>
      <c r="C1412" s="21">
        <v>27750</v>
      </c>
      <c r="D1412" s="22"/>
      <c r="E1412" s="23">
        <v>-2.7999999523162841E-2</v>
      </c>
      <c r="F1412" s="24" t="s">
        <v>128</v>
      </c>
    </row>
    <row r="1413" spans="1:6" ht="16" customHeight="1" x14ac:dyDescent="0.45">
      <c r="A1413" s="19" t="s">
        <v>2943</v>
      </c>
      <c r="B1413" s="20" t="s">
        <v>2944</v>
      </c>
      <c r="C1413" s="21">
        <v>24200</v>
      </c>
      <c r="D1413" s="22"/>
      <c r="E1413" s="23">
        <v>-2.099999934434891E-3</v>
      </c>
      <c r="F1413" s="24" t="s">
        <v>128</v>
      </c>
    </row>
    <row r="1414" spans="1:6" ht="16" customHeight="1" x14ac:dyDescent="0.45">
      <c r="A1414" s="19" t="s">
        <v>2945</v>
      </c>
      <c r="B1414" s="20" t="s">
        <v>2946</v>
      </c>
      <c r="C1414" s="21">
        <v>11980</v>
      </c>
      <c r="D1414" s="22"/>
      <c r="E1414" s="23">
        <v>-1.4800000190734861E-2</v>
      </c>
      <c r="F1414" s="24" t="s">
        <v>128</v>
      </c>
    </row>
    <row r="1415" spans="1:6" ht="16" customHeight="1" x14ac:dyDescent="0.45">
      <c r="A1415" s="19" t="s">
        <v>2947</v>
      </c>
      <c r="B1415" s="20" t="s">
        <v>2948</v>
      </c>
      <c r="C1415" s="21">
        <v>21950</v>
      </c>
      <c r="D1415" s="22"/>
      <c r="E1415" s="23">
        <v>-6.4000000953674321E-2</v>
      </c>
      <c r="F1415" s="24" t="s">
        <v>125</v>
      </c>
    </row>
    <row r="1416" spans="1:6" ht="16" customHeight="1" x14ac:dyDescent="0.45">
      <c r="A1416" s="19" t="s">
        <v>2949</v>
      </c>
      <c r="B1416" s="20" t="s">
        <v>2950</v>
      </c>
      <c r="C1416" s="21">
        <v>23150</v>
      </c>
      <c r="D1416" s="22"/>
      <c r="E1416" s="23">
        <v>-5.1199998855590817E-2</v>
      </c>
      <c r="F1416" s="24" t="s">
        <v>125</v>
      </c>
    </row>
    <row r="1417" spans="1:6" ht="16" customHeight="1" x14ac:dyDescent="0.45">
      <c r="A1417" s="19" t="s">
        <v>2951</v>
      </c>
      <c r="B1417" s="20" t="s">
        <v>2952</v>
      </c>
      <c r="C1417" s="21">
        <v>1290</v>
      </c>
      <c r="D1417" s="22"/>
      <c r="E1417" s="23">
        <v>-3.6600000858306878E-2</v>
      </c>
      <c r="F1417" s="24" t="s">
        <v>125</v>
      </c>
    </row>
    <row r="1418" spans="1:6" ht="16" customHeight="1" x14ac:dyDescent="0.45">
      <c r="A1418" s="19" t="s">
        <v>2953</v>
      </c>
      <c r="B1418" s="20" t="s">
        <v>2954</v>
      </c>
      <c r="C1418" s="21">
        <v>1698</v>
      </c>
      <c r="D1418" s="22"/>
      <c r="E1418" s="23">
        <v>-4.4999999999999998E-2</v>
      </c>
      <c r="F1418" s="24" t="s">
        <v>125</v>
      </c>
    </row>
    <row r="1419" spans="1:6" ht="16" customHeight="1" x14ac:dyDescent="0.45">
      <c r="A1419" s="19" t="s">
        <v>2955</v>
      </c>
      <c r="B1419" s="20" t="s">
        <v>2956</v>
      </c>
      <c r="C1419" s="21">
        <v>15810</v>
      </c>
      <c r="D1419" s="22"/>
      <c r="E1419" s="23">
        <v>-7.4999999999999997E-3</v>
      </c>
      <c r="F1419" s="24" t="s">
        <v>125</v>
      </c>
    </row>
    <row r="1420" spans="1:6" ht="16" customHeight="1" x14ac:dyDescent="0.45">
      <c r="A1420" s="19" t="s">
        <v>2957</v>
      </c>
      <c r="B1420" s="20" t="s">
        <v>2958</v>
      </c>
      <c r="C1420" s="21">
        <v>13670</v>
      </c>
      <c r="D1420" s="22"/>
      <c r="E1420" s="23">
        <v>-1.6499999761581421E-2</v>
      </c>
      <c r="F1420" s="24" t="s">
        <v>125</v>
      </c>
    </row>
    <row r="1421" spans="1:6" ht="16" customHeight="1" x14ac:dyDescent="0.45">
      <c r="A1421" s="19" t="s">
        <v>2959</v>
      </c>
      <c r="B1421" s="20" t="s">
        <v>2960</v>
      </c>
      <c r="C1421" s="21">
        <v>12370</v>
      </c>
      <c r="D1421" s="22"/>
      <c r="E1421" s="23">
        <v>1.559999942779541E-2</v>
      </c>
      <c r="F1421" s="24" t="s">
        <v>125</v>
      </c>
    </row>
    <row r="1422" spans="1:6" ht="16" customHeight="1" x14ac:dyDescent="0.45">
      <c r="A1422" s="19" t="s">
        <v>2961</v>
      </c>
      <c r="B1422" s="20" t="s">
        <v>2962</v>
      </c>
      <c r="C1422" s="21">
        <v>265000</v>
      </c>
      <c r="D1422" s="22"/>
      <c r="E1422" s="23">
        <v>-3.6400001049041751E-2</v>
      </c>
      <c r="F1422" s="24" t="s">
        <v>128</v>
      </c>
    </row>
    <row r="1423" spans="1:6" ht="16" customHeight="1" x14ac:dyDescent="0.45">
      <c r="A1423" s="19" t="s">
        <v>2963</v>
      </c>
      <c r="B1423" s="20" t="s">
        <v>2964</v>
      </c>
      <c r="C1423" s="21">
        <v>11390</v>
      </c>
      <c r="D1423" s="22"/>
      <c r="E1423" s="23">
        <v>-2.319999933242798E-2</v>
      </c>
      <c r="F1423" s="24" t="s">
        <v>128</v>
      </c>
    </row>
    <row r="1424" spans="1:6" ht="16" customHeight="1" x14ac:dyDescent="0.45">
      <c r="A1424" s="19" t="s">
        <v>2965</v>
      </c>
      <c r="B1424" s="20" t="s">
        <v>2966</v>
      </c>
      <c r="C1424" s="21">
        <v>8700</v>
      </c>
      <c r="D1424" s="22"/>
      <c r="E1424" s="23">
        <v>-2.4700000286102291E-2</v>
      </c>
      <c r="F1424" s="24" t="s">
        <v>128</v>
      </c>
    </row>
    <row r="1425" spans="1:6" ht="16" customHeight="1" x14ac:dyDescent="0.45">
      <c r="A1425" s="19" t="s">
        <v>2967</v>
      </c>
      <c r="B1425" s="20" t="s">
        <v>2968</v>
      </c>
      <c r="C1425" s="21">
        <v>2110</v>
      </c>
      <c r="D1425" s="22"/>
      <c r="E1425" s="23">
        <v>-1.8600000143051149E-2</v>
      </c>
      <c r="F1425" s="24" t="s">
        <v>125</v>
      </c>
    </row>
    <row r="1426" spans="1:6" ht="16" customHeight="1" x14ac:dyDescent="0.45">
      <c r="A1426" s="19" t="s">
        <v>2969</v>
      </c>
      <c r="B1426" s="20" t="s">
        <v>2970</v>
      </c>
      <c r="C1426" s="21">
        <v>1288</v>
      </c>
      <c r="D1426" s="22"/>
      <c r="E1426" s="23">
        <v>-1.980000019073486E-2</v>
      </c>
      <c r="F1426" s="24" t="s">
        <v>128</v>
      </c>
    </row>
    <row r="1427" spans="1:6" ht="16" customHeight="1" x14ac:dyDescent="0.45">
      <c r="A1427" s="19" t="s">
        <v>2971</v>
      </c>
      <c r="B1427" s="20" t="s">
        <v>2972</v>
      </c>
      <c r="C1427" s="21">
        <v>7220</v>
      </c>
      <c r="D1427" s="22"/>
      <c r="E1427" s="23">
        <v>-3.5999999046325677E-2</v>
      </c>
      <c r="F1427" s="24" t="s">
        <v>125</v>
      </c>
    </row>
    <row r="1428" spans="1:6" ht="16" customHeight="1" x14ac:dyDescent="0.45">
      <c r="A1428" s="19" t="s">
        <v>2973</v>
      </c>
      <c r="B1428" s="20" t="s">
        <v>2974</v>
      </c>
      <c r="C1428" s="21">
        <v>6070</v>
      </c>
      <c r="D1428" s="22"/>
      <c r="E1428" s="23">
        <v>0</v>
      </c>
      <c r="F1428" s="24" t="s">
        <v>125</v>
      </c>
    </row>
    <row r="1429" spans="1:6" ht="16" customHeight="1" x14ac:dyDescent="0.45">
      <c r="A1429" s="19" t="s">
        <v>2975</v>
      </c>
      <c r="B1429" s="20" t="s">
        <v>2976</v>
      </c>
      <c r="C1429" s="21">
        <v>11090</v>
      </c>
      <c r="D1429" s="22"/>
      <c r="E1429" s="23">
        <v>-3.1400001049041747E-2</v>
      </c>
      <c r="F1429" s="24" t="s">
        <v>125</v>
      </c>
    </row>
    <row r="1430" spans="1:6" ht="16" customHeight="1" x14ac:dyDescent="0.45">
      <c r="A1430" s="19" t="s">
        <v>2977</v>
      </c>
      <c r="B1430" s="20" t="s">
        <v>2978</v>
      </c>
      <c r="C1430" s="21">
        <v>761</v>
      </c>
      <c r="D1430" s="22"/>
      <c r="E1430" s="23">
        <v>-4.4000000953674318E-2</v>
      </c>
      <c r="F1430" s="24" t="s">
        <v>125</v>
      </c>
    </row>
    <row r="1431" spans="1:6" ht="16" customHeight="1" x14ac:dyDescent="0.45">
      <c r="A1431" s="19" t="s">
        <v>2979</v>
      </c>
      <c r="B1431" s="20" t="s">
        <v>2980</v>
      </c>
      <c r="C1431" s="21">
        <v>11500</v>
      </c>
      <c r="D1431" s="22"/>
      <c r="E1431" s="23">
        <v>5.3099999427795412E-2</v>
      </c>
      <c r="F1431" s="24" t="s">
        <v>125</v>
      </c>
    </row>
    <row r="1432" spans="1:6" ht="16" customHeight="1" x14ac:dyDescent="0.45">
      <c r="A1432" s="19" t="s">
        <v>2981</v>
      </c>
      <c r="B1432" s="20" t="s">
        <v>2982</v>
      </c>
      <c r="C1432" s="21">
        <v>1495</v>
      </c>
      <c r="D1432" s="22"/>
      <c r="E1432" s="23">
        <v>7.4000000953674313E-3</v>
      </c>
      <c r="F1432" s="24" t="s">
        <v>125</v>
      </c>
    </row>
    <row r="1433" spans="1:6" ht="16" customHeight="1" x14ac:dyDescent="0.45">
      <c r="A1433" s="19" t="s">
        <v>2983</v>
      </c>
      <c r="B1433" s="20" t="s">
        <v>2984</v>
      </c>
      <c r="C1433" s="21">
        <v>10620</v>
      </c>
      <c r="D1433" s="22"/>
      <c r="E1433" s="23">
        <v>-2.2100000381469729E-2</v>
      </c>
      <c r="F1433" s="24" t="s">
        <v>128</v>
      </c>
    </row>
    <row r="1434" spans="1:6" ht="16" customHeight="1" x14ac:dyDescent="0.45">
      <c r="A1434" s="19" t="s">
        <v>2985</v>
      </c>
      <c r="B1434" s="20" t="s">
        <v>2986</v>
      </c>
      <c r="C1434" s="21">
        <v>7010</v>
      </c>
      <c r="D1434" s="22"/>
      <c r="E1434" s="23">
        <v>-2.8000000119209291E-3</v>
      </c>
      <c r="F1434" s="24" t="s">
        <v>128</v>
      </c>
    </row>
    <row r="1435" spans="1:6" ht="16" customHeight="1" x14ac:dyDescent="0.45">
      <c r="A1435" s="19" t="s">
        <v>2987</v>
      </c>
      <c r="B1435" s="20" t="s">
        <v>2988</v>
      </c>
      <c r="C1435" s="21">
        <v>2000</v>
      </c>
      <c r="D1435" s="22"/>
      <c r="E1435" s="23">
        <v>-1.7200000286102291E-2</v>
      </c>
      <c r="F1435" s="24" t="s">
        <v>125</v>
      </c>
    </row>
    <row r="1436" spans="1:6" ht="16" customHeight="1" x14ac:dyDescent="0.45">
      <c r="A1436" s="19" t="s">
        <v>2989</v>
      </c>
      <c r="B1436" s="20" t="s">
        <v>2990</v>
      </c>
      <c r="C1436" s="21">
        <v>794</v>
      </c>
      <c r="D1436" s="22"/>
      <c r="E1436" s="23">
        <v>0</v>
      </c>
      <c r="F1436" s="24" t="s">
        <v>125</v>
      </c>
    </row>
    <row r="1437" spans="1:6" ht="16" customHeight="1" x14ac:dyDescent="0.45">
      <c r="A1437" s="19" t="s">
        <v>2991</v>
      </c>
      <c r="B1437" s="20" t="s">
        <v>2992</v>
      </c>
      <c r="C1437" s="21">
        <v>14350</v>
      </c>
      <c r="D1437" s="22"/>
      <c r="E1437" s="23">
        <v>-3.109999895095825E-2</v>
      </c>
      <c r="F1437" s="24" t="s">
        <v>125</v>
      </c>
    </row>
    <row r="1438" spans="1:6" ht="16" customHeight="1" x14ac:dyDescent="0.45">
      <c r="A1438" s="19" t="s">
        <v>2993</v>
      </c>
      <c r="B1438" s="20" t="s">
        <v>2994</v>
      </c>
      <c r="C1438" s="21">
        <v>17350</v>
      </c>
      <c r="D1438" s="22"/>
      <c r="E1438" s="23">
        <v>-1.590000033378601E-2</v>
      </c>
      <c r="F1438" s="24" t="s">
        <v>125</v>
      </c>
    </row>
    <row r="1439" spans="1:6" ht="16" customHeight="1" x14ac:dyDescent="0.45">
      <c r="A1439" s="19" t="s">
        <v>2995</v>
      </c>
      <c r="B1439" s="20" t="s">
        <v>2996</v>
      </c>
      <c r="C1439" s="21">
        <v>16000</v>
      </c>
      <c r="D1439" s="22"/>
      <c r="E1439" s="23">
        <v>-3.7000000476837161E-3</v>
      </c>
      <c r="F1439" s="24" t="s">
        <v>125</v>
      </c>
    </row>
    <row r="1440" spans="1:6" ht="16" customHeight="1" x14ac:dyDescent="0.45">
      <c r="A1440" s="19" t="s">
        <v>2997</v>
      </c>
      <c r="B1440" s="20" t="s">
        <v>2998</v>
      </c>
      <c r="C1440" s="21">
        <v>5240</v>
      </c>
      <c r="D1440" s="22"/>
      <c r="E1440" s="23">
        <v>9.5999997854232782E-3</v>
      </c>
      <c r="F1440" s="24" t="s">
        <v>125</v>
      </c>
    </row>
    <row r="1441" spans="1:6" ht="16" customHeight="1" x14ac:dyDescent="0.45">
      <c r="A1441" s="19" t="s">
        <v>2999</v>
      </c>
      <c r="B1441" s="20" t="s">
        <v>3000</v>
      </c>
      <c r="C1441" s="21">
        <v>2095</v>
      </c>
      <c r="D1441" s="22"/>
      <c r="E1441" s="23">
        <v>-5.6300001144409181E-2</v>
      </c>
      <c r="F1441" s="24" t="s">
        <v>125</v>
      </c>
    </row>
    <row r="1442" spans="1:6" ht="16" customHeight="1" x14ac:dyDescent="0.45">
      <c r="A1442" s="19" t="s">
        <v>3001</v>
      </c>
      <c r="B1442" s="20" t="s">
        <v>3002</v>
      </c>
      <c r="C1442" s="21">
        <v>7480</v>
      </c>
      <c r="D1442" s="22"/>
      <c r="E1442" s="23">
        <v>-9.3000000715255729E-3</v>
      </c>
      <c r="F1442" s="24" t="s">
        <v>128</v>
      </c>
    </row>
    <row r="1443" spans="1:6" ht="16" customHeight="1" x14ac:dyDescent="0.45">
      <c r="A1443" s="19" t="s">
        <v>3003</v>
      </c>
      <c r="B1443" s="20" t="s">
        <v>3004</v>
      </c>
      <c r="C1443" s="21">
        <v>2695</v>
      </c>
      <c r="D1443" s="22"/>
      <c r="E1443" s="23">
        <v>-5.5000001192092897E-3</v>
      </c>
      <c r="F1443" s="24" t="s">
        <v>125</v>
      </c>
    </row>
    <row r="1444" spans="1:6" ht="16" customHeight="1" x14ac:dyDescent="0.45">
      <c r="A1444" s="19" t="s">
        <v>3005</v>
      </c>
      <c r="B1444" s="20" t="s">
        <v>3006</v>
      </c>
      <c r="C1444" s="21">
        <v>1348</v>
      </c>
      <c r="D1444" s="22"/>
      <c r="E1444" s="23">
        <v>0.1611000061035156</v>
      </c>
      <c r="F1444" s="24" t="s">
        <v>125</v>
      </c>
    </row>
    <row r="1445" spans="1:6" ht="16" customHeight="1" x14ac:dyDescent="0.45">
      <c r="A1445" s="19" t="s">
        <v>3007</v>
      </c>
      <c r="B1445" s="20" t="s">
        <v>3008</v>
      </c>
      <c r="C1445" s="21">
        <v>4090</v>
      </c>
      <c r="D1445" s="22"/>
      <c r="E1445" s="23">
        <v>0.10840000152587891</v>
      </c>
      <c r="F1445" s="24" t="s">
        <v>125</v>
      </c>
    </row>
    <row r="1446" spans="1:6" ht="16" customHeight="1" x14ac:dyDescent="0.45">
      <c r="A1446" s="19" t="s">
        <v>3009</v>
      </c>
      <c r="B1446" s="20" t="s">
        <v>3010</v>
      </c>
      <c r="C1446" s="21">
        <v>21150</v>
      </c>
      <c r="D1446" s="22"/>
      <c r="E1446" s="23">
        <v>-2.9800000190734859E-2</v>
      </c>
      <c r="F1446" s="24" t="s">
        <v>125</v>
      </c>
    </row>
    <row r="1447" spans="1:6" ht="16" customHeight="1" x14ac:dyDescent="0.45">
      <c r="A1447" s="19" t="s">
        <v>3011</v>
      </c>
      <c r="B1447" s="20" t="s">
        <v>3012</v>
      </c>
      <c r="C1447" s="21">
        <v>17850</v>
      </c>
      <c r="D1447" s="22"/>
      <c r="E1447" s="23">
        <v>-2.77999997138977E-2</v>
      </c>
      <c r="F1447" s="24" t="s">
        <v>125</v>
      </c>
    </row>
    <row r="1448" spans="1:6" ht="16" customHeight="1" x14ac:dyDescent="0.45">
      <c r="A1448" s="19" t="s">
        <v>3013</v>
      </c>
      <c r="B1448" s="20" t="s">
        <v>3014</v>
      </c>
      <c r="C1448" s="21">
        <v>1572</v>
      </c>
      <c r="D1448" s="22"/>
      <c r="E1448" s="23">
        <v>-2.2400000095367429E-2</v>
      </c>
      <c r="F1448" s="24" t="s">
        <v>125</v>
      </c>
    </row>
    <row r="1449" spans="1:6" ht="16" customHeight="1" x14ac:dyDescent="0.45">
      <c r="A1449" s="19" t="s">
        <v>3015</v>
      </c>
      <c r="B1449" s="20" t="s">
        <v>3016</v>
      </c>
      <c r="C1449" s="21">
        <v>104000</v>
      </c>
      <c r="D1449" s="22"/>
      <c r="E1449" s="23">
        <v>-1.7000000476837161E-2</v>
      </c>
      <c r="F1449" s="24" t="s">
        <v>125</v>
      </c>
    </row>
    <row r="1450" spans="1:6" ht="16" customHeight="1" x14ac:dyDescent="0.45">
      <c r="A1450" s="19" t="s">
        <v>3017</v>
      </c>
      <c r="B1450" s="20" t="s">
        <v>3018</v>
      </c>
      <c r="C1450" s="21">
        <v>6460</v>
      </c>
      <c r="D1450" s="22"/>
      <c r="E1450" s="23">
        <v>0.1005000019073486</v>
      </c>
      <c r="F1450" s="24" t="s">
        <v>125</v>
      </c>
    </row>
    <row r="1451" spans="1:6" ht="16" customHeight="1" x14ac:dyDescent="0.45">
      <c r="A1451" s="19" t="s">
        <v>3019</v>
      </c>
      <c r="B1451" s="20" t="s">
        <v>3020</v>
      </c>
      <c r="C1451" s="21">
        <v>1115</v>
      </c>
      <c r="D1451" s="22"/>
      <c r="E1451" s="23">
        <v>-7.3200001716613769E-2</v>
      </c>
      <c r="F1451" s="24" t="s">
        <v>125</v>
      </c>
    </row>
    <row r="1452" spans="1:6" ht="16" customHeight="1" x14ac:dyDescent="0.45">
      <c r="A1452" s="19" t="s">
        <v>3021</v>
      </c>
      <c r="B1452" s="20" t="s">
        <v>3022</v>
      </c>
      <c r="C1452" s="21">
        <v>23850</v>
      </c>
      <c r="D1452" s="22"/>
      <c r="E1452" s="23">
        <v>1.2699999809265139E-2</v>
      </c>
      <c r="F1452" s="24" t="s">
        <v>125</v>
      </c>
    </row>
    <row r="1453" spans="1:6" ht="16" customHeight="1" x14ac:dyDescent="0.45">
      <c r="A1453" s="19" t="s">
        <v>3023</v>
      </c>
      <c r="B1453" s="20" t="s">
        <v>3024</v>
      </c>
      <c r="C1453" s="21">
        <v>5680</v>
      </c>
      <c r="D1453" s="22"/>
      <c r="E1453" s="23">
        <v>-3.8900001049041753E-2</v>
      </c>
      <c r="F1453" s="24" t="s">
        <v>125</v>
      </c>
    </row>
    <row r="1454" spans="1:6" ht="16" customHeight="1" x14ac:dyDescent="0.45">
      <c r="A1454" s="19" t="s">
        <v>3025</v>
      </c>
      <c r="B1454" s="20" t="s">
        <v>3026</v>
      </c>
      <c r="C1454" s="21">
        <v>3935</v>
      </c>
      <c r="D1454" s="22"/>
      <c r="E1454" s="23">
        <v>4.5199999809265139E-2</v>
      </c>
      <c r="F1454" s="24" t="s">
        <v>125</v>
      </c>
    </row>
    <row r="1455" spans="1:6" ht="16" customHeight="1" x14ac:dyDescent="0.45">
      <c r="A1455" s="19" t="s">
        <v>3027</v>
      </c>
      <c r="B1455" s="20" t="s">
        <v>3028</v>
      </c>
      <c r="C1455" s="21">
        <v>25250</v>
      </c>
      <c r="D1455" s="22"/>
      <c r="E1455" s="23">
        <v>-3.069999933242798E-2</v>
      </c>
      <c r="F1455" s="24" t="s">
        <v>128</v>
      </c>
    </row>
    <row r="1456" spans="1:6" ht="16" customHeight="1" x14ac:dyDescent="0.45">
      <c r="A1456" s="19" t="s">
        <v>3029</v>
      </c>
      <c r="B1456" s="20" t="s">
        <v>3030</v>
      </c>
      <c r="C1456" s="21">
        <v>10570</v>
      </c>
      <c r="D1456" s="22"/>
      <c r="E1456" s="23">
        <v>9.8800001144409177E-2</v>
      </c>
      <c r="F1456" s="24" t="s">
        <v>125</v>
      </c>
    </row>
    <row r="1457" spans="1:6" ht="16" customHeight="1" x14ac:dyDescent="0.45">
      <c r="A1457" s="19" t="s">
        <v>3031</v>
      </c>
      <c r="B1457" s="20" t="s">
        <v>3032</v>
      </c>
      <c r="C1457" s="21">
        <v>1056</v>
      </c>
      <c r="D1457" s="22"/>
      <c r="E1457" s="23">
        <v>3.7300000190734872E-2</v>
      </c>
      <c r="F1457" s="24" t="s">
        <v>125</v>
      </c>
    </row>
    <row r="1458" spans="1:6" ht="16" customHeight="1" x14ac:dyDescent="0.45">
      <c r="A1458" s="19" t="s">
        <v>3033</v>
      </c>
      <c r="B1458" s="20" t="s">
        <v>3034</v>
      </c>
      <c r="C1458" s="21">
        <v>7100</v>
      </c>
      <c r="D1458" s="22"/>
      <c r="E1458" s="23">
        <v>-8.1499996185302737E-2</v>
      </c>
      <c r="F1458" s="24" t="s">
        <v>125</v>
      </c>
    </row>
    <row r="1459" spans="1:6" ht="16" customHeight="1" x14ac:dyDescent="0.45">
      <c r="A1459" s="19" t="s">
        <v>3035</v>
      </c>
      <c r="B1459" s="20" t="s">
        <v>3036</v>
      </c>
      <c r="C1459" s="21">
        <v>2275</v>
      </c>
      <c r="D1459" s="22"/>
      <c r="E1459" s="23">
        <v>-1.940000057220459E-2</v>
      </c>
      <c r="F1459" s="24" t="s">
        <v>251</v>
      </c>
    </row>
    <row r="1460" spans="1:6" ht="16" customHeight="1" x14ac:dyDescent="0.45">
      <c r="A1460" s="19" t="s">
        <v>3037</v>
      </c>
      <c r="B1460" s="20" t="s">
        <v>3038</v>
      </c>
      <c r="C1460" s="21">
        <v>396</v>
      </c>
      <c r="D1460" s="22"/>
      <c r="E1460" s="23">
        <v>0</v>
      </c>
      <c r="F1460" s="24" t="s">
        <v>125</v>
      </c>
    </row>
    <row r="1461" spans="1:6" ht="16" customHeight="1" x14ac:dyDescent="0.45">
      <c r="A1461" s="19" t="s">
        <v>3039</v>
      </c>
      <c r="B1461" s="20" t="s">
        <v>3040</v>
      </c>
      <c r="C1461" s="21">
        <v>45650</v>
      </c>
      <c r="D1461" s="22"/>
      <c r="E1461" s="23">
        <v>-1.8300000429153439E-2</v>
      </c>
      <c r="F1461" s="24" t="s">
        <v>125</v>
      </c>
    </row>
    <row r="1462" spans="1:6" ht="16" customHeight="1" x14ac:dyDescent="0.45">
      <c r="A1462" s="19" t="s">
        <v>3041</v>
      </c>
      <c r="B1462" s="20" t="s">
        <v>3042</v>
      </c>
      <c r="C1462" s="21">
        <v>6860</v>
      </c>
      <c r="D1462" s="22"/>
      <c r="E1462" s="23">
        <v>-3.9200000762939453E-2</v>
      </c>
      <c r="F1462" s="24" t="s">
        <v>125</v>
      </c>
    </row>
    <row r="1463" spans="1:6" ht="16" customHeight="1" x14ac:dyDescent="0.45">
      <c r="A1463" s="19" t="s">
        <v>3043</v>
      </c>
      <c r="B1463" s="20" t="s">
        <v>3044</v>
      </c>
      <c r="C1463" s="21">
        <v>13610</v>
      </c>
      <c r="D1463" s="22"/>
      <c r="E1463" s="23">
        <v>-3.880000114440918E-2</v>
      </c>
      <c r="F1463" s="24" t="s">
        <v>251</v>
      </c>
    </row>
    <row r="1464" spans="1:6" ht="16" customHeight="1" x14ac:dyDescent="0.45">
      <c r="A1464" s="19" t="s">
        <v>3045</v>
      </c>
      <c r="B1464" s="20" t="s">
        <v>3046</v>
      </c>
      <c r="C1464" s="21">
        <v>18180</v>
      </c>
      <c r="D1464" s="22"/>
      <c r="E1464" s="23">
        <v>4.2399997711181643E-2</v>
      </c>
      <c r="F1464" s="24" t="s">
        <v>125</v>
      </c>
    </row>
    <row r="1465" spans="1:6" ht="16" customHeight="1" x14ac:dyDescent="0.45">
      <c r="A1465" s="19" t="s">
        <v>3047</v>
      </c>
      <c r="B1465" s="20" t="s">
        <v>3048</v>
      </c>
      <c r="C1465" s="21">
        <v>2660</v>
      </c>
      <c r="D1465" s="22"/>
      <c r="E1465" s="23">
        <v>-0.13500000000000001</v>
      </c>
      <c r="F1465" s="24" t="s">
        <v>251</v>
      </c>
    </row>
    <row r="1466" spans="1:6" ht="16" customHeight="1" x14ac:dyDescent="0.45">
      <c r="A1466" s="19" t="s">
        <v>3049</v>
      </c>
      <c r="B1466" s="20" t="s">
        <v>3050</v>
      </c>
      <c r="C1466" s="21">
        <v>898</v>
      </c>
      <c r="D1466" s="22"/>
      <c r="E1466" s="23">
        <v>-2.390000104904175E-2</v>
      </c>
      <c r="F1466" s="24" t="s">
        <v>125</v>
      </c>
    </row>
    <row r="1467" spans="1:6" ht="16" customHeight="1" x14ac:dyDescent="0.45">
      <c r="A1467" s="19" t="s">
        <v>3051</v>
      </c>
      <c r="B1467" s="20" t="s">
        <v>3052</v>
      </c>
      <c r="C1467" s="21">
        <v>1749</v>
      </c>
      <c r="D1467" s="22"/>
      <c r="E1467" s="23">
        <v>1.509999990463257E-2</v>
      </c>
      <c r="F1467" s="24" t="s">
        <v>125</v>
      </c>
    </row>
    <row r="1468" spans="1:6" ht="16" customHeight="1" x14ac:dyDescent="0.45">
      <c r="A1468" s="19" t="s">
        <v>3053</v>
      </c>
      <c r="B1468" s="20" t="s">
        <v>3054</v>
      </c>
      <c r="C1468" s="21">
        <v>2170</v>
      </c>
      <c r="D1468" s="22"/>
      <c r="E1468" s="23">
        <v>-3.9800000190734861E-2</v>
      </c>
      <c r="F1468" s="24" t="s">
        <v>125</v>
      </c>
    </row>
    <row r="1469" spans="1:6" ht="16" customHeight="1" x14ac:dyDescent="0.45">
      <c r="A1469" s="19" t="s">
        <v>3055</v>
      </c>
      <c r="B1469" s="20" t="s">
        <v>3056</v>
      </c>
      <c r="C1469" s="21">
        <v>1370</v>
      </c>
      <c r="D1469" s="22"/>
      <c r="E1469" s="23">
        <v>-3.2500000000000001E-2</v>
      </c>
      <c r="F1469" s="24" t="s">
        <v>125</v>
      </c>
    </row>
    <row r="1470" spans="1:6" ht="16" customHeight="1" x14ac:dyDescent="0.45">
      <c r="A1470" s="19" t="s">
        <v>3057</v>
      </c>
      <c r="B1470" s="20" t="s">
        <v>3058</v>
      </c>
      <c r="C1470" s="21">
        <v>5420</v>
      </c>
      <c r="D1470" s="22"/>
      <c r="E1470" s="23">
        <v>-2.5199999809265142E-2</v>
      </c>
      <c r="F1470" s="24" t="s">
        <v>125</v>
      </c>
    </row>
    <row r="1471" spans="1:6" ht="16" customHeight="1" x14ac:dyDescent="0.45">
      <c r="A1471" s="19" t="s">
        <v>3059</v>
      </c>
      <c r="B1471" s="20" t="s">
        <v>3060</v>
      </c>
      <c r="C1471" s="21">
        <v>4790</v>
      </c>
      <c r="D1471" s="22"/>
      <c r="E1471" s="23">
        <v>0</v>
      </c>
      <c r="F1471" s="24" t="s">
        <v>251</v>
      </c>
    </row>
    <row r="1472" spans="1:6" ht="16" customHeight="1" x14ac:dyDescent="0.45">
      <c r="A1472" s="19" t="s">
        <v>3061</v>
      </c>
      <c r="B1472" s="20" t="s">
        <v>3062</v>
      </c>
      <c r="C1472" s="21">
        <v>1780</v>
      </c>
      <c r="D1472" s="22"/>
      <c r="E1472" s="23">
        <v>0</v>
      </c>
      <c r="F1472" s="24" t="s">
        <v>125</v>
      </c>
    </row>
    <row r="1473" spans="1:6" ht="16" customHeight="1" x14ac:dyDescent="0.45">
      <c r="A1473" s="19" t="s">
        <v>3063</v>
      </c>
      <c r="B1473" s="20" t="s">
        <v>3064</v>
      </c>
      <c r="C1473" s="21">
        <v>2170</v>
      </c>
      <c r="D1473" s="22"/>
      <c r="E1473" s="23">
        <v>0</v>
      </c>
      <c r="F1473" s="24" t="s">
        <v>125</v>
      </c>
    </row>
    <row r="1474" spans="1:6" ht="16" customHeight="1" x14ac:dyDescent="0.45">
      <c r="A1474" s="19" t="s">
        <v>3065</v>
      </c>
      <c r="B1474" s="20" t="s">
        <v>3066</v>
      </c>
      <c r="C1474" s="21">
        <v>3990</v>
      </c>
      <c r="D1474" s="22"/>
      <c r="E1474" s="23">
        <v>-2.5599999427795408E-2</v>
      </c>
      <c r="F1474" s="24" t="s">
        <v>125</v>
      </c>
    </row>
    <row r="1475" spans="1:6" ht="16" customHeight="1" x14ac:dyDescent="0.45">
      <c r="A1475" s="19" t="s">
        <v>3067</v>
      </c>
      <c r="B1475" s="20" t="s">
        <v>3068</v>
      </c>
      <c r="C1475" s="21">
        <v>7240</v>
      </c>
      <c r="D1475" s="22"/>
      <c r="E1475" s="23">
        <v>-6.0999999046325692E-2</v>
      </c>
      <c r="F1475" s="24" t="s">
        <v>125</v>
      </c>
    </row>
    <row r="1476" spans="1:6" ht="16" customHeight="1" x14ac:dyDescent="0.45">
      <c r="A1476" s="19" t="s">
        <v>3069</v>
      </c>
      <c r="B1476" s="20" t="s">
        <v>3070</v>
      </c>
      <c r="C1476" s="21">
        <v>312</v>
      </c>
      <c r="D1476" s="22"/>
      <c r="E1476" s="23">
        <v>0</v>
      </c>
      <c r="F1476" s="24" t="s">
        <v>125</v>
      </c>
    </row>
    <row r="1477" spans="1:6" ht="16" customHeight="1" x14ac:dyDescent="0.45">
      <c r="A1477" s="19" t="s">
        <v>3071</v>
      </c>
      <c r="B1477" s="20" t="s">
        <v>3072</v>
      </c>
      <c r="C1477" s="21">
        <v>60800</v>
      </c>
      <c r="D1477" s="22"/>
      <c r="E1477" s="23">
        <v>-1.7799999713897709E-2</v>
      </c>
      <c r="F1477" s="24" t="s">
        <v>125</v>
      </c>
    </row>
    <row r="1478" spans="1:6" ht="16" customHeight="1" x14ac:dyDescent="0.45">
      <c r="A1478" s="19" t="s">
        <v>3073</v>
      </c>
      <c r="B1478" s="20" t="s">
        <v>3074</v>
      </c>
      <c r="C1478" s="21">
        <v>7870</v>
      </c>
      <c r="D1478" s="22"/>
      <c r="E1478" s="23">
        <v>4.5199999809265139E-2</v>
      </c>
      <c r="F1478" s="24" t="s">
        <v>128</v>
      </c>
    </row>
    <row r="1479" spans="1:6" ht="16" customHeight="1" x14ac:dyDescent="0.45">
      <c r="A1479" s="19" t="s">
        <v>3075</v>
      </c>
      <c r="B1479" s="20" t="s">
        <v>3076</v>
      </c>
      <c r="C1479" s="21">
        <v>5850</v>
      </c>
      <c r="D1479" s="22"/>
      <c r="E1479" s="23">
        <v>-3.4000000357627871E-3</v>
      </c>
      <c r="F1479" s="24" t="s">
        <v>125</v>
      </c>
    </row>
    <row r="1480" spans="1:6" ht="16" customHeight="1" x14ac:dyDescent="0.45">
      <c r="A1480" s="19" t="s">
        <v>3077</v>
      </c>
      <c r="B1480" s="20" t="s">
        <v>3078</v>
      </c>
      <c r="C1480" s="21">
        <v>11930</v>
      </c>
      <c r="D1480" s="22"/>
      <c r="E1480" s="23">
        <v>1.360000014305115E-2</v>
      </c>
      <c r="F1480" s="24" t="s">
        <v>251</v>
      </c>
    </row>
    <row r="1481" spans="1:6" ht="16" customHeight="1" x14ac:dyDescent="0.45">
      <c r="A1481" s="19" t="s">
        <v>3079</v>
      </c>
      <c r="B1481" s="20" t="s">
        <v>3080</v>
      </c>
      <c r="C1481" s="21">
        <v>4930</v>
      </c>
      <c r="D1481" s="22"/>
      <c r="E1481" s="23">
        <v>6.8299999237060552E-2</v>
      </c>
      <c r="F1481" s="24" t="s">
        <v>125</v>
      </c>
    </row>
    <row r="1482" spans="1:6" ht="16" customHeight="1" x14ac:dyDescent="0.45">
      <c r="A1482" s="19" t="s">
        <v>3081</v>
      </c>
      <c r="B1482" s="20" t="s">
        <v>3082</v>
      </c>
      <c r="C1482" s="21">
        <v>3935</v>
      </c>
      <c r="D1482" s="22"/>
      <c r="E1482" s="23">
        <v>-3.3199999332427982E-2</v>
      </c>
      <c r="F1482" s="24" t="s">
        <v>125</v>
      </c>
    </row>
    <row r="1483" spans="1:6" ht="16" customHeight="1" x14ac:dyDescent="0.45">
      <c r="A1483" s="19" t="s">
        <v>3083</v>
      </c>
      <c r="B1483" s="20" t="s">
        <v>3084</v>
      </c>
      <c r="C1483" s="21">
        <v>18210</v>
      </c>
      <c r="D1483" s="22"/>
      <c r="E1483" s="23">
        <v>6.239999771118164E-2</v>
      </c>
      <c r="F1483" s="24" t="s">
        <v>125</v>
      </c>
    </row>
    <row r="1484" spans="1:6" ht="16" customHeight="1" x14ac:dyDescent="0.45">
      <c r="A1484" s="19" t="s">
        <v>3085</v>
      </c>
      <c r="B1484" s="20" t="s">
        <v>3086</v>
      </c>
      <c r="C1484" s="21">
        <v>21000</v>
      </c>
      <c r="D1484" s="22"/>
      <c r="E1484" s="23">
        <v>0</v>
      </c>
      <c r="F1484" s="24" t="s">
        <v>125</v>
      </c>
    </row>
    <row r="1485" spans="1:6" ht="16" customHeight="1" x14ac:dyDescent="0.45">
      <c r="A1485" s="19" t="s">
        <v>3087</v>
      </c>
      <c r="B1485" s="20" t="s">
        <v>3088</v>
      </c>
      <c r="C1485" s="21">
        <v>10340</v>
      </c>
      <c r="D1485" s="22"/>
      <c r="E1485" s="23">
        <v>-3.4500000476837163E-2</v>
      </c>
      <c r="F1485" s="24" t="s">
        <v>125</v>
      </c>
    </row>
    <row r="1486" spans="1:6" ht="16" customHeight="1" x14ac:dyDescent="0.45">
      <c r="A1486" s="19" t="s">
        <v>3089</v>
      </c>
      <c r="B1486" s="20" t="s">
        <v>3090</v>
      </c>
      <c r="C1486" s="21">
        <v>15350</v>
      </c>
      <c r="D1486" s="22"/>
      <c r="E1486" s="23">
        <v>-7.0999997854232794E-3</v>
      </c>
      <c r="F1486" s="24" t="s">
        <v>125</v>
      </c>
    </row>
    <row r="1487" spans="1:6" ht="16" customHeight="1" x14ac:dyDescent="0.45">
      <c r="A1487" s="19" t="s">
        <v>3091</v>
      </c>
      <c r="B1487" s="20" t="s">
        <v>3092</v>
      </c>
      <c r="C1487" s="21">
        <v>3590</v>
      </c>
      <c r="D1487" s="22"/>
      <c r="E1487" s="23">
        <v>-3.490000009536743E-2</v>
      </c>
      <c r="F1487" s="24" t="s">
        <v>128</v>
      </c>
    </row>
    <row r="1488" spans="1:6" ht="16" customHeight="1" x14ac:dyDescent="0.45">
      <c r="A1488" s="19" t="s">
        <v>3093</v>
      </c>
      <c r="B1488" s="20" t="s">
        <v>3094</v>
      </c>
      <c r="C1488" s="21">
        <v>1340</v>
      </c>
      <c r="D1488" s="22"/>
      <c r="E1488" s="23">
        <v>-1.6200000047683721E-2</v>
      </c>
      <c r="F1488" s="24" t="s">
        <v>125</v>
      </c>
    </row>
    <row r="1489" spans="1:6" ht="16" customHeight="1" x14ac:dyDescent="0.45">
      <c r="A1489" s="19" t="s">
        <v>3095</v>
      </c>
      <c r="B1489" s="20" t="s">
        <v>3096</v>
      </c>
      <c r="C1489" s="21">
        <v>3770</v>
      </c>
      <c r="D1489" s="22"/>
      <c r="E1489" s="23">
        <v>-1.950000047683716E-2</v>
      </c>
      <c r="F1489" s="24" t="s">
        <v>125</v>
      </c>
    </row>
    <row r="1490" spans="1:6" ht="16" customHeight="1" x14ac:dyDescent="0.45">
      <c r="A1490" s="19" t="s">
        <v>3097</v>
      </c>
      <c r="B1490" s="20" t="s">
        <v>3098</v>
      </c>
      <c r="C1490" s="21">
        <v>11710</v>
      </c>
      <c r="D1490" s="22"/>
      <c r="E1490" s="23">
        <v>1.120000004768372E-2</v>
      </c>
      <c r="F1490" s="24" t="s">
        <v>125</v>
      </c>
    </row>
    <row r="1491" spans="1:6" ht="16" customHeight="1" x14ac:dyDescent="0.45">
      <c r="A1491" s="19" t="s">
        <v>3099</v>
      </c>
      <c r="B1491" s="20" t="s">
        <v>3100</v>
      </c>
      <c r="C1491" s="21">
        <v>1130</v>
      </c>
      <c r="D1491" s="22"/>
      <c r="E1491" s="23">
        <v>-3.2500000000000001E-2</v>
      </c>
      <c r="F1491" s="24" t="s">
        <v>128</v>
      </c>
    </row>
    <row r="1492" spans="1:6" ht="16" customHeight="1" x14ac:dyDescent="0.45">
      <c r="A1492" s="19" t="s">
        <v>3101</v>
      </c>
      <c r="B1492" s="20" t="s">
        <v>3102</v>
      </c>
      <c r="C1492" s="21">
        <v>39300</v>
      </c>
      <c r="D1492" s="22"/>
      <c r="E1492" s="23">
        <v>-3.6800000667572018E-2</v>
      </c>
      <c r="F1492" s="24" t="s">
        <v>125</v>
      </c>
    </row>
    <row r="1493" spans="1:6" ht="16" customHeight="1" x14ac:dyDescent="0.45">
      <c r="A1493" s="19" t="s">
        <v>3103</v>
      </c>
      <c r="B1493" s="20" t="s">
        <v>3104</v>
      </c>
      <c r="C1493" s="21">
        <v>4425</v>
      </c>
      <c r="D1493" s="22"/>
      <c r="E1493" s="23">
        <v>0</v>
      </c>
      <c r="F1493" s="24" t="s">
        <v>125</v>
      </c>
    </row>
    <row r="1494" spans="1:6" ht="16" customHeight="1" x14ac:dyDescent="0.45">
      <c r="A1494" s="19" t="s">
        <v>3105</v>
      </c>
      <c r="B1494" s="20" t="s">
        <v>3106</v>
      </c>
      <c r="C1494" s="21">
        <v>8900</v>
      </c>
      <c r="D1494" s="22"/>
      <c r="E1494" s="23">
        <v>8.8000001907348635E-2</v>
      </c>
      <c r="F1494" s="24" t="s">
        <v>125</v>
      </c>
    </row>
    <row r="1495" spans="1:6" ht="16" customHeight="1" x14ac:dyDescent="0.45">
      <c r="A1495" s="19" t="s">
        <v>3107</v>
      </c>
      <c r="B1495" s="20" t="s">
        <v>3108</v>
      </c>
      <c r="C1495" s="21">
        <v>5270</v>
      </c>
      <c r="D1495" s="22"/>
      <c r="E1495" s="23">
        <v>-5.0500001907348629E-2</v>
      </c>
      <c r="F1495" s="24" t="s">
        <v>125</v>
      </c>
    </row>
    <row r="1496" spans="1:6" ht="16" customHeight="1" x14ac:dyDescent="0.45">
      <c r="A1496" s="19" t="s">
        <v>3109</v>
      </c>
      <c r="B1496" s="20" t="s">
        <v>3110</v>
      </c>
      <c r="C1496" s="21">
        <v>4800</v>
      </c>
      <c r="D1496" s="22"/>
      <c r="E1496" s="23">
        <v>-2.0399999618530271E-2</v>
      </c>
      <c r="F1496" s="24" t="s">
        <v>125</v>
      </c>
    </row>
    <row r="1497" spans="1:6" ht="16" customHeight="1" x14ac:dyDescent="0.45">
      <c r="A1497" s="19" t="s">
        <v>3111</v>
      </c>
      <c r="B1497" s="20" t="s">
        <v>3112</v>
      </c>
      <c r="C1497" s="21">
        <v>28</v>
      </c>
      <c r="D1497" s="22"/>
      <c r="E1497" s="23">
        <v>0</v>
      </c>
      <c r="F1497" s="24" t="s">
        <v>251</v>
      </c>
    </row>
    <row r="1498" spans="1:6" ht="16" customHeight="1" x14ac:dyDescent="0.45">
      <c r="A1498" s="19" t="s">
        <v>3113</v>
      </c>
      <c r="B1498" s="20" t="s">
        <v>3114</v>
      </c>
      <c r="C1498" s="21">
        <v>2365</v>
      </c>
      <c r="D1498" s="22"/>
      <c r="E1498" s="23">
        <v>-9.8999996185302738E-2</v>
      </c>
      <c r="F1498" s="24" t="s">
        <v>251</v>
      </c>
    </row>
    <row r="1499" spans="1:6" ht="16" customHeight="1" x14ac:dyDescent="0.45">
      <c r="A1499" s="19" t="s">
        <v>3115</v>
      </c>
      <c r="B1499" s="20" t="s">
        <v>3116</v>
      </c>
      <c r="C1499" s="21">
        <v>7960</v>
      </c>
      <c r="D1499" s="22"/>
      <c r="E1499" s="23">
        <v>-1.120000004768372E-2</v>
      </c>
      <c r="F1499" s="24" t="s">
        <v>125</v>
      </c>
    </row>
    <row r="1500" spans="1:6" ht="16" customHeight="1" x14ac:dyDescent="0.45">
      <c r="A1500" s="19" t="s">
        <v>3117</v>
      </c>
      <c r="B1500" s="20" t="s">
        <v>3118</v>
      </c>
      <c r="C1500" s="21">
        <v>63100</v>
      </c>
      <c r="D1500" s="22"/>
      <c r="E1500" s="23">
        <v>1.599999964237213E-3</v>
      </c>
      <c r="F1500" s="24" t="s">
        <v>125</v>
      </c>
    </row>
    <row r="1501" spans="1:6" ht="16" customHeight="1" x14ac:dyDescent="0.45">
      <c r="A1501" s="19" t="s">
        <v>3119</v>
      </c>
      <c r="B1501" s="20" t="s">
        <v>3120</v>
      </c>
      <c r="C1501" s="21">
        <v>1589</v>
      </c>
      <c r="D1501" s="22"/>
      <c r="E1501" s="23">
        <v>-0.1022999954223633</v>
      </c>
      <c r="F1501" s="24" t="s">
        <v>251</v>
      </c>
    </row>
    <row r="1502" spans="1:6" ht="16" customHeight="1" x14ac:dyDescent="0.45">
      <c r="A1502" s="19" t="s">
        <v>3121</v>
      </c>
      <c r="B1502" s="20" t="s">
        <v>3122</v>
      </c>
      <c r="C1502" s="21">
        <v>33900</v>
      </c>
      <c r="D1502" s="22"/>
      <c r="E1502" s="23">
        <v>-2.730000019073486E-2</v>
      </c>
      <c r="F1502" s="24" t="s">
        <v>125</v>
      </c>
    </row>
    <row r="1503" spans="1:6" ht="16" customHeight="1" x14ac:dyDescent="0.45">
      <c r="A1503" s="19" t="s">
        <v>3123</v>
      </c>
      <c r="B1503" s="20" t="s">
        <v>3124</v>
      </c>
      <c r="C1503" s="21">
        <v>1527</v>
      </c>
      <c r="D1503" s="22"/>
      <c r="E1503" s="23">
        <v>-8.5600004196166993E-2</v>
      </c>
      <c r="F1503" s="24" t="s">
        <v>125</v>
      </c>
    </row>
    <row r="1504" spans="1:6" ht="16" customHeight="1" x14ac:dyDescent="0.45">
      <c r="A1504" s="19" t="s">
        <v>3125</v>
      </c>
      <c r="B1504" s="20" t="s">
        <v>3126</v>
      </c>
      <c r="C1504" s="21">
        <v>2975</v>
      </c>
      <c r="D1504" s="22"/>
      <c r="E1504" s="23">
        <v>-4.0300002098083487E-2</v>
      </c>
      <c r="F1504" s="24" t="s">
        <v>128</v>
      </c>
    </row>
    <row r="1505" spans="1:6" ht="16" customHeight="1" x14ac:dyDescent="0.45">
      <c r="A1505" s="19" t="s">
        <v>3127</v>
      </c>
      <c r="B1505" s="20" t="s">
        <v>3128</v>
      </c>
      <c r="C1505" s="21">
        <v>3435</v>
      </c>
      <c r="D1505" s="22"/>
      <c r="E1505" s="23">
        <v>-2.1400001049041752E-2</v>
      </c>
      <c r="F1505" s="24" t="s">
        <v>125</v>
      </c>
    </row>
    <row r="1506" spans="1:6" ht="16" customHeight="1" x14ac:dyDescent="0.45">
      <c r="A1506" s="19" t="s">
        <v>3129</v>
      </c>
      <c r="B1506" s="20" t="s">
        <v>3130</v>
      </c>
      <c r="C1506" s="21">
        <v>78900</v>
      </c>
      <c r="D1506" s="22"/>
      <c r="E1506" s="23">
        <v>-0.19329999923706051</v>
      </c>
      <c r="F1506" s="24" t="s">
        <v>125</v>
      </c>
    </row>
    <row r="1507" spans="1:6" ht="16" customHeight="1" x14ac:dyDescent="0.45">
      <c r="A1507" s="19" t="s">
        <v>3131</v>
      </c>
      <c r="B1507" s="20" t="s">
        <v>3132</v>
      </c>
      <c r="C1507" s="21">
        <v>1917</v>
      </c>
      <c r="D1507" s="22"/>
      <c r="E1507" s="23">
        <v>2.099999934434891E-3</v>
      </c>
      <c r="F1507" s="24" t="s">
        <v>125</v>
      </c>
    </row>
    <row r="1508" spans="1:6" ht="16" customHeight="1" x14ac:dyDescent="0.45">
      <c r="A1508" s="19" t="s">
        <v>3133</v>
      </c>
      <c r="B1508" s="20" t="s">
        <v>3134</v>
      </c>
      <c r="C1508" s="21">
        <v>2480</v>
      </c>
      <c r="D1508" s="22"/>
      <c r="E1508" s="23">
        <v>-2.75E-2</v>
      </c>
      <c r="F1508" s="24" t="s">
        <v>125</v>
      </c>
    </row>
    <row r="1509" spans="1:6" ht="16" customHeight="1" x14ac:dyDescent="0.45">
      <c r="A1509" s="19" t="s">
        <v>3135</v>
      </c>
      <c r="B1509" s="20" t="s">
        <v>3136</v>
      </c>
      <c r="C1509" s="21">
        <v>16880</v>
      </c>
      <c r="D1509" s="22"/>
      <c r="E1509" s="23">
        <v>0</v>
      </c>
      <c r="F1509" s="24" t="s">
        <v>125</v>
      </c>
    </row>
    <row r="1510" spans="1:6" ht="16" customHeight="1" x14ac:dyDescent="0.45">
      <c r="A1510" s="19" t="s">
        <v>3137</v>
      </c>
      <c r="B1510" s="20" t="s">
        <v>3138</v>
      </c>
      <c r="C1510" s="21">
        <v>2965</v>
      </c>
      <c r="D1510" s="22"/>
      <c r="E1510" s="23">
        <v>0</v>
      </c>
      <c r="F1510" s="24" t="s">
        <v>125</v>
      </c>
    </row>
    <row r="1511" spans="1:6" ht="16" customHeight="1" x14ac:dyDescent="0.45">
      <c r="A1511" s="19" t="s">
        <v>3139</v>
      </c>
      <c r="B1511" s="20" t="s">
        <v>3140</v>
      </c>
      <c r="C1511" s="21">
        <v>1937</v>
      </c>
      <c r="D1511" s="22"/>
      <c r="E1511" s="23">
        <v>0</v>
      </c>
      <c r="F1511" s="24" t="s">
        <v>125</v>
      </c>
    </row>
    <row r="1512" spans="1:6" ht="16" customHeight="1" x14ac:dyDescent="0.45">
      <c r="A1512" s="19" t="s">
        <v>3141</v>
      </c>
      <c r="B1512" s="20" t="s">
        <v>3142</v>
      </c>
      <c r="C1512" s="21">
        <v>3500</v>
      </c>
      <c r="D1512" s="22"/>
      <c r="E1512" s="23">
        <v>-5.4099998474121093E-2</v>
      </c>
      <c r="F1512" s="24" t="s">
        <v>125</v>
      </c>
    </row>
    <row r="1513" spans="1:6" ht="16" customHeight="1" x14ac:dyDescent="0.45">
      <c r="A1513" s="19" t="s">
        <v>3143</v>
      </c>
      <c r="B1513" s="20" t="s">
        <v>3144</v>
      </c>
      <c r="C1513" s="21">
        <v>1744</v>
      </c>
      <c r="D1513" s="22"/>
      <c r="E1513" s="23">
        <v>9.4799995422363281E-2</v>
      </c>
      <c r="F1513" s="24" t="s">
        <v>125</v>
      </c>
    </row>
    <row r="1514" spans="1:6" ht="16" customHeight="1" x14ac:dyDescent="0.45">
      <c r="A1514" s="19" t="s">
        <v>3145</v>
      </c>
      <c r="B1514" s="20" t="s">
        <v>3146</v>
      </c>
      <c r="C1514" s="21">
        <v>166300</v>
      </c>
      <c r="D1514" s="22"/>
      <c r="E1514" s="23">
        <v>-4.6999998092651367E-2</v>
      </c>
      <c r="F1514" s="24" t="s">
        <v>125</v>
      </c>
    </row>
    <row r="1515" spans="1:6" ht="16" customHeight="1" x14ac:dyDescent="0.45">
      <c r="A1515" s="19" t="s">
        <v>3147</v>
      </c>
      <c r="B1515" s="20" t="s">
        <v>3148</v>
      </c>
      <c r="C1515" s="21">
        <v>2605</v>
      </c>
      <c r="D1515" s="22"/>
      <c r="E1515" s="23">
        <v>3.1700000762939447E-2</v>
      </c>
      <c r="F1515" s="24" t="s">
        <v>125</v>
      </c>
    </row>
    <row r="1516" spans="1:6" ht="16" customHeight="1" x14ac:dyDescent="0.45">
      <c r="A1516" s="19" t="s">
        <v>3149</v>
      </c>
      <c r="B1516" s="20" t="s">
        <v>3150</v>
      </c>
      <c r="C1516" s="21">
        <v>363500</v>
      </c>
      <c r="D1516" s="22"/>
      <c r="E1516" s="23">
        <v>-2.5499999523162838E-2</v>
      </c>
      <c r="F1516" s="24" t="s">
        <v>125</v>
      </c>
    </row>
    <row r="1517" spans="1:6" ht="16" customHeight="1" x14ac:dyDescent="0.45">
      <c r="A1517" s="19" t="s">
        <v>3151</v>
      </c>
      <c r="B1517" s="20" t="s">
        <v>3152</v>
      </c>
      <c r="C1517" s="21">
        <v>2030</v>
      </c>
      <c r="D1517" s="22"/>
      <c r="E1517" s="23">
        <v>-1.2200000286102301E-2</v>
      </c>
      <c r="F1517" s="24" t="s">
        <v>125</v>
      </c>
    </row>
    <row r="1518" spans="1:6" ht="16" customHeight="1" x14ac:dyDescent="0.45">
      <c r="A1518" s="19" t="s">
        <v>3153</v>
      </c>
      <c r="B1518" s="20" t="s">
        <v>3154</v>
      </c>
      <c r="C1518" s="21">
        <v>2790</v>
      </c>
      <c r="D1518" s="22"/>
      <c r="E1518" s="23">
        <v>-3.7899999618530272E-2</v>
      </c>
      <c r="F1518" s="24" t="s">
        <v>125</v>
      </c>
    </row>
    <row r="1519" spans="1:6" ht="16" customHeight="1" x14ac:dyDescent="0.45">
      <c r="A1519" s="19" t="s">
        <v>3155</v>
      </c>
      <c r="B1519" s="20" t="s">
        <v>3156</v>
      </c>
      <c r="C1519" s="21">
        <v>2250</v>
      </c>
      <c r="D1519" s="22"/>
      <c r="E1519" s="23">
        <v>-3.2300000190734861E-2</v>
      </c>
      <c r="F1519" s="24" t="s">
        <v>125</v>
      </c>
    </row>
    <row r="1520" spans="1:6" ht="16" customHeight="1" x14ac:dyDescent="0.45">
      <c r="A1520" s="19" t="s">
        <v>3157</v>
      </c>
      <c r="B1520" s="20" t="s">
        <v>3158</v>
      </c>
      <c r="C1520" s="21">
        <v>520</v>
      </c>
      <c r="D1520" s="22"/>
      <c r="E1520" s="23">
        <v>0</v>
      </c>
      <c r="F1520" s="24" t="s">
        <v>125</v>
      </c>
    </row>
    <row r="1521" spans="1:6" ht="16" customHeight="1" x14ac:dyDescent="0.45">
      <c r="A1521" s="19" t="s">
        <v>3159</v>
      </c>
      <c r="B1521" s="20" t="s">
        <v>3160</v>
      </c>
      <c r="C1521" s="21">
        <v>20150</v>
      </c>
      <c r="D1521" s="22"/>
      <c r="E1521" s="23">
        <v>-2.5000000000000001E-3</v>
      </c>
      <c r="F1521" s="24" t="s">
        <v>125</v>
      </c>
    </row>
    <row r="1522" spans="1:6" ht="16" customHeight="1" x14ac:dyDescent="0.45">
      <c r="A1522" s="19" t="s">
        <v>3161</v>
      </c>
      <c r="B1522" s="20" t="s">
        <v>3162</v>
      </c>
      <c r="C1522" s="21">
        <v>6120</v>
      </c>
      <c r="D1522" s="22"/>
      <c r="E1522" s="23">
        <v>-3.9200000762939453E-2</v>
      </c>
      <c r="F1522" s="24" t="s">
        <v>125</v>
      </c>
    </row>
    <row r="1523" spans="1:6" ht="16" customHeight="1" x14ac:dyDescent="0.45">
      <c r="A1523" s="19" t="s">
        <v>3163</v>
      </c>
      <c r="B1523" s="20" t="s">
        <v>3164</v>
      </c>
      <c r="C1523" s="21">
        <v>1609</v>
      </c>
      <c r="D1523" s="22"/>
      <c r="E1523" s="23">
        <v>-4.6799998283386227E-2</v>
      </c>
      <c r="F1523" s="24" t="s">
        <v>125</v>
      </c>
    </row>
    <row r="1524" spans="1:6" ht="16" customHeight="1" x14ac:dyDescent="0.45">
      <c r="A1524" s="19" t="s">
        <v>3165</v>
      </c>
      <c r="B1524" s="20" t="s">
        <v>3166</v>
      </c>
      <c r="C1524" s="21">
        <v>8230</v>
      </c>
      <c r="D1524" s="22"/>
      <c r="E1524" s="23">
        <v>-1.6699999570846561E-2</v>
      </c>
      <c r="F1524" s="24" t="s">
        <v>125</v>
      </c>
    </row>
    <row r="1525" spans="1:6" ht="16" customHeight="1" x14ac:dyDescent="0.45">
      <c r="A1525" s="19" t="s">
        <v>3167</v>
      </c>
      <c r="B1525" s="20" t="s">
        <v>3168</v>
      </c>
      <c r="C1525" s="21">
        <v>14470</v>
      </c>
      <c r="D1525" s="22"/>
      <c r="E1525" s="23">
        <v>-2.359999895095825E-2</v>
      </c>
      <c r="F1525" s="24" t="s">
        <v>128</v>
      </c>
    </row>
    <row r="1526" spans="1:6" ht="16" customHeight="1" x14ac:dyDescent="0.45">
      <c r="A1526" s="19" t="s">
        <v>3169</v>
      </c>
      <c r="B1526" s="20" t="s">
        <v>3170</v>
      </c>
      <c r="C1526" s="21">
        <v>15500</v>
      </c>
      <c r="D1526" s="22"/>
      <c r="E1526" s="23">
        <v>2.5799999237060549E-2</v>
      </c>
      <c r="F1526" s="24" t="s">
        <v>128</v>
      </c>
    </row>
    <row r="1527" spans="1:6" ht="16" customHeight="1" x14ac:dyDescent="0.45">
      <c r="A1527" s="19" t="s">
        <v>3171</v>
      </c>
      <c r="B1527" s="20" t="s">
        <v>3172</v>
      </c>
      <c r="C1527" s="21">
        <v>300</v>
      </c>
      <c r="D1527" s="22"/>
      <c r="E1527" s="23">
        <v>-8.5399999618530273E-2</v>
      </c>
      <c r="F1527" s="24" t="s">
        <v>251</v>
      </c>
    </row>
    <row r="1528" spans="1:6" ht="16" customHeight="1" x14ac:dyDescent="0.45">
      <c r="A1528" s="19" t="s">
        <v>3173</v>
      </c>
      <c r="B1528" s="20" t="s">
        <v>3174</v>
      </c>
      <c r="C1528" s="21">
        <v>2725</v>
      </c>
      <c r="D1528" s="22"/>
      <c r="E1528" s="23">
        <v>-3.539999961853027E-2</v>
      </c>
      <c r="F1528" s="24" t="s">
        <v>125</v>
      </c>
    </row>
    <row r="1529" spans="1:6" ht="16" customHeight="1" x14ac:dyDescent="0.45">
      <c r="A1529" s="19" t="s">
        <v>3175</v>
      </c>
      <c r="B1529" s="20" t="s">
        <v>3176</v>
      </c>
      <c r="C1529" s="21">
        <v>2770</v>
      </c>
      <c r="D1529" s="22"/>
      <c r="E1529" s="23">
        <v>-4.650000095367432E-2</v>
      </c>
      <c r="F1529" s="24" t="s">
        <v>125</v>
      </c>
    </row>
    <row r="1530" spans="1:6" ht="16" customHeight="1" x14ac:dyDescent="0.45">
      <c r="A1530" s="19" t="s">
        <v>3177</v>
      </c>
      <c r="B1530" s="20" t="s">
        <v>3178</v>
      </c>
      <c r="C1530" s="21">
        <v>6370</v>
      </c>
      <c r="D1530" s="22"/>
      <c r="E1530" s="23">
        <v>-3.4800000190734863E-2</v>
      </c>
      <c r="F1530" s="24" t="s">
        <v>125</v>
      </c>
    </row>
    <row r="1531" spans="1:6" ht="16" customHeight="1" x14ac:dyDescent="0.45">
      <c r="A1531" s="19" t="s">
        <v>3179</v>
      </c>
      <c r="B1531" s="20" t="s">
        <v>3180</v>
      </c>
      <c r="C1531" s="21">
        <v>493</v>
      </c>
      <c r="D1531" s="22"/>
      <c r="E1531" s="23">
        <v>-2.9500000476837158E-2</v>
      </c>
      <c r="F1531" s="24" t="s">
        <v>125</v>
      </c>
    </row>
    <row r="1532" spans="1:6" ht="16" customHeight="1" x14ac:dyDescent="0.45">
      <c r="A1532" s="19" t="s">
        <v>3181</v>
      </c>
      <c r="B1532" s="20" t="s">
        <v>3182</v>
      </c>
      <c r="C1532" s="21">
        <v>26050</v>
      </c>
      <c r="D1532" s="22"/>
      <c r="E1532" s="23">
        <v>-2.7999999523162841E-2</v>
      </c>
      <c r="F1532" s="24" t="s">
        <v>125</v>
      </c>
    </row>
    <row r="1533" spans="1:6" ht="16" customHeight="1" x14ac:dyDescent="0.45">
      <c r="A1533" s="19" t="s">
        <v>3183</v>
      </c>
      <c r="B1533" s="20" t="s">
        <v>3184</v>
      </c>
      <c r="C1533" s="21">
        <v>5500</v>
      </c>
      <c r="D1533" s="22"/>
      <c r="E1533" s="23">
        <v>-8.999999761581421E-3</v>
      </c>
      <c r="F1533" s="24" t="s">
        <v>125</v>
      </c>
    </row>
    <row r="1534" spans="1:6" ht="16" customHeight="1" x14ac:dyDescent="0.45">
      <c r="A1534" s="19" t="s">
        <v>3185</v>
      </c>
      <c r="B1534" s="20" t="s">
        <v>3186</v>
      </c>
      <c r="C1534" s="21">
        <v>17210</v>
      </c>
      <c r="D1534" s="22"/>
      <c r="E1534" s="23">
        <v>-4.9200000762939462E-2</v>
      </c>
      <c r="F1534" s="24" t="s">
        <v>125</v>
      </c>
    </row>
    <row r="1535" spans="1:6" ht="16" customHeight="1" x14ac:dyDescent="0.45">
      <c r="A1535" s="19" t="s">
        <v>3187</v>
      </c>
      <c r="B1535" s="20" t="s">
        <v>3188</v>
      </c>
      <c r="C1535" s="21">
        <v>3275</v>
      </c>
      <c r="D1535" s="22"/>
      <c r="E1535" s="23">
        <v>4.6300001144409179E-2</v>
      </c>
      <c r="F1535" s="24" t="s">
        <v>125</v>
      </c>
    </row>
    <row r="1536" spans="1:6" ht="16" customHeight="1" x14ac:dyDescent="0.45">
      <c r="A1536" s="19" t="s">
        <v>3189</v>
      </c>
      <c r="B1536" s="20" t="s">
        <v>3190</v>
      </c>
      <c r="C1536" s="21">
        <v>3310</v>
      </c>
      <c r="D1536" s="22"/>
      <c r="E1536" s="23">
        <v>-5.5599999427795407E-2</v>
      </c>
      <c r="F1536" s="24" t="s">
        <v>125</v>
      </c>
    </row>
    <row r="1537" spans="1:6" ht="16" customHeight="1" x14ac:dyDescent="0.45">
      <c r="A1537" s="19" t="s">
        <v>3191</v>
      </c>
      <c r="B1537" s="20" t="s">
        <v>3192</v>
      </c>
      <c r="C1537" s="21">
        <v>987</v>
      </c>
      <c r="D1537" s="22"/>
      <c r="E1537" s="23">
        <v>0</v>
      </c>
      <c r="F1537" s="24" t="s">
        <v>125</v>
      </c>
    </row>
    <row r="1538" spans="1:6" ht="16" customHeight="1" x14ac:dyDescent="0.45">
      <c r="A1538" s="19" t="s">
        <v>3193</v>
      </c>
      <c r="B1538" s="20" t="s">
        <v>3194</v>
      </c>
      <c r="C1538" s="21">
        <v>1038</v>
      </c>
      <c r="D1538" s="22"/>
      <c r="E1538" s="23">
        <v>-3.9800000190734861E-2</v>
      </c>
      <c r="F1538" s="24" t="s">
        <v>125</v>
      </c>
    </row>
    <row r="1539" spans="1:6" ht="16" customHeight="1" x14ac:dyDescent="0.45">
      <c r="A1539" s="19" t="s">
        <v>3195</v>
      </c>
      <c r="B1539" s="20" t="s">
        <v>3196</v>
      </c>
      <c r="C1539" s="21">
        <v>45500</v>
      </c>
      <c r="D1539" s="22"/>
      <c r="E1539" s="23">
        <v>-3.7000000476837158E-2</v>
      </c>
      <c r="F1539" s="24" t="s">
        <v>125</v>
      </c>
    </row>
    <row r="1540" spans="1:6" ht="16" customHeight="1" x14ac:dyDescent="0.45">
      <c r="A1540" s="19" t="s">
        <v>3197</v>
      </c>
      <c r="B1540" s="20" t="s">
        <v>3198</v>
      </c>
      <c r="C1540" s="21">
        <v>153</v>
      </c>
      <c r="D1540" s="22"/>
      <c r="E1540" s="23">
        <v>0</v>
      </c>
      <c r="F1540" s="24" t="s">
        <v>125</v>
      </c>
    </row>
    <row r="1541" spans="1:6" ht="16" customHeight="1" x14ac:dyDescent="0.45">
      <c r="A1541" s="19" t="s">
        <v>3199</v>
      </c>
      <c r="B1541" s="20" t="s">
        <v>3200</v>
      </c>
      <c r="C1541" s="21">
        <v>228</v>
      </c>
      <c r="D1541" s="22"/>
      <c r="E1541" s="23">
        <v>0</v>
      </c>
      <c r="F1541" s="24" t="s">
        <v>125</v>
      </c>
    </row>
    <row r="1542" spans="1:6" ht="16" customHeight="1" x14ac:dyDescent="0.45">
      <c r="A1542" s="19" t="s">
        <v>3201</v>
      </c>
      <c r="B1542" s="20" t="s">
        <v>3202</v>
      </c>
      <c r="C1542" s="21">
        <v>12050</v>
      </c>
      <c r="D1542" s="22"/>
      <c r="E1542" s="23">
        <v>3.1700000762939447E-2</v>
      </c>
      <c r="F1542" s="24" t="s">
        <v>125</v>
      </c>
    </row>
    <row r="1543" spans="1:6" ht="16" customHeight="1" x14ac:dyDescent="0.45">
      <c r="A1543" s="19" t="s">
        <v>3203</v>
      </c>
      <c r="B1543" s="20" t="s">
        <v>3204</v>
      </c>
      <c r="C1543" s="21">
        <v>6760</v>
      </c>
      <c r="D1543" s="22"/>
      <c r="E1543" s="23">
        <v>-5.8999997377395634E-3</v>
      </c>
      <c r="F1543" s="24" t="s">
        <v>125</v>
      </c>
    </row>
    <row r="1544" spans="1:6" ht="16" customHeight="1" x14ac:dyDescent="0.45">
      <c r="A1544" s="19" t="s">
        <v>3205</v>
      </c>
      <c r="B1544" s="20" t="s">
        <v>3206</v>
      </c>
      <c r="C1544" s="21">
        <v>15320</v>
      </c>
      <c r="D1544" s="22"/>
      <c r="E1544" s="23">
        <v>5.1500000953674317E-2</v>
      </c>
      <c r="F1544" s="24" t="s">
        <v>125</v>
      </c>
    </row>
    <row r="1545" spans="1:6" ht="16" customHeight="1" x14ac:dyDescent="0.45">
      <c r="A1545" s="19" t="s">
        <v>3207</v>
      </c>
      <c r="B1545" s="20" t="s">
        <v>3208</v>
      </c>
      <c r="C1545" s="21">
        <v>4265</v>
      </c>
      <c r="D1545" s="22"/>
      <c r="E1545" s="23">
        <v>-2.740000009536743E-2</v>
      </c>
      <c r="F1545" s="24" t="s">
        <v>125</v>
      </c>
    </row>
    <row r="1546" spans="1:6" ht="16" customHeight="1" x14ac:dyDescent="0.45">
      <c r="A1546" s="19" t="s">
        <v>3209</v>
      </c>
      <c r="B1546" s="20" t="s">
        <v>3210</v>
      </c>
      <c r="C1546" s="21">
        <v>1440</v>
      </c>
      <c r="D1546" s="22"/>
      <c r="E1546" s="23">
        <v>-0.1314999961853027</v>
      </c>
      <c r="F1546" s="24" t="s">
        <v>251</v>
      </c>
    </row>
    <row r="1547" spans="1:6" ht="16" customHeight="1" x14ac:dyDescent="0.45">
      <c r="A1547" s="19" t="s">
        <v>3211</v>
      </c>
      <c r="B1547" s="20" t="s">
        <v>3212</v>
      </c>
      <c r="C1547" s="21">
        <v>10930</v>
      </c>
      <c r="D1547" s="22"/>
      <c r="E1547" s="23">
        <v>-3.6000001430511481E-3</v>
      </c>
      <c r="F1547" s="24" t="s">
        <v>125</v>
      </c>
    </row>
    <row r="1548" spans="1:6" ht="16" customHeight="1" x14ac:dyDescent="0.45">
      <c r="A1548" s="19" t="s">
        <v>3213</v>
      </c>
      <c r="B1548" s="20" t="s">
        <v>3214</v>
      </c>
      <c r="C1548" s="21">
        <v>428</v>
      </c>
      <c r="D1548" s="22"/>
      <c r="E1548" s="23">
        <v>0</v>
      </c>
      <c r="F1548" s="24" t="s">
        <v>128</v>
      </c>
    </row>
    <row r="1549" spans="1:6" ht="16" customHeight="1" x14ac:dyDescent="0.45">
      <c r="A1549" s="19" t="s">
        <v>3215</v>
      </c>
      <c r="B1549" s="20" t="s">
        <v>3216</v>
      </c>
      <c r="C1549" s="21">
        <v>10680</v>
      </c>
      <c r="D1549" s="22"/>
      <c r="E1549" s="23">
        <v>-4.8099999427795408E-2</v>
      </c>
      <c r="F1549" s="24" t="s">
        <v>125</v>
      </c>
    </row>
    <row r="1550" spans="1:6" ht="16" customHeight="1" x14ac:dyDescent="0.45">
      <c r="A1550" s="19" t="s">
        <v>3217</v>
      </c>
      <c r="B1550" s="20" t="s">
        <v>3218</v>
      </c>
      <c r="C1550" s="21">
        <v>18690</v>
      </c>
      <c r="D1550" s="22"/>
      <c r="E1550" s="23">
        <v>-2.349999904632568E-2</v>
      </c>
      <c r="F1550" s="24" t="s">
        <v>125</v>
      </c>
    </row>
    <row r="1551" spans="1:6" ht="16" customHeight="1" x14ac:dyDescent="0.45">
      <c r="A1551" s="19" t="s">
        <v>3219</v>
      </c>
      <c r="B1551" s="20" t="s">
        <v>3220</v>
      </c>
      <c r="C1551" s="21">
        <v>4830</v>
      </c>
      <c r="D1551" s="22"/>
      <c r="E1551" s="23">
        <v>9.3999999761581413E-3</v>
      </c>
      <c r="F1551" s="24" t="s">
        <v>125</v>
      </c>
    </row>
    <row r="1552" spans="1:6" ht="16" customHeight="1" x14ac:dyDescent="0.45">
      <c r="A1552" s="19" t="s">
        <v>3221</v>
      </c>
      <c r="B1552" s="20" t="s">
        <v>3222</v>
      </c>
      <c r="C1552" s="21">
        <v>8000</v>
      </c>
      <c r="D1552" s="22"/>
      <c r="E1552" s="23">
        <v>-2.5599999427795408E-2</v>
      </c>
      <c r="F1552" s="24" t="s">
        <v>128</v>
      </c>
    </row>
    <row r="1553" spans="1:6" ht="16" customHeight="1" x14ac:dyDescent="0.45">
      <c r="A1553" s="19" t="s">
        <v>3223</v>
      </c>
      <c r="B1553" s="20" t="s">
        <v>3224</v>
      </c>
      <c r="C1553" s="21">
        <v>499</v>
      </c>
      <c r="D1553" s="22"/>
      <c r="E1553" s="23">
        <v>0</v>
      </c>
      <c r="F1553" s="24" t="s">
        <v>125</v>
      </c>
    </row>
    <row r="1554" spans="1:6" ht="16" customHeight="1" x14ac:dyDescent="0.45">
      <c r="A1554" s="19" t="s">
        <v>3225</v>
      </c>
      <c r="B1554" s="20" t="s">
        <v>3226</v>
      </c>
      <c r="C1554" s="21">
        <v>2085</v>
      </c>
      <c r="D1554" s="22"/>
      <c r="E1554" s="23">
        <v>-0.1031999969482422</v>
      </c>
      <c r="F1554" s="24" t="s">
        <v>125</v>
      </c>
    </row>
    <row r="1555" spans="1:6" ht="16" customHeight="1" x14ac:dyDescent="0.45">
      <c r="A1555" s="19" t="s">
        <v>3227</v>
      </c>
      <c r="B1555" s="20" t="s">
        <v>3228</v>
      </c>
      <c r="C1555" s="21">
        <v>34700</v>
      </c>
      <c r="D1555" s="22"/>
      <c r="E1555" s="23">
        <v>-4.0100002288818361E-2</v>
      </c>
      <c r="F1555" s="24" t="s">
        <v>125</v>
      </c>
    </row>
    <row r="1556" spans="1:6" ht="16" customHeight="1" x14ac:dyDescent="0.45">
      <c r="A1556" s="19" t="s">
        <v>3229</v>
      </c>
      <c r="B1556" s="20" t="s">
        <v>3230</v>
      </c>
      <c r="C1556" s="21">
        <v>64600</v>
      </c>
      <c r="D1556" s="22"/>
      <c r="E1556" s="23">
        <v>-2.5599999427795408E-2</v>
      </c>
      <c r="F1556" s="24" t="s">
        <v>125</v>
      </c>
    </row>
    <row r="1557" spans="1:6" ht="16" customHeight="1" x14ac:dyDescent="0.45">
      <c r="A1557" s="19" t="s">
        <v>3231</v>
      </c>
      <c r="B1557" s="20" t="s">
        <v>3232</v>
      </c>
      <c r="C1557" s="21">
        <v>1608</v>
      </c>
      <c r="D1557" s="22"/>
      <c r="E1557" s="23">
        <v>8.7999999523162842E-3</v>
      </c>
      <c r="F1557" s="24" t="s">
        <v>125</v>
      </c>
    </row>
    <row r="1558" spans="1:6" ht="16" customHeight="1" x14ac:dyDescent="0.45">
      <c r="A1558" s="19" t="s">
        <v>3233</v>
      </c>
      <c r="B1558" s="20" t="s">
        <v>3234</v>
      </c>
      <c r="C1558" s="21">
        <v>286</v>
      </c>
      <c r="D1558" s="22"/>
      <c r="E1558" s="23">
        <v>0</v>
      </c>
      <c r="F1558" s="24" t="s">
        <v>125</v>
      </c>
    </row>
    <row r="1559" spans="1:6" ht="16" customHeight="1" x14ac:dyDescent="0.45">
      <c r="A1559" s="19" t="s">
        <v>3235</v>
      </c>
      <c r="B1559" s="20" t="s">
        <v>3236</v>
      </c>
      <c r="C1559" s="21">
        <v>17500</v>
      </c>
      <c r="D1559" s="22"/>
      <c r="E1559" s="23">
        <v>-7.9000002145767217E-3</v>
      </c>
      <c r="F1559" s="24" t="s">
        <v>251</v>
      </c>
    </row>
    <row r="1560" spans="1:6" ht="16" customHeight="1" x14ac:dyDescent="0.45">
      <c r="A1560" s="19" t="s">
        <v>3237</v>
      </c>
      <c r="B1560" s="20" t="s">
        <v>3238</v>
      </c>
      <c r="C1560" s="21">
        <v>4010</v>
      </c>
      <c r="D1560" s="22"/>
      <c r="E1560" s="23">
        <v>-4.0700001716613768E-2</v>
      </c>
      <c r="F1560" s="24" t="s">
        <v>125</v>
      </c>
    </row>
    <row r="1561" spans="1:6" ht="16" customHeight="1" x14ac:dyDescent="0.45">
      <c r="A1561" s="19" t="s">
        <v>3239</v>
      </c>
      <c r="B1561" s="20" t="s">
        <v>3240</v>
      </c>
      <c r="C1561" s="21">
        <v>54600</v>
      </c>
      <c r="D1561" s="22"/>
      <c r="E1561" s="23">
        <v>-5.2100000381469717E-2</v>
      </c>
      <c r="F1561" s="24" t="s">
        <v>125</v>
      </c>
    </row>
    <row r="1562" spans="1:6" ht="16" customHeight="1" x14ac:dyDescent="0.45">
      <c r="A1562" s="19" t="s">
        <v>3241</v>
      </c>
      <c r="B1562" s="20" t="s">
        <v>3242</v>
      </c>
      <c r="C1562" s="21">
        <v>100700</v>
      </c>
      <c r="D1562" s="22"/>
      <c r="E1562" s="23">
        <v>6.9999998807907101E-3</v>
      </c>
      <c r="F1562" s="24" t="s">
        <v>125</v>
      </c>
    </row>
    <row r="1563" spans="1:6" ht="16" customHeight="1" x14ac:dyDescent="0.45">
      <c r="A1563" s="19" t="s">
        <v>3243</v>
      </c>
      <c r="B1563" s="20" t="s">
        <v>3244</v>
      </c>
      <c r="C1563" s="21">
        <v>2485</v>
      </c>
      <c r="D1563" s="22"/>
      <c r="E1563" s="23">
        <v>-6.9299998283386233E-2</v>
      </c>
      <c r="F1563" s="24" t="s">
        <v>125</v>
      </c>
    </row>
    <row r="1564" spans="1:6" ht="16" customHeight="1" x14ac:dyDescent="0.45">
      <c r="A1564" s="19" t="s">
        <v>3245</v>
      </c>
      <c r="B1564" s="20" t="s">
        <v>3246</v>
      </c>
      <c r="C1564" s="21">
        <v>4070</v>
      </c>
      <c r="D1564" s="22"/>
      <c r="E1564" s="23">
        <v>-8.5000002384185789E-3</v>
      </c>
      <c r="F1564" s="24" t="s">
        <v>125</v>
      </c>
    </row>
    <row r="1565" spans="1:6" ht="16" customHeight="1" x14ac:dyDescent="0.45">
      <c r="A1565" s="19" t="s">
        <v>3247</v>
      </c>
      <c r="B1565" s="20" t="s">
        <v>3248</v>
      </c>
      <c r="C1565" s="21">
        <v>7980</v>
      </c>
      <c r="D1565" s="22"/>
      <c r="E1565" s="23">
        <v>7.9800000190734868E-2</v>
      </c>
      <c r="F1565" s="24" t="s">
        <v>125</v>
      </c>
    </row>
    <row r="1566" spans="1:6" ht="16" customHeight="1" x14ac:dyDescent="0.45">
      <c r="A1566" s="19" t="s">
        <v>3249</v>
      </c>
      <c r="B1566" s="20" t="s">
        <v>3250</v>
      </c>
      <c r="C1566" s="21">
        <v>1338</v>
      </c>
      <c r="D1566" s="22"/>
      <c r="E1566" s="23">
        <v>-3.0399999618530269E-2</v>
      </c>
      <c r="F1566" s="24" t="s">
        <v>125</v>
      </c>
    </row>
    <row r="1567" spans="1:6" ht="16" customHeight="1" x14ac:dyDescent="0.45">
      <c r="A1567" s="19" t="s">
        <v>3251</v>
      </c>
      <c r="B1567" s="20" t="s">
        <v>3252</v>
      </c>
      <c r="C1567" s="21">
        <v>31950</v>
      </c>
      <c r="D1567" s="22"/>
      <c r="E1567" s="23">
        <v>-1.8400000333786009E-2</v>
      </c>
      <c r="F1567" s="24" t="s">
        <v>125</v>
      </c>
    </row>
    <row r="1568" spans="1:6" ht="16" customHeight="1" x14ac:dyDescent="0.45">
      <c r="A1568" s="19" t="s">
        <v>3253</v>
      </c>
      <c r="B1568" s="20" t="s">
        <v>3254</v>
      </c>
      <c r="C1568" s="21">
        <v>41000</v>
      </c>
      <c r="D1568" s="22"/>
      <c r="E1568" s="23">
        <v>2.1199998855590822E-2</v>
      </c>
      <c r="F1568" s="24" t="s">
        <v>125</v>
      </c>
    </row>
    <row r="1569" spans="1:6" ht="16" customHeight="1" x14ac:dyDescent="0.45">
      <c r="A1569" s="19" t="s">
        <v>3255</v>
      </c>
      <c r="B1569" s="20" t="s">
        <v>3256</v>
      </c>
      <c r="C1569" s="21">
        <v>63000</v>
      </c>
      <c r="D1569" s="22"/>
      <c r="E1569" s="23">
        <v>-1.1000000238418579E-2</v>
      </c>
      <c r="F1569" s="24" t="s">
        <v>128</v>
      </c>
    </row>
    <row r="1570" spans="1:6" ht="16" customHeight="1" x14ac:dyDescent="0.45">
      <c r="A1570" s="19" t="s">
        <v>3257</v>
      </c>
      <c r="B1570" s="20" t="s">
        <v>3258</v>
      </c>
      <c r="C1570" s="21">
        <v>1969</v>
      </c>
      <c r="D1570" s="22"/>
      <c r="E1570" s="23">
        <v>0</v>
      </c>
      <c r="F1570" s="24" t="s">
        <v>125</v>
      </c>
    </row>
    <row r="1571" spans="1:6" ht="16" customHeight="1" x14ac:dyDescent="0.45">
      <c r="A1571" s="19" t="s">
        <v>3259</v>
      </c>
      <c r="B1571" s="20" t="s">
        <v>3260</v>
      </c>
      <c r="C1571" s="21">
        <v>92800</v>
      </c>
      <c r="D1571" s="22"/>
      <c r="E1571" s="23">
        <v>-4.1300001144409182E-2</v>
      </c>
      <c r="F1571" s="24" t="s">
        <v>125</v>
      </c>
    </row>
    <row r="1572" spans="1:6" ht="16" customHeight="1" x14ac:dyDescent="0.45">
      <c r="A1572" s="19" t="s">
        <v>3261</v>
      </c>
      <c r="B1572" s="20" t="s">
        <v>3262</v>
      </c>
      <c r="C1572" s="21">
        <v>2110</v>
      </c>
      <c r="D1572" s="22"/>
      <c r="E1572" s="23">
        <v>-2.0899999141693111E-2</v>
      </c>
      <c r="F1572" s="24" t="s">
        <v>128</v>
      </c>
    </row>
    <row r="1573" spans="1:6" ht="16" customHeight="1" x14ac:dyDescent="0.45">
      <c r="A1573" s="19" t="s">
        <v>3263</v>
      </c>
      <c r="B1573" s="20" t="s">
        <v>3264</v>
      </c>
      <c r="C1573" s="21">
        <v>3440</v>
      </c>
      <c r="D1573" s="22"/>
      <c r="E1573" s="23">
        <v>-1.990000009536743E-2</v>
      </c>
      <c r="F1573" s="24" t="s">
        <v>125</v>
      </c>
    </row>
    <row r="1574" spans="1:6" ht="16" customHeight="1" x14ac:dyDescent="0.45">
      <c r="A1574" s="19" t="s">
        <v>3265</v>
      </c>
      <c r="B1574" s="20" t="s">
        <v>3266</v>
      </c>
      <c r="C1574" s="21">
        <v>16240</v>
      </c>
      <c r="D1574" s="22"/>
      <c r="E1574" s="23">
        <v>-3.6199998855590818E-2</v>
      </c>
      <c r="F1574" s="24" t="s">
        <v>125</v>
      </c>
    </row>
    <row r="1575" spans="1:6" ht="16" customHeight="1" x14ac:dyDescent="0.45">
      <c r="A1575" s="19" t="s">
        <v>3267</v>
      </c>
      <c r="B1575" s="20" t="s">
        <v>3268</v>
      </c>
      <c r="C1575" s="21">
        <v>2835</v>
      </c>
      <c r="D1575" s="22"/>
      <c r="E1575" s="23">
        <v>-2.740000009536743E-2</v>
      </c>
      <c r="F1575" s="24" t="s">
        <v>125</v>
      </c>
    </row>
    <row r="1576" spans="1:6" ht="16" customHeight="1" x14ac:dyDescent="0.45">
      <c r="A1576" s="19" t="s">
        <v>3269</v>
      </c>
      <c r="B1576" s="20" t="s">
        <v>3270</v>
      </c>
      <c r="C1576" s="21">
        <v>3590</v>
      </c>
      <c r="D1576" s="22"/>
      <c r="E1576" s="23">
        <v>-2.9700000286102299E-2</v>
      </c>
      <c r="F1576" s="24" t="s">
        <v>125</v>
      </c>
    </row>
    <row r="1577" spans="1:6" ht="16" customHeight="1" x14ac:dyDescent="0.45">
      <c r="A1577" s="19" t="s">
        <v>3271</v>
      </c>
      <c r="B1577" s="20" t="s">
        <v>3272</v>
      </c>
      <c r="C1577" s="21">
        <v>74000</v>
      </c>
      <c r="D1577" s="22"/>
      <c r="E1577" s="23">
        <v>-5.489999771118164E-2</v>
      </c>
      <c r="F1577" s="24" t="s">
        <v>128</v>
      </c>
    </row>
    <row r="1578" spans="1:6" ht="16" customHeight="1" x14ac:dyDescent="0.45">
      <c r="A1578" s="19" t="s">
        <v>3273</v>
      </c>
      <c r="B1578" s="20" t="s">
        <v>3274</v>
      </c>
      <c r="C1578" s="21">
        <v>6470</v>
      </c>
      <c r="D1578" s="22"/>
      <c r="E1578" s="23">
        <v>-5.2699999809265138E-2</v>
      </c>
      <c r="F1578" s="24" t="s">
        <v>125</v>
      </c>
    </row>
    <row r="1579" spans="1:6" ht="16" customHeight="1" x14ac:dyDescent="0.45">
      <c r="A1579" s="19" t="s">
        <v>3275</v>
      </c>
      <c r="B1579" s="20" t="s">
        <v>3276</v>
      </c>
      <c r="C1579" s="21">
        <v>316</v>
      </c>
      <c r="D1579" s="22"/>
      <c r="E1579" s="23">
        <v>3.1999999284744261E-3</v>
      </c>
      <c r="F1579" s="24" t="s">
        <v>251</v>
      </c>
    </row>
    <row r="1580" spans="1:6" ht="16" customHeight="1" x14ac:dyDescent="0.45">
      <c r="A1580" s="19" t="s">
        <v>3277</v>
      </c>
      <c r="B1580" s="20" t="s">
        <v>3278</v>
      </c>
      <c r="C1580" s="21">
        <v>3325</v>
      </c>
      <c r="D1580" s="22"/>
      <c r="E1580" s="23">
        <v>-4.1799998283386229E-2</v>
      </c>
      <c r="F1580" s="24" t="s">
        <v>125</v>
      </c>
    </row>
    <row r="1581" spans="1:6" ht="16" customHeight="1" x14ac:dyDescent="0.45">
      <c r="A1581" s="19" t="s">
        <v>3279</v>
      </c>
      <c r="B1581" s="20" t="s">
        <v>3280</v>
      </c>
      <c r="C1581" s="21">
        <v>2065</v>
      </c>
      <c r="D1581" s="22"/>
      <c r="E1581" s="23">
        <v>2.39999994635582E-3</v>
      </c>
      <c r="F1581" s="24" t="s">
        <v>125</v>
      </c>
    </row>
    <row r="1582" spans="1:6" ht="16" customHeight="1" x14ac:dyDescent="0.45">
      <c r="A1582" s="19" t="s">
        <v>3281</v>
      </c>
      <c r="B1582" s="20" t="s">
        <v>3282</v>
      </c>
      <c r="C1582" s="21">
        <v>2065</v>
      </c>
      <c r="D1582" s="22"/>
      <c r="E1582" s="23">
        <v>0</v>
      </c>
      <c r="F1582" s="24" t="s">
        <v>125</v>
      </c>
    </row>
    <row r="1583" spans="1:6" ht="16" customHeight="1" x14ac:dyDescent="0.45">
      <c r="A1583" s="19" t="s">
        <v>3283</v>
      </c>
      <c r="B1583" s="20" t="s">
        <v>3284</v>
      </c>
      <c r="C1583" s="21">
        <v>2035</v>
      </c>
      <c r="D1583" s="22"/>
      <c r="E1583" s="23">
        <v>2.5000000000000001E-3</v>
      </c>
      <c r="F1583" s="24" t="s">
        <v>125</v>
      </c>
    </row>
    <row r="1584" spans="1:6" ht="16" customHeight="1" x14ac:dyDescent="0.45">
      <c r="A1584" s="19" t="s">
        <v>3285</v>
      </c>
      <c r="B1584" s="20" t="s">
        <v>3286</v>
      </c>
      <c r="C1584" s="21">
        <v>5060</v>
      </c>
      <c r="D1584" s="22"/>
      <c r="E1584" s="23">
        <v>-2.8800001144409181E-2</v>
      </c>
      <c r="F1584" s="24" t="s">
        <v>125</v>
      </c>
    </row>
    <row r="1585" spans="1:6" ht="16" customHeight="1" x14ac:dyDescent="0.45">
      <c r="A1585" s="19" t="s">
        <v>3287</v>
      </c>
      <c r="B1585" s="20" t="s">
        <v>3288</v>
      </c>
      <c r="C1585" s="21">
        <v>4595</v>
      </c>
      <c r="D1585" s="22"/>
      <c r="E1585" s="23">
        <v>0.1303999996185303</v>
      </c>
      <c r="F1585" s="24" t="s">
        <v>125</v>
      </c>
    </row>
    <row r="1586" spans="1:6" ht="16" customHeight="1" x14ac:dyDescent="0.45">
      <c r="A1586" s="19" t="s">
        <v>3289</v>
      </c>
      <c r="B1586" s="20" t="s">
        <v>3290</v>
      </c>
      <c r="C1586" s="21">
        <v>8490</v>
      </c>
      <c r="D1586" s="22"/>
      <c r="E1586" s="23">
        <v>0.14420000076293951</v>
      </c>
      <c r="F1586" s="24" t="s">
        <v>251</v>
      </c>
    </row>
    <row r="1587" spans="1:6" ht="16" customHeight="1" x14ac:dyDescent="0.45">
      <c r="A1587" s="19" t="s">
        <v>3291</v>
      </c>
      <c r="B1587" s="20" t="s">
        <v>3292</v>
      </c>
      <c r="C1587" s="21">
        <v>15370</v>
      </c>
      <c r="D1587" s="22"/>
      <c r="E1587" s="23">
        <v>-3.7000000476837158E-2</v>
      </c>
      <c r="F1587" s="24" t="s">
        <v>125</v>
      </c>
    </row>
    <row r="1588" spans="1:6" ht="16" customHeight="1" x14ac:dyDescent="0.45">
      <c r="A1588" s="19" t="s">
        <v>3293</v>
      </c>
      <c r="B1588" s="20" t="s">
        <v>3294</v>
      </c>
      <c r="C1588" s="21">
        <v>26300</v>
      </c>
      <c r="D1588" s="22"/>
      <c r="E1588" s="23">
        <v>1.899999976158142E-3</v>
      </c>
      <c r="F1588" s="24" t="s">
        <v>125</v>
      </c>
    </row>
    <row r="1589" spans="1:6" ht="16" customHeight="1" x14ac:dyDescent="0.45">
      <c r="A1589" s="19" t="s">
        <v>3295</v>
      </c>
      <c r="B1589" s="20" t="s">
        <v>3296</v>
      </c>
      <c r="C1589" s="21">
        <v>3700</v>
      </c>
      <c r="D1589" s="22"/>
      <c r="E1589" s="23">
        <v>-1.200000047683716E-2</v>
      </c>
      <c r="F1589" s="24" t="s">
        <v>125</v>
      </c>
    </row>
    <row r="1590" spans="1:6" ht="16" customHeight="1" x14ac:dyDescent="0.45">
      <c r="A1590" s="19" t="s">
        <v>3297</v>
      </c>
      <c r="B1590" s="20" t="s">
        <v>3298</v>
      </c>
      <c r="C1590" s="21">
        <v>40000</v>
      </c>
      <c r="D1590" s="22"/>
      <c r="E1590" s="23">
        <v>-2.0799999237060551E-2</v>
      </c>
      <c r="F1590" s="24" t="s">
        <v>125</v>
      </c>
    </row>
    <row r="1591" spans="1:6" ht="16" customHeight="1" x14ac:dyDescent="0.45">
      <c r="A1591" s="19" t="s">
        <v>3299</v>
      </c>
      <c r="B1591" s="20" t="s">
        <v>3300</v>
      </c>
      <c r="C1591" s="21">
        <v>1744</v>
      </c>
      <c r="D1591" s="22"/>
      <c r="E1591" s="23">
        <v>-5.0999999046325694E-3</v>
      </c>
      <c r="F1591" s="24" t="s">
        <v>125</v>
      </c>
    </row>
    <row r="1592" spans="1:6" ht="16" customHeight="1" x14ac:dyDescent="0.45">
      <c r="A1592" s="19" t="s">
        <v>3301</v>
      </c>
      <c r="B1592" s="20" t="s">
        <v>3302</v>
      </c>
      <c r="C1592" s="21">
        <v>19180</v>
      </c>
      <c r="D1592" s="22"/>
      <c r="E1592" s="23">
        <v>9.4999998807907098E-3</v>
      </c>
      <c r="F1592" s="24" t="s">
        <v>125</v>
      </c>
    </row>
    <row r="1593" spans="1:6" ht="16" customHeight="1" x14ac:dyDescent="0.45">
      <c r="A1593" s="19" t="s">
        <v>3303</v>
      </c>
      <c r="B1593" s="20" t="s">
        <v>3304</v>
      </c>
      <c r="C1593" s="21">
        <v>150500</v>
      </c>
      <c r="D1593" s="22"/>
      <c r="E1593" s="23">
        <v>-2.1500000953674311E-2</v>
      </c>
      <c r="F1593" s="24" t="s">
        <v>125</v>
      </c>
    </row>
    <row r="1594" spans="1:6" ht="16" customHeight="1" x14ac:dyDescent="0.45">
      <c r="A1594" s="19" t="s">
        <v>3305</v>
      </c>
      <c r="B1594" s="20" t="s">
        <v>3306</v>
      </c>
      <c r="C1594" s="21">
        <v>9030</v>
      </c>
      <c r="D1594" s="22"/>
      <c r="E1594" s="23">
        <v>-1.099999994039536E-3</v>
      </c>
      <c r="F1594" s="24" t="s">
        <v>125</v>
      </c>
    </row>
    <row r="1595" spans="1:6" ht="16" customHeight="1" x14ac:dyDescent="0.45">
      <c r="A1595" s="19" t="s">
        <v>3307</v>
      </c>
      <c r="B1595" s="20" t="s">
        <v>3308</v>
      </c>
      <c r="C1595" s="21">
        <v>1355</v>
      </c>
      <c r="D1595" s="22"/>
      <c r="E1595" s="23">
        <v>-2.309999942779541E-2</v>
      </c>
      <c r="F1595" s="24" t="s">
        <v>125</v>
      </c>
    </row>
    <row r="1596" spans="1:6" ht="16" customHeight="1" x14ac:dyDescent="0.45">
      <c r="A1596" s="19" t="s">
        <v>3309</v>
      </c>
      <c r="B1596" s="20" t="s">
        <v>3310</v>
      </c>
      <c r="C1596" s="21">
        <v>10950</v>
      </c>
      <c r="D1596" s="22"/>
      <c r="E1596" s="23">
        <v>6.5199999809265136E-2</v>
      </c>
      <c r="F1596" s="24" t="s">
        <v>125</v>
      </c>
    </row>
    <row r="1597" spans="1:6" ht="16" customHeight="1" x14ac:dyDescent="0.45">
      <c r="A1597" s="19" t="s">
        <v>3311</v>
      </c>
      <c r="B1597" s="20" t="s">
        <v>3312</v>
      </c>
      <c r="C1597" s="21">
        <v>5900</v>
      </c>
      <c r="D1597" s="22"/>
      <c r="E1597" s="23">
        <v>2.0799999237060551E-2</v>
      </c>
      <c r="F1597" s="24" t="s">
        <v>125</v>
      </c>
    </row>
    <row r="1598" spans="1:6" ht="16" customHeight="1" x14ac:dyDescent="0.45">
      <c r="A1598" s="19" t="s">
        <v>3313</v>
      </c>
      <c r="B1598" s="20" t="s">
        <v>3314</v>
      </c>
      <c r="C1598" s="21">
        <v>10420</v>
      </c>
      <c r="D1598" s="22"/>
      <c r="E1598" s="23">
        <v>-2.2499999999999999E-2</v>
      </c>
      <c r="F1598" s="24" t="s">
        <v>125</v>
      </c>
    </row>
    <row r="1599" spans="1:6" ht="16" customHeight="1" x14ac:dyDescent="0.45">
      <c r="A1599" s="19" t="s">
        <v>3315</v>
      </c>
      <c r="B1599" s="20" t="s">
        <v>3316</v>
      </c>
      <c r="C1599" s="21">
        <v>127400</v>
      </c>
      <c r="D1599" s="22"/>
      <c r="E1599" s="23">
        <v>-1.389999985694885E-2</v>
      </c>
      <c r="F1599" s="24" t="s">
        <v>125</v>
      </c>
    </row>
    <row r="1600" spans="1:6" ht="16" customHeight="1" x14ac:dyDescent="0.45">
      <c r="A1600" s="19" t="s">
        <v>3317</v>
      </c>
      <c r="B1600" s="20" t="s">
        <v>3318</v>
      </c>
      <c r="C1600" s="21">
        <v>549</v>
      </c>
      <c r="D1600" s="22"/>
      <c r="E1600" s="23">
        <v>0</v>
      </c>
      <c r="F1600" s="24" t="s">
        <v>125</v>
      </c>
    </row>
    <row r="1601" spans="1:6" ht="16" customHeight="1" x14ac:dyDescent="0.45">
      <c r="A1601" s="19" t="s">
        <v>3319</v>
      </c>
      <c r="B1601" s="20" t="s">
        <v>3320</v>
      </c>
      <c r="C1601" s="21">
        <v>1254</v>
      </c>
      <c r="D1601" s="22"/>
      <c r="E1601" s="23">
        <v>-4.4899997711181638E-2</v>
      </c>
      <c r="F1601" s="24" t="s">
        <v>128</v>
      </c>
    </row>
    <row r="1602" spans="1:6" ht="16" customHeight="1" x14ac:dyDescent="0.45">
      <c r="A1602" s="19" t="s">
        <v>3321</v>
      </c>
      <c r="B1602" s="20" t="s">
        <v>3322</v>
      </c>
      <c r="C1602" s="21">
        <v>6140</v>
      </c>
      <c r="D1602" s="22"/>
      <c r="E1602" s="23">
        <v>-9.7000002861022949E-3</v>
      </c>
      <c r="F1602" s="24" t="s">
        <v>125</v>
      </c>
    </row>
    <row r="1603" spans="1:6" ht="16" customHeight="1" x14ac:dyDescent="0.45">
      <c r="A1603" s="19" t="s">
        <v>3323</v>
      </c>
      <c r="B1603" s="20" t="s">
        <v>3324</v>
      </c>
      <c r="C1603" s="21">
        <v>1959</v>
      </c>
      <c r="D1603" s="22"/>
      <c r="E1603" s="23">
        <v>-3.0199999809265139E-2</v>
      </c>
      <c r="F1603" s="24" t="s">
        <v>128</v>
      </c>
    </row>
    <row r="1604" spans="1:6" ht="16" customHeight="1" x14ac:dyDescent="0.45">
      <c r="A1604" s="19" t="s">
        <v>3325</v>
      </c>
      <c r="B1604" s="20" t="s">
        <v>3326</v>
      </c>
      <c r="C1604" s="21">
        <v>53900</v>
      </c>
      <c r="D1604" s="22"/>
      <c r="E1604" s="23">
        <v>-3.7000000476837161E-3</v>
      </c>
      <c r="F1604" s="24" t="s">
        <v>125</v>
      </c>
    </row>
    <row r="1605" spans="1:6" ht="16" customHeight="1" x14ac:dyDescent="0.45">
      <c r="A1605" s="19" t="s">
        <v>3327</v>
      </c>
      <c r="B1605" s="20" t="s">
        <v>3328</v>
      </c>
      <c r="C1605" s="21">
        <v>12450</v>
      </c>
      <c r="D1605" s="22"/>
      <c r="E1605" s="23">
        <v>-6.3999998569488521E-3</v>
      </c>
      <c r="F1605" s="24" t="s">
        <v>125</v>
      </c>
    </row>
    <row r="1606" spans="1:6" ht="16" customHeight="1" x14ac:dyDescent="0.45">
      <c r="A1606" s="19" t="s">
        <v>3329</v>
      </c>
      <c r="B1606" s="20" t="s">
        <v>3330</v>
      </c>
      <c r="C1606" s="21">
        <v>1337</v>
      </c>
      <c r="D1606" s="22"/>
      <c r="E1606" s="23">
        <v>0</v>
      </c>
      <c r="F1606" s="24" t="s">
        <v>125</v>
      </c>
    </row>
    <row r="1607" spans="1:6" ht="16" customHeight="1" x14ac:dyDescent="0.45">
      <c r="A1607" s="19" t="s">
        <v>3331</v>
      </c>
      <c r="B1607" s="20" t="s">
        <v>3332</v>
      </c>
      <c r="C1607" s="21">
        <v>3130</v>
      </c>
      <c r="D1607" s="22"/>
      <c r="E1607" s="23">
        <v>0</v>
      </c>
      <c r="F1607" s="24" t="s">
        <v>128</v>
      </c>
    </row>
    <row r="1608" spans="1:6" ht="16" customHeight="1" x14ac:dyDescent="0.45">
      <c r="A1608" s="19" t="s">
        <v>3333</v>
      </c>
      <c r="B1608" s="20" t="s">
        <v>3334</v>
      </c>
      <c r="C1608" s="21">
        <v>13850</v>
      </c>
      <c r="D1608" s="22"/>
      <c r="E1608" s="23">
        <v>-2.8099999427795411E-2</v>
      </c>
      <c r="F1608" s="24" t="s">
        <v>128</v>
      </c>
    </row>
    <row r="1609" spans="1:6" ht="16" customHeight="1" x14ac:dyDescent="0.45">
      <c r="A1609" s="19" t="s">
        <v>3335</v>
      </c>
      <c r="B1609" s="20" t="s">
        <v>3336</v>
      </c>
      <c r="C1609" s="21">
        <v>127800</v>
      </c>
      <c r="D1609" s="22"/>
      <c r="E1609" s="23">
        <v>-3.5499999523162837E-2</v>
      </c>
      <c r="F1609" s="24" t="s">
        <v>125</v>
      </c>
    </row>
    <row r="1610" spans="1:6" ht="16" customHeight="1" x14ac:dyDescent="0.45">
      <c r="A1610" s="19" t="s">
        <v>3337</v>
      </c>
      <c r="B1610" s="20" t="s">
        <v>3338</v>
      </c>
      <c r="C1610" s="21">
        <v>2485</v>
      </c>
      <c r="D1610" s="22"/>
      <c r="E1610" s="23">
        <v>-4.9699997901916503E-2</v>
      </c>
      <c r="F1610" s="24" t="s">
        <v>125</v>
      </c>
    </row>
    <row r="1611" spans="1:6" ht="16" customHeight="1" x14ac:dyDescent="0.45">
      <c r="A1611" s="19" t="s">
        <v>3339</v>
      </c>
      <c r="B1611" s="20" t="s">
        <v>3340</v>
      </c>
      <c r="C1611" s="21">
        <v>1127</v>
      </c>
      <c r="D1611" s="22"/>
      <c r="E1611" s="23">
        <v>-8.6700000762939447E-2</v>
      </c>
      <c r="F1611" s="24" t="s">
        <v>125</v>
      </c>
    </row>
    <row r="1612" spans="1:6" ht="16" customHeight="1" x14ac:dyDescent="0.45">
      <c r="A1612" s="19" t="s">
        <v>3341</v>
      </c>
      <c r="B1612" s="20" t="s">
        <v>3342</v>
      </c>
      <c r="C1612" s="21">
        <v>34750</v>
      </c>
      <c r="D1612" s="22"/>
      <c r="E1612" s="23">
        <v>5.799999833106995E-3</v>
      </c>
      <c r="F1612" s="24" t="s">
        <v>125</v>
      </c>
    </row>
    <row r="1613" spans="1:6" ht="16" customHeight="1" x14ac:dyDescent="0.45">
      <c r="A1613" s="19" t="s">
        <v>3343</v>
      </c>
      <c r="B1613" s="20" t="s">
        <v>3344</v>
      </c>
      <c r="C1613" s="21">
        <v>4810</v>
      </c>
      <c r="D1613" s="22"/>
      <c r="E1613" s="23">
        <v>-3.7000000476837158E-2</v>
      </c>
      <c r="F1613" s="24" t="s">
        <v>125</v>
      </c>
    </row>
    <row r="1614" spans="1:6" ht="16" customHeight="1" x14ac:dyDescent="0.45">
      <c r="A1614" s="19" t="s">
        <v>3345</v>
      </c>
      <c r="B1614" s="20" t="s">
        <v>3346</v>
      </c>
      <c r="C1614" s="21">
        <v>5010</v>
      </c>
      <c r="D1614" s="22"/>
      <c r="E1614" s="23">
        <v>-1.570000052452087E-2</v>
      </c>
      <c r="F1614" s="24" t="s">
        <v>125</v>
      </c>
    </row>
    <row r="1615" spans="1:6" ht="16" customHeight="1" x14ac:dyDescent="0.45">
      <c r="A1615" s="19" t="s">
        <v>3347</v>
      </c>
      <c r="B1615" s="20" t="s">
        <v>3348</v>
      </c>
      <c r="C1615" s="21">
        <v>7000</v>
      </c>
      <c r="D1615" s="22"/>
      <c r="E1615" s="23">
        <v>-3.180000066757202E-2</v>
      </c>
      <c r="F1615" s="24" t="s">
        <v>125</v>
      </c>
    </row>
    <row r="1616" spans="1:6" ht="16" customHeight="1" x14ac:dyDescent="0.45">
      <c r="A1616" s="19" t="s">
        <v>3349</v>
      </c>
      <c r="B1616" s="20" t="s">
        <v>3350</v>
      </c>
      <c r="C1616" s="21">
        <v>14760</v>
      </c>
      <c r="D1616" s="22"/>
      <c r="E1616" s="23">
        <v>-2.2499999999999999E-2</v>
      </c>
      <c r="F1616" s="24" t="s">
        <v>125</v>
      </c>
    </row>
    <row r="1617" spans="1:6" ht="16" customHeight="1" x14ac:dyDescent="0.45">
      <c r="A1617" s="19" t="s">
        <v>3351</v>
      </c>
      <c r="B1617" s="20" t="s">
        <v>3352</v>
      </c>
      <c r="C1617" s="21">
        <v>1220</v>
      </c>
      <c r="D1617" s="22"/>
      <c r="E1617" s="23">
        <v>-6.7300000190734857E-2</v>
      </c>
      <c r="F1617" s="24" t="s">
        <v>125</v>
      </c>
    </row>
    <row r="1618" spans="1:6" ht="16" customHeight="1" x14ac:dyDescent="0.45">
      <c r="A1618" s="19" t="s">
        <v>3353</v>
      </c>
      <c r="B1618" s="20" t="s">
        <v>3354</v>
      </c>
      <c r="C1618" s="21">
        <v>720</v>
      </c>
      <c r="D1618" s="22"/>
      <c r="E1618" s="23">
        <v>-3.2300000190734861E-2</v>
      </c>
      <c r="F1618" s="24" t="s">
        <v>128</v>
      </c>
    </row>
    <row r="1619" spans="1:6" ht="16" customHeight="1" x14ac:dyDescent="0.45">
      <c r="A1619" s="19" t="s">
        <v>3355</v>
      </c>
      <c r="B1619" s="20" t="s">
        <v>3356</v>
      </c>
      <c r="C1619" s="21">
        <v>19440</v>
      </c>
      <c r="D1619" s="22"/>
      <c r="E1619" s="23">
        <v>-1.4700000286102291E-2</v>
      </c>
      <c r="F1619" s="24" t="s">
        <v>125</v>
      </c>
    </row>
    <row r="1620" spans="1:6" ht="16" customHeight="1" x14ac:dyDescent="0.45">
      <c r="A1620" s="19" t="s">
        <v>3357</v>
      </c>
      <c r="B1620" s="20" t="s">
        <v>3358</v>
      </c>
      <c r="C1620" s="21">
        <v>927</v>
      </c>
      <c r="D1620" s="22"/>
      <c r="E1620" s="23">
        <v>0</v>
      </c>
      <c r="F1620" s="24" t="s">
        <v>251</v>
      </c>
    </row>
    <row r="1621" spans="1:6" ht="16" customHeight="1" x14ac:dyDescent="0.45">
      <c r="A1621" s="19" t="s">
        <v>3359</v>
      </c>
      <c r="B1621" s="20" t="s">
        <v>3360</v>
      </c>
      <c r="C1621" s="21">
        <v>17470</v>
      </c>
      <c r="D1621" s="22"/>
      <c r="E1621" s="23">
        <v>-2.6199998855590819E-2</v>
      </c>
      <c r="F1621" s="24" t="s">
        <v>125</v>
      </c>
    </row>
    <row r="1622" spans="1:6" ht="16" customHeight="1" x14ac:dyDescent="0.45">
      <c r="A1622" s="19" t="s">
        <v>3361</v>
      </c>
      <c r="B1622" s="20" t="s">
        <v>3362</v>
      </c>
      <c r="C1622" s="21">
        <v>6320</v>
      </c>
      <c r="D1622" s="22"/>
      <c r="E1622" s="23">
        <v>-8.2700004577636724E-2</v>
      </c>
      <c r="F1622" s="24" t="s">
        <v>125</v>
      </c>
    </row>
    <row r="1623" spans="1:6" ht="16" customHeight="1" x14ac:dyDescent="0.45">
      <c r="A1623" s="19" t="s">
        <v>3363</v>
      </c>
      <c r="B1623" s="20" t="s">
        <v>3364</v>
      </c>
      <c r="C1623" s="21">
        <v>31350</v>
      </c>
      <c r="D1623" s="22"/>
      <c r="E1623" s="23">
        <v>-1.1000000238418579E-2</v>
      </c>
      <c r="F1623" s="24" t="s">
        <v>125</v>
      </c>
    </row>
    <row r="1624" spans="1:6" ht="16" customHeight="1" x14ac:dyDescent="0.45">
      <c r="A1624" s="19" t="s">
        <v>3365</v>
      </c>
      <c r="B1624" s="20" t="s">
        <v>3366</v>
      </c>
      <c r="C1624" s="21">
        <v>87200</v>
      </c>
      <c r="D1624" s="22"/>
      <c r="E1624" s="23">
        <v>-2.6800000667572019E-2</v>
      </c>
      <c r="F1624" s="24" t="s">
        <v>125</v>
      </c>
    </row>
    <row r="1625" spans="1:6" ht="16" customHeight="1" x14ac:dyDescent="0.45">
      <c r="A1625" s="19" t="s">
        <v>3367</v>
      </c>
      <c r="B1625" s="20" t="s">
        <v>3368</v>
      </c>
      <c r="C1625" s="21">
        <v>4635</v>
      </c>
      <c r="D1625" s="22"/>
      <c r="E1625" s="23">
        <v>-4.4299998283386231E-2</v>
      </c>
      <c r="F1625" s="24" t="s">
        <v>125</v>
      </c>
    </row>
    <row r="1626" spans="1:6" ht="16" customHeight="1" x14ac:dyDescent="0.45">
      <c r="A1626" s="19" t="s">
        <v>3369</v>
      </c>
      <c r="B1626" s="20" t="s">
        <v>3370</v>
      </c>
      <c r="C1626" s="21">
        <v>20350</v>
      </c>
      <c r="D1626" s="22"/>
      <c r="E1626" s="23">
        <v>1.7500000000000002E-2</v>
      </c>
      <c r="F1626" s="24" t="s">
        <v>125</v>
      </c>
    </row>
    <row r="1627" spans="1:6" ht="16" customHeight="1" x14ac:dyDescent="0.45">
      <c r="A1627" s="19" t="s">
        <v>3371</v>
      </c>
      <c r="B1627" s="20" t="s">
        <v>3372</v>
      </c>
      <c r="C1627" s="21">
        <v>8470</v>
      </c>
      <c r="D1627" s="22"/>
      <c r="E1627" s="23">
        <v>-4.2899999618530277E-2</v>
      </c>
      <c r="F1627" s="24" t="s">
        <v>125</v>
      </c>
    </row>
    <row r="1628" spans="1:6" ht="16" customHeight="1" x14ac:dyDescent="0.45">
      <c r="A1628" s="19" t="s">
        <v>3373</v>
      </c>
      <c r="B1628" s="20" t="s">
        <v>3374</v>
      </c>
      <c r="C1628" s="21">
        <v>7700</v>
      </c>
      <c r="D1628" s="22"/>
      <c r="E1628" s="23">
        <v>1.580000042915344E-2</v>
      </c>
      <c r="F1628" s="24" t="s">
        <v>125</v>
      </c>
    </row>
    <row r="1629" spans="1:6" ht="16" customHeight="1" x14ac:dyDescent="0.45">
      <c r="A1629" s="19" t="s">
        <v>3375</v>
      </c>
      <c r="B1629" s="20" t="s">
        <v>3376</v>
      </c>
      <c r="C1629" s="21">
        <v>2105</v>
      </c>
      <c r="D1629" s="22"/>
      <c r="E1629" s="23">
        <v>-2.39999994635582E-3</v>
      </c>
      <c r="F1629" s="24" t="s">
        <v>125</v>
      </c>
    </row>
    <row r="1630" spans="1:6" ht="16" customHeight="1" x14ac:dyDescent="0.45">
      <c r="A1630" s="19" t="s">
        <v>3377</v>
      </c>
      <c r="B1630" s="20" t="s">
        <v>3378</v>
      </c>
      <c r="C1630" s="21">
        <v>2035</v>
      </c>
      <c r="D1630" s="22"/>
      <c r="E1630" s="23">
        <v>2.5000000000000001E-3</v>
      </c>
      <c r="F1630" s="24" t="s">
        <v>125</v>
      </c>
    </row>
    <row r="1631" spans="1:6" ht="16" customHeight="1" x14ac:dyDescent="0.45">
      <c r="A1631" s="19" t="s">
        <v>3379</v>
      </c>
      <c r="B1631" s="20" t="s">
        <v>3380</v>
      </c>
      <c r="C1631" s="21">
        <v>3130</v>
      </c>
      <c r="D1631" s="22"/>
      <c r="E1631" s="23">
        <v>-3.099999904632568E-2</v>
      </c>
      <c r="F1631" s="24" t="s">
        <v>125</v>
      </c>
    </row>
    <row r="1632" spans="1:6" ht="16" customHeight="1" x14ac:dyDescent="0.45">
      <c r="A1632" s="19" t="s">
        <v>3381</v>
      </c>
      <c r="B1632" s="20" t="s">
        <v>3382</v>
      </c>
      <c r="C1632" s="21">
        <v>1626</v>
      </c>
      <c r="D1632" s="22"/>
      <c r="E1632" s="23">
        <v>2.9100000858306881E-2</v>
      </c>
      <c r="F1632" s="24" t="s">
        <v>125</v>
      </c>
    </row>
    <row r="1633" spans="1:6" ht="16" customHeight="1" x14ac:dyDescent="0.45">
      <c r="A1633" s="19" t="s">
        <v>3383</v>
      </c>
      <c r="B1633" s="20" t="s">
        <v>3384</v>
      </c>
      <c r="C1633" s="21">
        <v>2760</v>
      </c>
      <c r="D1633" s="22"/>
      <c r="E1633" s="23">
        <v>-4.8299999237060548E-2</v>
      </c>
      <c r="F1633" s="24" t="s">
        <v>125</v>
      </c>
    </row>
    <row r="1634" spans="1:6" ht="16" customHeight="1" x14ac:dyDescent="0.45">
      <c r="A1634" s="19" t="s">
        <v>3385</v>
      </c>
      <c r="B1634" s="20" t="s">
        <v>3386</v>
      </c>
      <c r="C1634" s="21">
        <v>5040</v>
      </c>
      <c r="D1634" s="22"/>
      <c r="E1634" s="23">
        <v>-3.4500000476837163E-2</v>
      </c>
      <c r="F1634" s="24" t="s">
        <v>125</v>
      </c>
    </row>
    <row r="1635" spans="1:6" ht="16" customHeight="1" x14ac:dyDescent="0.45">
      <c r="A1635" s="19" t="s">
        <v>3387</v>
      </c>
      <c r="B1635" s="20" t="s">
        <v>3388</v>
      </c>
      <c r="C1635" s="21">
        <v>8980</v>
      </c>
      <c r="D1635" s="22"/>
      <c r="E1635" s="23">
        <v>-9.9000000953674318E-3</v>
      </c>
      <c r="F1635" s="24" t="s">
        <v>125</v>
      </c>
    </row>
    <row r="1636" spans="1:6" ht="16" customHeight="1" x14ac:dyDescent="0.45">
      <c r="A1636" s="19" t="s">
        <v>3389</v>
      </c>
      <c r="B1636" s="20" t="s">
        <v>3390</v>
      </c>
      <c r="C1636" s="21">
        <v>9790</v>
      </c>
      <c r="D1636" s="22"/>
      <c r="E1636" s="23">
        <v>-2.0999999046325681E-2</v>
      </c>
      <c r="F1636" s="24" t="s">
        <v>125</v>
      </c>
    </row>
    <row r="1637" spans="1:6" ht="16" customHeight="1" x14ac:dyDescent="0.45">
      <c r="A1637" s="19" t="s">
        <v>3391</v>
      </c>
      <c r="B1637" s="20" t="s">
        <v>3392</v>
      </c>
      <c r="C1637" s="21">
        <v>9100</v>
      </c>
      <c r="D1637" s="22"/>
      <c r="E1637" s="23">
        <v>-8.7000000476837158E-3</v>
      </c>
      <c r="F1637" s="24" t="s">
        <v>125</v>
      </c>
    </row>
    <row r="1638" spans="1:6" ht="16" customHeight="1" x14ac:dyDescent="0.45">
      <c r="A1638" s="19" t="s">
        <v>3393</v>
      </c>
      <c r="B1638" s="20" t="s">
        <v>3394</v>
      </c>
      <c r="C1638" s="21">
        <v>3325</v>
      </c>
      <c r="D1638" s="22"/>
      <c r="E1638" s="23">
        <v>-3.0000001192092901E-3</v>
      </c>
      <c r="F1638" s="24" t="s">
        <v>125</v>
      </c>
    </row>
    <row r="1639" spans="1:6" ht="16" customHeight="1" x14ac:dyDescent="0.45">
      <c r="A1639" s="19" t="s">
        <v>3395</v>
      </c>
      <c r="B1639" s="20" t="s">
        <v>3396</v>
      </c>
      <c r="C1639" s="21">
        <v>9720</v>
      </c>
      <c r="D1639" s="22"/>
      <c r="E1639" s="23">
        <v>9.460000038146972E-2</v>
      </c>
      <c r="F1639" s="24" t="s">
        <v>125</v>
      </c>
    </row>
    <row r="1640" spans="1:6" ht="16" customHeight="1" x14ac:dyDescent="0.45">
      <c r="A1640" s="19" t="s">
        <v>3397</v>
      </c>
      <c r="B1640" s="20" t="s">
        <v>3398</v>
      </c>
      <c r="C1640" s="21">
        <v>6600</v>
      </c>
      <c r="D1640" s="22"/>
      <c r="E1640" s="23">
        <v>-2.9400000572204588E-2</v>
      </c>
      <c r="F1640" s="24" t="s">
        <v>251</v>
      </c>
    </row>
    <row r="1641" spans="1:6" ht="16" customHeight="1" x14ac:dyDescent="0.45">
      <c r="A1641" s="19" t="s">
        <v>3399</v>
      </c>
      <c r="B1641" s="20" t="s">
        <v>3400</v>
      </c>
      <c r="C1641" s="21">
        <v>11750</v>
      </c>
      <c r="D1641" s="22"/>
      <c r="E1641" s="23">
        <v>6.9200000762939459E-2</v>
      </c>
      <c r="F1641" s="24" t="s">
        <v>125</v>
      </c>
    </row>
    <row r="1642" spans="1:6" ht="16" customHeight="1" x14ac:dyDescent="0.45">
      <c r="A1642" s="19" t="s">
        <v>3401</v>
      </c>
      <c r="B1642" s="20" t="s">
        <v>3402</v>
      </c>
      <c r="C1642" s="21">
        <v>293</v>
      </c>
      <c r="D1642" s="22"/>
      <c r="E1642" s="23">
        <v>0</v>
      </c>
      <c r="F1642" s="24" t="s">
        <v>128</v>
      </c>
    </row>
    <row r="1643" spans="1:6" ht="16" customHeight="1" x14ac:dyDescent="0.45">
      <c r="A1643" s="19" t="s">
        <v>3403</v>
      </c>
      <c r="B1643" s="20" t="s">
        <v>3404</v>
      </c>
      <c r="C1643" s="21">
        <v>251</v>
      </c>
      <c r="D1643" s="22"/>
      <c r="E1643" s="23">
        <v>0</v>
      </c>
      <c r="F1643" s="24" t="s">
        <v>128</v>
      </c>
    </row>
    <row r="1644" spans="1:6" ht="16" customHeight="1" x14ac:dyDescent="0.45">
      <c r="A1644" s="19" t="s">
        <v>3405</v>
      </c>
      <c r="B1644" s="20" t="s">
        <v>3406</v>
      </c>
      <c r="C1644" s="21">
        <v>56600</v>
      </c>
      <c r="D1644" s="22"/>
      <c r="E1644" s="23">
        <v>-1.909999966621399E-2</v>
      </c>
      <c r="F1644" s="24" t="s">
        <v>125</v>
      </c>
    </row>
    <row r="1645" spans="1:6" ht="16" customHeight="1" x14ac:dyDescent="0.45">
      <c r="A1645" s="19" t="s">
        <v>3407</v>
      </c>
      <c r="B1645" s="20" t="s">
        <v>3408</v>
      </c>
      <c r="C1645" s="21">
        <v>10280</v>
      </c>
      <c r="D1645" s="22"/>
      <c r="E1645" s="23">
        <v>-1.7200000286102291E-2</v>
      </c>
      <c r="F1645" s="24" t="s">
        <v>128</v>
      </c>
    </row>
    <row r="1646" spans="1:6" ht="16" customHeight="1" x14ac:dyDescent="0.45">
      <c r="A1646" s="19" t="s">
        <v>3409</v>
      </c>
      <c r="B1646" s="20" t="s">
        <v>3410</v>
      </c>
      <c r="C1646" s="21">
        <v>421500</v>
      </c>
      <c r="D1646" s="22"/>
      <c r="E1646" s="23">
        <v>-1.629999995231628E-2</v>
      </c>
      <c r="F1646" s="24" t="s">
        <v>128</v>
      </c>
    </row>
    <row r="1647" spans="1:6" ht="16" customHeight="1" x14ac:dyDescent="0.45">
      <c r="A1647" s="19" t="s">
        <v>3411</v>
      </c>
      <c r="B1647" s="20" t="s">
        <v>3412</v>
      </c>
      <c r="C1647" s="21">
        <v>44500</v>
      </c>
      <c r="D1647" s="22"/>
      <c r="E1647" s="23">
        <v>-4.7100000381469727E-2</v>
      </c>
      <c r="F1647" s="24" t="s">
        <v>125</v>
      </c>
    </row>
    <row r="1648" spans="1:6" ht="16" customHeight="1" x14ac:dyDescent="0.45">
      <c r="A1648" s="19" t="s">
        <v>3413</v>
      </c>
      <c r="B1648" s="20" t="s">
        <v>3414</v>
      </c>
      <c r="C1648" s="21">
        <v>35800</v>
      </c>
      <c r="D1648" s="22"/>
      <c r="E1648" s="23">
        <v>-2.1900000572204589E-2</v>
      </c>
      <c r="F1648" s="24" t="s">
        <v>125</v>
      </c>
    </row>
    <row r="1649" spans="1:6" ht="16" customHeight="1" x14ac:dyDescent="0.45">
      <c r="A1649" s="19" t="s">
        <v>3415</v>
      </c>
      <c r="B1649" s="20" t="s">
        <v>3416</v>
      </c>
      <c r="C1649" s="21">
        <v>800</v>
      </c>
      <c r="D1649" s="22"/>
      <c r="E1649" s="23">
        <v>0</v>
      </c>
      <c r="F1649" s="24" t="s">
        <v>125</v>
      </c>
    </row>
    <row r="1650" spans="1:6" ht="16" customHeight="1" x14ac:dyDescent="0.45">
      <c r="A1650" s="19" t="s">
        <v>3417</v>
      </c>
      <c r="B1650" s="20" t="s">
        <v>3418</v>
      </c>
      <c r="C1650" s="21">
        <v>16000</v>
      </c>
      <c r="D1650" s="22"/>
      <c r="E1650" s="23">
        <v>0</v>
      </c>
      <c r="F1650" s="24" t="s">
        <v>125</v>
      </c>
    </row>
    <row r="1651" spans="1:6" ht="16" customHeight="1" x14ac:dyDescent="0.45">
      <c r="A1651" s="19" t="s">
        <v>3419</v>
      </c>
      <c r="B1651" s="20" t="s">
        <v>3420</v>
      </c>
      <c r="C1651" s="21">
        <v>801</v>
      </c>
      <c r="D1651" s="22"/>
      <c r="E1651" s="23">
        <v>0</v>
      </c>
      <c r="F1651" s="24" t="s">
        <v>125</v>
      </c>
    </row>
    <row r="1652" spans="1:6" ht="16" customHeight="1" x14ac:dyDescent="0.45">
      <c r="A1652" s="19" t="s">
        <v>3421</v>
      </c>
      <c r="B1652" s="20" t="s">
        <v>3422</v>
      </c>
      <c r="C1652" s="21">
        <v>2990</v>
      </c>
      <c r="D1652" s="22"/>
      <c r="E1652" s="23">
        <v>-3.079999923706055E-2</v>
      </c>
      <c r="F1652" s="24" t="s">
        <v>125</v>
      </c>
    </row>
    <row r="1653" spans="1:6" ht="16" customHeight="1" x14ac:dyDescent="0.45">
      <c r="A1653" s="19" t="s">
        <v>3423</v>
      </c>
      <c r="B1653" s="20" t="s">
        <v>3424</v>
      </c>
      <c r="C1653" s="21">
        <v>12590</v>
      </c>
      <c r="D1653" s="22"/>
      <c r="E1653" s="23">
        <v>1.6100000143051151E-2</v>
      </c>
      <c r="F1653" s="24" t="s">
        <v>125</v>
      </c>
    </row>
    <row r="1654" spans="1:6" ht="16" customHeight="1" x14ac:dyDescent="0.45">
      <c r="A1654" s="19" t="s">
        <v>3425</v>
      </c>
      <c r="B1654" s="20" t="s">
        <v>3426</v>
      </c>
      <c r="C1654" s="21">
        <v>19310</v>
      </c>
      <c r="D1654" s="22"/>
      <c r="E1654" s="23">
        <v>-1.980000019073486E-2</v>
      </c>
      <c r="F1654" s="24" t="s">
        <v>125</v>
      </c>
    </row>
    <row r="1655" spans="1:6" ht="16" customHeight="1" x14ac:dyDescent="0.45">
      <c r="A1655" s="19" t="s">
        <v>3427</v>
      </c>
      <c r="B1655" s="20" t="s">
        <v>3428</v>
      </c>
      <c r="C1655" s="21">
        <v>1932</v>
      </c>
      <c r="D1655" s="22"/>
      <c r="E1655" s="23">
        <v>-2.02999997138977E-2</v>
      </c>
      <c r="F1655" s="24" t="s">
        <v>125</v>
      </c>
    </row>
    <row r="1656" spans="1:6" ht="16" customHeight="1" x14ac:dyDescent="0.45">
      <c r="A1656" s="19" t="s">
        <v>3429</v>
      </c>
      <c r="B1656" s="20" t="s">
        <v>3430</v>
      </c>
      <c r="C1656" s="21">
        <v>157100</v>
      </c>
      <c r="D1656" s="22"/>
      <c r="E1656" s="23">
        <v>8.2999998331069955E-3</v>
      </c>
      <c r="F1656" s="24" t="s">
        <v>125</v>
      </c>
    </row>
    <row r="1657" spans="1:6" ht="16" customHeight="1" x14ac:dyDescent="0.45">
      <c r="A1657" s="19" t="s">
        <v>3431</v>
      </c>
      <c r="B1657" s="20" t="s">
        <v>3432</v>
      </c>
      <c r="C1657" s="21">
        <v>82200</v>
      </c>
      <c r="D1657" s="22"/>
      <c r="E1657" s="23">
        <v>-3.069999933242798E-2</v>
      </c>
      <c r="F1657" s="24" t="s">
        <v>128</v>
      </c>
    </row>
    <row r="1658" spans="1:6" ht="16" customHeight="1" x14ac:dyDescent="0.45">
      <c r="A1658" s="19" t="s">
        <v>3433</v>
      </c>
      <c r="B1658" s="20" t="s">
        <v>3434</v>
      </c>
      <c r="C1658" s="21">
        <v>220000</v>
      </c>
      <c r="D1658" s="22"/>
      <c r="E1658" s="23">
        <v>2.0899999141693111E-2</v>
      </c>
      <c r="F1658" s="24" t="s">
        <v>125</v>
      </c>
    </row>
    <row r="1659" spans="1:6" ht="16" customHeight="1" x14ac:dyDescent="0.45">
      <c r="A1659" s="19" t="s">
        <v>3435</v>
      </c>
      <c r="B1659" s="20" t="s">
        <v>3436</v>
      </c>
      <c r="C1659" s="21">
        <v>32000</v>
      </c>
      <c r="D1659" s="22"/>
      <c r="E1659" s="23">
        <v>-2.5899999141693119E-2</v>
      </c>
      <c r="F1659" s="24" t="s">
        <v>125</v>
      </c>
    </row>
    <row r="1660" spans="1:6" ht="16" customHeight="1" x14ac:dyDescent="0.45">
      <c r="A1660" s="19" t="s">
        <v>3437</v>
      </c>
      <c r="B1660" s="20" t="s">
        <v>3438</v>
      </c>
      <c r="C1660" s="21">
        <v>3540</v>
      </c>
      <c r="D1660" s="22"/>
      <c r="E1660" s="23">
        <v>-2.4800000190734861E-2</v>
      </c>
      <c r="F1660" s="24" t="s">
        <v>125</v>
      </c>
    </row>
    <row r="1661" spans="1:6" ht="16" customHeight="1" x14ac:dyDescent="0.45">
      <c r="A1661" s="19" t="s">
        <v>3439</v>
      </c>
      <c r="B1661" s="20" t="s">
        <v>3440</v>
      </c>
      <c r="C1661" s="21">
        <v>4010</v>
      </c>
      <c r="D1661" s="22"/>
      <c r="E1661" s="23">
        <v>-2.789999961853027E-2</v>
      </c>
      <c r="F1661" s="24" t="s">
        <v>125</v>
      </c>
    </row>
    <row r="1662" spans="1:6" ht="16" customHeight="1" x14ac:dyDescent="0.45">
      <c r="A1662" s="19" t="s">
        <v>3441</v>
      </c>
      <c r="B1662" s="20" t="s">
        <v>3442</v>
      </c>
      <c r="C1662" s="21">
        <v>30400</v>
      </c>
      <c r="D1662" s="22"/>
      <c r="E1662" s="23">
        <v>4.650000095367432E-2</v>
      </c>
      <c r="F1662" s="24" t="s">
        <v>125</v>
      </c>
    </row>
    <row r="1663" spans="1:6" ht="16" customHeight="1" x14ac:dyDescent="0.45">
      <c r="A1663" s="19" t="s">
        <v>3443</v>
      </c>
      <c r="B1663" s="20" t="s">
        <v>3444</v>
      </c>
      <c r="C1663" s="21">
        <v>43600</v>
      </c>
      <c r="D1663" s="22"/>
      <c r="E1663" s="23">
        <v>-2.300000041723252E-3</v>
      </c>
      <c r="F1663" s="24" t="s">
        <v>125</v>
      </c>
    </row>
    <row r="1664" spans="1:6" ht="16" customHeight="1" x14ac:dyDescent="0.45">
      <c r="A1664" s="19" t="s">
        <v>3445</v>
      </c>
      <c r="B1664" s="20" t="s">
        <v>3446</v>
      </c>
      <c r="C1664" s="21">
        <v>3915</v>
      </c>
      <c r="D1664" s="22"/>
      <c r="E1664" s="23">
        <v>-2.9700000286102299E-2</v>
      </c>
      <c r="F1664" s="24" t="s">
        <v>125</v>
      </c>
    </row>
    <row r="1665" spans="1:6" ht="16" customHeight="1" x14ac:dyDescent="0.45">
      <c r="A1665" s="19" t="s">
        <v>3447</v>
      </c>
      <c r="B1665" s="20" t="s">
        <v>3448</v>
      </c>
      <c r="C1665" s="21">
        <v>21900</v>
      </c>
      <c r="D1665" s="22"/>
      <c r="E1665" s="23">
        <v>0.1105000019073486</v>
      </c>
      <c r="F1665" s="24" t="s">
        <v>125</v>
      </c>
    </row>
    <row r="1666" spans="1:6" ht="16" customHeight="1" x14ac:dyDescent="0.45">
      <c r="A1666" s="19" t="s">
        <v>3449</v>
      </c>
      <c r="B1666" s="20" t="s">
        <v>3450</v>
      </c>
      <c r="C1666" s="21">
        <v>15000</v>
      </c>
      <c r="D1666" s="22"/>
      <c r="E1666" s="23">
        <v>6.7000001668930057E-3</v>
      </c>
      <c r="F1666" s="24" t="s">
        <v>251</v>
      </c>
    </row>
    <row r="1667" spans="1:6" ht="16" customHeight="1" x14ac:dyDescent="0.45">
      <c r="A1667" s="19" t="s">
        <v>3451</v>
      </c>
      <c r="B1667" s="20" t="s">
        <v>3452</v>
      </c>
      <c r="C1667" s="21">
        <v>3960</v>
      </c>
      <c r="D1667" s="22"/>
      <c r="E1667" s="23">
        <v>-5.0000000000000001E-3</v>
      </c>
      <c r="F1667" s="24" t="s">
        <v>125</v>
      </c>
    </row>
    <row r="1668" spans="1:6" ht="16" customHeight="1" x14ac:dyDescent="0.45">
      <c r="A1668" s="19" t="s">
        <v>3453</v>
      </c>
      <c r="B1668" s="20" t="s">
        <v>3454</v>
      </c>
      <c r="C1668" s="21">
        <v>855</v>
      </c>
      <c r="D1668" s="22"/>
      <c r="E1668" s="23">
        <v>-1.159999966621399E-2</v>
      </c>
      <c r="F1668" s="24" t="s">
        <v>125</v>
      </c>
    </row>
    <row r="1669" spans="1:6" ht="16" customHeight="1" x14ac:dyDescent="0.45">
      <c r="A1669" s="19" t="s">
        <v>3455</v>
      </c>
      <c r="B1669" s="20" t="s">
        <v>3456</v>
      </c>
      <c r="C1669" s="21">
        <v>3195</v>
      </c>
      <c r="D1669" s="22"/>
      <c r="E1669" s="23">
        <v>-4.3400001525878897E-2</v>
      </c>
      <c r="F1669" s="24" t="s">
        <v>125</v>
      </c>
    </row>
    <row r="1670" spans="1:6" ht="16" customHeight="1" x14ac:dyDescent="0.45">
      <c r="A1670" s="19" t="s">
        <v>3457</v>
      </c>
      <c r="B1670" s="20" t="s">
        <v>3458</v>
      </c>
      <c r="C1670" s="21">
        <v>1566</v>
      </c>
      <c r="D1670" s="22"/>
      <c r="E1670" s="23">
        <v>-2.2499999999999999E-2</v>
      </c>
      <c r="F1670" s="24" t="s">
        <v>125</v>
      </c>
    </row>
    <row r="1671" spans="1:6" ht="16" customHeight="1" x14ac:dyDescent="0.45">
      <c r="A1671" s="19" t="s">
        <v>3459</v>
      </c>
      <c r="B1671" s="20" t="s">
        <v>3460</v>
      </c>
      <c r="C1671" s="21">
        <v>1996</v>
      </c>
      <c r="D1671" s="22"/>
      <c r="E1671" s="23">
        <v>1.0599999427795411E-2</v>
      </c>
      <c r="F1671" s="24" t="s">
        <v>125</v>
      </c>
    </row>
    <row r="1672" spans="1:6" ht="16" customHeight="1" x14ac:dyDescent="0.45">
      <c r="A1672" s="19" t="s">
        <v>3461</v>
      </c>
      <c r="B1672" s="20" t="s">
        <v>3462</v>
      </c>
      <c r="C1672" s="21">
        <v>18060</v>
      </c>
      <c r="D1672" s="22"/>
      <c r="E1672" s="23">
        <v>0.2031999969482422</v>
      </c>
      <c r="F1672" s="24" t="s">
        <v>125</v>
      </c>
    </row>
    <row r="1673" spans="1:6" ht="16" customHeight="1" x14ac:dyDescent="0.45">
      <c r="A1673" s="19" t="s">
        <v>3463</v>
      </c>
      <c r="B1673" s="20" t="s">
        <v>3464</v>
      </c>
      <c r="C1673" s="21">
        <v>2410</v>
      </c>
      <c r="D1673" s="22"/>
      <c r="E1673" s="23">
        <v>-2.6300001144409179E-2</v>
      </c>
      <c r="F1673" s="24" t="s">
        <v>125</v>
      </c>
    </row>
    <row r="1674" spans="1:6" ht="16" customHeight="1" x14ac:dyDescent="0.45">
      <c r="A1674" s="19" t="s">
        <v>3465</v>
      </c>
      <c r="B1674" s="20" t="s">
        <v>3466</v>
      </c>
      <c r="C1674" s="21">
        <v>3755</v>
      </c>
      <c r="D1674" s="22"/>
      <c r="E1674" s="23">
        <v>-1.299999952316284E-3</v>
      </c>
      <c r="F1674" s="24" t="s">
        <v>125</v>
      </c>
    </row>
    <row r="1675" spans="1:6" ht="16" customHeight="1" x14ac:dyDescent="0.45">
      <c r="A1675" s="19" t="s">
        <v>3467</v>
      </c>
      <c r="B1675" s="20" t="s">
        <v>3468</v>
      </c>
      <c r="C1675" s="21">
        <v>643</v>
      </c>
      <c r="D1675" s="22"/>
      <c r="E1675" s="23">
        <v>0</v>
      </c>
      <c r="F1675" s="24" t="s">
        <v>125</v>
      </c>
    </row>
    <row r="1676" spans="1:6" ht="16" customHeight="1" x14ac:dyDescent="0.45">
      <c r="A1676" s="19" t="s">
        <v>3469</v>
      </c>
      <c r="B1676" s="20" t="s">
        <v>3470</v>
      </c>
      <c r="C1676" s="21">
        <v>346</v>
      </c>
      <c r="D1676" s="22"/>
      <c r="E1676" s="23">
        <v>0</v>
      </c>
      <c r="F1676" s="24" t="s">
        <v>125</v>
      </c>
    </row>
    <row r="1677" spans="1:6" ht="16" customHeight="1" x14ac:dyDescent="0.45">
      <c r="A1677" s="19" t="s">
        <v>3471</v>
      </c>
      <c r="B1677" s="20" t="s">
        <v>3472</v>
      </c>
      <c r="C1677" s="21">
        <v>38700</v>
      </c>
      <c r="D1677" s="22"/>
      <c r="E1677" s="23">
        <v>6.4999997615814214E-3</v>
      </c>
      <c r="F1677" s="24" t="s">
        <v>125</v>
      </c>
    </row>
    <row r="1678" spans="1:6" ht="16" customHeight="1" x14ac:dyDescent="0.45">
      <c r="A1678" s="19" t="s">
        <v>3473</v>
      </c>
      <c r="B1678" s="20" t="s">
        <v>3474</v>
      </c>
      <c r="C1678" s="21">
        <v>541</v>
      </c>
      <c r="D1678" s="22"/>
      <c r="E1678" s="23">
        <v>0</v>
      </c>
      <c r="F1678" s="24" t="s">
        <v>128</v>
      </c>
    </row>
    <row r="1679" spans="1:6" ht="16" customHeight="1" x14ac:dyDescent="0.45">
      <c r="A1679" s="19" t="s">
        <v>3475</v>
      </c>
      <c r="B1679" s="20" t="s">
        <v>3476</v>
      </c>
      <c r="C1679" s="21">
        <v>4875</v>
      </c>
      <c r="D1679" s="22"/>
      <c r="E1679" s="23">
        <v>0</v>
      </c>
      <c r="F1679" s="24" t="s">
        <v>251</v>
      </c>
    </row>
    <row r="1680" spans="1:6" ht="16" customHeight="1" x14ac:dyDescent="0.45">
      <c r="A1680" s="19" t="s">
        <v>3477</v>
      </c>
      <c r="B1680" s="20" t="s">
        <v>3478</v>
      </c>
      <c r="C1680" s="21">
        <v>7640</v>
      </c>
      <c r="D1680" s="22"/>
      <c r="E1680" s="23">
        <v>-5.8000001907348643E-2</v>
      </c>
      <c r="F1680" s="24" t="s">
        <v>125</v>
      </c>
    </row>
    <row r="1681" spans="1:6" ht="16" customHeight="1" x14ac:dyDescent="0.45">
      <c r="A1681" s="19" t="s">
        <v>3479</v>
      </c>
      <c r="B1681" s="20" t="s">
        <v>3480</v>
      </c>
      <c r="C1681" s="21">
        <v>2135</v>
      </c>
      <c r="D1681" s="22"/>
      <c r="E1681" s="23">
        <v>-1.389999985694885E-2</v>
      </c>
      <c r="F1681" s="24" t="s">
        <v>125</v>
      </c>
    </row>
    <row r="1682" spans="1:6" ht="16" customHeight="1" x14ac:dyDescent="0.45">
      <c r="A1682" s="19" t="s">
        <v>3481</v>
      </c>
      <c r="B1682" s="20" t="s">
        <v>3482</v>
      </c>
      <c r="C1682" s="21">
        <v>27600</v>
      </c>
      <c r="D1682" s="22"/>
      <c r="E1682" s="23">
        <v>-1.0800000429153441E-2</v>
      </c>
      <c r="F1682" s="24" t="s">
        <v>125</v>
      </c>
    </row>
    <row r="1683" spans="1:6" ht="16" customHeight="1" x14ac:dyDescent="0.45">
      <c r="A1683" s="19" t="s">
        <v>3483</v>
      </c>
      <c r="B1683" s="20" t="s">
        <v>3484</v>
      </c>
      <c r="C1683" s="21">
        <v>1875</v>
      </c>
      <c r="D1683" s="22"/>
      <c r="E1683" s="23">
        <v>-4.0399999618530268E-2</v>
      </c>
      <c r="F1683" s="24" t="s">
        <v>125</v>
      </c>
    </row>
    <row r="1684" spans="1:6" ht="16" customHeight="1" x14ac:dyDescent="0.45">
      <c r="A1684" s="19" t="s">
        <v>3485</v>
      </c>
      <c r="B1684" s="20" t="s">
        <v>3486</v>
      </c>
      <c r="C1684" s="21">
        <v>13290</v>
      </c>
      <c r="D1684" s="22"/>
      <c r="E1684" s="23">
        <v>-2.2100000381469729E-2</v>
      </c>
      <c r="F1684" s="24" t="s">
        <v>251</v>
      </c>
    </row>
    <row r="1685" spans="1:6" ht="16" customHeight="1" x14ac:dyDescent="0.45">
      <c r="A1685" s="19" t="s">
        <v>3487</v>
      </c>
      <c r="B1685" s="20" t="s">
        <v>3488</v>
      </c>
      <c r="C1685" s="21">
        <v>7040</v>
      </c>
      <c r="D1685" s="22"/>
      <c r="E1685" s="23">
        <v>-1.539999961853027E-2</v>
      </c>
      <c r="F1685" s="24" t="s">
        <v>125</v>
      </c>
    </row>
    <row r="1686" spans="1:6" ht="16" customHeight="1" x14ac:dyDescent="0.45">
      <c r="A1686" s="19" t="s">
        <v>3489</v>
      </c>
      <c r="B1686" s="20" t="s">
        <v>3490</v>
      </c>
      <c r="C1686" s="21">
        <v>392</v>
      </c>
      <c r="D1686" s="22"/>
      <c r="E1686" s="23">
        <v>0</v>
      </c>
      <c r="F1686" s="24" t="s">
        <v>125</v>
      </c>
    </row>
    <row r="1687" spans="1:6" ht="16" customHeight="1" x14ac:dyDescent="0.45">
      <c r="A1687" s="19" t="s">
        <v>3491</v>
      </c>
      <c r="B1687" s="20" t="s">
        <v>3492</v>
      </c>
      <c r="C1687" s="21">
        <v>18100</v>
      </c>
      <c r="D1687" s="22"/>
      <c r="E1687" s="23">
        <v>-3.9800000190734861E-2</v>
      </c>
      <c r="F1687" s="24" t="s">
        <v>125</v>
      </c>
    </row>
    <row r="1688" spans="1:6" ht="16" customHeight="1" x14ac:dyDescent="0.45">
      <c r="A1688" s="19" t="s">
        <v>3493</v>
      </c>
      <c r="B1688" s="20" t="s">
        <v>3494</v>
      </c>
      <c r="C1688" s="21">
        <v>2500</v>
      </c>
      <c r="D1688" s="22"/>
      <c r="E1688" s="23">
        <v>-0.13340000152587889</v>
      </c>
      <c r="F1688" s="24" t="s">
        <v>251</v>
      </c>
    </row>
    <row r="1689" spans="1:6" ht="16" customHeight="1" x14ac:dyDescent="0.45">
      <c r="A1689" s="19" t="s">
        <v>3495</v>
      </c>
      <c r="B1689" s="20" t="s">
        <v>3496</v>
      </c>
      <c r="C1689" s="21">
        <v>3540</v>
      </c>
      <c r="D1689" s="22"/>
      <c r="E1689" s="23">
        <v>1.7200000286102291E-2</v>
      </c>
      <c r="F1689" s="24" t="s">
        <v>125</v>
      </c>
    </row>
    <row r="1690" spans="1:6" ht="16" customHeight="1" x14ac:dyDescent="0.45">
      <c r="A1690" s="19" t="s">
        <v>3497</v>
      </c>
      <c r="B1690" s="20" t="s">
        <v>3498</v>
      </c>
      <c r="C1690" s="21">
        <v>5640</v>
      </c>
      <c r="D1690" s="22"/>
      <c r="E1690" s="23">
        <v>0</v>
      </c>
      <c r="F1690" s="24" t="s">
        <v>125</v>
      </c>
    </row>
    <row r="1691" spans="1:6" ht="16" customHeight="1" x14ac:dyDescent="0.45">
      <c r="A1691" s="19" t="s">
        <v>3499</v>
      </c>
      <c r="B1691" s="20" t="s">
        <v>3500</v>
      </c>
      <c r="C1691" s="21">
        <v>2100</v>
      </c>
      <c r="D1691" s="22"/>
      <c r="E1691" s="23">
        <v>0</v>
      </c>
      <c r="F1691" s="24" t="s">
        <v>125</v>
      </c>
    </row>
    <row r="1692" spans="1:6" ht="16" customHeight="1" x14ac:dyDescent="0.45">
      <c r="A1692" s="19" t="s">
        <v>3501</v>
      </c>
      <c r="B1692" s="20" t="s">
        <v>3502</v>
      </c>
      <c r="C1692" s="21">
        <v>2040</v>
      </c>
      <c r="D1692" s="22"/>
      <c r="E1692" s="23">
        <v>0</v>
      </c>
      <c r="F1692" s="24" t="s">
        <v>125</v>
      </c>
    </row>
    <row r="1693" spans="1:6" ht="16" customHeight="1" x14ac:dyDescent="0.45">
      <c r="A1693" s="19" t="s">
        <v>3503</v>
      </c>
      <c r="B1693" s="20" t="s">
        <v>3504</v>
      </c>
      <c r="C1693" s="21">
        <v>2000</v>
      </c>
      <c r="D1693" s="22"/>
      <c r="E1693" s="23">
        <v>5.0000000745058064E-4</v>
      </c>
      <c r="F1693" s="24" t="s">
        <v>125</v>
      </c>
    </row>
    <row r="1694" spans="1:6" ht="16" customHeight="1" x14ac:dyDescent="0.45">
      <c r="A1694" s="19" t="s">
        <v>3505</v>
      </c>
      <c r="B1694" s="20" t="s">
        <v>3506</v>
      </c>
      <c r="C1694" s="21">
        <v>7070</v>
      </c>
      <c r="D1694" s="22"/>
      <c r="E1694" s="23">
        <v>-4.8499999046325681E-2</v>
      </c>
      <c r="F1694" s="24" t="s">
        <v>125</v>
      </c>
    </row>
    <row r="1695" spans="1:6" ht="16" customHeight="1" x14ac:dyDescent="0.45">
      <c r="A1695" s="19" t="s">
        <v>3507</v>
      </c>
      <c r="B1695" s="20" t="s">
        <v>3508</v>
      </c>
      <c r="C1695" s="21">
        <v>1148</v>
      </c>
      <c r="D1695" s="22"/>
      <c r="E1695" s="23">
        <v>-1.8799999952316279E-2</v>
      </c>
      <c r="F1695" s="24" t="s">
        <v>125</v>
      </c>
    </row>
    <row r="1696" spans="1:6" ht="16" customHeight="1" x14ac:dyDescent="0.45">
      <c r="A1696" s="19" t="s">
        <v>3509</v>
      </c>
      <c r="B1696" s="20" t="s">
        <v>3510</v>
      </c>
      <c r="C1696" s="21">
        <v>29200</v>
      </c>
      <c r="D1696" s="22"/>
      <c r="E1696" s="23">
        <v>-3.3099999427795408E-2</v>
      </c>
      <c r="F1696" s="24" t="s">
        <v>125</v>
      </c>
    </row>
    <row r="1697" spans="1:6" ht="16" customHeight="1" x14ac:dyDescent="0.45">
      <c r="A1697" s="19" t="s">
        <v>3511</v>
      </c>
      <c r="B1697" s="20" t="s">
        <v>3512</v>
      </c>
      <c r="C1697" s="21">
        <v>6520</v>
      </c>
      <c r="D1697" s="22"/>
      <c r="E1697" s="23">
        <v>0.15189999580383301</v>
      </c>
      <c r="F1697" s="24" t="s">
        <v>125</v>
      </c>
    </row>
    <row r="1698" spans="1:6" ht="16" customHeight="1" x14ac:dyDescent="0.45">
      <c r="A1698" s="19" t="s">
        <v>3513</v>
      </c>
      <c r="B1698" s="20" t="s">
        <v>3514</v>
      </c>
      <c r="C1698" s="21">
        <v>703</v>
      </c>
      <c r="D1698" s="22"/>
      <c r="E1698" s="23">
        <v>0</v>
      </c>
      <c r="F1698" s="24" t="s">
        <v>251</v>
      </c>
    </row>
    <row r="1699" spans="1:6" ht="16" customHeight="1" x14ac:dyDescent="0.45">
      <c r="A1699" s="19" t="s">
        <v>3515</v>
      </c>
      <c r="B1699" s="20" t="s">
        <v>3516</v>
      </c>
      <c r="C1699" s="21">
        <v>990</v>
      </c>
      <c r="D1699" s="22"/>
      <c r="E1699" s="23">
        <v>0</v>
      </c>
      <c r="F1699" s="24" t="s">
        <v>125</v>
      </c>
    </row>
    <row r="1700" spans="1:6" ht="16" customHeight="1" x14ac:dyDescent="0.45">
      <c r="A1700" s="19" t="s">
        <v>3517</v>
      </c>
      <c r="B1700" s="20" t="s">
        <v>3518</v>
      </c>
      <c r="C1700" s="21">
        <v>1169</v>
      </c>
      <c r="D1700" s="22"/>
      <c r="E1700" s="23">
        <v>0</v>
      </c>
      <c r="F1700" s="24" t="s">
        <v>128</v>
      </c>
    </row>
    <row r="1701" spans="1:6" ht="16" customHeight="1" x14ac:dyDescent="0.45">
      <c r="A1701" s="19" t="s">
        <v>3519</v>
      </c>
      <c r="B1701" s="20" t="s">
        <v>3520</v>
      </c>
      <c r="C1701" s="21">
        <v>3670</v>
      </c>
      <c r="D1701" s="22"/>
      <c r="E1701" s="23">
        <v>0</v>
      </c>
      <c r="F1701" s="24" t="s">
        <v>125</v>
      </c>
    </row>
    <row r="1702" spans="1:6" ht="16" customHeight="1" x14ac:dyDescent="0.45">
      <c r="A1702" s="19" t="s">
        <v>3521</v>
      </c>
      <c r="B1702" s="20" t="s">
        <v>3522</v>
      </c>
      <c r="C1702" s="21">
        <v>43650</v>
      </c>
      <c r="D1702" s="22"/>
      <c r="E1702" s="23">
        <v>-3.3199999332427982E-2</v>
      </c>
      <c r="F1702" s="24" t="s">
        <v>125</v>
      </c>
    </row>
    <row r="1703" spans="1:6" ht="16" customHeight="1" x14ac:dyDescent="0.45">
      <c r="A1703" s="19" t="s">
        <v>3523</v>
      </c>
      <c r="B1703" s="20" t="s">
        <v>3524</v>
      </c>
      <c r="C1703" s="21">
        <v>4820</v>
      </c>
      <c r="D1703" s="22"/>
      <c r="E1703" s="23">
        <v>-3.2100000381469727E-2</v>
      </c>
      <c r="F1703" s="24" t="s">
        <v>125</v>
      </c>
    </row>
    <row r="1704" spans="1:6" ht="16" customHeight="1" x14ac:dyDescent="0.45">
      <c r="A1704" s="19" t="s">
        <v>3525</v>
      </c>
      <c r="B1704" s="20" t="s">
        <v>3526</v>
      </c>
      <c r="C1704" s="21">
        <v>503</v>
      </c>
      <c r="D1704" s="22"/>
      <c r="E1704" s="23">
        <v>0</v>
      </c>
      <c r="F1704" s="24" t="s">
        <v>125</v>
      </c>
    </row>
    <row r="1705" spans="1:6" ht="16" customHeight="1" x14ac:dyDescent="0.45">
      <c r="A1705" s="19" t="s">
        <v>3527</v>
      </c>
      <c r="B1705" s="20" t="s">
        <v>3528</v>
      </c>
      <c r="C1705" s="21">
        <v>780</v>
      </c>
      <c r="D1705" s="22"/>
      <c r="E1705" s="23">
        <v>-3.7000000476837158E-2</v>
      </c>
      <c r="F1705" s="24" t="s">
        <v>125</v>
      </c>
    </row>
    <row r="1706" spans="1:6" ht="16" customHeight="1" x14ac:dyDescent="0.45">
      <c r="A1706" s="19" t="s">
        <v>3529</v>
      </c>
      <c r="B1706" s="20" t="s">
        <v>3530</v>
      </c>
      <c r="C1706" s="21">
        <v>1163</v>
      </c>
      <c r="D1706" s="22"/>
      <c r="E1706" s="23">
        <v>-4.3000000715255737E-3</v>
      </c>
      <c r="F1706" s="24" t="s">
        <v>125</v>
      </c>
    </row>
    <row r="1707" spans="1:6" ht="16" customHeight="1" x14ac:dyDescent="0.45">
      <c r="A1707" s="19" t="s">
        <v>3531</v>
      </c>
      <c r="B1707" s="20" t="s">
        <v>3532</v>
      </c>
      <c r="C1707" s="21">
        <v>2395</v>
      </c>
      <c r="D1707" s="22"/>
      <c r="E1707" s="23">
        <v>-1.0299999713897711E-2</v>
      </c>
      <c r="F1707" s="24" t="s">
        <v>125</v>
      </c>
    </row>
    <row r="1708" spans="1:6" ht="16" customHeight="1" x14ac:dyDescent="0.45">
      <c r="A1708" s="19" t="s">
        <v>3533</v>
      </c>
      <c r="B1708" s="20" t="s">
        <v>3534</v>
      </c>
      <c r="C1708" s="21">
        <v>470</v>
      </c>
      <c r="D1708" s="22"/>
      <c r="E1708" s="23">
        <v>0.1435999965667725</v>
      </c>
      <c r="F1708" s="24" t="s">
        <v>251</v>
      </c>
    </row>
    <row r="1709" spans="1:6" ht="16" customHeight="1" x14ac:dyDescent="0.45">
      <c r="A1709" s="19" t="s">
        <v>3535</v>
      </c>
      <c r="B1709" s="20" t="s">
        <v>3536</v>
      </c>
      <c r="C1709" s="21">
        <v>1710</v>
      </c>
      <c r="D1709" s="22"/>
      <c r="E1709" s="23">
        <v>8.7999999523162842E-3</v>
      </c>
      <c r="F1709" s="24" t="s">
        <v>128</v>
      </c>
    </row>
    <row r="1710" spans="1:6" ht="16" customHeight="1" x14ac:dyDescent="0.45">
      <c r="A1710" s="19" t="s">
        <v>3537</v>
      </c>
      <c r="B1710" s="20" t="s">
        <v>3538</v>
      </c>
      <c r="C1710" s="21">
        <v>62400</v>
      </c>
      <c r="D1710" s="22"/>
      <c r="E1710" s="23">
        <v>-6.3999998569488521E-3</v>
      </c>
      <c r="F1710" s="24" t="s">
        <v>125</v>
      </c>
    </row>
    <row r="1711" spans="1:6" ht="16" customHeight="1" x14ac:dyDescent="0.45">
      <c r="A1711" s="19" t="s">
        <v>3539</v>
      </c>
      <c r="B1711" s="20" t="s">
        <v>3540</v>
      </c>
      <c r="C1711" s="21">
        <v>211500</v>
      </c>
      <c r="D1711" s="22"/>
      <c r="E1711" s="23">
        <v>-6.9999998807907101E-3</v>
      </c>
      <c r="F1711" s="24" t="s">
        <v>128</v>
      </c>
    </row>
    <row r="1712" spans="1:6" ht="16" customHeight="1" x14ac:dyDescent="0.45">
      <c r="A1712" s="19" t="s">
        <v>3541</v>
      </c>
      <c r="B1712" s="20" t="s">
        <v>3542</v>
      </c>
      <c r="C1712" s="21">
        <v>6680</v>
      </c>
      <c r="D1712" s="22"/>
      <c r="E1712" s="23">
        <v>-4.0199999809265127E-2</v>
      </c>
      <c r="F1712" s="24" t="s">
        <v>125</v>
      </c>
    </row>
    <row r="1713" spans="1:6" ht="16" customHeight="1" x14ac:dyDescent="0.45">
      <c r="A1713" s="19" t="s">
        <v>3543</v>
      </c>
      <c r="B1713" s="20" t="s">
        <v>3544</v>
      </c>
      <c r="C1713" s="21">
        <v>2010</v>
      </c>
      <c r="D1713" s="22"/>
      <c r="E1713" s="23">
        <v>5.0000000000000001E-3</v>
      </c>
      <c r="F1713" s="24" t="s">
        <v>125</v>
      </c>
    </row>
    <row r="1714" spans="1:6" ht="16" customHeight="1" x14ac:dyDescent="0.45">
      <c r="A1714" s="19" t="s">
        <v>3545</v>
      </c>
      <c r="B1714" s="20" t="s">
        <v>3546</v>
      </c>
      <c r="C1714" s="21">
        <v>3530</v>
      </c>
      <c r="D1714" s="22"/>
      <c r="E1714" s="23">
        <v>0</v>
      </c>
      <c r="F1714" s="24" t="s">
        <v>251</v>
      </c>
    </row>
    <row r="1715" spans="1:6" ht="16" customHeight="1" x14ac:dyDescent="0.45">
      <c r="A1715" s="19" t="s">
        <v>3547</v>
      </c>
      <c r="B1715" s="20" t="s">
        <v>3548</v>
      </c>
      <c r="C1715" s="21">
        <v>5850</v>
      </c>
      <c r="D1715" s="22"/>
      <c r="E1715" s="23">
        <v>-3.4000000357627871E-3</v>
      </c>
      <c r="F1715" s="24" t="s">
        <v>125</v>
      </c>
    </row>
    <row r="1716" spans="1:6" ht="16" customHeight="1" x14ac:dyDescent="0.45">
      <c r="A1716" s="19" t="s">
        <v>3549</v>
      </c>
      <c r="B1716" s="20" t="s">
        <v>3550</v>
      </c>
      <c r="C1716" s="21">
        <v>16300</v>
      </c>
      <c r="D1716" s="22"/>
      <c r="E1716" s="23">
        <v>1.2400000095367431E-2</v>
      </c>
      <c r="F1716" s="24" t="s">
        <v>125</v>
      </c>
    </row>
    <row r="1717" spans="1:6" ht="16" customHeight="1" x14ac:dyDescent="0.45">
      <c r="A1717" s="19" t="s">
        <v>3551</v>
      </c>
      <c r="B1717" s="20" t="s">
        <v>3552</v>
      </c>
      <c r="C1717" s="21">
        <v>709</v>
      </c>
      <c r="D1717" s="22"/>
      <c r="E1717" s="23">
        <v>0</v>
      </c>
      <c r="F1717" s="24" t="s">
        <v>125</v>
      </c>
    </row>
    <row r="1718" spans="1:6" ht="16" customHeight="1" x14ac:dyDescent="0.45">
      <c r="A1718" s="19" t="s">
        <v>3553</v>
      </c>
      <c r="B1718" s="20" t="s">
        <v>3554</v>
      </c>
      <c r="C1718" s="21">
        <v>36450</v>
      </c>
      <c r="D1718" s="22"/>
      <c r="E1718" s="23">
        <v>3.7000000476837158E-2</v>
      </c>
      <c r="F1718" s="24" t="s">
        <v>125</v>
      </c>
    </row>
    <row r="1719" spans="1:6" ht="16" customHeight="1" x14ac:dyDescent="0.45">
      <c r="A1719" s="19" t="s">
        <v>3555</v>
      </c>
      <c r="B1719" s="20" t="s">
        <v>3556</v>
      </c>
      <c r="C1719" s="21">
        <v>49250</v>
      </c>
      <c r="D1719" s="22"/>
      <c r="E1719" s="23">
        <v>2.9300000667572022E-2</v>
      </c>
      <c r="F1719" s="24" t="s">
        <v>125</v>
      </c>
    </row>
    <row r="1720" spans="1:6" ht="16" customHeight="1" x14ac:dyDescent="0.45">
      <c r="A1720" s="19" t="s">
        <v>3557</v>
      </c>
      <c r="B1720" s="20" t="s">
        <v>3558</v>
      </c>
      <c r="C1720" s="21">
        <v>5190</v>
      </c>
      <c r="D1720" s="22"/>
      <c r="E1720" s="23">
        <v>-1.139999985694885E-2</v>
      </c>
      <c r="F1720" s="24" t="s">
        <v>125</v>
      </c>
    </row>
    <row r="1721" spans="1:6" ht="16" customHeight="1" x14ac:dyDescent="0.45">
      <c r="A1721" s="19" t="s">
        <v>3559</v>
      </c>
      <c r="B1721" s="20" t="s">
        <v>3560</v>
      </c>
      <c r="C1721" s="21">
        <v>27900</v>
      </c>
      <c r="D1721" s="22"/>
      <c r="E1721" s="23">
        <v>-4.6199998855590819E-2</v>
      </c>
      <c r="F1721" s="24" t="s">
        <v>125</v>
      </c>
    </row>
    <row r="1722" spans="1:6" ht="16" customHeight="1" x14ac:dyDescent="0.45">
      <c r="A1722" s="19" t="s">
        <v>3561</v>
      </c>
      <c r="B1722" s="20" t="s">
        <v>3562</v>
      </c>
      <c r="C1722" s="21">
        <v>27250</v>
      </c>
      <c r="D1722" s="22"/>
      <c r="E1722" s="23">
        <v>-1.980000019073486E-2</v>
      </c>
      <c r="F1722" s="24" t="s">
        <v>125</v>
      </c>
    </row>
    <row r="1723" spans="1:6" ht="16" customHeight="1" x14ac:dyDescent="0.45">
      <c r="A1723" s="19" t="s">
        <v>3563</v>
      </c>
      <c r="B1723" s="20" t="s">
        <v>3564</v>
      </c>
      <c r="C1723" s="21">
        <v>2140</v>
      </c>
      <c r="D1723" s="22"/>
      <c r="E1723" s="23">
        <v>-1.8300000429153439E-2</v>
      </c>
      <c r="F1723" s="24" t="s">
        <v>125</v>
      </c>
    </row>
    <row r="1724" spans="1:6" ht="16" customHeight="1" x14ac:dyDescent="0.45">
      <c r="A1724" s="19" t="s">
        <v>3565</v>
      </c>
      <c r="B1724" s="20" t="s">
        <v>3566</v>
      </c>
      <c r="C1724" s="21">
        <v>22950</v>
      </c>
      <c r="D1724" s="22"/>
      <c r="E1724" s="23">
        <v>-2.5499999523162838E-2</v>
      </c>
      <c r="F1724" s="24" t="s">
        <v>128</v>
      </c>
    </row>
    <row r="1725" spans="1:6" ht="16" customHeight="1" x14ac:dyDescent="0.45">
      <c r="A1725" s="19" t="s">
        <v>3567</v>
      </c>
      <c r="B1725" s="20" t="s">
        <v>3568</v>
      </c>
      <c r="C1725" s="21">
        <v>2990</v>
      </c>
      <c r="D1725" s="22"/>
      <c r="E1725" s="23">
        <v>-4.0100002288818361E-2</v>
      </c>
      <c r="F1725" s="24" t="s">
        <v>125</v>
      </c>
    </row>
    <row r="1726" spans="1:6" ht="16" customHeight="1" x14ac:dyDescent="0.45">
      <c r="A1726" s="19" t="s">
        <v>3569</v>
      </c>
      <c r="B1726" s="20" t="s">
        <v>3570</v>
      </c>
      <c r="C1726" s="21">
        <v>6400</v>
      </c>
      <c r="D1726" s="22"/>
      <c r="E1726" s="23">
        <v>-2.740000009536743E-2</v>
      </c>
      <c r="F1726" s="24" t="s">
        <v>125</v>
      </c>
    </row>
    <row r="1727" spans="1:6" ht="16" customHeight="1" x14ac:dyDescent="0.45">
      <c r="A1727" s="19" t="s">
        <v>3571</v>
      </c>
      <c r="B1727" s="20" t="s">
        <v>3572</v>
      </c>
      <c r="C1727" s="21">
        <v>112300</v>
      </c>
      <c r="D1727" s="22"/>
      <c r="E1727" s="23">
        <v>-1.919999957084656E-2</v>
      </c>
      <c r="F1727" s="24" t="s">
        <v>128</v>
      </c>
    </row>
    <row r="1728" spans="1:6" ht="16" customHeight="1" x14ac:dyDescent="0.45">
      <c r="A1728" s="19" t="s">
        <v>3573</v>
      </c>
      <c r="B1728" s="20" t="s">
        <v>3574</v>
      </c>
      <c r="C1728" s="21">
        <v>7200</v>
      </c>
      <c r="D1728" s="22"/>
      <c r="E1728" s="23">
        <v>-2.309999942779541E-2</v>
      </c>
      <c r="F1728" s="24" t="s">
        <v>125</v>
      </c>
    </row>
    <row r="1729" spans="1:6" ht="16" customHeight="1" x14ac:dyDescent="0.45">
      <c r="A1729" s="19" t="s">
        <v>3575</v>
      </c>
      <c r="B1729" s="20" t="s">
        <v>3576</v>
      </c>
      <c r="C1729" s="21">
        <v>2390</v>
      </c>
      <c r="D1729" s="22"/>
      <c r="E1729" s="23">
        <v>-1.8500000238418579E-2</v>
      </c>
      <c r="F1729" s="24" t="s">
        <v>125</v>
      </c>
    </row>
    <row r="1730" spans="1:6" ht="16" customHeight="1" x14ac:dyDescent="0.45">
      <c r="A1730" s="19" t="s">
        <v>3577</v>
      </c>
      <c r="B1730" s="20" t="s">
        <v>3578</v>
      </c>
      <c r="C1730" s="21">
        <v>3655</v>
      </c>
      <c r="D1730" s="22"/>
      <c r="E1730" s="23">
        <v>1.2500000000000001E-2</v>
      </c>
      <c r="F1730" s="24" t="s">
        <v>125</v>
      </c>
    </row>
    <row r="1731" spans="1:6" ht="16" customHeight="1" x14ac:dyDescent="0.45">
      <c r="A1731" s="19" t="s">
        <v>3579</v>
      </c>
      <c r="B1731" s="20" t="s">
        <v>3580</v>
      </c>
      <c r="C1731" s="21">
        <v>5160</v>
      </c>
      <c r="D1731" s="22"/>
      <c r="E1731" s="23">
        <v>-1.899999976158142E-2</v>
      </c>
      <c r="F1731" s="24" t="s">
        <v>125</v>
      </c>
    </row>
    <row r="1732" spans="1:6" ht="16" customHeight="1" x14ac:dyDescent="0.45">
      <c r="A1732" s="19" t="s">
        <v>3581</v>
      </c>
      <c r="B1732" s="20" t="s">
        <v>3582</v>
      </c>
      <c r="C1732" s="21">
        <v>6080</v>
      </c>
      <c r="D1732" s="22"/>
      <c r="E1732" s="23">
        <v>-1.139999985694885E-2</v>
      </c>
      <c r="F1732" s="24" t="s">
        <v>125</v>
      </c>
    </row>
    <row r="1733" spans="1:6" ht="16" customHeight="1" x14ac:dyDescent="0.45">
      <c r="A1733" s="19" t="s">
        <v>3583</v>
      </c>
      <c r="B1733" s="20" t="s">
        <v>3584</v>
      </c>
      <c r="C1733" s="21">
        <v>9440</v>
      </c>
      <c r="D1733" s="22"/>
      <c r="E1733" s="23">
        <v>2.1600000858306889E-2</v>
      </c>
      <c r="F1733" s="24" t="s">
        <v>125</v>
      </c>
    </row>
    <row r="1734" spans="1:6" ht="16" customHeight="1" x14ac:dyDescent="0.45">
      <c r="A1734" s="19" t="s">
        <v>3585</v>
      </c>
      <c r="B1734" s="20" t="s">
        <v>3586</v>
      </c>
      <c r="C1734" s="21">
        <v>887</v>
      </c>
      <c r="D1734" s="22"/>
      <c r="E1734" s="23">
        <v>0</v>
      </c>
      <c r="F1734" s="24" t="s">
        <v>125</v>
      </c>
    </row>
    <row r="1735" spans="1:6" ht="16" customHeight="1" x14ac:dyDescent="0.45">
      <c r="A1735" s="19" t="s">
        <v>3587</v>
      </c>
      <c r="B1735" s="20" t="s">
        <v>3588</v>
      </c>
      <c r="C1735" s="21">
        <v>27200</v>
      </c>
      <c r="D1735" s="22"/>
      <c r="E1735" s="23">
        <v>-1.0900000333786009E-2</v>
      </c>
      <c r="F1735" s="24" t="s">
        <v>125</v>
      </c>
    </row>
    <row r="1736" spans="1:6" ht="16" customHeight="1" x14ac:dyDescent="0.45">
      <c r="A1736" s="19" t="s">
        <v>3589</v>
      </c>
      <c r="B1736" s="20" t="s">
        <v>3590</v>
      </c>
      <c r="C1736" s="21">
        <v>1709</v>
      </c>
      <c r="D1736" s="22"/>
      <c r="E1736" s="23">
        <v>-2.5099999904632572E-2</v>
      </c>
      <c r="F1736" s="24" t="s">
        <v>125</v>
      </c>
    </row>
    <row r="1737" spans="1:6" ht="16" customHeight="1" x14ac:dyDescent="0.45">
      <c r="A1737" s="19" t="s">
        <v>3591</v>
      </c>
      <c r="B1737" s="20" t="s">
        <v>3592</v>
      </c>
      <c r="C1737" s="21">
        <v>17810</v>
      </c>
      <c r="D1737" s="22"/>
      <c r="E1737" s="23">
        <v>-1.379999995231628E-2</v>
      </c>
      <c r="F1737" s="24" t="s">
        <v>125</v>
      </c>
    </row>
    <row r="1738" spans="1:6" ht="16" customHeight="1" x14ac:dyDescent="0.45">
      <c r="A1738" s="19" t="s">
        <v>3593</v>
      </c>
      <c r="B1738" s="20" t="s">
        <v>3594</v>
      </c>
      <c r="C1738" s="21">
        <v>1288</v>
      </c>
      <c r="D1738" s="22"/>
      <c r="E1738" s="23">
        <v>-1.8300000429153439E-2</v>
      </c>
      <c r="F1738" s="24" t="s">
        <v>125</v>
      </c>
    </row>
    <row r="1739" spans="1:6" ht="16" customHeight="1" x14ac:dyDescent="0.45">
      <c r="A1739" s="19" t="s">
        <v>3595</v>
      </c>
      <c r="B1739" s="20" t="s">
        <v>3596</v>
      </c>
      <c r="C1739" s="21">
        <v>6200</v>
      </c>
      <c r="D1739" s="22"/>
      <c r="E1739" s="23">
        <v>-3.880000114440918E-2</v>
      </c>
      <c r="F1739" s="24" t="s">
        <v>125</v>
      </c>
    </row>
    <row r="1740" spans="1:6" ht="16" customHeight="1" x14ac:dyDescent="0.45">
      <c r="A1740" s="19" t="s">
        <v>3597</v>
      </c>
      <c r="B1740" s="20" t="s">
        <v>3598</v>
      </c>
      <c r="C1740" s="21">
        <v>4715</v>
      </c>
      <c r="D1740" s="22"/>
      <c r="E1740" s="23">
        <v>-1.6699999570846561E-2</v>
      </c>
      <c r="F1740" s="24" t="s">
        <v>128</v>
      </c>
    </row>
    <row r="1741" spans="1:6" ht="16" customHeight="1" x14ac:dyDescent="0.45">
      <c r="A1741" s="19" t="s">
        <v>3599</v>
      </c>
      <c r="B1741" s="20" t="s">
        <v>3600</v>
      </c>
      <c r="C1741" s="21">
        <v>1379</v>
      </c>
      <c r="D1741" s="22"/>
      <c r="E1741" s="23">
        <v>-1.4999999999999999E-2</v>
      </c>
      <c r="F1741" s="24" t="s">
        <v>125</v>
      </c>
    </row>
    <row r="1742" spans="1:6" ht="16" customHeight="1" x14ac:dyDescent="0.45">
      <c r="A1742" s="19" t="s">
        <v>3601</v>
      </c>
      <c r="B1742" s="20" t="s">
        <v>3602</v>
      </c>
      <c r="C1742" s="21">
        <v>82100</v>
      </c>
      <c r="D1742" s="22"/>
      <c r="E1742" s="23">
        <v>-3.9800000190734861E-2</v>
      </c>
      <c r="F1742" s="24" t="s">
        <v>128</v>
      </c>
    </row>
    <row r="1743" spans="1:6" ht="16" customHeight="1" x14ac:dyDescent="0.45">
      <c r="A1743" s="19" t="s">
        <v>3603</v>
      </c>
      <c r="B1743" s="20" t="s">
        <v>3604</v>
      </c>
      <c r="C1743" s="21">
        <v>205500</v>
      </c>
      <c r="D1743" s="22"/>
      <c r="E1743" s="23">
        <v>-2.8399999141693111E-2</v>
      </c>
      <c r="F1743" s="24" t="s">
        <v>128</v>
      </c>
    </row>
    <row r="1744" spans="1:6" ht="16" customHeight="1" x14ac:dyDescent="0.45">
      <c r="A1744" s="19" t="s">
        <v>3605</v>
      </c>
      <c r="B1744" s="20" t="s">
        <v>3606</v>
      </c>
      <c r="C1744" s="21">
        <v>1710</v>
      </c>
      <c r="D1744" s="22"/>
      <c r="E1744" s="23">
        <v>-2.339999914169312E-2</v>
      </c>
      <c r="F1744" s="24" t="s">
        <v>128</v>
      </c>
    </row>
    <row r="1745" spans="1:6" ht="16" customHeight="1" x14ac:dyDescent="0.45">
      <c r="A1745" s="19" t="s">
        <v>3607</v>
      </c>
      <c r="B1745" s="20" t="s">
        <v>3608</v>
      </c>
      <c r="C1745" s="21">
        <v>69200</v>
      </c>
      <c r="D1745" s="22"/>
      <c r="E1745" s="23">
        <v>2.5199999809265142E-2</v>
      </c>
      <c r="F1745" s="24" t="s">
        <v>128</v>
      </c>
    </row>
    <row r="1746" spans="1:6" ht="16" customHeight="1" x14ac:dyDescent="0.45">
      <c r="A1746" s="19" t="s">
        <v>3609</v>
      </c>
      <c r="B1746" s="20" t="s">
        <v>3610</v>
      </c>
      <c r="C1746" s="21">
        <v>1057</v>
      </c>
      <c r="D1746" s="22"/>
      <c r="E1746" s="23">
        <v>-2.6700000762939449E-2</v>
      </c>
      <c r="F1746" s="24" t="s">
        <v>128</v>
      </c>
    </row>
    <row r="1747" spans="1:6" ht="16" customHeight="1" x14ac:dyDescent="0.45">
      <c r="A1747" s="19" t="s">
        <v>3611</v>
      </c>
      <c r="B1747" s="20" t="s">
        <v>3612</v>
      </c>
      <c r="C1747" s="21">
        <v>10320</v>
      </c>
      <c r="D1747" s="22"/>
      <c r="E1747" s="23">
        <v>-3.1900000572204587E-2</v>
      </c>
      <c r="F1747" s="24" t="s">
        <v>125</v>
      </c>
    </row>
    <row r="1748" spans="1:6" ht="16" customHeight="1" x14ac:dyDescent="0.45">
      <c r="A1748" s="19" t="s">
        <v>3613</v>
      </c>
      <c r="B1748" s="20" t="s">
        <v>3614</v>
      </c>
      <c r="C1748" s="21">
        <v>511</v>
      </c>
      <c r="D1748" s="22"/>
      <c r="E1748" s="23">
        <v>-2.4800000190734861E-2</v>
      </c>
      <c r="F1748" s="24" t="s">
        <v>128</v>
      </c>
    </row>
    <row r="1749" spans="1:6" ht="16" customHeight="1" x14ac:dyDescent="0.45">
      <c r="A1749" s="19" t="s">
        <v>3615</v>
      </c>
      <c r="B1749" s="20" t="s">
        <v>3616</v>
      </c>
      <c r="C1749" s="21">
        <v>3250</v>
      </c>
      <c r="D1749" s="22"/>
      <c r="E1749" s="23">
        <v>-6.1000001430511477E-3</v>
      </c>
      <c r="F1749" s="24" t="s">
        <v>125</v>
      </c>
    </row>
    <row r="1750" spans="1:6" ht="16" customHeight="1" x14ac:dyDescent="0.45">
      <c r="A1750" s="19" t="s">
        <v>3617</v>
      </c>
      <c r="B1750" s="20" t="s">
        <v>3618</v>
      </c>
      <c r="C1750" s="21">
        <v>467</v>
      </c>
      <c r="D1750" s="22"/>
      <c r="E1750" s="23">
        <v>-2.710000038146973E-2</v>
      </c>
      <c r="F1750" s="24" t="s">
        <v>125</v>
      </c>
    </row>
    <row r="1751" spans="1:6" ht="16" customHeight="1" x14ac:dyDescent="0.45">
      <c r="A1751" s="19" t="s">
        <v>3619</v>
      </c>
      <c r="B1751" s="20" t="s">
        <v>3620</v>
      </c>
      <c r="C1751" s="21">
        <v>3380</v>
      </c>
      <c r="D1751" s="22"/>
      <c r="E1751" s="23">
        <v>-1.8899999856948849E-2</v>
      </c>
      <c r="F1751" s="24" t="s">
        <v>125</v>
      </c>
    </row>
    <row r="1752" spans="1:6" ht="16" customHeight="1" x14ac:dyDescent="0.45">
      <c r="A1752" s="19" t="s">
        <v>3621</v>
      </c>
      <c r="B1752" s="20" t="s">
        <v>3622</v>
      </c>
      <c r="C1752" s="21">
        <v>27350</v>
      </c>
      <c r="D1752" s="22"/>
      <c r="E1752" s="23">
        <v>-1.4400000572204591E-2</v>
      </c>
      <c r="F1752" s="24" t="s">
        <v>125</v>
      </c>
    </row>
    <row r="1753" spans="1:6" ht="16" customHeight="1" x14ac:dyDescent="0.45">
      <c r="A1753" s="19" t="s">
        <v>3623</v>
      </c>
      <c r="B1753" s="20" t="s">
        <v>3624</v>
      </c>
      <c r="C1753" s="21">
        <v>21100</v>
      </c>
      <c r="D1753" s="22"/>
      <c r="E1753" s="23">
        <v>-4.0900001525878908E-2</v>
      </c>
      <c r="F1753" s="24" t="s">
        <v>125</v>
      </c>
    </row>
    <row r="1754" spans="1:6" ht="16" customHeight="1" x14ac:dyDescent="0.45">
      <c r="A1754" s="19" t="s">
        <v>3625</v>
      </c>
      <c r="B1754" s="20" t="s">
        <v>3626</v>
      </c>
      <c r="C1754" s="21">
        <v>176</v>
      </c>
      <c r="D1754" s="22"/>
      <c r="E1754" s="23">
        <v>-0.14149999618530271</v>
      </c>
      <c r="F1754" s="24" t="s">
        <v>125</v>
      </c>
    </row>
    <row r="1755" spans="1:6" ht="16" customHeight="1" x14ac:dyDescent="0.45">
      <c r="A1755" s="19" t="s">
        <v>3627</v>
      </c>
      <c r="B1755" s="20" t="s">
        <v>3628</v>
      </c>
      <c r="C1755" s="21">
        <v>635</v>
      </c>
      <c r="D1755" s="22"/>
      <c r="E1755" s="23">
        <v>0</v>
      </c>
      <c r="F1755" s="24" t="s">
        <v>251</v>
      </c>
    </row>
    <row r="1756" spans="1:6" ht="16" customHeight="1" x14ac:dyDescent="0.45">
      <c r="A1756" s="19" t="s">
        <v>3629</v>
      </c>
      <c r="B1756" s="20" t="s">
        <v>3630</v>
      </c>
      <c r="C1756" s="21">
        <v>2450</v>
      </c>
      <c r="D1756" s="22"/>
      <c r="E1756" s="23">
        <v>-2.390000104904175E-2</v>
      </c>
      <c r="F1756" s="24" t="s">
        <v>125</v>
      </c>
    </row>
    <row r="1757" spans="1:6" ht="16" customHeight="1" x14ac:dyDescent="0.45">
      <c r="A1757" s="19" t="s">
        <v>3631</v>
      </c>
      <c r="B1757" s="20" t="s">
        <v>3632</v>
      </c>
      <c r="C1757" s="21">
        <v>4950</v>
      </c>
      <c r="D1757" s="22"/>
      <c r="E1757" s="23">
        <v>-4.0700001716613768E-2</v>
      </c>
      <c r="F1757" s="24" t="s">
        <v>125</v>
      </c>
    </row>
    <row r="1758" spans="1:6" ht="16" customHeight="1" x14ac:dyDescent="0.45">
      <c r="A1758" s="19" t="s">
        <v>3633</v>
      </c>
      <c r="B1758" s="20" t="s">
        <v>3634</v>
      </c>
      <c r="C1758" s="21">
        <v>4425</v>
      </c>
      <c r="D1758" s="22"/>
      <c r="E1758" s="23">
        <v>1.370000004768371E-2</v>
      </c>
      <c r="F1758" s="24" t="s">
        <v>125</v>
      </c>
    </row>
    <row r="1759" spans="1:6" ht="16" customHeight="1" x14ac:dyDescent="0.45">
      <c r="A1759" s="19" t="s">
        <v>3635</v>
      </c>
      <c r="B1759" s="20" t="s">
        <v>3636</v>
      </c>
      <c r="C1759" s="21">
        <v>357500</v>
      </c>
      <c r="D1759" s="22"/>
      <c r="E1759" s="23">
        <v>-1.7899999618530268E-2</v>
      </c>
      <c r="F1759" s="24" t="s">
        <v>128</v>
      </c>
    </row>
    <row r="1760" spans="1:6" ht="16" customHeight="1" x14ac:dyDescent="0.45">
      <c r="A1760" s="19" t="s">
        <v>3637</v>
      </c>
      <c r="B1760" s="20" t="s">
        <v>3638</v>
      </c>
      <c r="C1760" s="21">
        <v>17050</v>
      </c>
      <c r="D1760" s="22"/>
      <c r="E1760" s="23">
        <v>-6.3200001716613774E-2</v>
      </c>
      <c r="F1760" s="24" t="s">
        <v>125</v>
      </c>
    </row>
    <row r="1761" spans="1:6" ht="16" customHeight="1" x14ac:dyDescent="0.45">
      <c r="A1761" s="19" t="s">
        <v>3639</v>
      </c>
      <c r="B1761" s="20" t="s">
        <v>3640</v>
      </c>
      <c r="C1761" s="21">
        <v>43950</v>
      </c>
      <c r="D1761" s="22"/>
      <c r="E1761" s="23">
        <v>-2.0099999904632571E-2</v>
      </c>
      <c r="F1761" s="24" t="s">
        <v>125</v>
      </c>
    </row>
    <row r="1762" spans="1:6" ht="16" customHeight="1" x14ac:dyDescent="0.45">
      <c r="A1762" s="19" t="s">
        <v>3641</v>
      </c>
      <c r="B1762" s="20" t="s">
        <v>3642</v>
      </c>
      <c r="C1762" s="21">
        <v>12370</v>
      </c>
      <c r="D1762" s="22"/>
      <c r="E1762" s="23">
        <v>4.0999999642372144E-3</v>
      </c>
      <c r="F1762" s="24" t="s">
        <v>125</v>
      </c>
    </row>
    <row r="1763" spans="1:6" ht="16" customHeight="1" x14ac:dyDescent="0.45">
      <c r="A1763" s="19" t="s">
        <v>3643</v>
      </c>
      <c r="B1763" s="20" t="s">
        <v>3644</v>
      </c>
      <c r="C1763" s="21">
        <v>88500</v>
      </c>
      <c r="D1763" s="22"/>
      <c r="E1763" s="23">
        <v>-5.7500000000000002E-2</v>
      </c>
      <c r="F1763" s="24" t="s">
        <v>125</v>
      </c>
    </row>
    <row r="1764" spans="1:6" ht="16" customHeight="1" x14ac:dyDescent="0.45">
      <c r="A1764" s="19" t="s">
        <v>3645</v>
      </c>
      <c r="B1764" s="20" t="s">
        <v>3646</v>
      </c>
      <c r="C1764" s="21">
        <v>7760</v>
      </c>
      <c r="D1764" s="22"/>
      <c r="E1764" s="23">
        <v>-2.5099999904632572E-2</v>
      </c>
      <c r="F1764" s="24" t="s">
        <v>125</v>
      </c>
    </row>
    <row r="1765" spans="1:6" ht="16" customHeight="1" x14ac:dyDescent="0.45">
      <c r="A1765" s="19" t="s">
        <v>3647</v>
      </c>
      <c r="B1765" s="20" t="s">
        <v>3648</v>
      </c>
      <c r="C1765" s="21">
        <v>520</v>
      </c>
      <c r="D1765" s="22"/>
      <c r="E1765" s="23">
        <v>-2.0699999332427981E-2</v>
      </c>
      <c r="F1765" s="24" t="s">
        <v>128</v>
      </c>
    </row>
    <row r="1766" spans="1:6" ht="16" customHeight="1" x14ac:dyDescent="0.45">
      <c r="A1766" s="19" t="s">
        <v>3649</v>
      </c>
      <c r="B1766" s="20" t="s">
        <v>3650</v>
      </c>
      <c r="C1766" s="21">
        <v>2000</v>
      </c>
      <c r="D1766" s="22"/>
      <c r="E1766" s="23">
        <v>-7.6199998855590825E-2</v>
      </c>
      <c r="F1766" s="24" t="s">
        <v>125</v>
      </c>
    </row>
    <row r="1767" spans="1:6" ht="16" customHeight="1" x14ac:dyDescent="0.45">
      <c r="A1767" s="19" t="s">
        <v>3651</v>
      </c>
      <c r="B1767" s="20" t="s">
        <v>3652</v>
      </c>
      <c r="C1767" s="21">
        <v>140300</v>
      </c>
      <c r="D1767" s="22"/>
      <c r="E1767" s="23">
        <v>-1.7500000000000002E-2</v>
      </c>
      <c r="F1767" s="24" t="s">
        <v>128</v>
      </c>
    </row>
    <row r="1768" spans="1:6" ht="16" customHeight="1" x14ac:dyDescent="0.45">
      <c r="A1768" s="19" t="s">
        <v>3653</v>
      </c>
      <c r="B1768" s="20" t="s">
        <v>3654</v>
      </c>
      <c r="C1768" s="21">
        <v>24500</v>
      </c>
      <c r="D1768" s="22"/>
      <c r="E1768" s="23">
        <v>-1.6100000143051151E-2</v>
      </c>
      <c r="F1768" s="24" t="s">
        <v>128</v>
      </c>
    </row>
    <row r="1769" spans="1:6" ht="16" customHeight="1" x14ac:dyDescent="0.45">
      <c r="A1769" s="19" t="s">
        <v>3655</v>
      </c>
      <c r="B1769" s="20" t="s">
        <v>3656</v>
      </c>
      <c r="C1769" s="21">
        <v>5930</v>
      </c>
      <c r="D1769" s="22"/>
      <c r="E1769" s="23">
        <v>-2.1500000953674311E-2</v>
      </c>
      <c r="F1769" s="24" t="s">
        <v>125</v>
      </c>
    </row>
    <row r="1770" spans="1:6" ht="16" customHeight="1" x14ac:dyDescent="0.45">
      <c r="A1770" s="19" t="s">
        <v>3657</v>
      </c>
      <c r="B1770" s="20" t="s">
        <v>3658</v>
      </c>
      <c r="C1770" s="21">
        <v>10510</v>
      </c>
      <c r="D1770" s="22"/>
      <c r="E1770" s="23">
        <v>-1.7799999713897709E-2</v>
      </c>
      <c r="F1770" s="24" t="s">
        <v>125</v>
      </c>
    </row>
    <row r="1771" spans="1:6" ht="16" customHeight="1" x14ac:dyDescent="0.45">
      <c r="A1771" s="19" t="s">
        <v>3659</v>
      </c>
      <c r="B1771" s="20" t="s">
        <v>3660</v>
      </c>
      <c r="C1771" s="21">
        <v>5480</v>
      </c>
      <c r="D1771" s="22"/>
      <c r="E1771" s="23">
        <v>-3.6000001430511481E-3</v>
      </c>
      <c r="F1771" s="24" t="s">
        <v>125</v>
      </c>
    </row>
    <row r="1772" spans="1:6" ht="16" customHeight="1" x14ac:dyDescent="0.45">
      <c r="A1772" s="19" t="s">
        <v>3661</v>
      </c>
      <c r="B1772" s="20" t="s">
        <v>3662</v>
      </c>
      <c r="C1772" s="21">
        <v>3190</v>
      </c>
      <c r="D1772" s="22"/>
      <c r="E1772" s="23">
        <v>-1.389999985694885E-2</v>
      </c>
      <c r="F1772" s="24" t="s">
        <v>125</v>
      </c>
    </row>
    <row r="1773" spans="1:6" ht="16" customHeight="1" x14ac:dyDescent="0.45">
      <c r="A1773" s="19" t="s">
        <v>3663</v>
      </c>
      <c r="B1773" s="20" t="s">
        <v>3664</v>
      </c>
      <c r="C1773" s="21">
        <v>8620</v>
      </c>
      <c r="D1773" s="22"/>
      <c r="E1773" s="23">
        <v>-3.1500000953674313E-2</v>
      </c>
      <c r="F1773" s="24" t="s">
        <v>125</v>
      </c>
    </row>
    <row r="1774" spans="1:6" ht="16" customHeight="1" x14ac:dyDescent="0.45">
      <c r="A1774" s="19" t="s">
        <v>3665</v>
      </c>
      <c r="B1774" s="20" t="s">
        <v>3666</v>
      </c>
      <c r="C1774" s="21">
        <v>1448</v>
      </c>
      <c r="D1774" s="22"/>
      <c r="E1774" s="23">
        <v>0</v>
      </c>
      <c r="F1774" s="24" t="s">
        <v>125</v>
      </c>
    </row>
    <row r="1775" spans="1:6" ht="16" customHeight="1" x14ac:dyDescent="0.45">
      <c r="A1775" s="19" t="s">
        <v>3667</v>
      </c>
      <c r="B1775" s="20" t="s">
        <v>3668</v>
      </c>
      <c r="C1775" s="21">
        <v>1541</v>
      </c>
      <c r="D1775" s="22"/>
      <c r="E1775" s="23">
        <v>0</v>
      </c>
      <c r="F1775" s="24" t="s">
        <v>251</v>
      </c>
    </row>
    <row r="1776" spans="1:6" ht="16" customHeight="1" x14ac:dyDescent="0.45">
      <c r="A1776" s="19" t="s">
        <v>3669</v>
      </c>
      <c r="B1776" s="20" t="s">
        <v>3670</v>
      </c>
      <c r="C1776" s="21">
        <v>1741</v>
      </c>
      <c r="D1776" s="22"/>
      <c r="E1776" s="23">
        <v>0</v>
      </c>
      <c r="F1776" s="24" t="s">
        <v>125</v>
      </c>
    </row>
    <row r="1777" spans="1:6" ht="16" customHeight="1" x14ac:dyDescent="0.45">
      <c r="A1777" s="19" t="s">
        <v>3671</v>
      </c>
      <c r="B1777" s="20" t="s">
        <v>3672</v>
      </c>
      <c r="C1777" s="21">
        <v>49250</v>
      </c>
      <c r="D1777" s="22"/>
      <c r="E1777" s="23">
        <v>-4.1799998283386229E-2</v>
      </c>
      <c r="F1777" s="24" t="s">
        <v>125</v>
      </c>
    </row>
    <row r="1778" spans="1:6" ht="16" customHeight="1" x14ac:dyDescent="0.45">
      <c r="A1778" s="19" t="s">
        <v>3673</v>
      </c>
      <c r="B1778" s="20" t="s">
        <v>3674</v>
      </c>
      <c r="C1778" s="21">
        <v>6550</v>
      </c>
      <c r="D1778" s="22"/>
      <c r="E1778" s="23">
        <v>-9.1000002622604378E-3</v>
      </c>
      <c r="F1778" s="24" t="s">
        <v>125</v>
      </c>
    </row>
    <row r="1779" spans="1:6" ht="16" customHeight="1" x14ac:dyDescent="0.45">
      <c r="A1779" s="19" t="s">
        <v>3675</v>
      </c>
      <c r="B1779" s="20" t="s">
        <v>3676</v>
      </c>
      <c r="C1779" s="21">
        <v>1015</v>
      </c>
      <c r="D1779" s="22"/>
      <c r="E1779" s="23">
        <v>-2.000000029802323E-3</v>
      </c>
      <c r="F1779" s="24" t="s">
        <v>125</v>
      </c>
    </row>
    <row r="1780" spans="1:6" ht="16" customHeight="1" x14ac:dyDescent="0.45">
      <c r="A1780" s="19" t="s">
        <v>3677</v>
      </c>
      <c r="B1780" s="20" t="s">
        <v>3678</v>
      </c>
      <c r="C1780" s="21">
        <v>6690</v>
      </c>
      <c r="D1780" s="22"/>
      <c r="E1780" s="23">
        <v>-1.909999966621399E-2</v>
      </c>
      <c r="F1780" s="24" t="s">
        <v>125</v>
      </c>
    </row>
    <row r="1781" spans="1:6" ht="16" customHeight="1" x14ac:dyDescent="0.45">
      <c r="A1781" s="19" t="s">
        <v>3679</v>
      </c>
      <c r="B1781" s="20" t="s">
        <v>3680</v>
      </c>
      <c r="C1781" s="21">
        <v>1925</v>
      </c>
      <c r="D1781" s="22"/>
      <c r="E1781" s="23">
        <v>0</v>
      </c>
      <c r="F1781" s="24" t="s">
        <v>125</v>
      </c>
    </row>
    <row r="1782" spans="1:6" ht="16" customHeight="1" x14ac:dyDescent="0.45">
      <c r="A1782" s="19" t="s">
        <v>3681</v>
      </c>
      <c r="B1782" s="20" t="s">
        <v>3682</v>
      </c>
      <c r="C1782" s="21">
        <v>43650</v>
      </c>
      <c r="D1782" s="22"/>
      <c r="E1782" s="23">
        <v>-3.109999895095825E-2</v>
      </c>
      <c r="F1782" s="24" t="s">
        <v>125</v>
      </c>
    </row>
    <row r="1783" spans="1:6" ht="16" customHeight="1" x14ac:dyDescent="0.45">
      <c r="A1783" s="19" t="s">
        <v>3683</v>
      </c>
      <c r="B1783" s="20" t="s">
        <v>3684</v>
      </c>
      <c r="C1783" s="21">
        <v>24050</v>
      </c>
      <c r="D1783" s="22"/>
      <c r="E1783" s="23">
        <v>2.1199998855590822E-2</v>
      </c>
      <c r="F1783" s="24" t="s">
        <v>125</v>
      </c>
    </row>
    <row r="1784" spans="1:6" ht="16" customHeight="1" x14ac:dyDescent="0.45">
      <c r="A1784" s="19" t="s">
        <v>3685</v>
      </c>
      <c r="B1784" s="20" t="s">
        <v>3686</v>
      </c>
      <c r="C1784" s="21">
        <v>2625</v>
      </c>
      <c r="D1784" s="22"/>
      <c r="E1784" s="23">
        <v>-1.899999976158142E-3</v>
      </c>
      <c r="F1784" s="24" t="s">
        <v>125</v>
      </c>
    </row>
    <row r="1785" spans="1:6" ht="16" customHeight="1" x14ac:dyDescent="0.45">
      <c r="A1785" s="19" t="s">
        <v>3687</v>
      </c>
      <c r="B1785" s="20" t="s">
        <v>3688</v>
      </c>
      <c r="C1785" s="21">
        <v>3005</v>
      </c>
      <c r="D1785" s="22"/>
      <c r="E1785" s="23">
        <v>1.700000017881394E-3</v>
      </c>
      <c r="F1785" s="24" t="s">
        <v>125</v>
      </c>
    </row>
    <row r="1786" spans="1:6" ht="16" customHeight="1" x14ac:dyDescent="0.45">
      <c r="A1786" s="19" t="s">
        <v>3689</v>
      </c>
      <c r="B1786" s="20" t="s">
        <v>3690</v>
      </c>
      <c r="C1786" s="21">
        <v>8040</v>
      </c>
      <c r="D1786" s="22"/>
      <c r="E1786" s="23">
        <v>-1.590000033378601E-2</v>
      </c>
      <c r="F1786" s="24" t="s">
        <v>125</v>
      </c>
    </row>
    <row r="1787" spans="1:6" ht="16" customHeight="1" x14ac:dyDescent="0.45">
      <c r="A1787" s="19" t="s">
        <v>3691</v>
      </c>
      <c r="B1787" s="20" t="s">
        <v>3692</v>
      </c>
      <c r="C1787" s="21">
        <v>4145</v>
      </c>
      <c r="D1787" s="22"/>
      <c r="E1787" s="23">
        <v>-3.7200000286102292E-2</v>
      </c>
      <c r="F1787" s="24" t="s">
        <v>125</v>
      </c>
    </row>
    <row r="1788" spans="1:6" ht="16" customHeight="1" x14ac:dyDescent="0.45">
      <c r="A1788" s="19" t="s">
        <v>3693</v>
      </c>
      <c r="B1788" s="20" t="s">
        <v>3694</v>
      </c>
      <c r="C1788" s="21">
        <v>3385</v>
      </c>
      <c r="D1788" s="22"/>
      <c r="E1788" s="23">
        <v>2.2699999809265139E-2</v>
      </c>
      <c r="F1788" s="24" t="s">
        <v>125</v>
      </c>
    </row>
    <row r="1789" spans="1:6" ht="16" customHeight="1" x14ac:dyDescent="0.45">
      <c r="A1789" s="19" t="s">
        <v>3695</v>
      </c>
      <c r="B1789" s="20" t="s">
        <v>3696</v>
      </c>
      <c r="C1789" s="21">
        <v>21250</v>
      </c>
      <c r="D1789" s="22"/>
      <c r="E1789" s="23">
        <v>-2.5199999809265142E-2</v>
      </c>
      <c r="F1789" s="24" t="s">
        <v>125</v>
      </c>
    </row>
    <row r="1790" spans="1:6" ht="16" customHeight="1" x14ac:dyDescent="0.45">
      <c r="A1790" s="19" t="s">
        <v>3697</v>
      </c>
      <c r="B1790" s="20" t="s">
        <v>3698</v>
      </c>
      <c r="C1790" s="21">
        <v>20150</v>
      </c>
      <c r="D1790" s="22"/>
      <c r="E1790" s="23">
        <v>-6.2800002098083493E-2</v>
      </c>
      <c r="F1790" s="24" t="s">
        <v>125</v>
      </c>
    </row>
    <row r="1791" spans="1:6" ht="16" customHeight="1" x14ac:dyDescent="0.45">
      <c r="A1791" s="19" t="s">
        <v>3699</v>
      </c>
      <c r="B1791" s="20" t="s">
        <v>3700</v>
      </c>
      <c r="C1791" s="21">
        <v>7900</v>
      </c>
      <c r="D1791" s="22"/>
      <c r="E1791" s="23">
        <v>-3.6600000858306878E-2</v>
      </c>
      <c r="F1791" s="24" t="s">
        <v>125</v>
      </c>
    </row>
    <row r="1792" spans="1:6" ht="16" customHeight="1" x14ac:dyDescent="0.45">
      <c r="A1792" s="19" t="s">
        <v>3701</v>
      </c>
      <c r="B1792" s="20" t="s">
        <v>3702</v>
      </c>
      <c r="C1792" s="21">
        <v>588</v>
      </c>
      <c r="D1792" s="22"/>
      <c r="E1792" s="23">
        <v>0</v>
      </c>
      <c r="F1792" s="24" t="s">
        <v>128</v>
      </c>
    </row>
    <row r="1793" spans="1:6" ht="16" customHeight="1" x14ac:dyDescent="0.45">
      <c r="A1793" s="19" t="s">
        <v>3703</v>
      </c>
      <c r="B1793" s="20" t="s">
        <v>3704</v>
      </c>
      <c r="C1793" s="21">
        <v>1651</v>
      </c>
      <c r="D1793" s="22"/>
      <c r="E1793" s="23">
        <v>0</v>
      </c>
      <c r="F1793" s="24" t="s">
        <v>125</v>
      </c>
    </row>
    <row r="1794" spans="1:6" ht="16" customHeight="1" x14ac:dyDescent="0.45">
      <c r="A1794" s="19" t="s">
        <v>3705</v>
      </c>
      <c r="B1794" s="20" t="s">
        <v>3706</v>
      </c>
      <c r="C1794" s="21">
        <v>167300</v>
      </c>
      <c r="D1794" s="22"/>
      <c r="E1794" s="23">
        <v>-3.9600000381469727E-2</v>
      </c>
      <c r="F1794" s="24" t="s">
        <v>125</v>
      </c>
    </row>
    <row r="1795" spans="1:6" ht="16" customHeight="1" x14ac:dyDescent="0.45">
      <c r="A1795" s="19" t="s">
        <v>3707</v>
      </c>
      <c r="B1795" s="20" t="s">
        <v>3708</v>
      </c>
      <c r="C1795" s="21">
        <v>1026</v>
      </c>
      <c r="D1795" s="22"/>
      <c r="E1795" s="23">
        <v>1.4800000190734861E-2</v>
      </c>
      <c r="F1795" s="24" t="s">
        <v>125</v>
      </c>
    </row>
    <row r="1796" spans="1:6" ht="16" customHeight="1" x14ac:dyDescent="0.45">
      <c r="A1796" s="19" t="s">
        <v>3709</v>
      </c>
      <c r="B1796" s="20" t="s">
        <v>3710</v>
      </c>
      <c r="C1796" s="21">
        <v>8670</v>
      </c>
      <c r="D1796" s="22"/>
      <c r="E1796" s="23">
        <v>-3.2400000095367427E-2</v>
      </c>
      <c r="F1796" s="24" t="s">
        <v>125</v>
      </c>
    </row>
    <row r="1797" spans="1:6" ht="16" customHeight="1" x14ac:dyDescent="0.45">
      <c r="A1797" s="19" t="s">
        <v>3711</v>
      </c>
      <c r="B1797" s="20" t="s">
        <v>3712</v>
      </c>
      <c r="C1797" s="21">
        <v>1896</v>
      </c>
      <c r="D1797" s="22"/>
      <c r="E1797" s="23">
        <v>4.7500000000000001E-2</v>
      </c>
      <c r="F1797" s="24" t="s">
        <v>125</v>
      </c>
    </row>
    <row r="1798" spans="1:6" ht="16" customHeight="1" x14ac:dyDescent="0.45">
      <c r="A1798" s="19" t="s">
        <v>3713</v>
      </c>
      <c r="B1798" s="20" t="s">
        <v>3714</v>
      </c>
      <c r="C1798" s="21">
        <v>15570</v>
      </c>
      <c r="D1798" s="22"/>
      <c r="E1798" s="23">
        <v>-3.7999999523162841E-3</v>
      </c>
      <c r="F1798" s="24" t="s">
        <v>125</v>
      </c>
    </row>
    <row r="1799" spans="1:6" ht="16" customHeight="1" x14ac:dyDescent="0.45">
      <c r="A1799" s="19" t="s">
        <v>3715</v>
      </c>
      <c r="B1799" s="20" t="s">
        <v>3716</v>
      </c>
      <c r="C1799" s="21">
        <v>4225</v>
      </c>
      <c r="D1799" s="22"/>
      <c r="E1799" s="23">
        <v>0</v>
      </c>
      <c r="F1799" s="24" t="s">
        <v>125</v>
      </c>
    </row>
    <row r="1800" spans="1:6" ht="16" customHeight="1" x14ac:dyDescent="0.45">
      <c r="A1800" s="19" t="s">
        <v>3717</v>
      </c>
      <c r="B1800" s="20" t="s">
        <v>3718</v>
      </c>
      <c r="C1800" s="21">
        <v>5100</v>
      </c>
      <c r="D1800" s="22"/>
      <c r="E1800" s="23">
        <v>-5.799999833106995E-3</v>
      </c>
      <c r="F1800" s="24" t="s">
        <v>125</v>
      </c>
    </row>
    <row r="1801" spans="1:6" ht="16" customHeight="1" x14ac:dyDescent="0.45">
      <c r="A1801" s="19" t="s">
        <v>3719</v>
      </c>
      <c r="B1801" s="20" t="s">
        <v>3720</v>
      </c>
      <c r="C1801" s="21">
        <v>3405</v>
      </c>
      <c r="D1801" s="22"/>
      <c r="E1801" s="23">
        <v>-4.6199998855590819E-2</v>
      </c>
      <c r="F1801" s="24" t="s">
        <v>125</v>
      </c>
    </row>
    <row r="1802" spans="1:6" ht="16" customHeight="1" x14ac:dyDescent="0.45">
      <c r="A1802" s="19" t="s">
        <v>3721</v>
      </c>
      <c r="B1802" s="20" t="s">
        <v>3722</v>
      </c>
      <c r="C1802" s="21">
        <v>21100</v>
      </c>
      <c r="D1802" s="22"/>
      <c r="E1802" s="23">
        <v>-2.759999990463257E-2</v>
      </c>
      <c r="F1802" s="24" t="s">
        <v>125</v>
      </c>
    </row>
    <row r="1803" spans="1:6" ht="16" customHeight="1" x14ac:dyDescent="0.45">
      <c r="A1803" s="19" t="s">
        <v>3723</v>
      </c>
      <c r="B1803" s="20" t="s">
        <v>3724</v>
      </c>
      <c r="C1803" s="21">
        <v>7330</v>
      </c>
      <c r="D1803" s="22"/>
      <c r="E1803" s="23">
        <v>-6.8000000715255741E-3</v>
      </c>
      <c r="F1803" s="24" t="s">
        <v>125</v>
      </c>
    </row>
    <row r="1804" spans="1:6" ht="16" customHeight="1" x14ac:dyDescent="0.45">
      <c r="A1804" s="19" t="s">
        <v>3725</v>
      </c>
      <c r="B1804" s="20" t="s">
        <v>3726</v>
      </c>
      <c r="C1804" s="21">
        <v>23400</v>
      </c>
      <c r="D1804" s="22"/>
      <c r="E1804" s="23">
        <v>4.6999998092651367E-2</v>
      </c>
      <c r="F1804" s="24" t="s">
        <v>125</v>
      </c>
    </row>
    <row r="1805" spans="1:6" ht="16" customHeight="1" x14ac:dyDescent="0.45">
      <c r="A1805" s="19" t="s">
        <v>3727</v>
      </c>
      <c r="B1805" s="20" t="s">
        <v>3728</v>
      </c>
      <c r="C1805" s="21">
        <v>15820</v>
      </c>
      <c r="D1805" s="22"/>
      <c r="E1805" s="23">
        <v>0.1614999961853027</v>
      </c>
      <c r="F1805" s="24" t="s">
        <v>125</v>
      </c>
    </row>
    <row r="1806" spans="1:6" ht="16" customHeight="1" x14ac:dyDescent="0.45">
      <c r="A1806" s="19" t="s">
        <v>3729</v>
      </c>
      <c r="B1806" s="20" t="s">
        <v>3730</v>
      </c>
      <c r="C1806" s="21">
        <v>2060</v>
      </c>
      <c r="D1806" s="22"/>
      <c r="E1806" s="23">
        <v>-2.1400001049041752E-2</v>
      </c>
      <c r="F1806" s="24" t="s">
        <v>125</v>
      </c>
    </row>
    <row r="1807" spans="1:6" ht="16" customHeight="1" x14ac:dyDescent="0.45">
      <c r="A1807" s="19" t="s">
        <v>3731</v>
      </c>
      <c r="B1807" s="20" t="s">
        <v>3732</v>
      </c>
      <c r="C1807" s="21">
        <v>7690</v>
      </c>
      <c r="D1807" s="22"/>
      <c r="E1807" s="23">
        <v>-1.299999952316284E-3</v>
      </c>
      <c r="F1807" s="24" t="s">
        <v>125</v>
      </c>
    </row>
    <row r="1808" spans="1:6" ht="16" customHeight="1" x14ac:dyDescent="0.45">
      <c r="A1808" s="19" t="s">
        <v>3733</v>
      </c>
      <c r="B1808" s="20" t="s">
        <v>3734</v>
      </c>
      <c r="C1808" s="21">
        <v>2305</v>
      </c>
      <c r="D1808" s="22"/>
      <c r="E1808" s="23">
        <v>-2.9500000476837158E-2</v>
      </c>
      <c r="F1808" s="24" t="s">
        <v>125</v>
      </c>
    </row>
    <row r="1809" spans="1:6" ht="16" customHeight="1" x14ac:dyDescent="0.45">
      <c r="A1809" s="19" t="s">
        <v>3735</v>
      </c>
      <c r="B1809" s="20" t="s">
        <v>3736</v>
      </c>
      <c r="C1809" s="21">
        <v>4200</v>
      </c>
      <c r="D1809" s="22"/>
      <c r="E1809" s="23">
        <v>3.3199999332427982E-2</v>
      </c>
      <c r="F1809" s="24" t="s">
        <v>125</v>
      </c>
    </row>
    <row r="1810" spans="1:6" ht="16" customHeight="1" x14ac:dyDescent="0.45">
      <c r="A1810" s="19" t="s">
        <v>3737</v>
      </c>
      <c r="B1810" s="20" t="s">
        <v>3738</v>
      </c>
      <c r="C1810" s="21">
        <v>12410</v>
      </c>
      <c r="D1810" s="22"/>
      <c r="E1810" s="23">
        <v>1.309999942779541E-2</v>
      </c>
      <c r="F1810" s="24" t="s">
        <v>125</v>
      </c>
    </row>
    <row r="1811" spans="1:6" ht="16" customHeight="1" x14ac:dyDescent="0.45">
      <c r="A1811" s="19" t="s">
        <v>3739</v>
      </c>
      <c r="B1811" s="20" t="s">
        <v>3740</v>
      </c>
      <c r="C1811" s="21">
        <v>22500</v>
      </c>
      <c r="D1811" s="22"/>
      <c r="E1811" s="23">
        <v>8.960000038146973E-2</v>
      </c>
      <c r="F1811" s="24" t="s">
        <v>125</v>
      </c>
    </row>
    <row r="1812" spans="1:6" ht="16" customHeight="1" x14ac:dyDescent="0.45">
      <c r="A1812" s="19" t="s">
        <v>3741</v>
      </c>
      <c r="B1812" s="20" t="s">
        <v>3742</v>
      </c>
      <c r="C1812" s="21">
        <v>8650</v>
      </c>
      <c r="D1812" s="22"/>
      <c r="E1812" s="23">
        <v>-2.300000041723252E-3</v>
      </c>
      <c r="F1812" s="24" t="s">
        <v>125</v>
      </c>
    </row>
    <row r="1813" spans="1:6" ht="16" customHeight="1" x14ac:dyDescent="0.45">
      <c r="A1813" s="19" t="s">
        <v>3743</v>
      </c>
      <c r="B1813" s="20" t="s">
        <v>3744</v>
      </c>
      <c r="C1813" s="21">
        <v>10770</v>
      </c>
      <c r="D1813" s="22"/>
      <c r="E1813" s="23">
        <v>-2.7999999523162841E-2</v>
      </c>
      <c r="F1813" s="24" t="s">
        <v>125</v>
      </c>
    </row>
    <row r="1814" spans="1:6" ht="16" customHeight="1" x14ac:dyDescent="0.45">
      <c r="A1814" s="19" t="s">
        <v>3745</v>
      </c>
      <c r="B1814" s="20" t="s">
        <v>3746</v>
      </c>
      <c r="C1814" s="21">
        <v>1045</v>
      </c>
      <c r="D1814" s="22"/>
      <c r="E1814" s="23">
        <v>-2.8800001144409181E-2</v>
      </c>
      <c r="F1814" s="24" t="s">
        <v>125</v>
      </c>
    </row>
    <row r="1815" spans="1:6" ht="16" customHeight="1" x14ac:dyDescent="0.45">
      <c r="A1815" s="19" t="s">
        <v>3747</v>
      </c>
      <c r="B1815" s="20" t="s">
        <v>3748</v>
      </c>
      <c r="C1815" s="21">
        <v>15950</v>
      </c>
      <c r="D1815" s="22"/>
      <c r="E1815" s="23">
        <v>-2.5000000000000001E-3</v>
      </c>
      <c r="F1815" s="24" t="s">
        <v>125</v>
      </c>
    </row>
    <row r="1816" spans="1:6" ht="16" customHeight="1" x14ac:dyDescent="0.45">
      <c r="A1816" s="19" t="s">
        <v>3749</v>
      </c>
      <c r="B1816" s="20" t="s">
        <v>3750</v>
      </c>
      <c r="C1816" s="21">
        <v>51900</v>
      </c>
      <c r="D1816" s="22"/>
      <c r="E1816" s="23">
        <v>-2.9900000095367429E-2</v>
      </c>
      <c r="F1816" s="24" t="s">
        <v>125</v>
      </c>
    </row>
    <row r="1817" spans="1:6" ht="16" customHeight="1" x14ac:dyDescent="0.45">
      <c r="A1817" s="19" t="s">
        <v>3751</v>
      </c>
      <c r="B1817" s="20" t="s">
        <v>3752</v>
      </c>
      <c r="C1817" s="21">
        <v>8950</v>
      </c>
      <c r="D1817" s="22"/>
      <c r="E1817" s="23">
        <v>5.6000000238418581E-3</v>
      </c>
      <c r="F1817" s="24" t="s">
        <v>128</v>
      </c>
    </row>
    <row r="1818" spans="1:6" ht="16" customHeight="1" x14ac:dyDescent="0.45">
      <c r="A1818" s="19" t="s">
        <v>3753</v>
      </c>
      <c r="B1818" s="20" t="s">
        <v>3754</v>
      </c>
      <c r="C1818" s="21">
        <v>7700</v>
      </c>
      <c r="D1818" s="22"/>
      <c r="E1818" s="23">
        <v>-3.7499999999999999E-2</v>
      </c>
      <c r="F1818" s="24" t="s">
        <v>125</v>
      </c>
    </row>
    <row r="1819" spans="1:6" ht="16" customHeight="1" x14ac:dyDescent="0.45">
      <c r="A1819" s="19" t="s">
        <v>3755</v>
      </c>
      <c r="B1819" s="20" t="s">
        <v>3756</v>
      </c>
      <c r="C1819" s="21">
        <v>1190</v>
      </c>
      <c r="D1819" s="22"/>
      <c r="E1819" s="23">
        <v>-2.299999952316284E-2</v>
      </c>
      <c r="F1819" s="24" t="s">
        <v>125</v>
      </c>
    </row>
    <row r="1820" spans="1:6" ht="16" customHeight="1" x14ac:dyDescent="0.45">
      <c r="A1820" s="19" t="s">
        <v>3757</v>
      </c>
      <c r="B1820" s="20" t="s">
        <v>3758</v>
      </c>
      <c r="C1820" s="21">
        <v>32800</v>
      </c>
      <c r="D1820" s="22"/>
      <c r="E1820" s="23">
        <v>-1.4999999999999999E-2</v>
      </c>
      <c r="F1820" s="24" t="s">
        <v>128</v>
      </c>
    </row>
    <row r="1821" spans="1:6" ht="16" customHeight="1" x14ac:dyDescent="0.45">
      <c r="A1821" s="19" t="s">
        <v>3759</v>
      </c>
      <c r="B1821" s="20" t="s">
        <v>3760</v>
      </c>
      <c r="C1821" s="21">
        <v>21050</v>
      </c>
      <c r="D1821" s="22"/>
      <c r="E1821" s="23">
        <v>-2.319999933242798E-2</v>
      </c>
      <c r="F1821" s="24" t="s">
        <v>125</v>
      </c>
    </row>
    <row r="1822" spans="1:6" ht="16" customHeight="1" x14ac:dyDescent="0.45">
      <c r="A1822" s="19" t="s">
        <v>3761</v>
      </c>
      <c r="B1822" s="20" t="s">
        <v>3762</v>
      </c>
      <c r="C1822" s="21">
        <v>7040</v>
      </c>
      <c r="D1822" s="22"/>
      <c r="E1822" s="23">
        <v>4.4499998092651358E-2</v>
      </c>
      <c r="F1822" s="24" t="s">
        <v>125</v>
      </c>
    </row>
    <row r="1823" spans="1:6" ht="16" customHeight="1" x14ac:dyDescent="0.45">
      <c r="A1823" s="19" t="s">
        <v>3763</v>
      </c>
      <c r="B1823" s="20" t="s">
        <v>3764</v>
      </c>
      <c r="C1823" s="21">
        <v>16960</v>
      </c>
      <c r="D1823" s="22"/>
      <c r="E1823" s="23">
        <v>0.1261999988555908</v>
      </c>
      <c r="F1823" s="24" t="s">
        <v>125</v>
      </c>
    </row>
    <row r="1824" spans="1:6" ht="16" customHeight="1" x14ac:dyDescent="0.45">
      <c r="A1824" s="19" t="s">
        <v>3765</v>
      </c>
      <c r="B1824" s="20" t="s">
        <v>3766</v>
      </c>
      <c r="C1824" s="21">
        <v>9000</v>
      </c>
      <c r="D1824" s="22"/>
      <c r="E1824" s="23">
        <v>2.9700000286102299E-2</v>
      </c>
      <c r="F1824" s="24" t="s">
        <v>125</v>
      </c>
    </row>
    <row r="1825" spans="1:6" ht="16" customHeight="1" x14ac:dyDescent="0.45">
      <c r="A1825" s="19" t="s">
        <v>3767</v>
      </c>
      <c r="B1825" s="20" t="s">
        <v>3768</v>
      </c>
      <c r="C1825" s="21">
        <v>2135</v>
      </c>
      <c r="D1825" s="22"/>
      <c r="E1825" s="23">
        <v>-2.2899999618530269E-2</v>
      </c>
      <c r="F1825" s="24" t="s">
        <v>125</v>
      </c>
    </row>
    <row r="1826" spans="1:6" ht="16" customHeight="1" x14ac:dyDescent="0.45">
      <c r="A1826" s="19" t="s">
        <v>3769</v>
      </c>
      <c r="B1826" s="20" t="s">
        <v>3770</v>
      </c>
      <c r="C1826" s="21">
        <v>9350</v>
      </c>
      <c r="D1826" s="22"/>
      <c r="E1826" s="23">
        <v>-9.4999998807907098E-3</v>
      </c>
      <c r="F1826" s="24" t="s">
        <v>125</v>
      </c>
    </row>
    <row r="1827" spans="1:6" ht="16" customHeight="1" x14ac:dyDescent="0.45">
      <c r="A1827" s="19" t="s">
        <v>3771</v>
      </c>
      <c r="B1827" s="20" t="s">
        <v>3772</v>
      </c>
      <c r="C1827" s="21">
        <v>3875</v>
      </c>
      <c r="D1827" s="22"/>
      <c r="E1827" s="23">
        <v>-8.999999761581421E-3</v>
      </c>
      <c r="F1827" s="24" t="s">
        <v>125</v>
      </c>
    </row>
    <row r="1828" spans="1:6" ht="16" customHeight="1" x14ac:dyDescent="0.45">
      <c r="A1828" s="19" t="s">
        <v>3773</v>
      </c>
      <c r="B1828" s="20" t="s">
        <v>3774</v>
      </c>
      <c r="C1828" s="21">
        <v>1771</v>
      </c>
      <c r="D1828" s="22"/>
      <c r="E1828" s="23">
        <v>-1.6100000143051151E-2</v>
      </c>
      <c r="F1828" s="24" t="s">
        <v>125</v>
      </c>
    </row>
    <row r="1829" spans="1:6" ht="16" customHeight="1" x14ac:dyDescent="0.45">
      <c r="A1829" s="19" t="s">
        <v>3775</v>
      </c>
      <c r="B1829" s="20" t="s">
        <v>3776</v>
      </c>
      <c r="C1829" s="21">
        <v>1067</v>
      </c>
      <c r="D1829" s="22"/>
      <c r="E1829" s="23">
        <v>5.6999999284744274E-3</v>
      </c>
      <c r="F1829" s="24" t="s">
        <v>125</v>
      </c>
    </row>
    <row r="1830" spans="1:6" ht="16" customHeight="1" x14ac:dyDescent="0.45">
      <c r="A1830" s="19" t="s">
        <v>3777</v>
      </c>
      <c r="B1830" s="20" t="s">
        <v>3778</v>
      </c>
      <c r="C1830" s="21">
        <v>877</v>
      </c>
      <c r="D1830" s="22"/>
      <c r="E1830" s="23">
        <v>-3.8399999141693113E-2</v>
      </c>
      <c r="F1830" s="24" t="s">
        <v>125</v>
      </c>
    </row>
    <row r="1831" spans="1:6" ht="16" customHeight="1" x14ac:dyDescent="0.45">
      <c r="A1831" s="19" t="s">
        <v>3779</v>
      </c>
      <c r="B1831" s="20" t="s">
        <v>3780</v>
      </c>
      <c r="C1831" s="21">
        <v>14090</v>
      </c>
      <c r="D1831" s="22"/>
      <c r="E1831" s="23">
        <v>-3.6900000572204592E-2</v>
      </c>
      <c r="F1831" s="24" t="s">
        <v>125</v>
      </c>
    </row>
    <row r="1832" spans="1:6" ht="16" customHeight="1" x14ac:dyDescent="0.45">
      <c r="A1832" s="19" t="s">
        <v>3781</v>
      </c>
      <c r="B1832" s="20" t="s">
        <v>3782</v>
      </c>
      <c r="C1832" s="21">
        <v>24500</v>
      </c>
      <c r="D1832" s="22"/>
      <c r="E1832" s="23">
        <v>2.5099999904632572E-2</v>
      </c>
      <c r="F1832" s="24" t="s">
        <v>128</v>
      </c>
    </row>
    <row r="1833" spans="1:6" ht="16" customHeight="1" x14ac:dyDescent="0.45">
      <c r="A1833" s="19" t="s">
        <v>3783</v>
      </c>
      <c r="B1833" s="20" t="s">
        <v>3784</v>
      </c>
      <c r="C1833" s="21">
        <v>2905</v>
      </c>
      <c r="D1833" s="22"/>
      <c r="E1833" s="23">
        <v>-5.9899997711181638E-2</v>
      </c>
      <c r="F1833" s="24" t="s">
        <v>128</v>
      </c>
    </row>
    <row r="1834" spans="1:6" ht="16" customHeight="1" x14ac:dyDescent="0.45">
      <c r="A1834" s="19" t="s">
        <v>3785</v>
      </c>
      <c r="B1834" s="20" t="s">
        <v>3786</v>
      </c>
      <c r="C1834" s="21">
        <v>6000</v>
      </c>
      <c r="D1834" s="22"/>
      <c r="E1834" s="23">
        <v>-2.9100000858306881E-2</v>
      </c>
      <c r="F1834" s="24" t="s">
        <v>128</v>
      </c>
    </row>
    <row r="1835" spans="1:6" ht="16" customHeight="1" x14ac:dyDescent="0.45">
      <c r="A1835" s="19" t="s">
        <v>3787</v>
      </c>
      <c r="B1835" s="20" t="s">
        <v>3788</v>
      </c>
      <c r="C1835" s="21">
        <v>3105</v>
      </c>
      <c r="D1835" s="22"/>
      <c r="E1835" s="23">
        <v>-3.2699999809265128E-2</v>
      </c>
      <c r="F1835" s="24" t="s">
        <v>125</v>
      </c>
    </row>
    <row r="1836" spans="1:6" ht="16" customHeight="1" x14ac:dyDescent="0.45">
      <c r="A1836" s="19" t="s">
        <v>3789</v>
      </c>
      <c r="B1836" s="20" t="s">
        <v>3790</v>
      </c>
      <c r="C1836" s="21">
        <v>13980</v>
      </c>
      <c r="D1836" s="22"/>
      <c r="E1836" s="23">
        <v>7.9000002145767217E-3</v>
      </c>
      <c r="F1836" s="24" t="s">
        <v>125</v>
      </c>
    </row>
    <row r="1837" spans="1:6" ht="16" customHeight="1" x14ac:dyDescent="0.45">
      <c r="A1837" s="19" t="s">
        <v>3791</v>
      </c>
      <c r="B1837" s="20" t="s">
        <v>3792</v>
      </c>
      <c r="C1837" s="21">
        <v>6160</v>
      </c>
      <c r="D1837" s="22"/>
      <c r="E1837" s="23">
        <v>9.8000001907348634E-3</v>
      </c>
      <c r="F1837" s="24" t="s">
        <v>125</v>
      </c>
    </row>
    <row r="1838" spans="1:6" ht="16" customHeight="1" x14ac:dyDescent="0.45">
      <c r="A1838" s="19" t="s">
        <v>3793</v>
      </c>
      <c r="B1838" s="20" t="s">
        <v>3794</v>
      </c>
      <c r="C1838" s="21">
        <v>2805</v>
      </c>
      <c r="D1838" s="22"/>
      <c r="E1838" s="23">
        <v>-2.4300000667572021E-2</v>
      </c>
      <c r="F1838" s="24" t="s">
        <v>125</v>
      </c>
    </row>
    <row r="1839" spans="1:6" ht="16" customHeight="1" x14ac:dyDescent="0.45">
      <c r="A1839" s="19" t="s">
        <v>3795</v>
      </c>
      <c r="B1839" s="20" t="s">
        <v>3796</v>
      </c>
      <c r="C1839" s="21">
        <v>39450</v>
      </c>
      <c r="D1839" s="22"/>
      <c r="E1839" s="23">
        <v>-1.379999995231628E-2</v>
      </c>
      <c r="F1839" s="24" t="s">
        <v>125</v>
      </c>
    </row>
    <row r="1840" spans="1:6" ht="16" customHeight="1" x14ac:dyDescent="0.45">
      <c r="A1840" s="19" t="s">
        <v>3797</v>
      </c>
      <c r="B1840" s="20" t="s">
        <v>3798</v>
      </c>
      <c r="C1840" s="21">
        <v>28550</v>
      </c>
      <c r="D1840" s="22"/>
      <c r="E1840" s="23">
        <v>-5.199999809265137E-3</v>
      </c>
      <c r="F1840" s="24" t="s">
        <v>128</v>
      </c>
    </row>
    <row r="1841" spans="1:6" ht="16" customHeight="1" x14ac:dyDescent="0.45">
      <c r="A1841" s="19" t="s">
        <v>3799</v>
      </c>
      <c r="B1841" s="20" t="s">
        <v>3800</v>
      </c>
      <c r="C1841" s="21">
        <v>746</v>
      </c>
      <c r="D1841" s="22"/>
      <c r="E1841" s="23">
        <v>0</v>
      </c>
      <c r="F1841" s="24" t="s">
        <v>125</v>
      </c>
    </row>
    <row r="1842" spans="1:6" ht="16" customHeight="1" x14ac:dyDescent="0.45">
      <c r="A1842" s="19" t="s">
        <v>3801</v>
      </c>
      <c r="B1842" s="20" t="s">
        <v>3802</v>
      </c>
      <c r="C1842" s="21">
        <v>4080</v>
      </c>
      <c r="D1842" s="22"/>
      <c r="E1842" s="23">
        <v>-2.740000009536743E-2</v>
      </c>
      <c r="F1842" s="24" t="s">
        <v>128</v>
      </c>
    </row>
    <row r="1843" spans="1:6" ht="16" customHeight="1" x14ac:dyDescent="0.45">
      <c r="A1843" s="19" t="s">
        <v>3803</v>
      </c>
      <c r="B1843" s="20" t="s">
        <v>3804</v>
      </c>
      <c r="C1843" s="21">
        <v>28550</v>
      </c>
      <c r="D1843" s="22"/>
      <c r="E1843" s="23">
        <v>1.2400000095367431E-2</v>
      </c>
      <c r="F1843" s="24" t="s">
        <v>125</v>
      </c>
    </row>
    <row r="1844" spans="1:6" ht="16" customHeight="1" x14ac:dyDescent="0.45">
      <c r="A1844" s="19" t="s">
        <v>3805</v>
      </c>
      <c r="B1844" s="20" t="s">
        <v>3806</v>
      </c>
      <c r="C1844" s="21">
        <v>2675</v>
      </c>
      <c r="D1844" s="22"/>
      <c r="E1844" s="23">
        <v>-1.8300000429153439E-2</v>
      </c>
      <c r="F1844" s="24" t="s">
        <v>128</v>
      </c>
    </row>
    <row r="1845" spans="1:6" ht="16" customHeight="1" x14ac:dyDescent="0.45">
      <c r="A1845" s="19" t="s">
        <v>3807</v>
      </c>
      <c r="B1845" s="20" t="s">
        <v>3808</v>
      </c>
      <c r="C1845" s="21">
        <v>2865</v>
      </c>
      <c r="D1845" s="22"/>
      <c r="E1845" s="23">
        <v>-2.390000104904175E-2</v>
      </c>
      <c r="F1845" s="24" t="s">
        <v>128</v>
      </c>
    </row>
    <row r="1846" spans="1:6" ht="16" customHeight="1" x14ac:dyDescent="0.45">
      <c r="A1846" s="19" t="s">
        <v>3809</v>
      </c>
      <c r="B1846" s="20" t="s">
        <v>3810</v>
      </c>
      <c r="C1846" s="21">
        <v>1154</v>
      </c>
      <c r="D1846" s="22"/>
      <c r="E1846" s="23">
        <v>0</v>
      </c>
      <c r="F1846" s="24" t="s">
        <v>128</v>
      </c>
    </row>
    <row r="1847" spans="1:6" ht="16" customHeight="1" x14ac:dyDescent="0.45">
      <c r="A1847" s="19" t="s">
        <v>3811</v>
      </c>
      <c r="B1847" s="20" t="s">
        <v>3812</v>
      </c>
      <c r="C1847" s="21">
        <v>10590</v>
      </c>
      <c r="D1847" s="22"/>
      <c r="E1847" s="23">
        <v>0.29940000534057609</v>
      </c>
      <c r="F1847" s="24" t="s">
        <v>125</v>
      </c>
    </row>
    <row r="1848" spans="1:6" ht="16" customHeight="1" x14ac:dyDescent="0.45">
      <c r="A1848" s="19" t="s">
        <v>3813</v>
      </c>
      <c r="B1848" s="20" t="s">
        <v>3814</v>
      </c>
      <c r="C1848" s="21">
        <v>17160</v>
      </c>
      <c r="D1848" s="22"/>
      <c r="E1848" s="23">
        <v>-2.1099998950958251E-2</v>
      </c>
      <c r="F1848" s="24" t="s">
        <v>128</v>
      </c>
    </row>
    <row r="1849" spans="1:6" ht="16" customHeight="1" x14ac:dyDescent="0.45">
      <c r="A1849" s="19" t="s">
        <v>3815</v>
      </c>
      <c r="B1849" s="20" t="s">
        <v>3816</v>
      </c>
      <c r="C1849" s="21">
        <v>7140</v>
      </c>
      <c r="D1849" s="22"/>
      <c r="E1849" s="23">
        <v>-5.4299998283386233E-2</v>
      </c>
      <c r="F1849" s="24" t="s">
        <v>125</v>
      </c>
    </row>
    <row r="1850" spans="1:6" ht="16" customHeight="1" x14ac:dyDescent="0.45">
      <c r="A1850" s="19" t="s">
        <v>3817</v>
      </c>
      <c r="B1850" s="20" t="s">
        <v>3818</v>
      </c>
      <c r="C1850" s="21">
        <v>10960</v>
      </c>
      <c r="D1850" s="22"/>
      <c r="E1850" s="23">
        <v>3.4000000953674323E-2</v>
      </c>
      <c r="F1850" s="24" t="s">
        <v>125</v>
      </c>
    </row>
    <row r="1851" spans="1:6" ht="16" customHeight="1" x14ac:dyDescent="0.45">
      <c r="A1851" s="19" t="s">
        <v>3819</v>
      </c>
      <c r="B1851" s="20" t="s">
        <v>3820</v>
      </c>
      <c r="C1851" s="21">
        <v>124700</v>
      </c>
      <c r="D1851" s="22"/>
      <c r="E1851" s="23">
        <v>1.7999999523162839E-2</v>
      </c>
      <c r="F1851" s="24" t="s">
        <v>125</v>
      </c>
    </row>
    <row r="1852" spans="1:6" ht="16" customHeight="1" x14ac:dyDescent="0.45">
      <c r="A1852" s="19" t="s">
        <v>3821</v>
      </c>
      <c r="B1852" s="20" t="s">
        <v>3822</v>
      </c>
      <c r="C1852" s="21">
        <v>39150</v>
      </c>
      <c r="D1852" s="22"/>
      <c r="E1852" s="23">
        <v>7.6999998092651366E-3</v>
      </c>
      <c r="F1852" s="24" t="s">
        <v>125</v>
      </c>
    </row>
    <row r="1853" spans="1:6" ht="16" customHeight="1" x14ac:dyDescent="0.45">
      <c r="A1853" s="19" t="s">
        <v>3823</v>
      </c>
      <c r="B1853" s="20" t="s">
        <v>3824</v>
      </c>
      <c r="C1853" s="21">
        <v>53700</v>
      </c>
      <c r="D1853" s="22"/>
      <c r="E1853" s="23">
        <v>-3.7000000476837161E-3</v>
      </c>
      <c r="F1853" s="24" t="s">
        <v>125</v>
      </c>
    </row>
    <row r="1854" spans="1:6" ht="16" customHeight="1" x14ac:dyDescent="0.45">
      <c r="A1854" s="19" t="s">
        <v>3825</v>
      </c>
      <c r="B1854" s="20" t="s">
        <v>3826</v>
      </c>
      <c r="C1854" s="21">
        <v>1731</v>
      </c>
      <c r="D1854" s="22"/>
      <c r="E1854" s="23">
        <v>-1.8700000047683719E-2</v>
      </c>
      <c r="F1854" s="24" t="s">
        <v>125</v>
      </c>
    </row>
    <row r="1855" spans="1:6" ht="16" customHeight="1" x14ac:dyDescent="0.45">
      <c r="A1855" s="19" t="s">
        <v>3827</v>
      </c>
      <c r="B1855" s="20" t="s">
        <v>3828</v>
      </c>
      <c r="C1855" s="21">
        <v>4045</v>
      </c>
      <c r="D1855" s="22"/>
      <c r="E1855" s="23">
        <v>-4.2600002288818363E-2</v>
      </c>
      <c r="F1855" s="24" t="s">
        <v>125</v>
      </c>
    </row>
    <row r="1856" spans="1:6" ht="16" customHeight="1" x14ac:dyDescent="0.45">
      <c r="A1856" s="19" t="s">
        <v>3829</v>
      </c>
      <c r="B1856" s="20" t="s">
        <v>3830</v>
      </c>
      <c r="C1856" s="21">
        <v>33150</v>
      </c>
      <c r="D1856" s="22"/>
      <c r="E1856" s="23">
        <v>-4.1900000572204589E-2</v>
      </c>
      <c r="F1856" s="24" t="s">
        <v>125</v>
      </c>
    </row>
    <row r="1857" spans="1:6" ht="16" customHeight="1" x14ac:dyDescent="0.45">
      <c r="A1857" s="19" t="s">
        <v>3831</v>
      </c>
      <c r="B1857" s="20" t="s">
        <v>3832</v>
      </c>
      <c r="C1857" s="21">
        <v>9210</v>
      </c>
      <c r="D1857" s="22"/>
      <c r="E1857" s="23">
        <v>-3.0499999523162839E-2</v>
      </c>
      <c r="F1857" s="24" t="s">
        <v>125</v>
      </c>
    </row>
    <row r="1858" spans="1:6" ht="16" customHeight="1" x14ac:dyDescent="0.45">
      <c r="A1858" s="19" t="s">
        <v>3833</v>
      </c>
      <c r="B1858" s="20" t="s">
        <v>3834</v>
      </c>
      <c r="C1858" s="21">
        <v>19380</v>
      </c>
      <c r="D1858" s="22"/>
      <c r="E1858" s="23">
        <v>5.7899999618530283E-2</v>
      </c>
      <c r="F1858" s="24" t="s">
        <v>125</v>
      </c>
    </row>
    <row r="1859" spans="1:6" ht="16" customHeight="1" x14ac:dyDescent="0.45">
      <c r="A1859" s="19" t="s">
        <v>3835</v>
      </c>
      <c r="B1859" s="20" t="s">
        <v>3836</v>
      </c>
      <c r="C1859" s="21">
        <v>9950</v>
      </c>
      <c r="D1859" s="22"/>
      <c r="E1859" s="23">
        <v>-3.0000001192092901E-3</v>
      </c>
      <c r="F1859" s="24" t="s">
        <v>125</v>
      </c>
    </row>
    <row r="1860" spans="1:6" ht="16" customHeight="1" x14ac:dyDescent="0.45">
      <c r="A1860" s="19" t="s">
        <v>3837</v>
      </c>
      <c r="B1860" s="20" t="s">
        <v>3838</v>
      </c>
      <c r="C1860" s="21">
        <v>7320</v>
      </c>
      <c r="D1860" s="22"/>
      <c r="E1860" s="23">
        <v>2.7000001072883611E-3</v>
      </c>
      <c r="F1860" s="24" t="s">
        <v>125</v>
      </c>
    </row>
    <row r="1861" spans="1:6" ht="16" customHeight="1" x14ac:dyDescent="0.45">
      <c r="A1861" s="19" t="s">
        <v>3839</v>
      </c>
      <c r="B1861" s="20" t="s">
        <v>3840</v>
      </c>
      <c r="C1861" s="21">
        <v>3950</v>
      </c>
      <c r="D1861" s="22"/>
      <c r="E1861" s="23">
        <v>-2.710000038146973E-2</v>
      </c>
      <c r="F1861" s="24" t="s">
        <v>125</v>
      </c>
    </row>
    <row r="1862" spans="1:6" ht="16" customHeight="1" x14ac:dyDescent="0.45">
      <c r="A1862" s="19" t="s">
        <v>3841</v>
      </c>
      <c r="B1862" s="20" t="s">
        <v>3842</v>
      </c>
      <c r="C1862" s="21">
        <v>1340</v>
      </c>
      <c r="D1862" s="22"/>
      <c r="E1862" s="23">
        <v>3.079999923706055E-2</v>
      </c>
      <c r="F1862" s="24" t="s">
        <v>251</v>
      </c>
    </row>
    <row r="1863" spans="1:6" ht="16" customHeight="1" x14ac:dyDescent="0.45">
      <c r="A1863" s="19" t="s">
        <v>3843</v>
      </c>
      <c r="B1863" s="20" t="s">
        <v>3844</v>
      </c>
      <c r="C1863" s="21">
        <v>5420</v>
      </c>
      <c r="D1863" s="22"/>
      <c r="E1863" s="23">
        <v>-1.800000071525574E-3</v>
      </c>
      <c r="F1863" s="24" t="s">
        <v>125</v>
      </c>
    </row>
    <row r="1864" spans="1:6" ht="16" customHeight="1" x14ac:dyDescent="0.45">
      <c r="A1864" s="19" t="s">
        <v>3845</v>
      </c>
      <c r="B1864" s="20" t="s">
        <v>3846</v>
      </c>
      <c r="C1864" s="21">
        <v>418</v>
      </c>
      <c r="D1864" s="22"/>
      <c r="E1864" s="23">
        <v>0</v>
      </c>
      <c r="F1864" s="24" t="s">
        <v>125</v>
      </c>
    </row>
    <row r="1865" spans="1:6" ht="16" customHeight="1" x14ac:dyDescent="0.45">
      <c r="A1865" s="19" t="s">
        <v>3847</v>
      </c>
      <c r="B1865" s="20" t="s">
        <v>3848</v>
      </c>
      <c r="C1865" s="21">
        <v>33600</v>
      </c>
      <c r="D1865" s="22"/>
      <c r="E1865" s="23">
        <v>1.200000047683716E-2</v>
      </c>
      <c r="F1865" s="24" t="s">
        <v>125</v>
      </c>
    </row>
    <row r="1866" spans="1:6" ht="16" customHeight="1" x14ac:dyDescent="0.45">
      <c r="A1866" s="19" t="s">
        <v>3849</v>
      </c>
      <c r="B1866" s="20" t="s">
        <v>3850</v>
      </c>
      <c r="C1866" s="21">
        <v>1039</v>
      </c>
      <c r="D1866" s="22"/>
      <c r="E1866" s="23">
        <v>-3.7999999523162839E-2</v>
      </c>
      <c r="F1866" s="24" t="s">
        <v>125</v>
      </c>
    </row>
    <row r="1867" spans="1:6" ht="16" customHeight="1" x14ac:dyDescent="0.45">
      <c r="A1867" s="19" t="s">
        <v>3851</v>
      </c>
      <c r="B1867" s="20" t="s">
        <v>3852</v>
      </c>
      <c r="C1867" s="21">
        <v>9360</v>
      </c>
      <c r="D1867" s="22"/>
      <c r="E1867" s="23">
        <v>7.4999999999999997E-3</v>
      </c>
      <c r="F1867" s="24" t="s">
        <v>125</v>
      </c>
    </row>
    <row r="1868" spans="1:6" ht="16" customHeight="1" x14ac:dyDescent="0.45">
      <c r="A1868" s="19" t="s">
        <v>3853</v>
      </c>
      <c r="B1868" s="20" t="s">
        <v>3854</v>
      </c>
      <c r="C1868" s="21">
        <v>20550</v>
      </c>
      <c r="D1868" s="22"/>
      <c r="E1868" s="23">
        <v>-6.1599998474121093E-2</v>
      </c>
      <c r="F1868" s="24" t="s">
        <v>125</v>
      </c>
    </row>
    <row r="1869" spans="1:6" ht="16" customHeight="1" x14ac:dyDescent="0.45">
      <c r="A1869" s="19" t="s">
        <v>3855</v>
      </c>
      <c r="B1869" s="20" t="s">
        <v>3856</v>
      </c>
      <c r="C1869" s="21">
        <v>1435</v>
      </c>
      <c r="D1869" s="22"/>
      <c r="E1869" s="23">
        <v>-5.8400001525878903E-2</v>
      </c>
      <c r="F1869" s="24" t="s">
        <v>125</v>
      </c>
    </row>
    <row r="1870" spans="1:6" ht="16" customHeight="1" x14ac:dyDescent="0.45">
      <c r="A1870" s="19" t="s">
        <v>3857</v>
      </c>
      <c r="B1870" s="20" t="s">
        <v>3858</v>
      </c>
      <c r="C1870" s="21">
        <v>1167</v>
      </c>
      <c r="D1870" s="22"/>
      <c r="E1870" s="23">
        <v>-5.4299998283386233E-2</v>
      </c>
      <c r="F1870" s="24" t="s">
        <v>125</v>
      </c>
    </row>
    <row r="1871" spans="1:6" ht="16" customHeight="1" x14ac:dyDescent="0.45">
      <c r="A1871" s="19" t="s">
        <v>3859</v>
      </c>
      <c r="B1871" s="20" t="s">
        <v>3860</v>
      </c>
      <c r="C1871" s="21">
        <v>784</v>
      </c>
      <c r="D1871" s="22"/>
      <c r="E1871" s="23">
        <v>6.5199999809265136E-2</v>
      </c>
      <c r="F1871" s="24" t="s">
        <v>125</v>
      </c>
    </row>
    <row r="1872" spans="1:6" ht="16" customHeight="1" x14ac:dyDescent="0.45">
      <c r="A1872" s="19" t="s">
        <v>3861</v>
      </c>
      <c r="B1872" s="20" t="s">
        <v>3862</v>
      </c>
      <c r="C1872" s="21">
        <v>1916</v>
      </c>
      <c r="D1872" s="22"/>
      <c r="E1872" s="23">
        <v>-3.7200000286102292E-2</v>
      </c>
      <c r="F1872" s="24" t="s">
        <v>125</v>
      </c>
    </row>
    <row r="1873" spans="1:6" ht="16" customHeight="1" x14ac:dyDescent="0.45">
      <c r="A1873" s="19" t="s">
        <v>3863</v>
      </c>
      <c r="B1873" s="20" t="s">
        <v>3864</v>
      </c>
      <c r="C1873" s="21">
        <v>12070</v>
      </c>
      <c r="D1873" s="22"/>
      <c r="E1873" s="23">
        <v>-7.4000000953674313E-3</v>
      </c>
      <c r="F1873" s="24" t="s">
        <v>125</v>
      </c>
    </row>
    <row r="1874" spans="1:6" ht="16" customHeight="1" x14ac:dyDescent="0.45">
      <c r="A1874" s="19" t="s">
        <v>3865</v>
      </c>
      <c r="B1874" s="20" t="s">
        <v>3866</v>
      </c>
      <c r="C1874" s="21">
        <v>8870</v>
      </c>
      <c r="D1874" s="22"/>
      <c r="E1874" s="23">
        <v>-2.6300001144409179E-2</v>
      </c>
      <c r="F1874" s="24" t="s">
        <v>125</v>
      </c>
    </row>
    <row r="1875" spans="1:6" ht="16" customHeight="1" x14ac:dyDescent="0.45">
      <c r="A1875" s="19" t="s">
        <v>3867</v>
      </c>
      <c r="B1875" s="20" t="s">
        <v>3868</v>
      </c>
      <c r="C1875" s="21">
        <v>13070</v>
      </c>
      <c r="D1875" s="22"/>
      <c r="E1875" s="23">
        <v>-5.6300001144409181E-2</v>
      </c>
      <c r="F1875" s="24" t="s">
        <v>125</v>
      </c>
    </row>
    <row r="1876" spans="1:6" ht="16" customHeight="1" x14ac:dyDescent="0.45">
      <c r="A1876" s="19" t="s">
        <v>3869</v>
      </c>
      <c r="B1876" s="20" t="s">
        <v>3870</v>
      </c>
      <c r="C1876" s="21">
        <v>5170</v>
      </c>
      <c r="D1876" s="22"/>
      <c r="E1876" s="23">
        <v>-2.8199999332427981E-2</v>
      </c>
      <c r="F1876" s="24" t="s">
        <v>125</v>
      </c>
    </row>
    <row r="1877" spans="1:6" ht="16" customHeight="1" x14ac:dyDescent="0.45">
      <c r="A1877" s="19" t="s">
        <v>3871</v>
      </c>
      <c r="B1877" s="20" t="s">
        <v>3872</v>
      </c>
      <c r="C1877" s="21">
        <v>8660</v>
      </c>
      <c r="D1877" s="22"/>
      <c r="E1877" s="23">
        <v>-3.0199999809265139E-2</v>
      </c>
      <c r="F1877" s="24" t="s">
        <v>125</v>
      </c>
    </row>
    <row r="1878" spans="1:6" ht="16" customHeight="1" x14ac:dyDescent="0.45">
      <c r="A1878" s="19" t="s">
        <v>3873</v>
      </c>
      <c r="B1878" s="20" t="s">
        <v>3874</v>
      </c>
      <c r="C1878" s="21">
        <v>12020</v>
      </c>
      <c r="D1878" s="22"/>
      <c r="E1878" s="23">
        <v>2.8199999332427981E-2</v>
      </c>
      <c r="F1878" s="24" t="s">
        <v>125</v>
      </c>
    </row>
    <row r="1879" spans="1:6" ht="16" customHeight="1" x14ac:dyDescent="0.45">
      <c r="A1879" s="19" t="s">
        <v>3875</v>
      </c>
      <c r="B1879" s="20" t="s">
        <v>3876</v>
      </c>
      <c r="C1879" s="21">
        <v>23800</v>
      </c>
      <c r="D1879" s="22"/>
      <c r="E1879" s="23">
        <v>-2.4600000381469731E-2</v>
      </c>
      <c r="F1879" s="24" t="s">
        <v>125</v>
      </c>
    </row>
    <row r="1880" spans="1:6" ht="16" customHeight="1" x14ac:dyDescent="0.45">
      <c r="A1880" s="19" t="s">
        <v>3877</v>
      </c>
      <c r="B1880" s="20" t="s">
        <v>3878</v>
      </c>
      <c r="C1880" s="21">
        <v>5540</v>
      </c>
      <c r="D1880" s="22"/>
      <c r="E1880" s="23">
        <v>-3.8199999332427979E-2</v>
      </c>
      <c r="F1880" s="24" t="s">
        <v>125</v>
      </c>
    </row>
    <row r="1881" spans="1:6" ht="16" customHeight="1" x14ac:dyDescent="0.45">
      <c r="A1881" s="19" t="s">
        <v>3879</v>
      </c>
      <c r="B1881" s="20" t="s">
        <v>3880</v>
      </c>
      <c r="C1881" s="21">
        <v>7720</v>
      </c>
      <c r="D1881" s="22"/>
      <c r="E1881" s="23">
        <v>-2.279999971389771E-2</v>
      </c>
      <c r="F1881" s="24" t="s">
        <v>125</v>
      </c>
    </row>
    <row r="1882" spans="1:6" ht="16" customHeight="1" x14ac:dyDescent="0.45">
      <c r="A1882" s="19" t="s">
        <v>3881</v>
      </c>
      <c r="B1882" s="20" t="s">
        <v>3882</v>
      </c>
      <c r="C1882" s="21">
        <v>5310</v>
      </c>
      <c r="D1882" s="22"/>
      <c r="E1882" s="23">
        <v>0</v>
      </c>
      <c r="F1882" s="24" t="s">
        <v>125</v>
      </c>
    </row>
    <row r="1883" spans="1:6" ht="16" customHeight="1" x14ac:dyDescent="0.45">
      <c r="A1883" s="19" t="s">
        <v>3883</v>
      </c>
      <c r="B1883" s="20" t="s">
        <v>3884</v>
      </c>
      <c r="C1883" s="21">
        <v>1200</v>
      </c>
      <c r="D1883" s="22"/>
      <c r="E1883" s="23">
        <v>0</v>
      </c>
      <c r="F1883" s="24" t="s">
        <v>251</v>
      </c>
    </row>
    <row r="1884" spans="1:6" ht="16" customHeight="1" x14ac:dyDescent="0.45">
      <c r="A1884" s="19" t="s">
        <v>3885</v>
      </c>
      <c r="B1884" s="20" t="s">
        <v>3886</v>
      </c>
      <c r="C1884" s="21">
        <v>503</v>
      </c>
      <c r="D1884" s="22"/>
      <c r="E1884" s="23">
        <v>0</v>
      </c>
      <c r="F1884" s="24" t="s">
        <v>125</v>
      </c>
    </row>
    <row r="1885" spans="1:6" ht="16" customHeight="1" x14ac:dyDescent="0.45">
      <c r="A1885" s="19" t="s">
        <v>3887</v>
      </c>
      <c r="B1885" s="20" t="s">
        <v>3888</v>
      </c>
      <c r="C1885" s="21">
        <v>394</v>
      </c>
      <c r="D1885" s="22"/>
      <c r="E1885" s="23">
        <v>-3.4300000667572023E-2</v>
      </c>
      <c r="F1885" s="24" t="s">
        <v>125</v>
      </c>
    </row>
    <row r="1886" spans="1:6" ht="16" customHeight="1" x14ac:dyDescent="0.45">
      <c r="A1886" s="19" t="s">
        <v>3889</v>
      </c>
      <c r="B1886" s="20" t="s">
        <v>3890</v>
      </c>
      <c r="C1886" s="21">
        <v>710</v>
      </c>
      <c r="D1886" s="22"/>
      <c r="E1886" s="23">
        <v>0</v>
      </c>
      <c r="F1886" s="24" t="s">
        <v>125</v>
      </c>
    </row>
    <row r="1887" spans="1:6" ht="16" customHeight="1" x14ac:dyDescent="0.45">
      <c r="A1887" s="19" t="s">
        <v>3891</v>
      </c>
      <c r="B1887" s="20" t="s">
        <v>3892</v>
      </c>
      <c r="C1887" s="21">
        <v>7620</v>
      </c>
      <c r="D1887" s="22"/>
      <c r="E1887" s="23">
        <v>0.10430000305175779</v>
      </c>
      <c r="F1887" s="24" t="s">
        <v>125</v>
      </c>
    </row>
    <row r="1888" spans="1:6" ht="16" customHeight="1" x14ac:dyDescent="0.45">
      <c r="A1888" s="19" t="s">
        <v>3893</v>
      </c>
      <c r="B1888" s="20" t="s">
        <v>3894</v>
      </c>
      <c r="C1888" s="21">
        <v>12780</v>
      </c>
      <c r="D1888" s="22"/>
      <c r="E1888" s="23">
        <v>3.8999998569488529E-3</v>
      </c>
      <c r="F1888" s="24" t="s">
        <v>125</v>
      </c>
    </row>
    <row r="1889" spans="1:6" ht="16" customHeight="1" x14ac:dyDescent="0.45">
      <c r="A1889" s="19" t="s">
        <v>3895</v>
      </c>
      <c r="B1889" s="20" t="s">
        <v>3896</v>
      </c>
      <c r="C1889" s="21">
        <v>477</v>
      </c>
      <c r="D1889" s="22"/>
      <c r="E1889" s="23">
        <v>0</v>
      </c>
      <c r="F1889" s="24" t="s">
        <v>125</v>
      </c>
    </row>
    <row r="1890" spans="1:6" ht="16" customHeight="1" x14ac:dyDescent="0.45">
      <c r="A1890" s="19" t="s">
        <v>3897</v>
      </c>
      <c r="B1890" s="20" t="s">
        <v>3898</v>
      </c>
      <c r="C1890" s="21">
        <v>1865</v>
      </c>
      <c r="D1890" s="22"/>
      <c r="E1890" s="23">
        <v>-2.410000085830688E-2</v>
      </c>
      <c r="F1890" s="24" t="s">
        <v>125</v>
      </c>
    </row>
    <row r="1891" spans="1:6" ht="16" customHeight="1" x14ac:dyDescent="0.45">
      <c r="A1891" s="19" t="s">
        <v>3899</v>
      </c>
      <c r="B1891" s="20" t="s">
        <v>3900</v>
      </c>
      <c r="C1891" s="21">
        <v>2620</v>
      </c>
      <c r="D1891" s="22"/>
      <c r="E1891" s="23">
        <v>0</v>
      </c>
      <c r="F1891" s="24" t="s">
        <v>128</v>
      </c>
    </row>
    <row r="1892" spans="1:6" ht="16" customHeight="1" x14ac:dyDescent="0.45">
      <c r="A1892" s="19" t="s">
        <v>3901</v>
      </c>
      <c r="B1892" s="20" t="s">
        <v>3902</v>
      </c>
      <c r="C1892" s="21">
        <v>1819</v>
      </c>
      <c r="D1892" s="22"/>
      <c r="E1892" s="23">
        <v>-2.0999999046325681E-2</v>
      </c>
      <c r="F1892" s="24" t="s">
        <v>125</v>
      </c>
    </row>
    <row r="1893" spans="1:6" ht="16" customHeight="1" x14ac:dyDescent="0.45">
      <c r="A1893" s="19" t="s">
        <v>3903</v>
      </c>
      <c r="B1893" s="20" t="s">
        <v>3904</v>
      </c>
      <c r="C1893" s="21">
        <v>742</v>
      </c>
      <c r="D1893" s="22"/>
      <c r="E1893" s="23">
        <v>0</v>
      </c>
      <c r="F1893" s="24" t="s">
        <v>125</v>
      </c>
    </row>
    <row r="1894" spans="1:6" ht="16" customHeight="1" x14ac:dyDescent="0.45">
      <c r="A1894" s="19" t="s">
        <v>3905</v>
      </c>
      <c r="B1894" s="20" t="s">
        <v>3906</v>
      </c>
      <c r="C1894" s="21">
        <v>19810</v>
      </c>
      <c r="D1894" s="22"/>
      <c r="E1894" s="23">
        <v>-1.200000047683716E-2</v>
      </c>
      <c r="F1894" s="24" t="s">
        <v>128</v>
      </c>
    </row>
    <row r="1895" spans="1:6" ht="16" customHeight="1" x14ac:dyDescent="0.45">
      <c r="A1895" s="19" t="s">
        <v>3907</v>
      </c>
      <c r="B1895" s="20" t="s">
        <v>3908</v>
      </c>
      <c r="C1895" s="21">
        <v>88600</v>
      </c>
      <c r="D1895" s="22"/>
      <c r="E1895" s="23">
        <v>-2.0999999046325681E-2</v>
      </c>
      <c r="F1895" s="24" t="s">
        <v>128</v>
      </c>
    </row>
    <row r="1896" spans="1:6" ht="16" customHeight="1" x14ac:dyDescent="0.45">
      <c r="A1896" s="19" t="s">
        <v>3909</v>
      </c>
      <c r="B1896" s="20" t="s">
        <v>3910</v>
      </c>
      <c r="C1896" s="21">
        <v>3030</v>
      </c>
      <c r="D1896" s="22"/>
      <c r="E1896" s="23">
        <v>-4.1100001335144042E-2</v>
      </c>
      <c r="F1896" s="24" t="s">
        <v>128</v>
      </c>
    </row>
    <row r="1897" spans="1:6" ht="16" customHeight="1" x14ac:dyDescent="0.45">
      <c r="A1897" s="19" t="s">
        <v>3911</v>
      </c>
      <c r="B1897" s="20" t="s">
        <v>3912</v>
      </c>
      <c r="C1897" s="21">
        <v>12880</v>
      </c>
      <c r="D1897" s="22"/>
      <c r="E1897" s="23">
        <v>5.829999923706055E-2</v>
      </c>
      <c r="F1897" s="24" t="s">
        <v>125</v>
      </c>
    </row>
    <row r="1898" spans="1:6" ht="16" customHeight="1" x14ac:dyDescent="0.45">
      <c r="A1898" s="19" t="s">
        <v>3913</v>
      </c>
      <c r="B1898" s="20" t="s">
        <v>3914</v>
      </c>
      <c r="C1898" s="21">
        <v>1239</v>
      </c>
      <c r="D1898" s="22"/>
      <c r="E1898" s="23">
        <v>-5.3499999046325693E-2</v>
      </c>
      <c r="F1898" s="24" t="s">
        <v>125</v>
      </c>
    </row>
    <row r="1899" spans="1:6" ht="16" customHeight="1" x14ac:dyDescent="0.45">
      <c r="A1899" s="19" t="s">
        <v>3915</v>
      </c>
      <c r="B1899" s="20" t="s">
        <v>3916</v>
      </c>
      <c r="C1899" s="21">
        <v>4590</v>
      </c>
      <c r="D1899" s="22"/>
      <c r="E1899" s="23">
        <v>0.02</v>
      </c>
      <c r="F1899" s="24" t="s">
        <v>128</v>
      </c>
    </row>
    <row r="1900" spans="1:6" ht="16" customHeight="1" x14ac:dyDescent="0.45">
      <c r="A1900" s="19" t="s">
        <v>3917</v>
      </c>
      <c r="B1900" s="20" t="s">
        <v>3918</v>
      </c>
      <c r="C1900" s="21">
        <v>1896</v>
      </c>
      <c r="D1900" s="22"/>
      <c r="E1900" s="23">
        <v>7.9699997901916508E-2</v>
      </c>
      <c r="F1900" s="24" t="s">
        <v>128</v>
      </c>
    </row>
    <row r="1901" spans="1:6" ht="16" customHeight="1" x14ac:dyDescent="0.45">
      <c r="A1901" s="19" t="s">
        <v>3919</v>
      </c>
      <c r="B1901" s="20" t="s">
        <v>3920</v>
      </c>
      <c r="C1901" s="21">
        <v>3110</v>
      </c>
      <c r="D1901" s="22"/>
      <c r="E1901" s="23">
        <v>-3.2699999809265128E-2</v>
      </c>
      <c r="F1901" s="24" t="s">
        <v>125</v>
      </c>
    </row>
    <row r="1902" spans="1:6" ht="16" customHeight="1" x14ac:dyDescent="0.45">
      <c r="A1902" s="19" t="s">
        <v>3921</v>
      </c>
      <c r="B1902" s="20" t="s">
        <v>3922</v>
      </c>
      <c r="C1902" s="21">
        <v>592</v>
      </c>
      <c r="D1902" s="22"/>
      <c r="E1902" s="23">
        <v>-3.2699999809265128E-2</v>
      </c>
      <c r="F1902" s="24" t="s">
        <v>128</v>
      </c>
    </row>
    <row r="1903" spans="1:6" ht="16" customHeight="1" x14ac:dyDescent="0.45">
      <c r="A1903" s="19" t="s">
        <v>3923</v>
      </c>
      <c r="B1903" s="20" t="s">
        <v>3924</v>
      </c>
      <c r="C1903" s="21">
        <v>8530</v>
      </c>
      <c r="D1903" s="22"/>
      <c r="E1903" s="23">
        <v>3.4999999403953551E-3</v>
      </c>
      <c r="F1903" s="24" t="s">
        <v>128</v>
      </c>
    </row>
    <row r="1904" spans="1:6" ht="16" customHeight="1" x14ac:dyDescent="0.45">
      <c r="A1904" s="19" t="s">
        <v>3925</v>
      </c>
      <c r="B1904" s="20" t="s">
        <v>3926</v>
      </c>
      <c r="C1904" s="21">
        <v>4545</v>
      </c>
      <c r="D1904" s="22"/>
      <c r="E1904" s="23">
        <v>-2.4700000286102291E-2</v>
      </c>
      <c r="F1904" s="24" t="s">
        <v>125</v>
      </c>
    </row>
    <row r="1905" spans="1:6" ht="16" customHeight="1" x14ac:dyDescent="0.45">
      <c r="A1905" s="19" t="s">
        <v>3927</v>
      </c>
      <c r="B1905" s="20" t="s">
        <v>3928</v>
      </c>
      <c r="C1905" s="21">
        <v>19100</v>
      </c>
      <c r="D1905" s="22"/>
      <c r="E1905" s="23">
        <v>-1.549999952316284E-2</v>
      </c>
      <c r="F1905" s="24" t="s">
        <v>125</v>
      </c>
    </row>
    <row r="1906" spans="1:6" ht="16" customHeight="1" x14ac:dyDescent="0.45">
      <c r="A1906" s="19" t="s">
        <v>3929</v>
      </c>
      <c r="B1906" s="20" t="s">
        <v>3930</v>
      </c>
      <c r="C1906" s="21">
        <v>3955</v>
      </c>
      <c r="D1906" s="22"/>
      <c r="E1906" s="23">
        <v>-1.4900000095367429E-2</v>
      </c>
      <c r="F1906" s="24" t="s">
        <v>125</v>
      </c>
    </row>
    <row r="1907" spans="1:6" ht="16" customHeight="1" x14ac:dyDescent="0.45">
      <c r="A1907" s="19" t="s">
        <v>3931</v>
      </c>
      <c r="B1907" s="20" t="s">
        <v>3932</v>
      </c>
      <c r="C1907" s="21">
        <v>6060</v>
      </c>
      <c r="D1907" s="22"/>
      <c r="E1907" s="23">
        <v>3.7699999809265139E-2</v>
      </c>
      <c r="F1907" s="24" t="s">
        <v>125</v>
      </c>
    </row>
    <row r="1908" spans="1:6" ht="16" customHeight="1" x14ac:dyDescent="0.45">
      <c r="A1908" s="19" t="s">
        <v>3933</v>
      </c>
      <c r="B1908" s="20" t="s">
        <v>3934</v>
      </c>
      <c r="C1908" s="21">
        <v>701</v>
      </c>
      <c r="D1908" s="22"/>
      <c r="E1908" s="23">
        <v>0</v>
      </c>
      <c r="F1908" s="24" t="s">
        <v>251</v>
      </c>
    </row>
    <row r="1909" spans="1:6" ht="16" customHeight="1" x14ac:dyDescent="0.45">
      <c r="A1909" s="19" t="s">
        <v>3935</v>
      </c>
      <c r="B1909" s="20" t="s">
        <v>3936</v>
      </c>
      <c r="C1909" s="21">
        <v>549</v>
      </c>
      <c r="D1909" s="22"/>
      <c r="E1909" s="23">
        <v>0</v>
      </c>
      <c r="F1909" s="24" t="s">
        <v>125</v>
      </c>
    </row>
    <row r="1910" spans="1:6" ht="16" customHeight="1" x14ac:dyDescent="0.45">
      <c r="A1910" s="19" t="s">
        <v>3937</v>
      </c>
      <c r="B1910" s="20" t="s">
        <v>3938</v>
      </c>
      <c r="C1910" s="21">
        <v>12970</v>
      </c>
      <c r="D1910" s="22"/>
      <c r="E1910" s="23">
        <v>-1.970000028610229E-2</v>
      </c>
      <c r="F1910" s="24" t="s">
        <v>125</v>
      </c>
    </row>
    <row r="1911" spans="1:6" ht="16" customHeight="1" x14ac:dyDescent="0.45">
      <c r="A1911" s="19" t="s">
        <v>3939</v>
      </c>
      <c r="B1911" s="20" t="s">
        <v>3940</v>
      </c>
      <c r="C1911" s="21">
        <v>8090</v>
      </c>
      <c r="D1911" s="22"/>
      <c r="E1911" s="23">
        <v>-3.2300000190734861E-2</v>
      </c>
      <c r="F1911" s="24" t="s">
        <v>125</v>
      </c>
    </row>
    <row r="1912" spans="1:6" ht="16" customHeight="1" x14ac:dyDescent="0.45">
      <c r="A1912" s="19" t="s">
        <v>3941</v>
      </c>
      <c r="B1912" s="20" t="s">
        <v>3942</v>
      </c>
      <c r="C1912" s="21">
        <v>12280</v>
      </c>
      <c r="D1912" s="22"/>
      <c r="E1912" s="23">
        <v>-3.3800001144409182E-2</v>
      </c>
      <c r="F1912" s="24" t="s">
        <v>125</v>
      </c>
    </row>
    <row r="1913" spans="1:6" ht="16" customHeight="1" x14ac:dyDescent="0.45">
      <c r="A1913" s="19" t="s">
        <v>3943</v>
      </c>
      <c r="B1913" s="20" t="s">
        <v>3944</v>
      </c>
      <c r="C1913" s="21">
        <v>5450</v>
      </c>
      <c r="D1913" s="22"/>
      <c r="E1913" s="23">
        <v>-1.4500000476837161E-2</v>
      </c>
      <c r="F1913" s="24" t="s">
        <v>125</v>
      </c>
    </row>
    <row r="1914" spans="1:6" ht="16" customHeight="1" x14ac:dyDescent="0.45">
      <c r="A1914" s="19" t="s">
        <v>3945</v>
      </c>
      <c r="B1914" s="20" t="s">
        <v>3946</v>
      </c>
      <c r="C1914" s="21">
        <v>13120</v>
      </c>
      <c r="D1914" s="22"/>
      <c r="E1914" s="23">
        <v>0</v>
      </c>
      <c r="F1914" s="24" t="s">
        <v>251</v>
      </c>
    </row>
    <row r="1915" spans="1:6" ht="16" customHeight="1" x14ac:dyDescent="0.45">
      <c r="A1915" s="19" t="s">
        <v>3947</v>
      </c>
      <c r="B1915" s="20" t="s">
        <v>3948</v>
      </c>
      <c r="C1915" s="21">
        <v>1163</v>
      </c>
      <c r="D1915" s="22"/>
      <c r="E1915" s="23">
        <v>-2.759999990463257E-2</v>
      </c>
      <c r="F1915" s="24" t="s">
        <v>125</v>
      </c>
    </row>
    <row r="1916" spans="1:6" ht="16" customHeight="1" x14ac:dyDescent="0.45">
      <c r="A1916" s="19" t="s">
        <v>3949</v>
      </c>
      <c r="B1916" s="20" t="s">
        <v>3950</v>
      </c>
      <c r="C1916" s="21">
        <v>17510</v>
      </c>
      <c r="D1916" s="22"/>
      <c r="E1916" s="23">
        <v>0.1223999977111816</v>
      </c>
      <c r="F1916" s="24" t="s">
        <v>125</v>
      </c>
    </row>
    <row r="1917" spans="1:6" ht="16" customHeight="1" x14ac:dyDescent="0.45">
      <c r="A1917" s="19" t="s">
        <v>3951</v>
      </c>
      <c r="B1917" s="20" t="s">
        <v>3952</v>
      </c>
      <c r="C1917" s="21">
        <v>16630</v>
      </c>
      <c r="D1917" s="22"/>
      <c r="E1917" s="23">
        <v>4.3299999237060537E-2</v>
      </c>
      <c r="F1917" s="24" t="s">
        <v>125</v>
      </c>
    </row>
    <row r="1918" spans="1:6" ht="16" customHeight="1" x14ac:dyDescent="0.45">
      <c r="A1918" s="19" t="s">
        <v>3953</v>
      </c>
      <c r="B1918" s="20" t="s">
        <v>3954</v>
      </c>
      <c r="C1918" s="21">
        <v>1870</v>
      </c>
      <c r="D1918" s="22"/>
      <c r="E1918" s="23">
        <v>-1.2699999809265139E-2</v>
      </c>
      <c r="F1918" s="24" t="s">
        <v>128</v>
      </c>
    </row>
    <row r="1919" spans="1:6" ht="16" customHeight="1" x14ac:dyDescent="0.45">
      <c r="A1919" s="19" t="s">
        <v>3955</v>
      </c>
      <c r="B1919" s="20" t="s">
        <v>3956</v>
      </c>
      <c r="C1919" s="21">
        <v>4490</v>
      </c>
      <c r="D1919" s="22"/>
      <c r="E1919" s="23">
        <v>1.009999990463257E-2</v>
      </c>
      <c r="F1919" s="24" t="s">
        <v>125</v>
      </c>
    </row>
    <row r="1920" spans="1:6" ht="16" customHeight="1" x14ac:dyDescent="0.45">
      <c r="A1920" s="19" t="s">
        <v>3957</v>
      </c>
      <c r="B1920" s="20" t="s">
        <v>3958</v>
      </c>
      <c r="C1920" s="21">
        <v>6040</v>
      </c>
      <c r="D1920" s="22"/>
      <c r="E1920" s="23">
        <v>-1.309999942779541E-2</v>
      </c>
      <c r="F1920" s="24" t="s">
        <v>128</v>
      </c>
    </row>
    <row r="1921" spans="1:6" ht="16" customHeight="1" x14ac:dyDescent="0.45">
      <c r="A1921" s="19" t="s">
        <v>3959</v>
      </c>
      <c r="B1921" s="20" t="s">
        <v>3960</v>
      </c>
      <c r="C1921" s="21">
        <v>24700</v>
      </c>
      <c r="D1921" s="22"/>
      <c r="E1921" s="23">
        <v>-2.759999990463257E-2</v>
      </c>
      <c r="F1921" s="24" t="s">
        <v>125</v>
      </c>
    </row>
    <row r="1922" spans="1:6" ht="16" customHeight="1" x14ac:dyDescent="0.45">
      <c r="A1922" s="19" t="s">
        <v>3961</v>
      </c>
      <c r="B1922" s="20" t="s">
        <v>3962</v>
      </c>
      <c r="C1922" s="21">
        <v>1129</v>
      </c>
      <c r="D1922" s="22"/>
      <c r="E1922" s="23">
        <v>-7.6100001335144038E-2</v>
      </c>
      <c r="F1922" s="24" t="s">
        <v>125</v>
      </c>
    </row>
    <row r="1923" spans="1:6" ht="16" customHeight="1" x14ac:dyDescent="0.45">
      <c r="A1923" s="19" t="s">
        <v>3963</v>
      </c>
      <c r="B1923" s="20" t="s">
        <v>3964</v>
      </c>
      <c r="C1923" s="21">
        <v>4010</v>
      </c>
      <c r="D1923" s="22"/>
      <c r="E1923" s="23">
        <v>-7.4000000953674313E-3</v>
      </c>
      <c r="F1923" s="24" t="s">
        <v>125</v>
      </c>
    </row>
    <row r="1924" spans="1:6" ht="16" customHeight="1" x14ac:dyDescent="0.45">
      <c r="A1924" s="19" t="s">
        <v>3965</v>
      </c>
      <c r="B1924" s="20" t="s">
        <v>3966</v>
      </c>
      <c r="C1924" s="21">
        <v>2065</v>
      </c>
      <c r="D1924" s="22"/>
      <c r="E1924" s="23">
        <v>0</v>
      </c>
      <c r="F1924" s="24" t="s">
        <v>125</v>
      </c>
    </row>
    <row r="1925" spans="1:6" ht="16" customHeight="1" x14ac:dyDescent="0.45">
      <c r="A1925" s="19" t="s">
        <v>3967</v>
      </c>
      <c r="B1925" s="20" t="s">
        <v>3968</v>
      </c>
      <c r="C1925" s="21">
        <v>2050</v>
      </c>
      <c r="D1925" s="22"/>
      <c r="E1925" s="23">
        <v>0</v>
      </c>
      <c r="F1925" s="24" t="s">
        <v>125</v>
      </c>
    </row>
    <row r="1926" spans="1:6" ht="16" customHeight="1" x14ac:dyDescent="0.45">
      <c r="A1926" s="19" t="s">
        <v>3969</v>
      </c>
      <c r="B1926" s="20" t="s">
        <v>3970</v>
      </c>
      <c r="C1926" s="21">
        <v>2010</v>
      </c>
      <c r="D1926" s="22"/>
      <c r="E1926" s="23">
        <v>0</v>
      </c>
      <c r="F1926" s="24" t="s">
        <v>125</v>
      </c>
    </row>
    <row r="1927" spans="1:6" ht="16" customHeight="1" x14ac:dyDescent="0.45">
      <c r="A1927" s="19" t="s">
        <v>3971</v>
      </c>
      <c r="B1927" s="20" t="s">
        <v>3972</v>
      </c>
      <c r="C1927" s="21">
        <v>7830</v>
      </c>
      <c r="D1927" s="22"/>
      <c r="E1927" s="23">
        <v>0.29850000381469732</v>
      </c>
      <c r="F1927" s="24" t="s">
        <v>128</v>
      </c>
    </row>
    <row r="1928" spans="1:6" ht="16" customHeight="1" x14ac:dyDescent="0.45">
      <c r="A1928" s="19" t="s">
        <v>3973</v>
      </c>
      <c r="B1928" s="20" t="s">
        <v>3974</v>
      </c>
      <c r="C1928" s="21">
        <v>5550</v>
      </c>
      <c r="D1928" s="22"/>
      <c r="E1928" s="23">
        <v>0.1809000015258789</v>
      </c>
      <c r="F1928" s="24" t="s">
        <v>128</v>
      </c>
    </row>
    <row r="1929" spans="1:6" ht="16" customHeight="1" x14ac:dyDescent="0.45">
      <c r="A1929" s="19" t="s">
        <v>3975</v>
      </c>
      <c r="B1929" s="20" t="s">
        <v>3976</v>
      </c>
      <c r="C1929" s="21">
        <v>2055</v>
      </c>
      <c r="D1929" s="22"/>
      <c r="E1929" s="23">
        <v>-3.069999933242798E-2</v>
      </c>
      <c r="F1929" s="24" t="s">
        <v>125</v>
      </c>
    </row>
    <row r="1930" spans="1:6" ht="16" customHeight="1" x14ac:dyDescent="0.45">
      <c r="A1930" s="19" t="s">
        <v>3977</v>
      </c>
      <c r="B1930" s="20" t="s">
        <v>3978</v>
      </c>
      <c r="C1930" s="21">
        <v>7110</v>
      </c>
      <c r="D1930" s="22"/>
      <c r="E1930" s="23">
        <v>-4.1999998688697811E-3</v>
      </c>
      <c r="F1930" s="24" t="s">
        <v>251</v>
      </c>
    </row>
    <row r="1931" spans="1:6" ht="16" customHeight="1" x14ac:dyDescent="0.45">
      <c r="A1931" s="19" t="s">
        <v>3979</v>
      </c>
      <c r="B1931" s="20" t="s">
        <v>3980</v>
      </c>
      <c r="C1931" s="21">
        <v>5080</v>
      </c>
      <c r="D1931" s="22"/>
      <c r="E1931" s="23">
        <v>-1.549999952316284E-2</v>
      </c>
      <c r="F1931" s="24" t="s">
        <v>128</v>
      </c>
    </row>
    <row r="1932" spans="1:6" ht="16" customHeight="1" x14ac:dyDescent="0.45">
      <c r="A1932" s="19" t="s">
        <v>3981</v>
      </c>
      <c r="B1932" s="20" t="s">
        <v>3982</v>
      </c>
      <c r="C1932" s="21">
        <v>4115</v>
      </c>
      <c r="D1932" s="22"/>
      <c r="E1932" s="23">
        <v>-3.0599999427795409E-2</v>
      </c>
      <c r="F1932" s="24" t="s">
        <v>128</v>
      </c>
    </row>
    <row r="1933" spans="1:6" ht="16" customHeight="1" x14ac:dyDescent="0.45">
      <c r="A1933" s="19" t="s">
        <v>3983</v>
      </c>
      <c r="B1933" s="20" t="s">
        <v>3984</v>
      </c>
      <c r="C1933" s="21">
        <v>4385</v>
      </c>
      <c r="D1933" s="22"/>
      <c r="E1933" s="23">
        <v>-1.6799999475479121E-2</v>
      </c>
      <c r="F1933" s="24" t="s">
        <v>128</v>
      </c>
    </row>
    <row r="1934" spans="1:6" ht="16" customHeight="1" x14ac:dyDescent="0.45">
      <c r="A1934" s="19" t="s">
        <v>3985</v>
      </c>
      <c r="B1934" s="20" t="s">
        <v>3986</v>
      </c>
      <c r="C1934" s="21">
        <v>10910</v>
      </c>
      <c r="D1934" s="22"/>
      <c r="E1934" s="23">
        <v>8.2999998331069955E-3</v>
      </c>
      <c r="F1934" s="24" t="s">
        <v>128</v>
      </c>
    </row>
    <row r="1935" spans="1:6" ht="16" customHeight="1" x14ac:dyDescent="0.45">
      <c r="A1935" s="19" t="s">
        <v>3987</v>
      </c>
      <c r="B1935" s="20" t="s">
        <v>3988</v>
      </c>
      <c r="C1935" s="21">
        <v>100800</v>
      </c>
      <c r="D1935" s="22"/>
      <c r="E1935" s="23">
        <v>-3.079999923706055E-2</v>
      </c>
      <c r="F1935" s="24" t="s">
        <v>125</v>
      </c>
    </row>
    <row r="1936" spans="1:6" ht="16" customHeight="1" x14ac:dyDescent="0.45">
      <c r="A1936" s="19" t="s">
        <v>3989</v>
      </c>
      <c r="B1936" s="20" t="s">
        <v>3990</v>
      </c>
      <c r="C1936" s="21">
        <v>806</v>
      </c>
      <c r="D1936" s="22"/>
      <c r="E1936" s="23">
        <v>0</v>
      </c>
      <c r="F1936" s="24" t="s">
        <v>125</v>
      </c>
    </row>
    <row r="1937" spans="1:6" ht="16" customHeight="1" x14ac:dyDescent="0.45">
      <c r="A1937" s="19" t="s">
        <v>3991</v>
      </c>
      <c r="B1937" s="20" t="s">
        <v>3992</v>
      </c>
      <c r="C1937" s="21">
        <v>3885</v>
      </c>
      <c r="D1937" s="22"/>
      <c r="E1937" s="23">
        <v>-2.2599999904632569E-2</v>
      </c>
      <c r="F1937" s="24" t="s">
        <v>125</v>
      </c>
    </row>
    <row r="1938" spans="1:6" ht="16" customHeight="1" x14ac:dyDescent="0.45">
      <c r="A1938" s="19" t="s">
        <v>3993</v>
      </c>
      <c r="B1938" s="20" t="s">
        <v>3994</v>
      </c>
      <c r="C1938" s="21">
        <v>26350</v>
      </c>
      <c r="D1938" s="22"/>
      <c r="E1938" s="23">
        <v>-2.0399999618530271E-2</v>
      </c>
      <c r="F1938" s="24" t="s">
        <v>125</v>
      </c>
    </row>
    <row r="1939" spans="1:6" ht="16" customHeight="1" x14ac:dyDescent="0.45">
      <c r="A1939" s="19" t="s">
        <v>3995</v>
      </c>
      <c r="B1939" s="20" t="s">
        <v>3996</v>
      </c>
      <c r="C1939" s="21">
        <v>2095</v>
      </c>
      <c r="D1939" s="22"/>
      <c r="E1939" s="23">
        <v>0</v>
      </c>
      <c r="F1939" s="24" t="s">
        <v>125</v>
      </c>
    </row>
    <row r="1940" spans="1:6" ht="16" customHeight="1" x14ac:dyDescent="0.45">
      <c r="A1940" s="19" t="s">
        <v>3997</v>
      </c>
      <c r="B1940" s="20" t="s">
        <v>3998</v>
      </c>
      <c r="C1940" s="21">
        <v>2070</v>
      </c>
      <c r="D1940" s="22"/>
      <c r="E1940" s="23">
        <v>0</v>
      </c>
      <c r="F1940" s="24" t="s">
        <v>125</v>
      </c>
    </row>
    <row r="1941" spans="1:6" ht="16" customHeight="1" x14ac:dyDescent="0.45">
      <c r="A1941" s="19" t="s">
        <v>3999</v>
      </c>
      <c r="B1941" s="20" t="s">
        <v>4000</v>
      </c>
      <c r="C1941" s="21">
        <v>2000</v>
      </c>
      <c r="D1941" s="22"/>
      <c r="E1941" s="23">
        <v>-2.5000000000000001E-3</v>
      </c>
      <c r="F1941" s="24" t="s">
        <v>125</v>
      </c>
    </row>
    <row r="1942" spans="1:6" ht="16" customHeight="1" x14ac:dyDescent="0.45">
      <c r="A1942" s="19" t="s">
        <v>4001</v>
      </c>
      <c r="B1942" s="20" t="s">
        <v>4002</v>
      </c>
      <c r="C1942" s="21">
        <v>135100</v>
      </c>
      <c r="D1942" s="22"/>
      <c r="E1942" s="23">
        <v>2.349999904632568E-2</v>
      </c>
      <c r="F1942" s="24" t="s">
        <v>125</v>
      </c>
    </row>
    <row r="1943" spans="1:6" ht="16" customHeight="1" x14ac:dyDescent="0.45">
      <c r="A1943" s="19" t="s">
        <v>4003</v>
      </c>
      <c r="B1943" s="20" t="s">
        <v>4004</v>
      </c>
      <c r="C1943" s="21">
        <v>3515</v>
      </c>
      <c r="D1943" s="22"/>
      <c r="E1943" s="23">
        <v>-3.9600000381469727E-2</v>
      </c>
      <c r="F1943" s="24" t="s">
        <v>125</v>
      </c>
    </row>
    <row r="1944" spans="1:6" ht="16" customHeight="1" x14ac:dyDescent="0.45">
      <c r="A1944" s="19" t="s">
        <v>4005</v>
      </c>
      <c r="B1944" s="20" t="s">
        <v>4006</v>
      </c>
      <c r="C1944" s="21">
        <v>6520</v>
      </c>
      <c r="D1944" s="22"/>
      <c r="E1944" s="23">
        <v>9.0299997329711917E-2</v>
      </c>
      <c r="F1944" s="24" t="s">
        <v>128</v>
      </c>
    </row>
    <row r="1945" spans="1:6" ht="16" customHeight="1" x14ac:dyDescent="0.45">
      <c r="A1945" s="19" t="s">
        <v>4007</v>
      </c>
      <c r="B1945" s="20" t="s">
        <v>4008</v>
      </c>
      <c r="C1945" s="21">
        <v>20300</v>
      </c>
      <c r="D1945" s="22"/>
      <c r="E1945" s="23">
        <v>-4.9000000953674317E-3</v>
      </c>
      <c r="F1945" s="24" t="s">
        <v>125</v>
      </c>
    </row>
    <row r="1946" spans="1:6" ht="16" customHeight="1" x14ac:dyDescent="0.45">
      <c r="A1946" s="19" t="s">
        <v>4009</v>
      </c>
      <c r="B1946" s="20" t="s">
        <v>4010</v>
      </c>
      <c r="C1946" s="21">
        <v>959</v>
      </c>
      <c r="D1946" s="22"/>
      <c r="E1946" s="23">
        <v>0</v>
      </c>
      <c r="F1946" s="24" t="s">
        <v>125</v>
      </c>
    </row>
    <row r="1947" spans="1:6" ht="16" customHeight="1" x14ac:dyDescent="0.45">
      <c r="A1947" s="19" t="s">
        <v>4011</v>
      </c>
      <c r="B1947" s="20" t="s">
        <v>4012</v>
      </c>
      <c r="C1947" s="21">
        <v>88000</v>
      </c>
      <c r="D1947" s="22"/>
      <c r="E1947" s="23">
        <v>-2.759999990463257E-2</v>
      </c>
      <c r="F1947" s="24" t="s">
        <v>128</v>
      </c>
    </row>
    <row r="1948" spans="1:6" ht="16" customHeight="1" x14ac:dyDescent="0.45">
      <c r="A1948" s="19" t="s">
        <v>4013</v>
      </c>
      <c r="B1948" s="20" t="s">
        <v>4014</v>
      </c>
      <c r="C1948" s="21">
        <v>73600</v>
      </c>
      <c r="D1948" s="22"/>
      <c r="E1948" s="23">
        <v>-2.2599999904632569E-2</v>
      </c>
      <c r="F1948" s="24" t="s">
        <v>128</v>
      </c>
    </row>
    <row r="1949" spans="1:6" ht="16" customHeight="1" x14ac:dyDescent="0.45">
      <c r="A1949" s="19" t="s">
        <v>4015</v>
      </c>
      <c r="B1949" s="20" t="s">
        <v>4016</v>
      </c>
      <c r="C1949" s="21">
        <v>3850</v>
      </c>
      <c r="D1949" s="22"/>
      <c r="E1949" s="23">
        <v>5.1900000572204591E-2</v>
      </c>
      <c r="F1949" s="24" t="s">
        <v>128</v>
      </c>
    </row>
    <row r="1950" spans="1:6" ht="16" customHeight="1" x14ac:dyDescent="0.45">
      <c r="A1950" s="19" t="s">
        <v>4017</v>
      </c>
      <c r="B1950" s="20" t="s">
        <v>4018</v>
      </c>
      <c r="C1950" s="21">
        <v>3470</v>
      </c>
      <c r="D1950" s="22"/>
      <c r="E1950" s="23">
        <v>1.6100000143051151E-2</v>
      </c>
      <c r="F1950" s="24" t="s">
        <v>128</v>
      </c>
    </row>
    <row r="1951" spans="1:6" ht="16" customHeight="1" x14ac:dyDescent="0.45">
      <c r="A1951" s="19" t="s">
        <v>4019</v>
      </c>
      <c r="B1951" s="20" t="s">
        <v>4020</v>
      </c>
      <c r="C1951" s="21">
        <v>2600</v>
      </c>
      <c r="D1951" s="22"/>
      <c r="E1951" s="23">
        <v>-5.1100001335144037E-2</v>
      </c>
      <c r="F1951" s="24" t="s">
        <v>125</v>
      </c>
    </row>
    <row r="1952" spans="1:6" ht="16" customHeight="1" x14ac:dyDescent="0.45">
      <c r="A1952" s="19" t="s">
        <v>4021</v>
      </c>
      <c r="B1952" s="20" t="s">
        <v>4022</v>
      </c>
      <c r="C1952" s="21">
        <v>35550</v>
      </c>
      <c r="D1952" s="22"/>
      <c r="E1952" s="23">
        <v>-1.400000005960465E-3</v>
      </c>
      <c r="F1952" s="24" t="s">
        <v>125</v>
      </c>
    </row>
    <row r="1953" spans="1:6" ht="16" customHeight="1" x14ac:dyDescent="0.45">
      <c r="A1953" s="19" t="s">
        <v>4023</v>
      </c>
      <c r="B1953" s="20" t="s">
        <v>4024</v>
      </c>
      <c r="C1953" s="21">
        <v>1519</v>
      </c>
      <c r="D1953" s="22"/>
      <c r="E1953" s="23">
        <v>-3.8599998950958253E-2</v>
      </c>
      <c r="F1953" s="24" t="s">
        <v>125</v>
      </c>
    </row>
    <row r="1954" spans="1:6" ht="16" customHeight="1" x14ac:dyDescent="0.45">
      <c r="A1954" s="19" t="s">
        <v>4025</v>
      </c>
      <c r="B1954" s="20" t="s">
        <v>4026</v>
      </c>
      <c r="C1954" s="21">
        <v>25450</v>
      </c>
      <c r="D1954" s="22"/>
      <c r="E1954" s="23">
        <v>-2.1199998855590822E-2</v>
      </c>
      <c r="F1954" s="24" t="s">
        <v>128</v>
      </c>
    </row>
    <row r="1955" spans="1:6" ht="16" customHeight="1" x14ac:dyDescent="0.45">
      <c r="A1955" s="19" t="s">
        <v>4027</v>
      </c>
      <c r="B1955" s="20" t="s">
        <v>4028</v>
      </c>
      <c r="C1955" s="21">
        <v>3875</v>
      </c>
      <c r="D1955" s="22"/>
      <c r="E1955" s="23">
        <v>-0.03</v>
      </c>
      <c r="F1955" s="24" t="s">
        <v>128</v>
      </c>
    </row>
    <row r="1956" spans="1:6" ht="16" customHeight="1" x14ac:dyDescent="0.45">
      <c r="A1956" s="19" t="s">
        <v>4029</v>
      </c>
      <c r="B1956" s="20" t="s">
        <v>4030</v>
      </c>
      <c r="C1956" s="21">
        <v>3370</v>
      </c>
      <c r="D1956" s="22"/>
      <c r="E1956" s="23">
        <v>-1.4600000381469729E-2</v>
      </c>
      <c r="F1956" s="24" t="s">
        <v>125</v>
      </c>
    </row>
    <row r="1957" spans="1:6" ht="16" customHeight="1" x14ac:dyDescent="0.45">
      <c r="A1957" s="19" t="s">
        <v>4031</v>
      </c>
      <c r="B1957" s="20" t="s">
        <v>4032</v>
      </c>
      <c r="C1957" s="21">
        <v>6270</v>
      </c>
      <c r="D1957" s="22"/>
      <c r="E1957" s="23">
        <v>-4.1300001144409182E-2</v>
      </c>
      <c r="F1957" s="24" t="s">
        <v>128</v>
      </c>
    </row>
    <row r="1958" spans="1:6" ht="16" customHeight="1" x14ac:dyDescent="0.45">
      <c r="A1958" s="19" t="s">
        <v>4033</v>
      </c>
      <c r="B1958" s="20" t="s">
        <v>4034</v>
      </c>
      <c r="C1958" s="21">
        <v>6930</v>
      </c>
      <c r="D1958" s="22"/>
      <c r="E1958" s="23">
        <v>-1.7000000476837161E-2</v>
      </c>
      <c r="F1958" s="24" t="s">
        <v>125</v>
      </c>
    </row>
    <row r="1959" spans="1:6" ht="16" customHeight="1" x14ac:dyDescent="0.45">
      <c r="A1959" s="19" t="s">
        <v>4035</v>
      </c>
      <c r="B1959" s="20" t="s">
        <v>4036</v>
      </c>
      <c r="C1959" s="21">
        <v>3925</v>
      </c>
      <c r="D1959" s="22"/>
      <c r="E1959" s="23">
        <v>-7.5999999046325682E-3</v>
      </c>
      <c r="F1959" s="24" t="s">
        <v>125</v>
      </c>
    </row>
    <row r="1960" spans="1:6" ht="16" customHeight="1" x14ac:dyDescent="0.45">
      <c r="A1960" s="19" t="s">
        <v>4037</v>
      </c>
      <c r="B1960" s="20" t="s">
        <v>4038</v>
      </c>
      <c r="C1960" s="21">
        <v>4735</v>
      </c>
      <c r="D1960" s="22"/>
      <c r="E1960" s="23">
        <v>-3.3699998855590822E-2</v>
      </c>
      <c r="F1960" s="24" t="s">
        <v>125</v>
      </c>
    </row>
    <row r="1961" spans="1:6" ht="16" customHeight="1" x14ac:dyDescent="0.45">
      <c r="A1961" s="19" t="s">
        <v>4039</v>
      </c>
      <c r="B1961" s="20" t="s">
        <v>4040</v>
      </c>
      <c r="C1961" s="21">
        <v>9890</v>
      </c>
      <c r="D1961" s="22"/>
      <c r="E1961" s="23">
        <v>0.1315999984741211</v>
      </c>
      <c r="F1961" s="24" t="s">
        <v>125</v>
      </c>
    </row>
    <row r="1962" spans="1:6" ht="16" customHeight="1" x14ac:dyDescent="0.45">
      <c r="A1962" s="19" t="s">
        <v>4041</v>
      </c>
      <c r="B1962" s="20" t="s">
        <v>4042</v>
      </c>
      <c r="C1962" s="21">
        <v>115</v>
      </c>
      <c r="D1962" s="22"/>
      <c r="E1962" s="23">
        <v>0</v>
      </c>
      <c r="F1962" s="24" t="s">
        <v>251</v>
      </c>
    </row>
    <row r="1963" spans="1:6" ht="16" customHeight="1" x14ac:dyDescent="0.45">
      <c r="A1963" s="19" t="s">
        <v>4043</v>
      </c>
      <c r="B1963" s="20" t="s">
        <v>4044</v>
      </c>
      <c r="C1963" s="21">
        <v>19530</v>
      </c>
      <c r="D1963" s="22"/>
      <c r="E1963" s="23">
        <v>-3.6000001430511481E-3</v>
      </c>
      <c r="F1963" s="24" t="s">
        <v>128</v>
      </c>
    </row>
    <row r="1964" spans="1:6" ht="16" customHeight="1" x14ac:dyDescent="0.45">
      <c r="A1964" s="19" t="s">
        <v>4045</v>
      </c>
      <c r="B1964" s="20" t="s">
        <v>4046</v>
      </c>
      <c r="C1964" s="21">
        <v>16910</v>
      </c>
      <c r="D1964" s="22"/>
      <c r="E1964" s="23">
        <v>-1.8600000143051149E-2</v>
      </c>
      <c r="F1964" s="24" t="s">
        <v>125</v>
      </c>
    </row>
    <row r="1965" spans="1:6" ht="16" customHeight="1" x14ac:dyDescent="0.45">
      <c r="A1965" s="19" t="s">
        <v>4047</v>
      </c>
      <c r="B1965" s="20" t="s">
        <v>4048</v>
      </c>
      <c r="C1965" s="21">
        <v>3835</v>
      </c>
      <c r="D1965" s="22"/>
      <c r="E1965" s="23">
        <v>-3.7599999904632572E-2</v>
      </c>
      <c r="F1965" s="24" t="s">
        <v>125</v>
      </c>
    </row>
    <row r="1966" spans="1:6" ht="16" customHeight="1" x14ac:dyDescent="0.45">
      <c r="A1966" s="19" t="s">
        <v>4049</v>
      </c>
      <c r="B1966" s="20" t="s">
        <v>4050</v>
      </c>
      <c r="C1966" s="21">
        <v>7440</v>
      </c>
      <c r="D1966" s="22"/>
      <c r="E1966" s="23">
        <v>-3.7499999999999999E-2</v>
      </c>
      <c r="F1966" s="24" t="s">
        <v>125</v>
      </c>
    </row>
    <row r="1967" spans="1:6" ht="16" customHeight="1" x14ac:dyDescent="0.45">
      <c r="A1967" s="19" t="s">
        <v>4051</v>
      </c>
      <c r="B1967" s="20" t="s">
        <v>4052</v>
      </c>
      <c r="C1967" s="21">
        <v>1447</v>
      </c>
      <c r="D1967" s="22"/>
      <c r="E1967" s="23">
        <v>-0.10119999885559081</v>
      </c>
      <c r="F1967" s="24" t="s">
        <v>125</v>
      </c>
    </row>
    <row r="1968" spans="1:6" ht="16" customHeight="1" x14ac:dyDescent="0.45">
      <c r="A1968" s="19" t="s">
        <v>4053</v>
      </c>
      <c r="B1968" s="20" t="s">
        <v>4054</v>
      </c>
      <c r="C1968" s="21">
        <v>1519</v>
      </c>
      <c r="D1968" s="22"/>
      <c r="E1968" s="23">
        <v>-5.1199998855590817E-2</v>
      </c>
      <c r="F1968" s="24" t="s">
        <v>125</v>
      </c>
    </row>
    <row r="1969" spans="1:6" ht="16" customHeight="1" x14ac:dyDescent="0.45">
      <c r="A1969" s="19" t="s">
        <v>4055</v>
      </c>
      <c r="B1969" s="20" t="s">
        <v>4056</v>
      </c>
      <c r="C1969" s="21">
        <v>1393</v>
      </c>
      <c r="D1969" s="22"/>
      <c r="E1969" s="23">
        <v>0</v>
      </c>
      <c r="F1969" s="24" t="s">
        <v>125</v>
      </c>
    </row>
    <row r="1970" spans="1:6" ht="16" customHeight="1" x14ac:dyDescent="0.45">
      <c r="A1970" s="19" t="s">
        <v>4057</v>
      </c>
      <c r="B1970" s="20" t="s">
        <v>4058</v>
      </c>
      <c r="C1970" s="21">
        <v>24200</v>
      </c>
      <c r="D1970" s="22"/>
      <c r="E1970" s="23">
        <v>-8.199999928474427E-3</v>
      </c>
      <c r="F1970" s="24" t="s">
        <v>125</v>
      </c>
    </row>
    <row r="1971" spans="1:6" ht="16" customHeight="1" x14ac:dyDescent="0.45">
      <c r="A1971" s="19" t="s">
        <v>4059</v>
      </c>
      <c r="B1971" s="20" t="s">
        <v>4060</v>
      </c>
      <c r="C1971" s="21">
        <v>13700</v>
      </c>
      <c r="D1971" s="22"/>
      <c r="E1971" s="23">
        <v>-1.370000004768371E-2</v>
      </c>
      <c r="F1971" s="24" t="s">
        <v>125</v>
      </c>
    </row>
    <row r="1972" spans="1:6" ht="16" customHeight="1" x14ac:dyDescent="0.45">
      <c r="A1972" s="19" t="s">
        <v>4061</v>
      </c>
      <c r="B1972" s="20" t="s">
        <v>4062</v>
      </c>
      <c r="C1972" s="21">
        <v>36050</v>
      </c>
      <c r="D1972" s="22"/>
      <c r="E1972" s="23">
        <v>-6.8999999761581417E-3</v>
      </c>
      <c r="F1972" s="24" t="s">
        <v>125</v>
      </c>
    </row>
    <row r="1973" spans="1:6" ht="16" customHeight="1" x14ac:dyDescent="0.45">
      <c r="A1973" s="19" t="s">
        <v>4063</v>
      </c>
      <c r="B1973" s="20" t="s">
        <v>4064</v>
      </c>
      <c r="C1973" s="21">
        <v>2930</v>
      </c>
      <c r="D1973" s="22"/>
      <c r="E1973" s="23">
        <v>-2.0099999904632571E-2</v>
      </c>
      <c r="F1973" s="24" t="s">
        <v>125</v>
      </c>
    </row>
    <row r="1974" spans="1:6" ht="16" customHeight="1" x14ac:dyDescent="0.45">
      <c r="A1974" s="19" t="s">
        <v>4065</v>
      </c>
      <c r="B1974" s="20" t="s">
        <v>4066</v>
      </c>
      <c r="C1974" s="21">
        <v>9000</v>
      </c>
      <c r="D1974" s="22"/>
      <c r="E1974" s="23">
        <v>-3.8499999046325693E-2</v>
      </c>
      <c r="F1974" s="24" t="s">
        <v>125</v>
      </c>
    </row>
    <row r="1975" spans="1:6" ht="16" customHeight="1" x14ac:dyDescent="0.45">
      <c r="A1975" s="19" t="s">
        <v>4067</v>
      </c>
      <c r="B1975" s="20" t="s">
        <v>4068</v>
      </c>
      <c r="C1975" s="21">
        <v>6320</v>
      </c>
      <c r="D1975" s="22"/>
      <c r="E1975" s="23">
        <v>-1.8600000143051149E-2</v>
      </c>
      <c r="F1975" s="24" t="s">
        <v>125</v>
      </c>
    </row>
    <row r="1976" spans="1:6" ht="16" customHeight="1" x14ac:dyDescent="0.45">
      <c r="A1976" s="19" t="s">
        <v>4069</v>
      </c>
      <c r="B1976" s="20" t="s">
        <v>4070</v>
      </c>
      <c r="C1976" s="21">
        <v>12960</v>
      </c>
      <c r="D1976" s="22"/>
      <c r="E1976" s="23">
        <v>-1.8899999856948849E-2</v>
      </c>
      <c r="F1976" s="24" t="s">
        <v>125</v>
      </c>
    </row>
    <row r="1977" spans="1:6" ht="16" customHeight="1" x14ac:dyDescent="0.45">
      <c r="A1977" s="19" t="s">
        <v>4071</v>
      </c>
      <c r="B1977" s="20" t="s">
        <v>4072</v>
      </c>
      <c r="C1977" s="21">
        <v>312</v>
      </c>
      <c r="D1977" s="22"/>
      <c r="E1977" s="23">
        <v>3.1999999284744261E-3</v>
      </c>
      <c r="F1977" s="24" t="s">
        <v>125</v>
      </c>
    </row>
    <row r="1978" spans="1:6" ht="16" customHeight="1" x14ac:dyDescent="0.45">
      <c r="A1978" s="19" t="s">
        <v>4073</v>
      </c>
      <c r="B1978" s="20" t="s">
        <v>4074</v>
      </c>
      <c r="C1978" s="21">
        <v>3925</v>
      </c>
      <c r="D1978" s="22"/>
      <c r="E1978" s="23">
        <v>-3.2100000381469727E-2</v>
      </c>
      <c r="F1978" s="24" t="s">
        <v>125</v>
      </c>
    </row>
    <row r="1979" spans="1:6" ht="16" customHeight="1" x14ac:dyDescent="0.45">
      <c r="A1979" s="19" t="s">
        <v>4075</v>
      </c>
      <c r="B1979" s="20" t="s">
        <v>4076</v>
      </c>
      <c r="C1979" s="21">
        <v>4580</v>
      </c>
      <c r="D1979" s="22"/>
      <c r="E1979" s="23">
        <v>-2.5499999523162838E-2</v>
      </c>
      <c r="F1979" s="24" t="s">
        <v>128</v>
      </c>
    </row>
    <row r="1980" spans="1:6" ht="16" customHeight="1" x14ac:dyDescent="0.45">
      <c r="A1980" s="19" t="s">
        <v>4077</v>
      </c>
      <c r="B1980" s="20" t="s">
        <v>4078</v>
      </c>
      <c r="C1980" s="21">
        <v>103900</v>
      </c>
      <c r="D1980" s="22"/>
      <c r="E1980" s="23">
        <v>-1.8899999856948849E-2</v>
      </c>
      <c r="F1980" s="24" t="s">
        <v>128</v>
      </c>
    </row>
    <row r="1981" spans="1:6" ht="16" customHeight="1" x14ac:dyDescent="0.45">
      <c r="A1981" s="19" t="s">
        <v>4079</v>
      </c>
      <c r="B1981" s="20" t="s">
        <v>4080</v>
      </c>
      <c r="C1981" s="21">
        <v>6670</v>
      </c>
      <c r="D1981" s="22"/>
      <c r="E1981" s="23">
        <v>-3.6099998950958251E-2</v>
      </c>
      <c r="F1981" s="24" t="s">
        <v>125</v>
      </c>
    </row>
    <row r="1982" spans="1:6" ht="16" customHeight="1" x14ac:dyDescent="0.45">
      <c r="A1982" s="19" t="s">
        <v>4081</v>
      </c>
      <c r="B1982" s="20" t="s">
        <v>4082</v>
      </c>
      <c r="C1982" s="21">
        <v>2965</v>
      </c>
      <c r="D1982" s="22"/>
      <c r="E1982" s="23">
        <v>1.539999961853027E-2</v>
      </c>
      <c r="F1982" s="24" t="s">
        <v>125</v>
      </c>
    </row>
    <row r="1983" spans="1:6" ht="16" customHeight="1" x14ac:dyDescent="0.45">
      <c r="A1983" s="19" t="s">
        <v>4083</v>
      </c>
      <c r="B1983" s="20" t="s">
        <v>4084</v>
      </c>
      <c r="C1983" s="21">
        <v>2030</v>
      </c>
      <c r="D1983" s="22"/>
      <c r="E1983" s="23">
        <v>0</v>
      </c>
      <c r="F1983" s="24" t="s">
        <v>125</v>
      </c>
    </row>
    <row r="1984" spans="1:6" ht="16" customHeight="1" x14ac:dyDescent="0.45">
      <c r="A1984" s="19" t="s">
        <v>4085</v>
      </c>
      <c r="B1984" s="20" t="s">
        <v>4086</v>
      </c>
      <c r="C1984" s="21">
        <v>1819</v>
      </c>
      <c r="D1984" s="22"/>
      <c r="E1984" s="23">
        <v>-3.7599999904632572E-2</v>
      </c>
      <c r="F1984" s="24" t="s">
        <v>125</v>
      </c>
    </row>
    <row r="1985" spans="1:6" ht="16" customHeight="1" x14ac:dyDescent="0.45">
      <c r="A1985" s="19" t="s">
        <v>4087</v>
      </c>
      <c r="B1985" s="20" t="s">
        <v>4088</v>
      </c>
      <c r="C1985" s="21">
        <v>5100</v>
      </c>
      <c r="D1985" s="22"/>
      <c r="E1985" s="23">
        <v>0</v>
      </c>
      <c r="F1985" s="24" t="s">
        <v>251</v>
      </c>
    </row>
    <row r="1986" spans="1:6" ht="16" customHeight="1" x14ac:dyDescent="0.45">
      <c r="A1986" s="19" t="s">
        <v>4089</v>
      </c>
      <c r="B1986" s="20" t="s">
        <v>4090</v>
      </c>
      <c r="C1986" s="21">
        <v>8260</v>
      </c>
      <c r="D1986" s="22"/>
      <c r="E1986" s="23">
        <v>2.8599998950958251E-2</v>
      </c>
      <c r="F1986" s="24" t="s">
        <v>125</v>
      </c>
    </row>
    <row r="1987" spans="1:6" ht="16" customHeight="1" x14ac:dyDescent="0.45">
      <c r="A1987" s="19" t="s">
        <v>4091</v>
      </c>
      <c r="B1987" s="20" t="s">
        <v>4092</v>
      </c>
      <c r="C1987" s="21">
        <v>7620</v>
      </c>
      <c r="D1987" s="22"/>
      <c r="E1987" s="23">
        <v>2.599999904632568E-3</v>
      </c>
      <c r="F1987" s="24" t="s">
        <v>125</v>
      </c>
    </row>
    <row r="1988" spans="1:6" ht="16" customHeight="1" x14ac:dyDescent="0.45">
      <c r="A1988" s="19" t="s">
        <v>4093</v>
      </c>
      <c r="B1988" s="20" t="s">
        <v>4094</v>
      </c>
      <c r="C1988" s="21">
        <v>5000</v>
      </c>
      <c r="D1988" s="22"/>
      <c r="E1988" s="23">
        <v>-4.0000000596046451E-3</v>
      </c>
      <c r="F1988" s="24" t="s">
        <v>251</v>
      </c>
    </row>
    <row r="1989" spans="1:6" ht="16" customHeight="1" x14ac:dyDescent="0.45">
      <c r="A1989" s="19" t="s">
        <v>4095</v>
      </c>
      <c r="B1989" s="20" t="s">
        <v>4096</v>
      </c>
      <c r="C1989" s="21">
        <v>120700</v>
      </c>
      <c r="D1989" s="22"/>
      <c r="E1989" s="23">
        <v>-2.349999904632568E-2</v>
      </c>
      <c r="F1989" s="24" t="s">
        <v>128</v>
      </c>
    </row>
    <row r="1990" spans="1:6" ht="16" customHeight="1" x14ac:dyDescent="0.45">
      <c r="A1990" s="19" t="s">
        <v>4097</v>
      </c>
      <c r="B1990" s="20" t="s">
        <v>4098</v>
      </c>
      <c r="C1990" s="21">
        <v>4520</v>
      </c>
      <c r="D1990" s="22"/>
      <c r="E1990" s="23">
        <v>-2.7999999523162841E-2</v>
      </c>
      <c r="F1990" s="24" t="s">
        <v>125</v>
      </c>
    </row>
    <row r="1991" spans="1:6" ht="16" customHeight="1" x14ac:dyDescent="0.45">
      <c r="A1991" s="19" t="s">
        <v>4099</v>
      </c>
      <c r="B1991" s="20" t="s">
        <v>4100</v>
      </c>
      <c r="C1991" s="21">
        <v>149600</v>
      </c>
      <c r="D1991" s="22"/>
      <c r="E1991" s="23">
        <v>4.0000000596046451E-3</v>
      </c>
      <c r="F1991" s="24" t="s">
        <v>128</v>
      </c>
    </row>
    <row r="1992" spans="1:6" ht="16" customHeight="1" x14ac:dyDescent="0.45">
      <c r="A1992" s="19" t="s">
        <v>4101</v>
      </c>
      <c r="B1992" s="20" t="s">
        <v>4102</v>
      </c>
      <c r="C1992" s="21">
        <v>10730</v>
      </c>
      <c r="D1992" s="22"/>
      <c r="E1992" s="23">
        <v>-4.7899999618530267E-2</v>
      </c>
      <c r="F1992" s="24" t="s">
        <v>128</v>
      </c>
    </row>
    <row r="1993" spans="1:6" ht="16" customHeight="1" x14ac:dyDescent="0.45">
      <c r="A1993" s="19" t="s">
        <v>4103</v>
      </c>
      <c r="B1993" s="20" t="s">
        <v>4104</v>
      </c>
      <c r="C1993" s="21">
        <v>464</v>
      </c>
      <c r="D1993" s="22"/>
      <c r="E1993" s="23">
        <v>0</v>
      </c>
      <c r="F1993" s="24" t="s">
        <v>128</v>
      </c>
    </row>
    <row r="1994" spans="1:6" ht="16" customHeight="1" x14ac:dyDescent="0.45">
      <c r="A1994" s="19" t="s">
        <v>4105</v>
      </c>
      <c r="B1994" s="20" t="s">
        <v>4106</v>
      </c>
      <c r="C1994" s="21">
        <v>14370</v>
      </c>
      <c r="D1994" s="22"/>
      <c r="E1994" s="23">
        <v>-1.4400000572204591E-2</v>
      </c>
      <c r="F1994" s="24" t="s">
        <v>125</v>
      </c>
    </row>
    <row r="1995" spans="1:6" ht="16" customHeight="1" x14ac:dyDescent="0.45">
      <c r="A1995" s="19" t="s">
        <v>4107</v>
      </c>
      <c r="B1995" s="20" t="s">
        <v>4108</v>
      </c>
      <c r="C1995" s="21">
        <v>826</v>
      </c>
      <c r="D1995" s="22"/>
      <c r="E1995" s="23">
        <v>3.2500000000000001E-2</v>
      </c>
      <c r="F1995" s="24" t="s">
        <v>125</v>
      </c>
    </row>
    <row r="1996" spans="1:6" ht="16" customHeight="1" x14ac:dyDescent="0.45">
      <c r="A1996" s="19" t="s">
        <v>4109</v>
      </c>
      <c r="B1996" s="20" t="s">
        <v>4110</v>
      </c>
      <c r="C1996" s="21">
        <v>1426</v>
      </c>
      <c r="D1996" s="22"/>
      <c r="E1996" s="23">
        <v>-1.519999980926514E-2</v>
      </c>
      <c r="F1996" s="24" t="s">
        <v>125</v>
      </c>
    </row>
    <row r="1997" spans="1:6" ht="16" customHeight="1" x14ac:dyDescent="0.45">
      <c r="A1997" s="19" t="s">
        <v>4111</v>
      </c>
      <c r="B1997" s="20" t="s">
        <v>4112</v>
      </c>
      <c r="C1997" s="21">
        <v>2350</v>
      </c>
      <c r="D1997" s="22"/>
      <c r="E1997" s="23">
        <v>-1.6699999570846561E-2</v>
      </c>
      <c r="F1997" s="24" t="s">
        <v>125</v>
      </c>
    </row>
    <row r="1998" spans="1:6" ht="16" customHeight="1" x14ac:dyDescent="0.45">
      <c r="A1998" s="19" t="s">
        <v>4113</v>
      </c>
      <c r="B1998" s="20" t="s">
        <v>4114</v>
      </c>
      <c r="C1998" s="21">
        <v>14980</v>
      </c>
      <c r="D1998" s="22"/>
      <c r="E1998" s="23">
        <v>-1.8300000429153439E-2</v>
      </c>
      <c r="F1998" s="24" t="s">
        <v>125</v>
      </c>
    </row>
    <row r="1999" spans="1:6" ht="16" customHeight="1" x14ac:dyDescent="0.45">
      <c r="A1999" s="19" t="s">
        <v>4115</v>
      </c>
      <c r="B1999" s="20" t="s">
        <v>4116</v>
      </c>
      <c r="C1999" s="21">
        <v>58000</v>
      </c>
      <c r="D1999" s="22"/>
      <c r="E1999" s="23">
        <v>1.700000017881394E-3</v>
      </c>
      <c r="F1999" s="24" t="s">
        <v>125</v>
      </c>
    </row>
    <row r="2000" spans="1:6" ht="16" customHeight="1" x14ac:dyDescent="0.45">
      <c r="A2000" s="19" t="s">
        <v>4117</v>
      </c>
      <c r="B2000" s="20" t="s">
        <v>4118</v>
      </c>
      <c r="C2000" s="21">
        <v>5110</v>
      </c>
      <c r="D2000" s="22"/>
      <c r="E2000" s="23">
        <v>0</v>
      </c>
      <c r="F2000" s="24" t="s">
        <v>128</v>
      </c>
    </row>
    <row r="2001" spans="1:6" ht="16" customHeight="1" x14ac:dyDescent="0.45">
      <c r="A2001" s="19" t="s">
        <v>4119</v>
      </c>
      <c r="B2001" s="20" t="s">
        <v>4120</v>
      </c>
      <c r="C2001" s="21">
        <v>12590</v>
      </c>
      <c r="D2001" s="22"/>
      <c r="E2001" s="23">
        <v>-4.6199998855590819E-2</v>
      </c>
      <c r="F2001" s="24" t="s">
        <v>125</v>
      </c>
    </row>
    <row r="2002" spans="1:6" ht="16" customHeight="1" x14ac:dyDescent="0.45">
      <c r="A2002" s="19" t="s">
        <v>4121</v>
      </c>
      <c r="B2002" s="20" t="s">
        <v>4122</v>
      </c>
      <c r="C2002" s="21">
        <v>3780</v>
      </c>
      <c r="D2002" s="22"/>
      <c r="E2002" s="23">
        <v>7.2300000190734862E-2</v>
      </c>
      <c r="F2002" s="24" t="s">
        <v>125</v>
      </c>
    </row>
    <row r="2003" spans="1:6" ht="16" customHeight="1" x14ac:dyDescent="0.45">
      <c r="A2003" s="19" t="s">
        <v>4123</v>
      </c>
      <c r="B2003" s="20" t="s">
        <v>4124</v>
      </c>
      <c r="C2003" s="21">
        <v>2010</v>
      </c>
      <c r="D2003" s="22"/>
      <c r="E2003" s="23">
        <v>2.5000000000000001E-3</v>
      </c>
      <c r="F2003" s="24" t="s">
        <v>125</v>
      </c>
    </row>
    <row r="2004" spans="1:6" ht="16" customHeight="1" x14ac:dyDescent="0.45">
      <c r="A2004" s="19" t="s">
        <v>4125</v>
      </c>
      <c r="B2004" s="20" t="s">
        <v>4126</v>
      </c>
      <c r="C2004" s="21">
        <v>1023</v>
      </c>
      <c r="D2004" s="22"/>
      <c r="E2004" s="23">
        <v>-3.130000114440918E-2</v>
      </c>
      <c r="F2004" s="24" t="s">
        <v>125</v>
      </c>
    </row>
    <row r="2005" spans="1:6" ht="16" customHeight="1" x14ac:dyDescent="0.45">
      <c r="A2005" s="19" t="s">
        <v>4127</v>
      </c>
      <c r="B2005" s="20" t="s">
        <v>4128</v>
      </c>
      <c r="C2005" s="21">
        <v>7030</v>
      </c>
      <c r="D2005" s="22"/>
      <c r="E2005" s="23">
        <v>-1.1299999952316279E-2</v>
      </c>
      <c r="F2005" s="24" t="s">
        <v>125</v>
      </c>
    </row>
    <row r="2006" spans="1:6" ht="16" customHeight="1" x14ac:dyDescent="0.45">
      <c r="A2006" s="19" t="s">
        <v>4129</v>
      </c>
      <c r="B2006" s="20" t="s">
        <v>4130</v>
      </c>
      <c r="C2006" s="21">
        <v>14940</v>
      </c>
      <c r="D2006" s="22"/>
      <c r="E2006" s="23">
        <v>3.4000000357627871E-3</v>
      </c>
      <c r="F2006" s="24" t="s">
        <v>251</v>
      </c>
    </row>
    <row r="2007" spans="1:6" ht="16" customHeight="1" x14ac:dyDescent="0.45">
      <c r="A2007" s="19" t="s">
        <v>4131</v>
      </c>
      <c r="B2007" s="20" t="s">
        <v>4132</v>
      </c>
      <c r="C2007" s="21">
        <v>10300</v>
      </c>
      <c r="D2007" s="22"/>
      <c r="E2007" s="23">
        <v>-2.6500000953674319E-2</v>
      </c>
      <c r="F2007" s="24" t="s">
        <v>128</v>
      </c>
    </row>
    <row r="2008" spans="1:6" ht="16" customHeight="1" x14ac:dyDescent="0.45">
      <c r="A2008" s="19" t="s">
        <v>4133</v>
      </c>
      <c r="B2008" s="20" t="s">
        <v>4134</v>
      </c>
      <c r="C2008" s="21">
        <v>452000</v>
      </c>
      <c r="D2008" s="22"/>
      <c r="E2008" s="23">
        <v>-4.8400001525878908E-2</v>
      </c>
      <c r="F2008" s="24" t="s">
        <v>125</v>
      </c>
    </row>
    <row r="2009" spans="1:6" ht="16" customHeight="1" x14ac:dyDescent="0.45">
      <c r="A2009" s="19" t="s">
        <v>4135</v>
      </c>
      <c r="B2009" s="20" t="s">
        <v>4136</v>
      </c>
      <c r="C2009" s="21">
        <v>1490</v>
      </c>
      <c r="D2009" s="22"/>
      <c r="E2009" s="23">
        <v>0</v>
      </c>
      <c r="F2009" s="24" t="s">
        <v>125</v>
      </c>
    </row>
    <row r="2010" spans="1:6" ht="16" customHeight="1" x14ac:dyDescent="0.45">
      <c r="A2010" s="19" t="s">
        <v>4137</v>
      </c>
      <c r="B2010" s="20" t="s">
        <v>4138</v>
      </c>
      <c r="C2010" s="21">
        <v>630</v>
      </c>
      <c r="D2010" s="22"/>
      <c r="E2010" s="23">
        <v>0</v>
      </c>
      <c r="F2010" s="24" t="s">
        <v>125</v>
      </c>
    </row>
    <row r="2011" spans="1:6" ht="16" customHeight="1" x14ac:dyDescent="0.45">
      <c r="A2011" s="19" t="s">
        <v>4139</v>
      </c>
      <c r="B2011" s="20" t="s">
        <v>4140</v>
      </c>
      <c r="C2011" s="21">
        <v>1911</v>
      </c>
      <c r="D2011" s="22"/>
      <c r="E2011" s="23">
        <v>-1.039999961853027E-2</v>
      </c>
      <c r="F2011" s="24" t="s">
        <v>128</v>
      </c>
    </row>
    <row r="2012" spans="1:6" ht="16" customHeight="1" x14ac:dyDescent="0.45">
      <c r="A2012" s="19" t="s">
        <v>4141</v>
      </c>
      <c r="B2012" s="20" t="s">
        <v>4142</v>
      </c>
      <c r="C2012" s="21">
        <v>7620</v>
      </c>
      <c r="D2012" s="22"/>
      <c r="E2012" s="23">
        <v>-2.309999942779541E-2</v>
      </c>
      <c r="F2012" s="24" t="s">
        <v>125</v>
      </c>
    </row>
    <row r="2013" spans="1:6" ht="16" customHeight="1" x14ac:dyDescent="0.45">
      <c r="A2013" s="19" t="s">
        <v>4143</v>
      </c>
      <c r="B2013" s="20" t="s">
        <v>4144</v>
      </c>
      <c r="C2013" s="21">
        <v>7540</v>
      </c>
      <c r="D2013" s="22"/>
      <c r="E2013" s="23">
        <v>-3.3299999237060549E-2</v>
      </c>
      <c r="F2013" s="24" t="s">
        <v>125</v>
      </c>
    </row>
    <row r="2014" spans="1:6" ht="16" customHeight="1" x14ac:dyDescent="0.45">
      <c r="A2014" s="19" t="s">
        <v>4145</v>
      </c>
      <c r="B2014" s="20" t="s">
        <v>4146</v>
      </c>
      <c r="C2014" s="21">
        <v>3740</v>
      </c>
      <c r="D2014" s="22"/>
      <c r="E2014" s="23">
        <v>-1.7100000381469731E-2</v>
      </c>
      <c r="F2014" s="24" t="s">
        <v>128</v>
      </c>
    </row>
    <row r="2015" spans="1:6" ht="16" customHeight="1" x14ac:dyDescent="0.45">
      <c r="A2015" s="19" t="s">
        <v>4147</v>
      </c>
      <c r="B2015" s="20" t="s">
        <v>4148</v>
      </c>
      <c r="C2015" s="21">
        <v>4010</v>
      </c>
      <c r="D2015" s="22"/>
      <c r="E2015" s="23">
        <v>-1.600000023841858E-2</v>
      </c>
      <c r="F2015" s="24" t="s">
        <v>128</v>
      </c>
    </row>
    <row r="2016" spans="1:6" ht="16" customHeight="1" x14ac:dyDescent="0.45">
      <c r="A2016" s="19" t="s">
        <v>4149</v>
      </c>
      <c r="B2016" s="20" t="s">
        <v>4150</v>
      </c>
      <c r="C2016" s="21">
        <v>8210</v>
      </c>
      <c r="D2016" s="22"/>
      <c r="E2016" s="23">
        <v>-3.7499999999999999E-2</v>
      </c>
      <c r="F2016" s="24" t="s">
        <v>125</v>
      </c>
    </row>
    <row r="2017" spans="1:6" ht="16" customHeight="1" x14ac:dyDescent="0.45">
      <c r="A2017" s="19" t="s">
        <v>4151</v>
      </c>
      <c r="B2017" s="20" t="s">
        <v>4152</v>
      </c>
      <c r="C2017" s="21">
        <v>3835</v>
      </c>
      <c r="D2017" s="22"/>
      <c r="E2017" s="23">
        <v>-3.4000000953674323E-2</v>
      </c>
      <c r="F2017" s="24" t="s">
        <v>125</v>
      </c>
    </row>
    <row r="2018" spans="1:6" ht="16" customHeight="1" x14ac:dyDescent="0.45">
      <c r="A2018" s="19" t="s">
        <v>4153</v>
      </c>
      <c r="B2018" s="20" t="s">
        <v>4154</v>
      </c>
      <c r="C2018" s="21">
        <v>5600</v>
      </c>
      <c r="D2018" s="22"/>
      <c r="E2018" s="23">
        <v>-2.0999999046325681E-2</v>
      </c>
      <c r="F2018" s="24" t="s">
        <v>125</v>
      </c>
    </row>
    <row r="2019" spans="1:6" ht="16" customHeight="1" x14ac:dyDescent="0.45">
      <c r="A2019" s="19" t="s">
        <v>4155</v>
      </c>
      <c r="B2019" s="20" t="s">
        <v>4156</v>
      </c>
      <c r="C2019" s="21">
        <v>14920</v>
      </c>
      <c r="D2019" s="22"/>
      <c r="E2019" s="23">
        <v>-1.6499999761581421E-2</v>
      </c>
      <c r="F2019" s="24" t="s">
        <v>125</v>
      </c>
    </row>
    <row r="2020" spans="1:6" ht="16" customHeight="1" x14ac:dyDescent="0.45">
      <c r="A2020" s="19" t="s">
        <v>4157</v>
      </c>
      <c r="B2020" s="20" t="s">
        <v>4158</v>
      </c>
      <c r="C2020" s="21">
        <v>4370</v>
      </c>
      <c r="D2020" s="22"/>
      <c r="E2020" s="23">
        <v>-2.4600000381469731E-2</v>
      </c>
      <c r="F2020" s="24" t="s">
        <v>125</v>
      </c>
    </row>
    <row r="2021" spans="1:6" ht="16" customHeight="1" x14ac:dyDescent="0.45">
      <c r="A2021" s="19" t="s">
        <v>4159</v>
      </c>
      <c r="B2021" s="20" t="s">
        <v>4160</v>
      </c>
      <c r="C2021" s="21">
        <v>2215</v>
      </c>
      <c r="D2021" s="22"/>
      <c r="E2021" s="23">
        <v>0</v>
      </c>
      <c r="F2021" s="24" t="s">
        <v>125</v>
      </c>
    </row>
    <row r="2022" spans="1:6" ht="16" customHeight="1" x14ac:dyDescent="0.45">
      <c r="A2022" s="19" t="s">
        <v>4161</v>
      </c>
      <c r="B2022" s="20" t="s">
        <v>4162</v>
      </c>
      <c r="C2022" s="21">
        <v>15890</v>
      </c>
      <c r="D2022" s="22"/>
      <c r="E2022" s="23">
        <v>-6.8999999761581417E-3</v>
      </c>
      <c r="F2022" s="24" t="s">
        <v>128</v>
      </c>
    </row>
    <row r="2023" spans="1:6" ht="16" customHeight="1" x14ac:dyDescent="0.45">
      <c r="A2023" s="19" t="s">
        <v>4163</v>
      </c>
      <c r="B2023" s="20" t="s">
        <v>4164</v>
      </c>
      <c r="C2023" s="21">
        <v>767</v>
      </c>
      <c r="D2023" s="22"/>
      <c r="E2023" s="23">
        <v>-3.2799999713897708E-2</v>
      </c>
      <c r="F2023" s="24" t="s">
        <v>128</v>
      </c>
    </row>
    <row r="2024" spans="1:6" ht="16" customHeight="1" x14ac:dyDescent="0.45">
      <c r="A2024" s="19" t="s">
        <v>4165</v>
      </c>
      <c r="B2024" s="20" t="s">
        <v>4166</v>
      </c>
      <c r="C2024" s="21">
        <v>29850</v>
      </c>
      <c r="D2024" s="22"/>
      <c r="E2024" s="23">
        <v>6.7000001668930057E-3</v>
      </c>
      <c r="F2024" s="24" t="s">
        <v>125</v>
      </c>
    </row>
    <row r="2025" spans="1:6" ht="16" customHeight="1" x14ac:dyDescent="0.45">
      <c r="A2025" s="19" t="s">
        <v>4167</v>
      </c>
      <c r="B2025" s="20" t="s">
        <v>4168</v>
      </c>
      <c r="C2025" s="21">
        <v>2295</v>
      </c>
      <c r="D2025" s="22"/>
      <c r="E2025" s="23">
        <v>-1.0800000429153441E-2</v>
      </c>
      <c r="F2025" s="24" t="s">
        <v>125</v>
      </c>
    </row>
    <row r="2026" spans="1:6" ht="16" customHeight="1" x14ac:dyDescent="0.45">
      <c r="A2026" s="19" t="s">
        <v>4169</v>
      </c>
      <c r="B2026" s="20" t="s">
        <v>4170</v>
      </c>
      <c r="C2026" s="21">
        <v>8040</v>
      </c>
      <c r="D2026" s="22"/>
      <c r="E2026" s="23">
        <v>-3.9400000572204587E-2</v>
      </c>
      <c r="F2026" s="24" t="s">
        <v>128</v>
      </c>
    </row>
    <row r="2027" spans="1:6" ht="16" customHeight="1" x14ac:dyDescent="0.45">
      <c r="A2027" s="19" t="s">
        <v>4171</v>
      </c>
      <c r="B2027" s="20" t="s">
        <v>4172</v>
      </c>
      <c r="C2027" s="21">
        <v>3425</v>
      </c>
      <c r="D2027" s="22"/>
      <c r="E2027" s="23">
        <v>4.7399997711181641E-2</v>
      </c>
      <c r="F2027" s="24" t="s">
        <v>251</v>
      </c>
    </row>
    <row r="2028" spans="1:6" ht="16" customHeight="1" x14ac:dyDescent="0.45">
      <c r="A2028" s="19" t="s">
        <v>4173</v>
      </c>
      <c r="B2028" s="20" t="s">
        <v>4174</v>
      </c>
      <c r="C2028" s="21">
        <v>1027</v>
      </c>
      <c r="D2028" s="22"/>
      <c r="E2028" s="23">
        <v>-4.1999998092651369E-2</v>
      </c>
      <c r="F2028" s="24" t="s">
        <v>125</v>
      </c>
    </row>
    <row r="2029" spans="1:6" ht="16" customHeight="1" x14ac:dyDescent="0.45">
      <c r="A2029" s="19" t="s">
        <v>4175</v>
      </c>
      <c r="B2029" s="20" t="s">
        <v>4176</v>
      </c>
      <c r="C2029" s="21">
        <v>20600</v>
      </c>
      <c r="D2029" s="22"/>
      <c r="E2029" s="23">
        <v>9.8000001907348634E-3</v>
      </c>
      <c r="F2029" s="24" t="s">
        <v>125</v>
      </c>
    </row>
    <row r="2030" spans="1:6" ht="16" customHeight="1" x14ac:dyDescent="0.45">
      <c r="A2030" s="19" t="s">
        <v>4177</v>
      </c>
      <c r="B2030" s="20" t="s">
        <v>4178</v>
      </c>
      <c r="C2030" s="21">
        <v>58900</v>
      </c>
      <c r="D2030" s="22"/>
      <c r="E2030" s="23">
        <v>-6.9499998092651366E-2</v>
      </c>
      <c r="F2030" s="24" t="s">
        <v>125</v>
      </c>
    </row>
    <row r="2031" spans="1:6" ht="16" customHeight="1" x14ac:dyDescent="0.45">
      <c r="A2031" s="19" t="s">
        <v>4179</v>
      </c>
      <c r="B2031" s="20" t="s">
        <v>4180</v>
      </c>
      <c r="C2031" s="21">
        <v>1092</v>
      </c>
      <c r="D2031" s="22"/>
      <c r="E2031" s="23">
        <v>-1.179999947547913E-2</v>
      </c>
      <c r="F2031" s="24" t="s">
        <v>125</v>
      </c>
    </row>
    <row r="2032" spans="1:6" ht="16" customHeight="1" x14ac:dyDescent="0.45">
      <c r="A2032" s="19" t="s">
        <v>4181</v>
      </c>
      <c r="B2032" s="20" t="s">
        <v>4182</v>
      </c>
      <c r="C2032" s="21">
        <v>4480</v>
      </c>
      <c r="D2032" s="22"/>
      <c r="E2032" s="23">
        <v>-3.5499999523162837E-2</v>
      </c>
      <c r="F2032" s="24" t="s">
        <v>125</v>
      </c>
    </row>
    <row r="2033" spans="1:6" ht="16" customHeight="1" x14ac:dyDescent="0.45">
      <c r="A2033" s="19" t="s">
        <v>4183</v>
      </c>
      <c r="B2033" s="20" t="s">
        <v>4184</v>
      </c>
      <c r="C2033" s="21">
        <v>1949</v>
      </c>
      <c r="D2033" s="22"/>
      <c r="E2033" s="23">
        <v>-5.0999999046325694E-3</v>
      </c>
      <c r="F2033" s="24" t="s">
        <v>125</v>
      </c>
    </row>
    <row r="2034" spans="1:6" ht="16" customHeight="1" x14ac:dyDescent="0.45">
      <c r="A2034" s="19" t="s">
        <v>4185</v>
      </c>
      <c r="B2034" s="20" t="s">
        <v>4186</v>
      </c>
      <c r="C2034" s="21">
        <v>3785</v>
      </c>
      <c r="D2034" s="22"/>
      <c r="E2034" s="23">
        <v>0.2072999954223633</v>
      </c>
      <c r="F2034" s="24" t="s">
        <v>125</v>
      </c>
    </row>
    <row r="2035" spans="1:6" ht="16" customHeight="1" x14ac:dyDescent="0.45">
      <c r="A2035" s="19" t="s">
        <v>4187</v>
      </c>
      <c r="B2035" s="20" t="s">
        <v>4188</v>
      </c>
      <c r="C2035" s="21">
        <v>454</v>
      </c>
      <c r="D2035" s="22"/>
      <c r="E2035" s="23">
        <v>1.7899999618530268E-2</v>
      </c>
      <c r="F2035" s="24" t="s">
        <v>128</v>
      </c>
    </row>
    <row r="2036" spans="1:6" ht="16" customHeight="1" x14ac:dyDescent="0.45">
      <c r="A2036" s="19" t="s">
        <v>4189</v>
      </c>
      <c r="B2036" s="20" t="s">
        <v>4190</v>
      </c>
      <c r="C2036" s="21">
        <v>5820</v>
      </c>
      <c r="D2036" s="22"/>
      <c r="E2036" s="23">
        <v>-8.5000002384185789E-3</v>
      </c>
      <c r="F2036" s="24" t="s">
        <v>125</v>
      </c>
    </row>
    <row r="2037" spans="1:6" ht="16" customHeight="1" x14ac:dyDescent="0.45">
      <c r="A2037" s="19" t="s">
        <v>4191</v>
      </c>
      <c r="B2037" s="20" t="s">
        <v>4192</v>
      </c>
      <c r="C2037" s="21">
        <v>1479</v>
      </c>
      <c r="D2037" s="22"/>
      <c r="E2037" s="23">
        <v>-1.139999985694885E-2</v>
      </c>
      <c r="F2037" s="24" t="s">
        <v>125</v>
      </c>
    </row>
    <row r="2038" spans="1:6" ht="16" customHeight="1" x14ac:dyDescent="0.45">
      <c r="A2038" s="19" t="s">
        <v>4193</v>
      </c>
      <c r="B2038" s="20" t="s">
        <v>4194</v>
      </c>
      <c r="C2038" s="21">
        <v>19100</v>
      </c>
      <c r="D2038" s="22"/>
      <c r="E2038" s="23">
        <v>1.110000014305115E-2</v>
      </c>
      <c r="F2038" s="24" t="s">
        <v>125</v>
      </c>
    </row>
    <row r="2039" spans="1:6" ht="16" customHeight="1" x14ac:dyDescent="0.45">
      <c r="A2039" s="19" t="s">
        <v>4195</v>
      </c>
      <c r="B2039" s="20" t="s">
        <v>4196</v>
      </c>
      <c r="C2039" s="21">
        <v>8340</v>
      </c>
      <c r="D2039" s="22"/>
      <c r="E2039" s="23">
        <v>-6.0000002384185793E-3</v>
      </c>
      <c r="F2039" s="24" t="s">
        <v>128</v>
      </c>
    </row>
    <row r="2040" spans="1:6" ht="16" customHeight="1" x14ac:dyDescent="0.45">
      <c r="A2040" s="19" t="s">
        <v>4197</v>
      </c>
      <c r="B2040" s="20" t="s">
        <v>4198</v>
      </c>
      <c r="C2040" s="21">
        <v>26850</v>
      </c>
      <c r="D2040" s="22"/>
      <c r="E2040" s="23">
        <v>0</v>
      </c>
      <c r="F2040" s="24" t="s">
        <v>128</v>
      </c>
    </row>
    <row r="2041" spans="1:6" ht="16" customHeight="1" x14ac:dyDescent="0.45">
      <c r="A2041" s="19" t="s">
        <v>4199</v>
      </c>
      <c r="B2041" s="20" t="s">
        <v>4200</v>
      </c>
      <c r="C2041" s="21">
        <v>10160</v>
      </c>
      <c r="D2041" s="22"/>
      <c r="E2041" s="23">
        <v>-2.77999997138977E-2</v>
      </c>
      <c r="F2041" s="24" t="s">
        <v>125</v>
      </c>
    </row>
    <row r="2042" spans="1:6" ht="16" customHeight="1" x14ac:dyDescent="0.45">
      <c r="A2042" s="19" t="s">
        <v>4201</v>
      </c>
      <c r="B2042" s="20" t="s">
        <v>4202</v>
      </c>
      <c r="C2042" s="21">
        <v>385</v>
      </c>
      <c r="D2042" s="22"/>
      <c r="E2042" s="23">
        <v>0</v>
      </c>
      <c r="F2042" s="24" t="s">
        <v>125</v>
      </c>
    </row>
    <row r="2043" spans="1:6" ht="16" customHeight="1" x14ac:dyDescent="0.45">
      <c r="A2043" s="19" t="s">
        <v>4203</v>
      </c>
      <c r="B2043" s="20" t="s">
        <v>4204</v>
      </c>
      <c r="C2043" s="21">
        <v>798</v>
      </c>
      <c r="D2043" s="22"/>
      <c r="E2043" s="23">
        <v>0</v>
      </c>
      <c r="F2043" s="24" t="s">
        <v>125</v>
      </c>
    </row>
    <row r="2044" spans="1:6" ht="16" customHeight="1" x14ac:dyDescent="0.45">
      <c r="A2044" s="19" t="s">
        <v>4205</v>
      </c>
      <c r="B2044" s="20" t="s">
        <v>4206</v>
      </c>
      <c r="C2044" s="21">
        <v>6590</v>
      </c>
      <c r="D2044" s="22"/>
      <c r="E2044" s="23">
        <v>-2.0799999237060551E-2</v>
      </c>
      <c r="F2044" s="24" t="s">
        <v>125</v>
      </c>
    </row>
    <row r="2045" spans="1:6" ht="16" customHeight="1" x14ac:dyDescent="0.45">
      <c r="A2045" s="19" t="s">
        <v>4207</v>
      </c>
      <c r="B2045" s="20" t="s">
        <v>4208</v>
      </c>
      <c r="C2045" s="21">
        <v>18800</v>
      </c>
      <c r="D2045" s="22"/>
      <c r="E2045" s="23">
        <v>2.7000001072883611E-3</v>
      </c>
      <c r="F2045" s="24" t="s">
        <v>125</v>
      </c>
    </row>
    <row r="2046" spans="1:6" ht="16" customHeight="1" x14ac:dyDescent="0.45">
      <c r="A2046" s="19" t="s">
        <v>4209</v>
      </c>
      <c r="B2046" s="20" t="s">
        <v>4210</v>
      </c>
      <c r="C2046" s="21">
        <v>2000</v>
      </c>
      <c r="D2046" s="22"/>
      <c r="E2046" s="23">
        <v>-4.760000228881836E-2</v>
      </c>
      <c r="F2046" s="24" t="s">
        <v>251</v>
      </c>
    </row>
    <row r="2047" spans="1:6" ht="16" customHeight="1" x14ac:dyDescent="0.45">
      <c r="A2047" s="19" t="s">
        <v>4211</v>
      </c>
      <c r="B2047" s="20" t="s">
        <v>4212</v>
      </c>
      <c r="C2047" s="21">
        <v>20650</v>
      </c>
      <c r="D2047" s="22"/>
      <c r="E2047" s="23">
        <v>-5.489999771118164E-2</v>
      </c>
      <c r="F2047" s="24" t="s">
        <v>125</v>
      </c>
    </row>
    <row r="2048" spans="1:6" ht="16" customHeight="1" x14ac:dyDescent="0.45">
      <c r="A2048" s="19" t="s">
        <v>4213</v>
      </c>
      <c r="B2048" s="20" t="s">
        <v>4214</v>
      </c>
      <c r="C2048" s="21">
        <v>1106</v>
      </c>
      <c r="D2048" s="22"/>
      <c r="E2048" s="23">
        <v>-7.2000002861022953E-3</v>
      </c>
      <c r="F2048" s="24" t="s">
        <v>125</v>
      </c>
    </row>
    <row r="2049" spans="1:6" ht="16" customHeight="1" x14ac:dyDescent="0.45">
      <c r="A2049" s="19" t="s">
        <v>4215</v>
      </c>
      <c r="B2049" s="20" t="s">
        <v>4216</v>
      </c>
      <c r="C2049" s="21">
        <v>2450</v>
      </c>
      <c r="D2049" s="22"/>
      <c r="E2049" s="23">
        <v>-1.210000038146973E-2</v>
      </c>
      <c r="F2049" s="24" t="s">
        <v>128</v>
      </c>
    </row>
    <row r="2050" spans="1:6" ht="16" customHeight="1" x14ac:dyDescent="0.45">
      <c r="A2050" s="19" t="s">
        <v>4217</v>
      </c>
      <c r="B2050" s="20" t="s">
        <v>4218</v>
      </c>
      <c r="C2050" s="21">
        <v>13530</v>
      </c>
      <c r="D2050" s="22"/>
      <c r="E2050" s="23">
        <v>2.0399999618530271E-2</v>
      </c>
      <c r="F2050" s="24" t="s">
        <v>125</v>
      </c>
    </row>
    <row r="2051" spans="1:6" ht="16" customHeight="1" x14ac:dyDescent="0.45">
      <c r="A2051" s="19" t="s">
        <v>4219</v>
      </c>
      <c r="B2051" s="20" t="s">
        <v>4220</v>
      </c>
      <c r="C2051" s="21">
        <v>33700</v>
      </c>
      <c r="D2051" s="22"/>
      <c r="E2051" s="23">
        <v>7.4999999999999997E-2</v>
      </c>
      <c r="F2051" s="24" t="s">
        <v>125</v>
      </c>
    </row>
    <row r="2052" spans="1:6" ht="16" customHeight="1" x14ac:dyDescent="0.45">
      <c r="A2052" s="19" t="s">
        <v>4221</v>
      </c>
      <c r="B2052" s="20" t="s">
        <v>4222</v>
      </c>
      <c r="C2052" s="21">
        <v>153650</v>
      </c>
      <c r="D2052" s="22"/>
      <c r="E2052" s="23">
        <v>8.1999998092651363E-2</v>
      </c>
      <c r="F2052" s="24" t="s">
        <v>125</v>
      </c>
    </row>
    <row r="2053" spans="1:6" ht="16" customHeight="1" x14ac:dyDescent="0.45">
      <c r="A2053" s="19" t="s">
        <v>4223</v>
      </c>
      <c r="B2053" s="20" t="s">
        <v>4224</v>
      </c>
      <c r="C2053" s="21">
        <v>34300</v>
      </c>
      <c r="D2053" s="22"/>
      <c r="E2053" s="23">
        <v>-3.7899999618530272E-2</v>
      </c>
      <c r="F2053" s="24" t="s">
        <v>125</v>
      </c>
    </row>
    <row r="2054" spans="1:6" ht="16" customHeight="1" x14ac:dyDescent="0.45">
      <c r="A2054" s="19" t="s">
        <v>4225</v>
      </c>
      <c r="B2054" s="20" t="s">
        <v>4226</v>
      </c>
      <c r="C2054" s="21">
        <v>3395</v>
      </c>
      <c r="D2054" s="22"/>
      <c r="E2054" s="23">
        <v>-2.299999952316284E-2</v>
      </c>
      <c r="F2054" s="24" t="s">
        <v>125</v>
      </c>
    </row>
    <row r="2055" spans="1:6" ht="16" customHeight="1" x14ac:dyDescent="0.45">
      <c r="A2055" s="19" t="s">
        <v>4227</v>
      </c>
      <c r="B2055" s="20" t="s">
        <v>4228</v>
      </c>
      <c r="C2055" s="21">
        <v>1882</v>
      </c>
      <c r="D2055" s="22"/>
      <c r="E2055" s="23">
        <v>-4.9499998092651369E-2</v>
      </c>
      <c r="F2055" s="24" t="s">
        <v>125</v>
      </c>
    </row>
    <row r="2056" spans="1:6" ht="16" customHeight="1" x14ac:dyDescent="0.45">
      <c r="A2056" s="19" t="s">
        <v>4229</v>
      </c>
      <c r="B2056" s="20" t="s">
        <v>4230</v>
      </c>
      <c r="C2056" s="21">
        <v>8790</v>
      </c>
      <c r="D2056" s="22"/>
      <c r="E2056" s="23">
        <v>-4.7699999809265127E-2</v>
      </c>
      <c r="F2056" s="24" t="s">
        <v>128</v>
      </c>
    </row>
    <row r="2057" spans="1:6" ht="16" customHeight="1" x14ac:dyDescent="0.45">
      <c r="A2057" s="19" t="s">
        <v>4231</v>
      </c>
      <c r="B2057" s="20" t="s">
        <v>4232</v>
      </c>
      <c r="C2057" s="21">
        <v>12630</v>
      </c>
      <c r="D2057" s="22"/>
      <c r="E2057" s="23">
        <v>-1.559999942779541E-2</v>
      </c>
      <c r="F2057" s="24" t="s">
        <v>125</v>
      </c>
    </row>
    <row r="2058" spans="1:6" ht="16" customHeight="1" x14ac:dyDescent="0.45">
      <c r="A2058" s="19" t="s">
        <v>4233</v>
      </c>
      <c r="B2058" s="20" t="s">
        <v>4234</v>
      </c>
      <c r="C2058" s="21">
        <v>4640</v>
      </c>
      <c r="D2058" s="22"/>
      <c r="E2058" s="23">
        <v>-2.8299999237060551E-2</v>
      </c>
      <c r="F2058" s="24" t="s">
        <v>125</v>
      </c>
    </row>
    <row r="2059" spans="1:6" ht="16" customHeight="1" x14ac:dyDescent="0.45">
      <c r="A2059" s="19" t="s">
        <v>4235</v>
      </c>
      <c r="B2059" s="20" t="s">
        <v>4236</v>
      </c>
      <c r="C2059" s="21">
        <v>7935</v>
      </c>
      <c r="D2059" s="22"/>
      <c r="E2059" s="23">
        <v>4.9600000381469729E-2</v>
      </c>
      <c r="F2059" s="24" t="s">
        <v>125</v>
      </c>
    </row>
    <row r="2060" spans="1:6" ht="16" customHeight="1" x14ac:dyDescent="0.45">
      <c r="A2060" s="19" t="s">
        <v>4237</v>
      </c>
      <c r="B2060" s="20" t="s">
        <v>4238</v>
      </c>
      <c r="C2060" s="21">
        <v>15180</v>
      </c>
      <c r="D2060" s="22"/>
      <c r="E2060" s="23">
        <v>2.599999904632568E-3</v>
      </c>
      <c r="F2060" s="24" t="s">
        <v>125</v>
      </c>
    </row>
    <row r="2061" spans="1:6" ht="16" customHeight="1" x14ac:dyDescent="0.45">
      <c r="A2061" s="19" t="s">
        <v>4239</v>
      </c>
      <c r="B2061" s="20" t="s">
        <v>4240</v>
      </c>
      <c r="C2061" s="21">
        <v>24850</v>
      </c>
      <c r="D2061" s="22"/>
      <c r="E2061" s="23">
        <v>-4.2399997711181643E-2</v>
      </c>
      <c r="F2061" s="24" t="s">
        <v>128</v>
      </c>
    </row>
    <row r="2062" spans="1:6" ht="16" customHeight="1" x14ac:dyDescent="0.45">
      <c r="A2062" s="19" t="s">
        <v>4241</v>
      </c>
      <c r="B2062" s="20" t="s">
        <v>4242</v>
      </c>
      <c r="C2062" s="21">
        <v>9360</v>
      </c>
      <c r="D2062" s="22"/>
      <c r="E2062" s="23">
        <v>-4.2899999618530277E-2</v>
      </c>
      <c r="F2062" s="24" t="s">
        <v>128</v>
      </c>
    </row>
    <row r="2063" spans="1:6" ht="16" customHeight="1" x14ac:dyDescent="0.45">
      <c r="A2063" s="19" t="s">
        <v>4243</v>
      </c>
      <c r="B2063" s="20" t="s">
        <v>4244</v>
      </c>
      <c r="C2063" s="21">
        <v>1760</v>
      </c>
      <c r="D2063" s="22"/>
      <c r="E2063" s="23">
        <v>-3.930000066757202E-2</v>
      </c>
      <c r="F2063" s="24" t="s">
        <v>128</v>
      </c>
    </row>
    <row r="2064" spans="1:6" ht="16" customHeight="1" x14ac:dyDescent="0.45">
      <c r="A2064" s="19" t="s">
        <v>4245</v>
      </c>
      <c r="B2064" s="20" t="s">
        <v>4246</v>
      </c>
      <c r="C2064" s="21">
        <v>22300</v>
      </c>
      <c r="D2064" s="22"/>
      <c r="E2064" s="23">
        <v>-1.980000019073486E-2</v>
      </c>
      <c r="F2064" s="24" t="s">
        <v>128</v>
      </c>
    </row>
    <row r="2065" spans="1:6" ht="16" customHeight="1" x14ac:dyDescent="0.45">
      <c r="A2065" s="19" t="s">
        <v>4247</v>
      </c>
      <c r="B2065" s="20" t="s">
        <v>4248</v>
      </c>
      <c r="C2065" s="21">
        <v>6240</v>
      </c>
      <c r="D2065" s="22"/>
      <c r="E2065" s="23">
        <v>3.1999999284744261E-3</v>
      </c>
      <c r="F2065" s="24" t="s">
        <v>125</v>
      </c>
    </row>
    <row r="2066" spans="1:6" ht="16" customHeight="1" x14ac:dyDescent="0.45">
      <c r="A2066" s="19" t="s">
        <v>4249</v>
      </c>
      <c r="B2066" s="20" t="s">
        <v>4250</v>
      </c>
      <c r="C2066" s="21">
        <v>1470</v>
      </c>
      <c r="D2066" s="22"/>
      <c r="E2066" s="23">
        <v>-4.3600001335144037E-2</v>
      </c>
      <c r="F2066" s="24" t="s">
        <v>125</v>
      </c>
    </row>
    <row r="2067" spans="1:6" ht="16" customHeight="1" x14ac:dyDescent="0.45">
      <c r="A2067" s="19" t="s">
        <v>4251</v>
      </c>
      <c r="B2067" s="20" t="s">
        <v>4252</v>
      </c>
      <c r="C2067" s="21">
        <v>13130</v>
      </c>
      <c r="D2067" s="22"/>
      <c r="E2067" s="23">
        <v>-1.200000047683716E-2</v>
      </c>
      <c r="F2067" s="24" t="s">
        <v>128</v>
      </c>
    </row>
    <row r="2068" spans="1:6" ht="16" customHeight="1" x14ac:dyDescent="0.45">
      <c r="A2068" s="19" t="s">
        <v>4253</v>
      </c>
      <c r="B2068" s="20" t="s">
        <v>4254</v>
      </c>
      <c r="C2068" s="21">
        <v>1686</v>
      </c>
      <c r="D2068" s="22"/>
      <c r="E2068" s="23">
        <v>-1.7500000000000002E-2</v>
      </c>
      <c r="F2068" s="24" t="s">
        <v>128</v>
      </c>
    </row>
    <row r="2069" spans="1:6" ht="16" customHeight="1" x14ac:dyDescent="0.45">
      <c r="A2069" s="19" t="s">
        <v>4255</v>
      </c>
      <c r="B2069" s="20" t="s">
        <v>4256</v>
      </c>
      <c r="C2069" s="21">
        <v>10640</v>
      </c>
      <c r="D2069" s="22"/>
      <c r="E2069" s="23">
        <v>-3.2699999809265128E-2</v>
      </c>
      <c r="F2069" s="24" t="s">
        <v>128</v>
      </c>
    </row>
    <row r="2070" spans="1:6" ht="16" customHeight="1" x14ac:dyDescent="0.45">
      <c r="A2070" s="19" t="s">
        <v>4257</v>
      </c>
      <c r="B2070" s="20" t="s">
        <v>4258</v>
      </c>
      <c r="C2070" s="21">
        <v>10500</v>
      </c>
      <c r="D2070" s="22"/>
      <c r="E2070" s="23">
        <v>-2.329999923706055E-2</v>
      </c>
      <c r="F2070" s="24" t="s">
        <v>128</v>
      </c>
    </row>
    <row r="2071" spans="1:6" ht="16" customHeight="1" x14ac:dyDescent="0.45">
      <c r="A2071" s="19" t="s">
        <v>4259</v>
      </c>
      <c r="B2071" s="20" t="s">
        <v>4260</v>
      </c>
      <c r="C2071" s="21">
        <v>2525</v>
      </c>
      <c r="D2071" s="22"/>
      <c r="E2071" s="23">
        <v>-1.370000004768371E-2</v>
      </c>
      <c r="F2071" s="24" t="s">
        <v>125</v>
      </c>
    </row>
    <row r="2072" spans="1:6" ht="16" customHeight="1" x14ac:dyDescent="0.45">
      <c r="A2072" s="19" t="s">
        <v>4261</v>
      </c>
      <c r="B2072" s="20" t="s">
        <v>4262</v>
      </c>
      <c r="C2072" s="21">
        <v>2420</v>
      </c>
      <c r="D2072" s="22"/>
      <c r="E2072" s="23">
        <v>-6.7399997711181645E-2</v>
      </c>
      <c r="F2072" s="24" t="s">
        <v>128</v>
      </c>
    </row>
    <row r="2073" spans="1:6" ht="16" customHeight="1" x14ac:dyDescent="0.45">
      <c r="A2073" s="19" t="s">
        <v>4263</v>
      </c>
      <c r="B2073" s="20" t="s">
        <v>4264</v>
      </c>
      <c r="C2073" s="21">
        <v>7040</v>
      </c>
      <c r="D2073" s="22"/>
      <c r="E2073" s="23">
        <v>-2.359999895095825E-2</v>
      </c>
      <c r="F2073" s="24" t="s">
        <v>125</v>
      </c>
    </row>
    <row r="2074" spans="1:6" ht="16" customHeight="1" x14ac:dyDescent="0.45">
      <c r="A2074" s="19" t="s">
        <v>4265</v>
      </c>
      <c r="B2074" s="20" t="s">
        <v>4266</v>
      </c>
      <c r="C2074" s="21">
        <v>14420</v>
      </c>
      <c r="D2074" s="22"/>
      <c r="E2074" s="23">
        <v>-2.299999952316284E-2</v>
      </c>
      <c r="F2074" s="24" t="s">
        <v>128</v>
      </c>
    </row>
    <row r="2075" spans="1:6" ht="16" customHeight="1" x14ac:dyDescent="0.45">
      <c r="A2075" s="19" t="s">
        <v>4267</v>
      </c>
      <c r="B2075" s="20" t="s">
        <v>4268</v>
      </c>
      <c r="C2075" s="21">
        <v>902</v>
      </c>
      <c r="D2075" s="22"/>
      <c r="E2075" s="23">
        <v>0</v>
      </c>
      <c r="F2075" s="24" t="s">
        <v>128</v>
      </c>
    </row>
    <row r="2076" spans="1:6" ht="16" customHeight="1" x14ac:dyDescent="0.45">
      <c r="A2076" s="19" t="s">
        <v>4269</v>
      </c>
      <c r="B2076" s="20" t="s">
        <v>4270</v>
      </c>
      <c r="C2076" s="21">
        <v>139900</v>
      </c>
      <c r="D2076" s="22"/>
      <c r="E2076" s="23">
        <v>-2.9100000858306881E-2</v>
      </c>
      <c r="F2076" s="24" t="s">
        <v>128</v>
      </c>
    </row>
    <row r="2077" spans="1:6" ht="16" customHeight="1" x14ac:dyDescent="0.45">
      <c r="A2077" s="19" t="s">
        <v>4271</v>
      </c>
      <c r="B2077" s="20" t="s">
        <v>4272</v>
      </c>
      <c r="C2077" s="21">
        <v>23200</v>
      </c>
      <c r="D2077" s="22"/>
      <c r="E2077" s="23">
        <v>0</v>
      </c>
      <c r="F2077" s="24" t="s">
        <v>125</v>
      </c>
    </row>
    <row r="2078" spans="1:6" ht="16" customHeight="1" x14ac:dyDescent="0.45">
      <c r="A2078" s="19" t="s">
        <v>4273</v>
      </c>
      <c r="B2078" s="20" t="s">
        <v>4274</v>
      </c>
      <c r="C2078" s="21">
        <v>18790</v>
      </c>
      <c r="D2078" s="22"/>
      <c r="E2078" s="23">
        <v>4.1599998474121103E-2</v>
      </c>
      <c r="F2078" s="24" t="s">
        <v>128</v>
      </c>
    </row>
    <row r="2079" spans="1:6" ht="16" customHeight="1" x14ac:dyDescent="0.45">
      <c r="A2079" s="19" t="s">
        <v>4275</v>
      </c>
      <c r="B2079" s="20" t="s">
        <v>4276</v>
      </c>
      <c r="C2079" s="21">
        <v>13320</v>
      </c>
      <c r="D2079" s="22"/>
      <c r="E2079" s="23">
        <v>-6.7000001668930057E-3</v>
      </c>
      <c r="F2079" s="24" t="s">
        <v>128</v>
      </c>
    </row>
    <row r="2080" spans="1:6" ht="16" customHeight="1" x14ac:dyDescent="0.45">
      <c r="A2080" s="19" t="s">
        <v>4277</v>
      </c>
      <c r="B2080" s="20" t="s">
        <v>4278</v>
      </c>
      <c r="C2080" s="21">
        <v>12330</v>
      </c>
      <c r="D2080" s="22"/>
      <c r="E2080" s="23">
        <v>-1.360000014305115E-2</v>
      </c>
      <c r="F2080" s="24" t="s">
        <v>128</v>
      </c>
    </row>
    <row r="2081" spans="1:6" ht="16" customHeight="1" x14ac:dyDescent="0.45">
      <c r="A2081" s="19" t="s">
        <v>4279</v>
      </c>
      <c r="B2081" s="20" t="s">
        <v>4280</v>
      </c>
      <c r="C2081" s="21">
        <v>11670</v>
      </c>
      <c r="D2081" s="22"/>
      <c r="E2081" s="23">
        <v>-2.9900000095367429E-2</v>
      </c>
      <c r="F2081" s="24" t="s">
        <v>125</v>
      </c>
    </row>
    <row r="2082" spans="1:6" ht="16" customHeight="1" x14ac:dyDescent="0.45">
      <c r="A2082" s="19" t="s">
        <v>4281</v>
      </c>
      <c r="B2082" s="20" t="s">
        <v>4282</v>
      </c>
      <c r="C2082" s="21">
        <v>3575</v>
      </c>
      <c r="D2082" s="22"/>
      <c r="E2082" s="23">
        <v>-2.9900000095367429E-2</v>
      </c>
      <c r="F2082" s="24" t="s">
        <v>125</v>
      </c>
    </row>
    <row r="2083" spans="1:6" ht="16" customHeight="1" x14ac:dyDescent="0.45">
      <c r="A2083" s="19" t="s">
        <v>4283</v>
      </c>
      <c r="B2083" s="20" t="s">
        <v>4284</v>
      </c>
      <c r="C2083" s="21">
        <v>57100</v>
      </c>
      <c r="D2083" s="22"/>
      <c r="E2083" s="23">
        <v>-1.039999961853027E-2</v>
      </c>
      <c r="F2083" s="24" t="s">
        <v>125</v>
      </c>
    </row>
    <row r="2084" spans="1:6" ht="16" customHeight="1" x14ac:dyDescent="0.45">
      <c r="A2084" s="19" t="s">
        <v>4285</v>
      </c>
      <c r="B2084" s="20" t="s">
        <v>4286</v>
      </c>
      <c r="C2084" s="21">
        <v>1552</v>
      </c>
      <c r="D2084" s="22"/>
      <c r="E2084" s="23">
        <v>0.10069999694824221</v>
      </c>
      <c r="F2084" s="24" t="s">
        <v>125</v>
      </c>
    </row>
    <row r="2085" spans="1:6" ht="16" customHeight="1" x14ac:dyDescent="0.45">
      <c r="A2085" s="19" t="s">
        <v>4287</v>
      </c>
      <c r="B2085" s="20" t="s">
        <v>4288</v>
      </c>
      <c r="C2085" s="21">
        <v>493</v>
      </c>
      <c r="D2085" s="22"/>
      <c r="E2085" s="23">
        <v>0</v>
      </c>
      <c r="F2085" s="24" t="s">
        <v>125</v>
      </c>
    </row>
    <row r="2086" spans="1:6" ht="16" customHeight="1" x14ac:dyDescent="0.45">
      <c r="A2086" s="19" t="s">
        <v>4289</v>
      </c>
      <c r="B2086" s="20" t="s">
        <v>4290</v>
      </c>
      <c r="C2086" s="21">
        <v>5310</v>
      </c>
      <c r="D2086" s="22"/>
      <c r="E2086" s="23">
        <v>0</v>
      </c>
      <c r="F2086" s="24" t="s">
        <v>125</v>
      </c>
    </row>
    <row r="2087" spans="1:6" ht="16" customHeight="1" x14ac:dyDescent="0.45">
      <c r="A2087" s="19" t="s">
        <v>4291</v>
      </c>
      <c r="B2087" s="20" t="s">
        <v>4292</v>
      </c>
      <c r="C2087" s="21">
        <v>2910</v>
      </c>
      <c r="D2087" s="22"/>
      <c r="E2087" s="23">
        <v>-4.7500000000000001E-2</v>
      </c>
      <c r="F2087" s="24" t="s">
        <v>125</v>
      </c>
    </row>
    <row r="2088" spans="1:6" ht="16" customHeight="1" x14ac:dyDescent="0.45">
      <c r="A2088" s="19" t="s">
        <v>4293</v>
      </c>
      <c r="B2088" s="20" t="s">
        <v>4294</v>
      </c>
      <c r="C2088" s="21">
        <v>4490</v>
      </c>
      <c r="D2088" s="22"/>
      <c r="E2088" s="23">
        <v>-4.1599998474121103E-2</v>
      </c>
      <c r="F2088" s="24" t="s">
        <v>128</v>
      </c>
    </row>
    <row r="2089" spans="1:6" ht="16" customHeight="1" x14ac:dyDescent="0.45">
      <c r="A2089" s="19" t="s">
        <v>4295</v>
      </c>
      <c r="B2089" s="20" t="s">
        <v>4296</v>
      </c>
      <c r="C2089" s="21">
        <v>45850</v>
      </c>
      <c r="D2089" s="22"/>
      <c r="E2089" s="23">
        <v>-3.880000114440918E-2</v>
      </c>
      <c r="F2089" s="24" t="s">
        <v>128</v>
      </c>
    </row>
    <row r="2090" spans="1:6" ht="16" customHeight="1" x14ac:dyDescent="0.45">
      <c r="A2090" s="19" t="s">
        <v>4297</v>
      </c>
      <c r="B2090" s="20" t="s">
        <v>4298</v>
      </c>
      <c r="C2090" s="21">
        <v>13190</v>
      </c>
      <c r="D2090" s="22"/>
      <c r="E2090" s="23">
        <v>-0.1118000030517578</v>
      </c>
      <c r="F2090" s="24" t="s">
        <v>125</v>
      </c>
    </row>
    <row r="2091" spans="1:6" ht="16" customHeight="1" x14ac:dyDescent="0.45">
      <c r="A2091" s="19" t="s">
        <v>4299</v>
      </c>
      <c r="B2091" s="20" t="s">
        <v>4300</v>
      </c>
      <c r="C2091" s="21">
        <v>13850</v>
      </c>
      <c r="D2091" s="22"/>
      <c r="E2091" s="23">
        <v>7.7800002098083493E-2</v>
      </c>
      <c r="F2091" s="24" t="s">
        <v>125</v>
      </c>
    </row>
    <row r="2092" spans="1:6" ht="16" customHeight="1" x14ac:dyDescent="0.45">
      <c r="A2092" s="19" t="s">
        <v>4301</v>
      </c>
      <c r="B2092" s="20" t="s">
        <v>4302</v>
      </c>
      <c r="C2092" s="21">
        <v>33400</v>
      </c>
      <c r="D2092" s="22"/>
      <c r="E2092" s="23">
        <v>-1.4700000286102291E-2</v>
      </c>
      <c r="F2092" s="24" t="s">
        <v>128</v>
      </c>
    </row>
    <row r="2093" spans="1:6" ht="16" customHeight="1" x14ac:dyDescent="0.45">
      <c r="A2093" s="19" t="s">
        <v>4303</v>
      </c>
      <c r="B2093" s="20" t="s">
        <v>4304</v>
      </c>
      <c r="C2093" s="21">
        <v>63100</v>
      </c>
      <c r="D2093" s="22"/>
      <c r="E2093" s="23">
        <v>-1.2500000000000001E-2</v>
      </c>
      <c r="F2093" s="24" t="s">
        <v>128</v>
      </c>
    </row>
    <row r="2094" spans="1:6" ht="16" customHeight="1" x14ac:dyDescent="0.45">
      <c r="A2094" s="19" t="s">
        <v>4305</v>
      </c>
      <c r="B2094" s="20" t="s">
        <v>4306</v>
      </c>
      <c r="C2094" s="21">
        <v>2315</v>
      </c>
      <c r="D2094" s="22"/>
      <c r="E2094" s="23">
        <v>-1.0700000524520871E-2</v>
      </c>
      <c r="F2094" s="24" t="s">
        <v>125</v>
      </c>
    </row>
    <row r="2095" spans="1:6" ht="16" customHeight="1" x14ac:dyDescent="0.45">
      <c r="A2095" s="19" t="s">
        <v>4307</v>
      </c>
      <c r="B2095" s="20" t="s">
        <v>4308</v>
      </c>
      <c r="C2095" s="21">
        <v>2505</v>
      </c>
      <c r="D2095" s="22"/>
      <c r="E2095" s="23">
        <v>-1.379999995231628E-2</v>
      </c>
      <c r="F2095" s="24" t="s">
        <v>125</v>
      </c>
    </row>
    <row r="2096" spans="1:6" ht="16" customHeight="1" x14ac:dyDescent="0.45">
      <c r="A2096" s="19" t="s">
        <v>4309</v>
      </c>
      <c r="B2096" s="20" t="s">
        <v>4310</v>
      </c>
      <c r="C2096" s="21">
        <v>5940</v>
      </c>
      <c r="D2096" s="22"/>
      <c r="E2096" s="23">
        <v>-6.7000001668930057E-3</v>
      </c>
      <c r="F2096" s="24" t="s">
        <v>125</v>
      </c>
    </row>
    <row r="2097" spans="1:6" ht="16" customHeight="1" x14ac:dyDescent="0.45">
      <c r="A2097" s="19" t="s">
        <v>4311</v>
      </c>
      <c r="B2097" s="20" t="s">
        <v>4312</v>
      </c>
      <c r="C2097" s="21">
        <v>1091</v>
      </c>
      <c r="D2097" s="22"/>
      <c r="E2097" s="23">
        <v>-4.2100000381469729E-2</v>
      </c>
      <c r="F2097" s="24" t="s">
        <v>125</v>
      </c>
    </row>
    <row r="2098" spans="1:6" ht="16" customHeight="1" x14ac:dyDescent="0.45">
      <c r="A2098" s="19" t="s">
        <v>4313</v>
      </c>
      <c r="B2098" s="20" t="s">
        <v>4314</v>
      </c>
      <c r="C2098" s="21">
        <v>9140</v>
      </c>
      <c r="D2098" s="22"/>
      <c r="E2098" s="23">
        <v>-4.3999999761581421E-3</v>
      </c>
      <c r="F2098" s="24" t="s">
        <v>125</v>
      </c>
    </row>
    <row r="2099" spans="1:6" ht="16" customHeight="1" x14ac:dyDescent="0.45">
      <c r="A2099" s="19" t="s">
        <v>4315</v>
      </c>
      <c r="B2099" s="20" t="s">
        <v>4316</v>
      </c>
      <c r="C2099" s="21">
        <v>5150</v>
      </c>
      <c r="D2099" s="22"/>
      <c r="E2099" s="23">
        <v>-1.899999976158142E-2</v>
      </c>
      <c r="F2099" s="24" t="s">
        <v>125</v>
      </c>
    </row>
    <row r="2100" spans="1:6" ht="16" customHeight="1" x14ac:dyDescent="0.45">
      <c r="A2100" s="19" t="s">
        <v>4317</v>
      </c>
      <c r="B2100" s="20" t="s">
        <v>4318</v>
      </c>
      <c r="C2100" s="21">
        <v>4465</v>
      </c>
      <c r="D2100" s="22"/>
      <c r="E2100" s="23">
        <v>-3.7699999809265139E-2</v>
      </c>
      <c r="F2100" s="24" t="s">
        <v>125</v>
      </c>
    </row>
    <row r="2101" spans="1:6" ht="16" customHeight="1" x14ac:dyDescent="0.45">
      <c r="A2101" s="19" t="s">
        <v>4319</v>
      </c>
      <c r="B2101" s="20" t="s">
        <v>4320</v>
      </c>
      <c r="C2101" s="21">
        <v>30550</v>
      </c>
      <c r="D2101" s="22"/>
      <c r="E2101" s="23">
        <v>1.159999966621399E-2</v>
      </c>
      <c r="F2101" s="24" t="s">
        <v>125</v>
      </c>
    </row>
    <row r="2102" spans="1:6" ht="16" customHeight="1" x14ac:dyDescent="0.45">
      <c r="A2102" s="19" t="s">
        <v>4321</v>
      </c>
      <c r="B2102" s="20" t="s">
        <v>4322</v>
      </c>
      <c r="C2102" s="21">
        <v>1100</v>
      </c>
      <c r="D2102" s="22"/>
      <c r="E2102" s="23">
        <v>-8.2600002288818364E-2</v>
      </c>
      <c r="F2102" s="24" t="s">
        <v>251</v>
      </c>
    </row>
    <row r="2103" spans="1:6" ht="16" customHeight="1" x14ac:dyDescent="0.45">
      <c r="A2103" s="19" t="s">
        <v>4323</v>
      </c>
      <c r="B2103" s="20" t="s">
        <v>4324</v>
      </c>
      <c r="C2103" s="21">
        <v>1793</v>
      </c>
      <c r="D2103" s="22"/>
      <c r="E2103" s="23">
        <v>-4.1199998855590822E-2</v>
      </c>
      <c r="F2103" s="24" t="s">
        <v>125</v>
      </c>
    </row>
    <row r="2104" spans="1:6" ht="16" customHeight="1" x14ac:dyDescent="0.45">
      <c r="A2104" s="19" t="s">
        <v>4325</v>
      </c>
      <c r="B2104" s="20" t="s">
        <v>4326</v>
      </c>
      <c r="C2104" s="21">
        <v>26700</v>
      </c>
      <c r="D2104" s="22"/>
      <c r="E2104" s="23">
        <v>-4.4699997901916512E-2</v>
      </c>
      <c r="F2104" s="24" t="s">
        <v>125</v>
      </c>
    </row>
    <row r="2105" spans="1:6" ht="16" customHeight="1" x14ac:dyDescent="0.45">
      <c r="A2105" s="19" t="s">
        <v>4327</v>
      </c>
      <c r="B2105" s="20" t="s">
        <v>4328</v>
      </c>
      <c r="C2105" s="21">
        <v>9720</v>
      </c>
      <c r="D2105" s="22"/>
      <c r="E2105" s="23">
        <v>-3.4800000190734863E-2</v>
      </c>
      <c r="F2105" s="24" t="s">
        <v>125</v>
      </c>
    </row>
    <row r="2106" spans="1:6" ht="16" customHeight="1" x14ac:dyDescent="0.45">
      <c r="A2106" s="19" t="s">
        <v>4329</v>
      </c>
      <c r="B2106" s="20" t="s">
        <v>4330</v>
      </c>
      <c r="C2106" s="21">
        <v>3815</v>
      </c>
      <c r="D2106" s="22"/>
      <c r="E2106" s="23">
        <v>-2.6800000667572019E-2</v>
      </c>
      <c r="F2106" s="24" t="s">
        <v>125</v>
      </c>
    </row>
    <row r="2107" spans="1:6" ht="16" customHeight="1" x14ac:dyDescent="0.45">
      <c r="A2107" s="19" t="s">
        <v>4331</v>
      </c>
      <c r="B2107" s="20" t="s">
        <v>4332</v>
      </c>
      <c r="C2107" s="21">
        <v>12070</v>
      </c>
      <c r="D2107" s="22"/>
      <c r="E2107" s="23">
        <v>-5.1799998283386231E-2</v>
      </c>
      <c r="F2107" s="24" t="s">
        <v>125</v>
      </c>
    </row>
    <row r="2108" spans="1:6" ht="16" customHeight="1" x14ac:dyDescent="0.45">
      <c r="A2108" s="19" t="s">
        <v>4333</v>
      </c>
      <c r="B2108" s="20" t="s">
        <v>4334</v>
      </c>
      <c r="C2108" s="21">
        <v>86700</v>
      </c>
      <c r="D2108" s="22"/>
      <c r="E2108" s="23">
        <v>-5.2499999999999998E-2</v>
      </c>
      <c r="F2108" s="24" t="s">
        <v>125</v>
      </c>
    </row>
    <row r="2109" spans="1:6" ht="16" customHeight="1" x14ac:dyDescent="0.45">
      <c r="A2109" s="19" t="s">
        <v>4335</v>
      </c>
      <c r="B2109" s="20" t="s">
        <v>4336</v>
      </c>
      <c r="C2109" s="21">
        <v>17110</v>
      </c>
      <c r="D2109" s="22"/>
      <c r="E2109" s="23">
        <v>1.2400000095367431E-2</v>
      </c>
      <c r="F2109" s="24" t="s">
        <v>125</v>
      </c>
    </row>
    <row r="2110" spans="1:6" ht="16" customHeight="1" x14ac:dyDescent="0.45">
      <c r="A2110" s="19" t="s">
        <v>4337</v>
      </c>
      <c r="B2110" s="20" t="s">
        <v>4338</v>
      </c>
      <c r="C2110" s="21">
        <v>24450</v>
      </c>
      <c r="D2110" s="22"/>
      <c r="E2110" s="23">
        <v>-0.02</v>
      </c>
      <c r="F2110" s="24" t="s">
        <v>125</v>
      </c>
    </row>
    <row r="2111" spans="1:6" ht="16" customHeight="1" x14ac:dyDescent="0.45">
      <c r="A2111" s="19" t="s">
        <v>4339</v>
      </c>
      <c r="B2111" s="20" t="s">
        <v>4340</v>
      </c>
      <c r="C2111" s="21">
        <v>8350</v>
      </c>
      <c r="D2111" s="22"/>
      <c r="E2111" s="23">
        <v>-6.3899998664855961E-2</v>
      </c>
      <c r="F2111" s="24" t="s">
        <v>125</v>
      </c>
    </row>
    <row r="2112" spans="1:6" ht="16" customHeight="1" x14ac:dyDescent="0.45">
      <c r="A2112" s="19" t="s">
        <v>4341</v>
      </c>
      <c r="B2112" s="20" t="s">
        <v>4342</v>
      </c>
      <c r="C2112" s="21">
        <v>521</v>
      </c>
      <c r="D2112" s="22"/>
      <c r="E2112" s="23">
        <v>0</v>
      </c>
      <c r="F2112" s="24" t="s">
        <v>125</v>
      </c>
    </row>
    <row r="2113" spans="1:6" ht="16" customHeight="1" x14ac:dyDescent="0.45">
      <c r="A2113" s="19" t="s">
        <v>4343</v>
      </c>
      <c r="B2113" s="20" t="s">
        <v>4344</v>
      </c>
      <c r="C2113" s="21">
        <v>4545</v>
      </c>
      <c r="D2113" s="22"/>
      <c r="E2113" s="23">
        <v>-1.099999994039536E-3</v>
      </c>
      <c r="F2113" s="24" t="s">
        <v>125</v>
      </c>
    </row>
    <row r="2114" spans="1:6" ht="16" customHeight="1" x14ac:dyDescent="0.45">
      <c r="A2114" s="19" t="s">
        <v>4345</v>
      </c>
      <c r="B2114" s="20" t="s">
        <v>4346</v>
      </c>
      <c r="C2114" s="21">
        <v>4895</v>
      </c>
      <c r="D2114" s="22"/>
      <c r="E2114" s="23">
        <v>-2.4900000095367431E-2</v>
      </c>
      <c r="F2114" s="24" t="s">
        <v>125</v>
      </c>
    </row>
    <row r="2115" spans="1:6" ht="16" customHeight="1" x14ac:dyDescent="0.45">
      <c r="A2115" s="19" t="s">
        <v>4347</v>
      </c>
      <c r="B2115" s="20" t="s">
        <v>4348</v>
      </c>
      <c r="C2115" s="21">
        <v>5090</v>
      </c>
      <c r="D2115" s="22"/>
      <c r="E2115" s="23">
        <v>5.9299998283386231E-2</v>
      </c>
      <c r="F2115" s="24" t="s">
        <v>125</v>
      </c>
    </row>
    <row r="2116" spans="1:6" ht="16" customHeight="1" x14ac:dyDescent="0.45">
      <c r="A2116" s="19" t="s">
        <v>4349</v>
      </c>
      <c r="B2116" s="20" t="s">
        <v>4350</v>
      </c>
      <c r="C2116" s="21">
        <v>1182</v>
      </c>
      <c r="D2116" s="22"/>
      <c r="E2116" s="23">
        <v>0</v>
      </c>
      <c r="F2116" s="24" t="s">
        <v>128</v>
      </c>
    </row>
    <row r="2117" spans="1:6" ht="16" customHeight="1" x14ac:dyDescent="0.45">
      <c r="A2117" s="19" t="s">
        <v>4351</v>
      </c>
      <c r="B2117" s="20" t="s">
        <v>4352</v>
      </c>
      <c r="C2117" s="21">
        <v>22050</v>
      </c>
      <c r="D2117" s="22"/>
      <c r="E2117" s="23">
        <v>0.15449999809265141</v>
      </c>
      <c r="F2117" s="24" t="s">
        <v>125</v>
      </c>
    </row>
    <row r="2118" spans="1:6" ht="16" customHeight="1" x14ac:dyDescent="0.45">
      <c r="A2118" s="19" t="s">
        <v>4353</v>
      </c>
      <c r="B2118" s="20" t="s">
        <v>4354</v>
      </c>
      <c r="C2118" s="21">
        <v>40800</v>
      </c>
      <c r="D2118" s="22"/>
      <c r="E2118" s="23">
        <v>-7.4800000190734864E-2</v>
      </c>
      <c r="F2118" s="24" t="s">
        <v>125</v>
      </c>
    </row>
    <row r="2119" spans="1:6" ht="16" customHeight="1" x14ac:dyDescent="0.45">
      <c r="A2119" s="19" t="s">
        <v>4355</v>
      </c>
      <c r="B2119" s="20" t="s">
        <v>4356</v>
      </c>
      <c r="C2119" s="21">
        <v>14560</v>
      </c>
      <c r="D2119" s="22"/>
      <c r="E2119" s="23">
        <v>-1.360000014305115E-2</v>
      </c>
      <c r="F2119" s="24" t="s">
        <v>128</v>
      </c>
    </row>
    <row r="2120" spans="1:6" ht="16" customHeight="1" x14ac:dyDescent="0.45">
      <c r="A2120" s="19" t="s">
        <v>4357</v>
      </c>
      <c r="B2120" s="20" t="s">
        <v>4358</v>
      </c>
      <c r="C2120" s="21">
        <v>3095</v>
      </c>
      <c r="D2120" s="22"/>
      <c r="E2120" s="23">
        <v>0</v>
      </c>
      <c r="F2120" s="24" t="s">
        <v>125</v>
      </c>
    </row>
    <row r="2121" spans="1:6" ht="16" customHeight="1" x14ac:dyDescent="0.45">
      <c r="A2121" s="19" t="s">
        <v>4359</v>
      </c>
      <c r="B2121" s="20" t="s">
        <v>4360</v>
      </c>
      <c r="C2121" s="21">
        <v>6590</v>
      </c>
      <c r="D2121" s="22"/>
      <c r="E2121" s="23">
        <v>7.1500000953674314E-2</v>
      </c>
      <c r="F2121" s="24" t="s">
        <v>125</v>
      </c>
    </row>
    <row r="2122" spans="1:6" ht="16" customHeight="1" x14ac:dyDescent="0.45">
      <c r="A2122" s="19" t="s">
        <v>4361</v>
      </c>
      <c r="B2122" s="20" t="s">
        <v>4362</v>
      </c>
      <c r="C2122" s="21">
        <v>3990</v>
      </c>
      <c r="D2122" s="22"/>
      <c r="E2122" s="23">
        <v>1.6599999666213991E-2</v>
      </c>
      <c r="F2122" s="24" t="s">
        <v>125</v>
      </c>
    </row>
    <row r="2123" spans="1:6" ht="16" customHeight="1" x14ac:dyDescent="0.45">
      <c r="A2123" s="19" t="s">
        <v>4363</v>
      </c>
      <c r="B2123" s="20" t="s">
        <v>4364</v>
      </c>
      <c r="C2123" s="21">
        <v>6990</v>
      </c>
      <c r="D2123" s="22"/>
      <c r="E2123" s="23">
        <v>-3.0499999523162839E-2</v>
      </c>
      <c r="F2123" s="24" t="s">
        <v>125</v>
      </c>
    </row>
    <row r="2124" spans="1:6" ht="16" customHeight="1" x14ac:dyDescent="0.45">
      <c r="A2124" s="19" t="s">
        <v>4365</v>
      </c>
      <c r="B2124" s="20" t="s">
        <v>4366</v>
      </c>
      <c r="C2124" s="21">
        <v>3900</v>
      </c>
      <c r="D2124" s="22"/>
      <c r="E2124" s="23">
        <v>2.6300001144409179E-2</v>
      </c>
      <c r="F2124" s="24" t="s">
        <v>251</v>
      </c>
    </row>
    <row r="2125" spans="1:6" ht="16" customHeight="1" x14ac:dyDescent="0.45">
      <c r="A2125" s="19" t="s">
        <v>4367</v>
      </c>
      <c r="B2125" s="20" t="s">
        <v>4368</v>
      </c>
      <c r="C2125" s="21">
        <v>995</v>
      </c>
      <c r="D2125" s="22"/>
      <c r="E2125" s="23">
        <v>-1.2899999618530269E-2</v>
      </c>
      <c r="F2125" s="24" t="s">
        <v>125</v>
      </c>
    </row>
    <row r="2126" spans="1:6" ht="16" customHeight="1" x14ac:dyDescent="0.45">
      <c r="A2126" s="19" t="s">
        <v>4369</v>
      </c>
      <c r="B2126" s="20" t="s">
        <v>4370</v>
      </c>
      <c r="C2126" s="21">
        <v>4000</v>
      </c>
      <c r="D2126" s="22"/>
      <c r="E2126" s="23">
        <v>3.7599999904632572E-2</v>
      </c>
      <c r="F2126" s="24" t="s">
        <v>125</v>
      </c>
    </row>
    <row r="2127" spans="1:6" ht="16" customHeight="1" x14ac:dyDescent="0.45">
      <c r="A2127" s="19" t="s">
        <v>4371</v>
      </c>
      <c r="B2127" s="20" t="s">
        <v>4372</v>
      </c>
      <c r="C2127" s="21">
        <v>11920</v>
      </c>
      <c r="D2127" s="22"/>
      <c r="E2127" s="23">
        <v>1.970000028610229E-2</v>
      </c>
      <c r="F2127" s="24" t="s">
        <v>125</v>
      </c>
    </row>
    <row r="2128" spans="1:6" ht="16" customHeight="1" x14ac:dyDescent="0.45">
      <c r="A2128" s="19" t="s">
        <v>4373</v>
      </c>
      <c r="B2128" s="20" t="s">
        <v>4374</v>
      </c>
      <c r="C2128" s="21">
        <v>412</v>
      </c>
      <c r="D2128" s="22"/>
      <c r="E2128" s="23">
        <v>-3.509999990463257E-2</v>
      </c>
      <c r="F2128" s="24" t="s">
        <v>125</v>
      </c>
    </row>
    <row r="2129" spans="1:6" ht="16" customHeight="1" x14ac:dyDescent="0.45">
      <c r="A2129" s="19" t="s">
        <v>4375</v>
      </c>
      <c r="B2129" s="20" t="s">
        <v>4376</v>
      </c>
      <c r="C2129" s="21">
        <v>8050</v>
      </c>
      <c r="D2129" s="22"/>
      <c r="E2129" s="23">
        <v>-3.0099999904632569E-2</v>
      </c>
      <c r="F2129" s="24" t="s">
        <v>125</v>
      </c>
    </row>
    <row r="2130" spans="1:6" ht="16" customHeight="1" x14ac:dyDescent="0.45">
      <c r="A2130" s="19" t="s">
        <v>4377</v>
      </c>
      <c r="B2130" s="20" t="s">
        <v>4378</v>
      </c>
      <c r="C2130" s="21">
        <v>6820</v>
      </c>
      <c r="D2130" s="22"/>
      <c r="E2130" s="23">
        <v>8.7700004577636714E-2</v>
      </c>
      <c r="F2130" s="24" t="s">
        <v>125</v>
      </c>
    </row>
    <row r="2131" spans="1:6" ht="16" customHeight="1" x14ac:dyDescent="0.45">
      <c r="A2131" s="19" t="s">
        <v>4379</v>
      </c>
      <c r="B2131" s="20" t="s">
        <v>4380</v>
      </c>
      <c r="C2131" s="21">
        <v>11780</v>
      </c>
      <c r="D2131" s="22"/>
      <c r="E2131" s="23">
        <v>-3.0499999523162839E-2</v>
      </c>
      <c r="F2131" s="24" t="s">
        <v>125</v>
      </c>
    </row>
    <row r="2132" spans="1:6" ht="16" customHeight="1" x14ac:dyDescent="0.45">
      <c r="A2132" s="19" t="s">
        <v>4381</v>
      </c>
      <c r="B2132" s="20" t="s">
        <v>4382</v>
      </c>
      <c r="C2132" s="21">
        <v>19420</v>
      </c>
      <c r="D2132" s="22"/>
      <c r="E2132" s="23">
        <v>-1.6699999570846561E-2</v>
      </c>
      <c r="F2132" s="24" t="s">
        <v>128</v>
      </c>
    </row>
    <row r="2133" spans="1:6" ht="16" customHeight="1" x14ac:dyDescent="0.45">
      <c r="A2133" s="19" t="s">
        <v>4383</v>
      </c>
      <c r="B2133" s="20" t="s">
        <v>4384</v>
      </c>
      <c r="C2133" s="21">
        <v>13650</v>
      </c>
      <c r="D2133" s="22"/>
      <c r="E2133" s="23">
        <v>-2.2200000286102299E-2</v>
      </c>
      <c r="F2133" s="24" t="s">
        <v>128</v>
      </c>
    </row>
    <row r="2134" spans="1:6" ht="16" customHeight="1" x14ac:dyDescent="0.45">
      <c r="A2134" s="19" t="s">
        <v>4385</v>
      </c>
      <c r="B2134" s="20" t="s">
        <v>4386</v>
      </c>
      <c r="C2134" s="21">
        <v>3935</v>
      </c>
      <c r="D2134" s="22"/>
      <c r="E2134" s="23">
        <v>0</v>
      </c>
      <c r="F2134" s="24" t="s">
        <v>125</v>
      </c>
    </row>
    <row r="2135" spans="1:6" ht="16" customHeight="1" x14ac:dyDescent="0.45">
      <c r="A2135" s="19" t="s">
        <v>4387</v>
      </c>
      <c r="B2135" s="20" t="s">
        <v>4388</v>
      </c>
      <c r="C2135" s="21">
        <v>11520</v>
      </c>
      <c r="D2135" s="22"/>
      <c r="E2135" s="23">
        <v>-1.200000047683716E-2</v>
      </c>
      <c r="F2135" s="24" t="s">
        <v>128</v>
      </c>
    </row>
    <row r="2136" spans="1:6" ht="16" customHeight="1" x14ac:dyDescent="0.45">
      <c r="A2136" s="19" t="s">
        <v>4389</v>
      </c>
      <c r="B2136" s="20" t="s">
        <v>4390</v>
      </c>
      <c r="C2136" s="21">
        <v>19150</v>
      </c>
      <c r="D2136" s="22"/>
      <c r="E2136" s="23">
        <v>-7.4899997711181637E-2</v>
      </c>
      <c r="F2136" s="24" t="s">
        <v>125</v>
      </c>
    </row>
    <row r="2137" spans="1:6" ht="16" customHeight="1" x14ac:dyDescent="0.45">
      <c r="A2137" s="19" t="s">
        <v>4391</v>
      </c>
      <c r="B2137" s="20" t="s">
        <v>4392</v>
      </c>
      <c r="C2137" s="21">
        <v>6730</v>
      </c>
      <c r="D2137" s="22"/>
      <c r="E2137" s="23">
        <v>-1.6100000143051151E-2</v>
      </c>
      <c r="F2137" s="24" t="s">
        <v>125</v>
      </c>
    </row>
    <row r="2138" spans="1:6" ht="16" customHeight="1" x14ac:dyDescent="0.45">
      <c r="A2138" s="19" t="s">
        <v>4393</v>
      </c>
      <c r="B2138" s="20" t="s">
        <v>4394</v>
      </c>
      <c r="C2138" s="21">
        <v>8630</v>
      </c>
      <c r="D2138" s="22"/>
      <c r="E2138" s="23">
        <v>-2.2699999809265139E-2</v>
      </c>
      <c r="F2138" s="24" t="s">
        <v>128</v>
      </c>
    </row>
    <row r="2139" spans="1:6" ht="16" customHeight="1" x14ac:dyDescent="0.45">
      <c r="A2139" s="19" t="s">
        <v>4395</v>
      </c>
      <c r="B2139" s="20" t="s">
        <v>4396</v>
      </c>
      <c r="C2139" s="21">
        <v>57700</v>
      </c>
      <c r="D2139" s="22"/>
      <c r="E2139" s="23">
        <v>1.7599999904632568E-2</v>
      </c>
      <c r="F2139" s="24" t="s">
        <v>125</v>
      </c>
    </row>
    <row r="2140" spans="1:6" ht="16" customHeight="1" x14ac:dyDescent="0.45">
      <c r="A2140" s="19" t="s">
        <v>4397</v>
      </c>
      <c r="B2140" s="20" t="s">
        <v>4398</v>
      </c>
      <c r="C2140" s="21">
        <v>12600</v>
      </c>
      <c r="D2140" s="22"/>
      <c r="E2140" s="23">
        <v>1.039999961853027E-2</v>
      </c>
      <c r="F2140" s="24" t="s">
        <v>128</v>
      </c>
    </row>
    <row r="2141" spans="1:6" ht="16" customHeight="1" x14ac:dyDescent="0.45">
      <c r="A2141" s="19" t="s">
        <v>4399</v>
      </c>
      <c r="B2141" s="20" t="s">
        <v>4400</v>
      </c>
      <c r="C2141" s="21">
        <v>5200</v>
      </c>
      <c r="D2141" s="22"/>
      <c r="E2141" s="23">
        <v>-2.2599999904632569E-2</v>
      </c>
      <c r="F2141" s="24" t="s">
        <v>128</v>
      </c>
    </row>
    <row r="2142" spans="1:6" ht="16" customHeight="1" x14ac:dyDescent="0.45">
      <c r="A2142" s="19" t="s">
        <v>4401</v>
      </c>
      <c r="B2142" s="20" t="s">
        <v>4402</v>
      </c>
      <c r="C2142" s="21">
        <v>6720</v>
      </c>
      <c r="D2142" s="22"/>
      <c r="E2142" s="23">
        <v>-3.8599998950958253E-2</v>
      </c>
      <c r="F2142" s="24" t="s">
        <v>125</v>
      </c>
    </row>
    <row r="2143" spans="1:6" ht="16" customHeight="1" x14ac:dyDescent="0.45">
      <c r="A2143" s="19" t="s">
        <v>4403</v>
      </c>
      <c r="B2143" s="20" t="s">
        <v>4404</v>
      </c>
      <c r="C2143" s="21">
        <v>4230</v>
      </c>
      <c r="D2143" s="22"/>
      <c r="E2143" s="23">
        <v>-2.759999990463257E-2</v>
      </c>
      <c r="F2143" s="24" t="s">
        <v>125</v>
      </c>
    </row>
    <row r="2144" spans="1:6" ht="16" customHeight="1" x14ac:dyDescent="0.45">
      <c r="A2144" s="19" t="s">
        <v>4405</v>
      </c>
      <c r="B2144" s="20" t="s">
        <v>4406</v>
      </c>
      <c r="C2144" s="21">
        <v>2105</v>
      </c>
      <c r="D2144" s="22"/>
      <c r="E2144" s="23">
        <v>-7.2699999809265142E-2</v>
      </c>
      <c r="F2144" s="24" t="s">
        <v>125</v>
      </c>
    </row>
    <row r="2145" spans="1:6" ht="16" customHeight="1" x14ac:dyDescent="0.45">
      <c r="A2145" s="19" t="s">
        <v>4407</v>
      </c>
      <c r="B2145" s="20" t="s">
        <v>4408</v>
      </c>
      <c r="C2145" s="21">
        <v>22650</v>
      </c>
      <c r="D2145" s="22"/>
      <c r="E2145" s="23">
        <v>-2.789999961853027E-2</v>
      </c>
      <c r="F2145" s="24" t="s">
        <v>125</v>
      </c>
    </row>
    <row r="2146" spans="1:6" ht="16" customHeight="1" x14ac:dyDescent="0.45">
      <c r="A2146" s="19" t="s">
        <v>4409</v>
      </c>
      <c r="B2146" s="20" t="s">
        <v>4410</v>
      </c>
      <c r="C2146" s="21">
        <v>4555</v>
      </c>
      <c r="D2146" s="22"/>
      <c r="E2146" s="23">
        <v>-5.5999999046325681E-2</v>
      </c>
      <c r="F2146" s="24" t="s">
        <v>128</v>
      </c>
    </row>
    <row r="2147" spans="1:6" ht="16" customHeight="1" x14ac:dyDescent="0.45">
      <c r="A2147" s="19" t="s">
        <v>4411</v>
      </c>
      <c r="B2147" s="20" t="s">
        <v>4412</v>
      </c>
      <c r="C2147" s="21">
        <v>67600</v>
      </c>
      <c r="D2147" s="22"/>
      <c r="E2147" s="23">
        <v>-1.8899999856948849E-2</v>
      </c>
      <c r="F2147" s="24" t="s">
        <v>128</v>
      </c>
    </row>
    <row r="2148" spans="1:6" ht="16" customHeight="1" x14ac:dyDescent="0.45">
      <c r="A2148" s="19" t="s">
        <v>4413</v>
      </c>
      <c r="B2148" s="20" t="s">
        <v>4414</v>
      </c>
      <c r="C2148" s="21">
        <v>15000</v>
      </c>
      <c r="D2148" s="22"/>
      <c r="E2148" s="23">
        <v>-4.1500000953674322E-2</v>
      </c>
      <c r="F2148" s="24" t="s">
        <v>128</v>
      </c>
    </row>
    <row r="2149" spans="1:6" ht="16" customHeight="1" x14ac:dyDescent="0.45">
      <c r="A2149" s="19" t="s">
        <v>4415</v>
      </c>
      <c r="B2149" s="20" t="s">
        <v>4416</v>
      </c>
      <c r="C2149" s="21">
        <v>14500</v>
      </c>
      <c r="D2149" s="22"/>
      <c r="E2149" s="23">
        <v>-1.559999942779541E-2</v>
      </c>
      <c r="F2149" s="24" t="s">
        <v>128</v>
      </c>
    </row>
    <row r="2150" spans="1:6" ht="16" customHeight="1" x14ac:dyDescent="0.45">
      <c r="A2150" s="19" t="s">
        <v>4417</v>
      </c>
      <c r="B2150" s="20" t="s">
        <v>4418</v>
      </c>
      <c r="C2150" s="21">
        <v>98100</v>
      </c>
      <c r="D2150" s="22"/>
      <c r="E2150" s="23">
        <v>-1.409999966621399E-2</v>
      </c>
      <c r="F2150" s="24" t="s">
        <v>128</v>
      </c>
    </row>
    <row r="2151" spans="1:6" ht="16" customHeight="1" x14ac:dyDescent="0.45">
      <c r="A2151" s="19" t="s">
        <v>4419</v>
      </c>
      <c r="B2151" s="20" t="s">
        <v>4420</v>
      </c>
      <c r="C2151" s="21">
        <v>902</v>
      </c>
      <c r="D2151" s="22"/>
      <c r="E2151" s="23">
        <v>-1.200000047683716E-2</v>
      </c>
      <c r="F2151" s="24" t="s">
        <v>125</v>
      </c>
    </row>
    <row r="2152" spans="1:6" ht="16" customHeight="1" x14ac:dyDescent="0.45">
      <c r="A2152" s="19" t="s">
        <v>4421</v>
      </c>
      <c r="B2152" s="20" t="s">
        <v>4422</v>
      </c>
      <c r="C2152" s="21">
        <v>2430</v>
      </c>
      <c r="D2152" s="22"/>
      <c r="E2152" s="23">
        <v>8.2999998331069955E-3</v>
      </c>
      <c r="F2152" s="24" t="s">
        <v>125</v>
      </c>
    </row>
    <row r="2153" spans="1:6" ht="16" customHeight="1" x14ac:dyDescent="0.45">
      <c r="A2153" s="19" t="s">
        <v>4423</v>
      </c>
      <c r="B2153" s="20" t="s">
        <v>4424</v>
      </c>
      <c r="C2153" s="21">
        <v>2210</v>
      </c>
      <c r="D2153" s="22"/>
      <c r="E2153" s="23">
        <v>0</v>
      </c>
      <c r="F2153" s="24" t="s">
        <v>125</v>
      </c>
    </row>
    <row r="2154" spans="1:6" ht="16" customHeight="1" x14ac:dyDescent="0.45">
      <c r="A2154" s="19" t="s">
        <v>4425</v>
      </c>
      <c r="B2154" s="20" t="s">
        <v>4426</v>
      </c>
      <c r="C2154" s="21">
        <v>1719</v>
      </c>
      <c r="D2154" s="22"/>
      <c r="E2154" s="23">
        <v>-2.8800001144409181E-2</v>
      </c>
      <c r="F2154" s="24" t="s">
        <v>128</v>
      </c>
    </row>
    <row r="2155" spans="1:6" ht="16" customHeight="1" x14ac:dyDescent="0.45">
      <c r="A2155" s="19" t="s">
        <v>4427</v>
      </c>
      <c r="B2155" s="20" t="s">
        <v>4428</v>
      </c>
      <c r="C2155" s="21">
        <v>144500</v>
      </c>
      <c r="D2155" s="22"/>
      <c r="E2155" s="23">
        <v>-2.9600000381469729E-2</v>
      </c>
      <c r="F2155" s="24" t="s">
        <v>128</v>
      </c>
    </row>
    <row r="2156" spans="1:6" ht="16" customHeight="1" x14ac:dyDescent="0.45">
      <c r="A2156" s="19" t="s">
        <v>4429</v>
      </c>
      <c r="B2156" s="20" t="s">
        <v>4430</v>
      </c>
      <c r="C2156" s="21">
        <v>83000</v>
      </c>
      <c r="D2156" s="22"/>
      <c r="E2156" s="23">
        <v>-3.5999999046325677E-2</v>
      </c>
      <c r="F2156" s="24" t="s">
        <v>128</v>
      </c>
    </row>
    <row r="2157" spans="1:6" ht="16" customHeight="1" x14ac:dyDescent="0.45">
      <c r="A2157" s="19" t="s">
        <v>4431</v>
      </c>
      <c r="B2157" s="20" t="s">
        <v>4432</v>
      </c>
      <c r="C2157" s="21">
        <v>19070</v>
      </c>
      <c r="D2157" s="22"/>
      <c r="E2157" s="23">
        <v>-2.2100000381469729E-2</v>
      </c>
      <c r="F2157" s="24" t="s">
        <v>128</v>
      </c>
    </row>
    <row r="2158" spans="1:6" ht="16" customHeight="1" x14ac:dyDescent="0.45">
      <c r="A2158" s="19" t="s">
        <v>4433</v>
      </c>
      <c r="B2158" s="20" t="s">
        <v>4434</v>
      </c>
      <c r="C2158" s="21">
        <v>48900</v>
      </c>
      <c r="D2158" s="22"/>
      <c r="E2158" s="23">
        <v>-1.8099999427795409E-2</v>
      </c>
      <c r="F2158" s="24" t="s">
        <v>128</v>
      </c>
    </row>
    <row r="2159" spans="1:6" ht="16" customHeight="1" x14ac:dyDescent="0.45">
      <c r="A2159" s="19" t="s">
        <v>4435</v>
      </c>
      <c r="B2159" s="20" t="s">
        <v>4436</v>
      </c>
      <c r="C2159" s="21">
        <v>1720</v>
      </c>
      <c r="D2159" s="22"/>
      <c r="E2159" s="23">
        <v>-1.149999976158142E-2</v>
      </c>
      <c r="F2159" s="24" t="s">
        <v>125</v>
      </c>
    </row>
    <row r="2160" spans="1:6" ht="16" customHeight="1" x14ac:dyDescent="0.45">
      <c r="A2160" s="19" t="s">
        <v>4437</v>
      </c>
      <c r="B2160" s="20" t="s">
        <v>4438</v>
      </c>
      <c r="C2160" s="21">
        <v>125100</v>
      </c>
      <c r="D2160" s="22"/>
      <c r="E2160" s="23">
        <v>-1.179999947547913E-2</v>
      </c>
      <c r="F2160" s="24" t="s">
        <v>125</v>
      </c>
    </row>
    <row r="2161" spans="1:6" ht="16" customHeight="1" x14ac:dyDescent="0.45">
      <c r="A2161" s="19" t="s">
        <v>4439</v>
      </c>
      <c r="B2161" s="20" t="s">
        <v>4440</v>
      </c>
      <c r="C2161" s="21">
        <v>1563</v>
      </c>
      <c r="D2161" s="22"/>
      <c r="E2161" s="23">
        <v>-6.4099998474121095E-2</v>
      </c>
      <c r="F2161" s="24" t="s">
        <v>128</v>
      </c>
    </row>
    <row r="2162" spans="1:6" ht="16" customHeight="1" x14ac:dyDescent="0.45">
      <c r="A2162" s="19" t="s">
        <v>4441</v>
      </c>
      <c r="B2162" s="20" t="s">
        <v>4442</v>
      </c>
      <c r="C2162" s="21">
        <v>430</v>
      </c>
      <c r="D2162" s="22"/>
      <c r="E2162" s="23">
        <v>0</v>
      </c>
      <c r="F2162" s="24" t="s">
        <v>128</v>
      </c>
    </row>
    <row r="2163" spans="1:6" ht="16" customHeight="1" x14ac:dyDescent="0.45">
      <c r="A2163" s="19" t="s">
        <v>4443</v>
      </c>
      <c r="B2163" s="20" t="s">
        <v>4444</v>
      </c>
      <c r="C2163" s="21">
        <v>9880</v>
      </c>
      <c r="D2163" s="22"/>
      <c r="E2163" s="23">
        <v>-0.01</v>
      </c>
      <c r="F2163" s="24" t="s">
        <v>125</v>
      </c>
    </row>
    <row r="2164" spans="1:6" ht="16" customHeight="1" x14ac:dyDescent="0.45">
      <c r="A2164" s="19" t="s">
        <v>4445</v>
      </c>
      <c r="B2164" s="20" t="s">
        <v>4446</v>
      </c>
      <c r="C2164" s="21">
        <v>20250</v>
      </c>
      <c r="D2164" s="22"/>
      <c r="E2164" s="23">
        <v>-3.7999999523162839E-2</v>
      </c>
      <c r="F2164" s="24" t="s">
        <v>125</v>
      </c>
    </row>
    <row r="2165" spans="1:6" ht="16" customHeight="1" x14ac:dyDescent="0.45">
      <c r="A2165" s="19" t="s">
        <v>4447</v>
      </c>
      <c r="B2165" s="20" t="s">
        <v>4448</v>
      </c>
      <c r="C2165" s="21">
        <v>1837</v>
      </c>
      <c r="D2165" s="22"/>
      <c r="E2165" s="23">
        <v>-3.6199998855590818E-2</v>
      </c>
      <c r="F2165" s="24" t="s">
        <v>125</v>
      </c>
    </row>
    <row r="2166" spans="1:6" ht="16" customHeight="1" x14ac:dyDescent="0.45">
      <c r="A2166" s="19" t="s">
        <v>4449</v>
      </c>
      <c r="B2166" s="20" t="s">
        <v>4450</v>
      </c>
      <c r="C2166" s="21">
        <v>17490</v>
      </c>
      <c r="D2166" s="22"/>
      <c r="E2166" s="23">
        <v>1.6900000572204591E-2</v>
      </c>
      <c r="F2166" s="24" t="s">
        <v>125</v>
      </c>
    </row>
    <row r="2167" spans="1:6" ht="16" customHeight="1" x14ac:dyDescent="0.45">
      <c r="A2167" s="19" t="s">
        <v>4451</v>
      </c>
      <c r="B2167" s="20" t="s">
        <v>4452</v>
      </c>
      <c r="C2167" s="21">
        <v>16200</v>
      </c>
      <c r="D2167" s="22"/>
      <c r="E2167" s="23">
        <v>-2.6400001049041749E-2</v>
      </c>
      <c r="F2167" s="24" t="s">
        <v>125</v>
      </c>
    </row>
    <row r="2168" spans="1:6" ht="16" customHeight="1" x14ac:dyDescent="0.45">
      <c r="A2168" s="19" t="s">
        <v>4453</v>
      </c>
      <c r="B2168" s="20" t="s">
        <v>4454</v>
      </c>
      <c r="C2168" s="21">
        <v>7620</v>
      </c>
      <c r="D2168" s="22"/>
      <c r="E2168" s="23">
        <v>3.8099999427795413E-2</v>
      </c>
      <c r="F2168" s="24" t="s">
        <v>125</v>
      </c>
    </row>
    <row r="2169" spans="1:6" ht="16" customHeight="1" x14ac:dyDescent="0.45">
      <c r="A2169" s="19" t="s">
        <v>4455</v>
      </c>
      <c r="B2169" s="20" t="s">
        <v>4456</v>
      </c>
      <c r="C2169" s="21">
        <v>12680</v>
      </c>
      <c r="D2169" s="22"/>
      <c r="E2169" s="23">
        <v>-1.549999952316284E-2</v>
      </c>
      <c r="F2169" s="24" t="s">
        <v>128</v>
      </c>
    </row>
    <row r="2170" spans="1:6" ht="16" customHeight="1" x14ac:dyDescent="0.45">
      <c r="A2170" s="19" t="s">
        <v>4457</v>
      </c>
      <c r="B2170" s="20" t="s">
        <v>4458</v>
      </c>
      <c r="C2170" s="21">
        <v>4610</v>
      </c>
      <c r="D2170" s="22"/>
      <c r="E2170" s="23">
        <v>-5.5300002098083487E-2</v>
      </c>
      <c r="F2170" s="24" t="s">
        <v>125</v>
      </c>
    </row>
    <row r="2171" spans="1:6" ht="16" customHeight="1" x14ac:dyDescent="0.45">
      <c r="A2171" s="19" t="s">
        <v>4459</v>
      </c>
      <c r="B2171" s="20" t="s">
        <v>4460</v>
      </c>
      <c r="C2171" s="21">
        <v>16040</v>
      </c>
      <c r="D2171" s="22"/>
      <c r="E2171" s="23">
        <v>1.19999997317791E-3</v>
      </c>
      <c r="F2171" s="24" t="s">
        <v>125</v>
      </c>
    </row>
    <row r="2172" spans="1:6" ht="16" customHeight="1" x14ac:dyDescent="0.45">
      <c r="A2172" s="19" t="s">
        <v>4461</v>
      </c>
      <c r="B2172" s="20" t="s">
        <v>4462</v>
      </c>
      <c r="C2172" s="21">
        <v>748</v>
      </c>
      <c r="D2172" s="22"/>
      <c r="E2172" s="23">
        <v>0</v>
      </c>
      <c r="F2172" s="24" t="s">
        <v>125</v>
      </c>
    </row>
    <row r="2173" spans="1:6" ht="16" customHeight="1" x14ac:dyDescent="0.45">
      <c r="A2173" s="19" t="s">
        <v>4463</v>
      </c>
      <c r="B2173" s="20" t="s">
        <v>4464</v>
      </c>
      <c r="C2173" s="21">
        <v>3340</v>
      </c>
      <c r="D2173" s="22"/>
      <c r="E2173" s="23">
        <v>-1.330000042915344E-2</v>
      </c>
      <c r="F2173" s="24" t="s">
        <v>125</v>
      </c>
    </row>
    <row r="2174" spans="1:6" ht="16" customHeight="1" x14ac:dyDescent="0.45">
      <c r="A2174" s="19" t="s">
        <v>4465</v>
      </c>
      <c r="B2174" s="20" t="s">
        <v>4466</v>
      </c>
      <c r="C2174" s="21">
        <v>1415</v>
      </c>
      <c r="D2174" s="22"/>
      <c r="E2174" s="23">
        <v>1.139999985694885E-2</v>
      </c>
      <c r="F2174" s="24" t="s">
        <v>125</v>
      </c>
    </row>
    <row r="2175" spans="1:6" ht="16" customHeight="1" x14ac:dyDescent="0.45">
      <c r="A2175" s="19" t="s">
        <v>4467</v>
      </c>
      <c r="B2175" s="20" t="s">
        <v>4468</v>
      </c>
      <c r="C2175" s="21">
        <v>23500</v>
      </c>
      <c r="D2175" s="22"/>
      <c r="E2175" s="23">
        <v>6.3999998569488521E-3</v>
      </c>
      <c r="F2175" s="24" t="s">
        <v>125</v>
      </c>
    </row>
    <row r="2176" spans="1:6" ht="16" customHeight="1" x14ac:dyDescent="0.45">
      <c r="A2176" s="19" t="s">
        <v>4469</v>
      </c>
      <c r="B2176" s="20" t="s">
        <v>4470</v>
      </c>
      <c r="C2176" s="21">
        <v>7800</v>
      </c>
      <c r="D2176" s="22"/>
      <c r="E2176" s="23">
        <v>-5.6799998283386229E-2</v>
      </c>
      <c r="F2176" s="24" t="s">
        <v>125</v>
      </c>
    </row>
    <row r="2177" spans="1:6" ht="16" customHeight="1" x14ac:dyDescent="0.45">
      <c r="A2177" s="19" t="s">
        <v>4471</v>
      </c>
      <c r="B2177" s="20" t="s">
        <v>4472</v>
      </c>
      <c r="C2177" s="21">
        <v>3545</v>
      </c>
      <c r="D2177" s="22"/>
      <c r="E2177" s="23">
        <v>3.9600000381469727E-2</v>
      </c>
      <c r="F2177" s="24" t="s">
        <v>125</v>
      </c>
    </row>
    <row r="2178" spans="1:6" ht="16" customHeight="1" x14ac:dyDescent="0.45">
      <c r="A2178" s="19" t="s">
        <v>4473</v>
      </c>
      <c r="B2178" s="20" t="s">
        <v>4474</v>
      </c>
      <c r="C2178" s="21">
        <v>15720</v>
      </c>
      <c r="D2178" s="22"/>
      <c r="E2178" s="23">
        <v>-6.8999999761581417E-3</v>
      </c>
      <c r="F2178" s="24" t="s">
        <v>125</v>
      </c>
    </row>
    <row r="2179" spans="1:6" ht="16" customHeight="1" x14ac:dyDescent="0.45">
      <c r="A2179" s="19" t="s">
        <v>4475</v>
      </c>
      <c r="B2179" s="20" t="s">
        <v>4476</v>
      </c>
      <c r="C2179" s="21">
        <v>2805</v>
      </c>
      <c r="D2179" s="22"/>
      <c r="E2179" s="23">
        <v>1.0800000429153441E-2</v>
      </c>
      <c r="F2179" s="24" t="s">
        <v>125</v>
      </c>
    </row>
    <row r="2180" spans="1:6" ht="16" customHeight="1" x14ac:dyDescent="0.45">
      <c r="A2180" s="19" t="s">
        <v>4477</v>
      </c>
      <c r="B2180" s="20" t="s">
        <v>4478</v>
      </c>
      <c r="C2180" s="21">
        <v>9090</v>
      </c>
      <c r="D2180" s="22"/>
      <c r="E2180" s="23">
        <v>3.2999999523162842E-2</v>
      </c>
      <c r="F2180" s="24" t="s">
        <v>125</v>
      </c>
    </row>
    <row r="2181" spans="1:6" ht="16" customHeight="1" x14ac:dyDescent="0.45">
      <c r="A2181" s="19" t="s">
        <v>4479</v>
      </c>
      <c r="B2181" s="20" t="s">
        <v>4480</v>
      </c>
      <c r="C2181" s="21">
        <v>389</v>
      </c>
      <c r="D2181" s="22"/>
      <c r="E2181" s="23">
        <v>-1.2699999809265139E-2</v>
      </c>
      <c r="F2181" s="24" t="s">
        <v>251</v>
      </c>
    </row>
    <row r="2182" spans="1:6" ht="16" customHeight="1" x14ac:dyDescent="0.45">
      <c r="A2182" s="19" t="s">
        <v>4481</v>
      </c>
      <c r="B2182" s="20" t="s">
        <v>4482</v>
      </c>
      <c r="C2182" s="21">
        <v>7400</v>
      </c>
      <c r="D2182" s="22"/>
      <c r="E2182" s="23">
        <v>-2.2499999999999999E-2</v>
      </c>
      <c r="F2182" s="24" t="s">
        <v>125</v>
      </c>
    </row>
    <row r="2183" spans="1:6" ht="16" customHeight="1" x14ac:dyDescent="0.45">
      <c r="A2183" s="19" t="s">
        <v>4483</v>
      </c>
      <c r="B2183" s="20" t="s">
        <v>4484</v>
      </c>
      <c r="C2183" s="21">
        <v>2470</v>
      </c>
      <c r="D2183" s="22"/>
      <c r="E2183" s="23">
        <v>-3.1400001049041747E-2</v>
      </c>
      <c r="F2183" s="24" t="s">
        <v>125</v>
      </c>
    </row>
    <row r="2184" spans="1:6" ht="16" customHeight="1" x14ac:dyDescent="0.45">
      <c r="A2184" s="19" t="s">
        <v>4485</v>
      </c>
      <c r="B2184" s="20" t="s">
        <v>4486</v>
      </c>
      <c r="C2184" s="21">
        <v>4575</v>
      </c>
      <c r="D2184" s="22"/>
      <c r="E2184" s="23">
        <v>0</v>
      </c>
      <c r="F2184" s="24" t="s">
        <v>251</v>
      </c>
    </row>
    <row r="2185" spans="1:6" ht="16" customHeight="1" x14ac:dyDescent="0.45">
      <c r="A2185" s="19" t="s">
        <v>4487</v>
      </c>
      <c r="B2185" s="20" t="s">
        <v>4488</v>
      </c>
      <c r="C2185" s="21">
        <v>9850</v>
      </c>
      <c r="D2185" s="22"/>
      <c r="E2185" s="23">
        <v>-9.1000002622604378E-3</v>
      </c>
      <c r="F2185" s="24" t="s">
        <v>125</v>
      </c>
    </row>
    <row r="2186" spans="1:6" ht="16" customHeight="1" x14ac:dyDescent="0.45">
      <c r="A2186" s="19" t="s">
        <v>4489</v>
      </c>
      <c r="B2186" s="20" t="s">
        <v>4490</v>
      </c>
      <c r="C2186" s="21">
        <v>19830</v>
      </c>
      <c r="D2186" s="22"/>
      <c r="E2186" s="23">
        <v>5.7600002288818362E-2</v>
      </c>
      <c r="F2186" s="24" t="s">
        <v>125</v>
      </c>
    </row>
    <row r="2187" spans="1:6" ht="16" customHeight="1" x14ac:dyDescent="0.45">
      <c r="A2187" s="19" t="s">
        <v>4491</v>
      </c>
      <c r="B2187" s="20" t="s">
        <v>4492</v>
      </c>
      <c r="C2187" s="21">
        <v>36950</v>
      </c>
      <c r="D2187" s="22"/>
      <c r="E2187" s="23">
        <v>-2.7000001072883611E-3</v>
      </c>
      <c r="F2187" s="24" t="s">
        <v>125</v>
      </c>
    </row>
    <row r="2188" spans="1:6" ht="16" customHeight="1" x14ac:dyDescent="0.45">
      <c r="A2188" s="19" t="s">
        <v>4493</v>
      </c>
      <c r="B2188" s="20" t="s">
        <v>4494</v>
      </c>
      <c r="C2188" s="21">
        <v>574</v>
      </c>
      <c r="D2188" s="22"/>
      <c r="E2188" s="23">
        <v>0</v>
      </c>
      <c r="F2188" s="24" t="s">
        <v>125</v>
      </c>
    </row>
    <row r="2189" spans="1:6" ht="16" customHeight="1" x14ac:dyDescent="0.45">
      <c r="A2189" s="19" t="s">
        <v>4495</v>
      </c>
      <c r="B2189" s="20" t="s">
        <v>4496</v>
      </c>
      <c r="C2189" s="21">
        <v>999</v>
      </c>
      <c r="D2189" s="22"/>
      <c r="E2189" s="23">
        <v>-3.3800001144409182E-2</v>
      </c>
      <c r="F2189" s="24" t="s">
        <v>125</v>
      </c>
    </row>
    <row r="2190" spans="1:6" ht="16" customHeight="1" x14ac:dyDescent="0.45">
      <c r="A2190" s="19" t="s">
        <v>4497</v>
      </c>
      <c r="B2190" s="20" t="s">
        <v>4498</v>
      </c>
      <c r="C2190" s="21">
        <v>4755</v>
      </c>
      <c r="D2190" s="22"/>
      <c r="E2190" s="23">
        <v>-2.6600000858306889E-2</v>
      </c>
      <c r="F2190" s="24" t="s">
        <v>128</v>
      </c>
    </row>
    <row r="2191" spans="1:6" ht="16" customHeight="1" x14ac:dyDescent="0.45">
      <c r="A2191" s="19" t="s">
        <v>4499</v>
      </c>
      <c r="B2191" s="20" t="s">
        <v>4500</v>
      </c>
      <c r="C2191" s="21">
        <v>74700</v>
      </c>
      <c r="D2191" s="22"/>
      <c r="E2191" s="23">
        <v>-2.0999999046325681E-2</v>
      </c>
      <c r="F2191" s="24" t="s">
        <v>128</v>
      </c>
    </row>
    <row r="2192" spans="1:6" ht="16" customHeight="1" x14ac:dyDescent="0.45">
      <c r="A2192" s="19" t="s">
        <v>4501</v>
      </c>
      <c r="B2192" s="20" t="s">
        <v>4502</v>
      </c>
      <c r="C2192" s="21">
        <v>8890</v>
      </c>
      <c r="D2192" s="22"/>
      <c r="E2192" s="23">
        <v>1.2500000000000001E-2</v>
      </c>
      <c r="F2192" s="24" t="s">
        <v>125</v>
      </c>
    </row>
    <row r="2193" spans="1:6" ht="16" customHeight="1" x14ac:dyDescent="0.45">
      <c r="A2193" s="19" t="s">
        <v>4503</v>
      </c>
      <c r="B2193" s="20" t="s">
        <v>4504</v>
      </c>
      <c r="C2193" s="21">
        <v>78500</v>
      </c>
      <c r="D2193" s="22"/>
      <c r="E2193" s="23">
        <v>-7.860000133514404E-2</v>
      </c>
      <c r="F2193" s="24" t="s">
        <v>125</v>
      </c>
    </row>
    <row r="2194" spans="1:6" ht="16" customHeight="1" x14ac:dyDescent="0.45">
      <c r="A2194" s="19" t="s">
        <v>4505</v>
      </c>
      <c r="B2194" s="20" t="s">
        <v>4506</v>
      </c>
      <c r="C2194" s="21">
        <v>17140</v>
      </c>
      <c r="D2194" s="22"/>
      <c r="E2194" s="23">
        <v>5.480000019073486E-2</v>
      </c>
      <c r="F2194" s="24" t="s">
        <v>125</v>
      </c>
    </row>
    <row r="2195" spans="1:6" ht="16" customHeight="1" x14ac:dyDescent="0.45">
      <c r="A2195" s="19" t="s">
        <v>4507</v>
      </c>
      <c r="B2195" s="20" t="s">
        <v>4508</v>
      </c>
      <c r="C2195" s="21">
        <v>2610</v>
      </c>
      <c r="D2195" s="22"/>
      <c r="E2195" s="23">
        <v>-2.0599999427795411E-2</v>
      </c>
      <c r="F2195" s="24" t="s">
        <v>128</v>
      </c>
    </row>
    <row r="2196" spans="1:6" ht="16" customHeight="1" x14ac:dyDescent="0.45">
      <c r="A2196" s="19" t="s">
        <v>4509</v>
      </c>
      <c r="B2196" s="20" t="s">
        <v>4510</v>
      </c>
      <c r="C2196" s="21">
        <v>18030</v>
      </c>
      <c r="D2196" s="22"/>
      <c r="E2196" s="23">
        <v>-5.9999998658895489E-4</v>
      </c>
      <c r="F2196" s="24" t="s">
        <v>125</v>
      </c>
    </row>
    <row r="2197" spans="1:6" ht="16" customHeight="1" x14ac:dyDescent="0.45">
      <c r="A2197" s="19" t="s">
        <v>4511</v>
      </c>
      <c r="B2197" s="20" t="s">
        <v>4512</v>
      </c>
      <c r="C2197" s="21">
        <v>1920</v>
      </c>
      <c r="D2197" s="22"/>
      <c r="E2197" s="23">
        <v>-4.2399997711181643E-2</v>
      </c>
      <c r="F2197" s="24" t="s">
        <v>125</v>
      </c>
    </row>
    <row r="2198" spans="1:6" ht="16" customHeight="1" x14ac:dyDescent="0.45">
      <c r="A2198" s="19" t="s">
        <v>4513</v>
      </c>
      <c r="B2198" s="20" t="s">
        <v>4514</v>
      </c>
      <c r="C2198" s="21">
        <v>4495</v>
      </c>
      <c r="D2198" s="22"/>
      <c r="E2198" s="23">
        <v>-4.6700000762939453E-2</v>
      </c>
      <c r="F2198" s="24" t="s">
        <v>125</v>
      </c>
    </row>
    <row r="2199" spans="1:6" ht="16" customHeight="1" x14ac:dyDescent="0.45">
      <c r="A2199" s="19" t="s">
        <v>4515</v>
      </c>
      <c r="B2199" s="20" t="s">
        <v>4516</v>
      </c>
      <c r="C2199" s="21">
        <v>19060</v>
      </c>
      <c r="D2199" s="22"/>
      <c r="E2199" s="23">
        <v>-1.190000057220459E-2</v>
      </c>
      <c r="F2199" s="24" t="s">
        <v>125</v>
      </c>
    </row>
    <row r="2200" spans="1:6" ht="16" customHeight="1" x14ac:dyDescent="0.45">
      <c r="A2200" s="19" t="s">
        <v>4517</v>
      </c>
      <c r="B2200" s="20" t="s">
        <v>4518</v>
      </c>
      <c r="C2200" s="21">
        <v>5040</v>
      </c>
      <c r="D2200" s="22"/>
      <c r="E2200" s="23">
        <v>-3.2599999904632568E-2</v>
      </c>
      <c r="F2200" s="24" t="s">
        <v>125</v>
      </c>
    </row>
    <row r="2201" spans="1:6" ht="16" customHeight="1" x14ac:dyDescent="0.45">
      <c r="A2201" s="19" t="s">
        <v>4519</v>
      </c>
      <c r="B2201" s="20" t="s">
        <v>4520</v>
      </c>
      <c r="C2201" s="21">
        <v>5550</v>
      </c>
      <c r="D2201" s="22"/>
      <c r="E2201" s="23">
        <v>-2.7999999523162841E-2</v>
      </c>
      <c r="F2201" s="24" t="s">
        <v>128</v>
      </c>
    </row>
    <row r="2202" spans="1:6" ht="16" customHeight="1" x14ac:dyDescent="0.45">
      <c r="A2202" s="19" t="s">
        <v>4521</v>
      </c>
      <c r="B2202" s="20" t="s">
        <v>4522</v>
      </c>
      <c r="C2202" s="21">
        <v>4880</v>
      </c>
      <c r="D2202" s="22"/>
      <c r="E2202" s="23">
        <v>-1.6100000143051151E-2</v>
      </c>
      <c r="F2202" s="24" t="s">
        <v>125</v>
      </c>
    </row>
    <row r="2203" spans="1:6" ht="16" customHeight="1" x14ac:dyDescent="0.45">
      <c r="A2203" s="19" t="s">
        <v>4523</v>
      </c>
      <c r="B2203" s="20" t="s">
        <v>4524</v>
      </c>
      <c r="C2203" s="21">
        <v>2330</v>
      </c>
      <c r="D2203" s="22"/>
      <c r="E2203" s="23">
        <v>-2.5099999904632572E-2</v>
      </c>
      <c r="F2203" s="24" t="s">
        <v>128</v>
      </c>
    </row>
    <row r="2204" spans="1:6" ht="16" customHeight="1" x14ac:dyDescent="0.45">
      <c r="A2204" s="19" t="s">
        <v>4525</v>
      </c>
      <c r="B2204" s="20" t="s">
        <v>4526</v>
      </c>
      <c r="C2204" s="21">
        <v>3050</v>
      </c>
      <c r="D2204" s="22"/>
      <c r="E2204" s="23">
        <v>-1.1299999952316279E-2</v>
      </c>
      <c r="F2204" s="24" t="s">
        <v>128</v>
      </c>
    </row>
    <row r="2205" spans="1:6" ht="16" customHeight="1" x14ac:dyDescent="0.45">
      <c r="A2205" s="19" t="s">
        <v>4527</v>
      </c>
      <c r="B2205" s="20" t="s">
        <v>4528</v>
      </c>
      <c r="C2205" s="21">
        <v>2015</v>
      </c>
      <c r="D2205" s="22"/>
      <c r="E2205" s="23">
        <v>-5.8400001525878903E-2</v>
      </c>
      <c r="F2205" s="24" t="s">
        <v>128</v>
      </c>
    </row>
    <row r="2206" spans="1:6" ht="16" customHeight="1" x14ac:dyDescent="0.45">
      <c r="A2206" s="19" t="s">
        <v>4529</v>
      </c>
      <c r="B2206" s="20" t="s">
        <v>4530</v>
      </c>
      <c r="C2206" s="21">
        <v>6190</v>
      </c>
      <c r="D2206" s="22"/>
      <c r="E2206" s="23">
        <v>-1.7500000000000002E-2</v>
      </c>
      <c r="F2206" s="24" t="s">
        <v>128</v>
      </c>
    </row>
    <row r="2207" spans="1:6" ht="16" customHeight="1" x14ac:dyDescent="0.45">
      <c r="A2207" s="19" t="s">
        <v>4531</v>
      </c>
      <c r="B2207" s="20" t="s">
        <v>4532</v>
      </c>
      <c r="C2207" s="21">
        <v>1983</v>
      </c>
      <c r="D2207" s="22"/>
      <c r="E2207" s="23">
        <v>-6.4600000381469722E-2</v>
      </c>
      <c r="F2207" s="24" t="s">
        <v>125</v>
      </c>
    </row>
    <row r="2208" spans="1:6" ht="16" customHeight="1" x14ac:dyDescent="0.45">
      <c r="A2208" s="19" t="s">
        <v>4533</v>
      </c>
      <c r="B2208" s="20" t="s">
        <v>4534</v>
      </c>
      <c r="C2208" s="21">
        <v>809</v>
      </c>
      <c r="D2208" s="22"/>
      <c r="E2208" s="23">
        <v>-3.3499999046325682E-2</v>
      </c>
      <c r="F2208" s="24" t="s">
        <v>128</v>
      </c>
    </row>
    <row r="2209" spans="1:6" ht="16" customHeight="1" x14ac:dyDescent="0.45">
      <c r="A2209" s="19" t="s">
        <v>4535</v>
      </c>
      <c r="B2209" s="20" t="s">
        <v>4536</v>
      </c>
      <c r="C2209" s="21">
        <v>22550</v>
      </c>
      <c r="D2209" s="22"/>
      <c r="E2209" s="23">
        <v>-4.2500000000000003E-2</v>
      </c>
      <c r="F2209" s="24" t="s">
        <v>251</v>
      </c>
    </row>
    <row r="2210" spans="1:6" ht="16" customHeight="1" x14ac:dyDescent="0.45">
      <c r="A2210" s="19" t="s">
        <v>4537</v>
      </c>
      <c r="B2210" s="20" t="s">
        <v>4538</v>
      </c>
      <c r="C2210" s="21">
        <v>1363</v>
      </c>
      <c r="D2210" s="22"/>
      <c r="E2210" s="23">
        <v>2.199999988079071E-3</v>
      </c>
      <c r="F2210" s="24" t="s">
        <v>128</v>
      </c>
    </row>
    <row r="2211" spans="1:6" ht="16" customHeight="1" x14ac:dyDescent="0.45">
      <c r="A2211" s="19" t="s">
        <v>4539</v>
      </c>
      <c r="B2211" s="20" t="s">
        <v>4540</v>
      </c>
      <c r="C2211" s="21">
        <v>8380</v>
      </c>
      <c r="D2211" s="22"/>
      <c r="E2211" s="23">
        <v>-1.2999999523162839E-2</v>
      </c>
      <c r="F2211" s="24" t="s">
        <v>128</v>
      </c>
    </row>
    <row r="2212" spans="1:6" ht="16" customHeight="1" x14ac:dyDescent="0.45">
      <c r="A2212" s="19" t="s">
        <v>4541</v>
      </c>
      <c r="B2212" s="20" t="s">
        <v>4542</v>
      </c>
      <c r="C2212" s="21">
        <v>3480</v>
      </c>
      <c r="D2212" s="22"/>
      <c r="E2212" s="23">
        <v>8.7000000476837158E-3</v>
      </c>
      <c r="F2212" s="24" t="s">
        <v>128</v>
      </c>
    </row>
    <row r="2213" spans="1:6" ht="16" customHeight="1" x14ac:dyDescent="0.45">
      <c r="A2213" s="19" t="s">
        <v>4543</v>
      </c>
      <c r="B2213" s="20" t="s">
        <v>4544</v>
      </c>
      <c r="C2213" s="21">
        <v>1790</v>
      </c>
      <c r="D2213" s="22"/>
      <c r="E2213" s="23">
        <v>4.0700001716613768E-2</v>
      </c>
      <c r="F2213" s="24" t="s">
        <v>251</v>
      </c>
    </row>
    <row r="2214" spans="1:6" ht="16" customHeight="1" x14ac:dyDescent="0.45">
      <c r="A2214" s="19" t="s">
        <v>4545</v>
      </c>
      <c r="B2214" s="20" t="s">
        <v>4546</v>
      </c>
      <c r="C2214" s="21">
        <v>8000</v>
      </c>
      <c r="D2214" s="22"/>
      <c r="E2214" s="23">
        <v>-5.5500001907348627E-2</v>
      </c>
      <c r="F2214" s="24" t="s">
        <v>128</v>
      </c>
    </row>
    <row r="2215" spans="1:6" ht="16" customHeight="1" x14ac:dyDescent="0.45">
      <c r="A2215" s="19" t="s">
        <v>4547</v>
      </c>
      <c r="B2215" s="20" t="s">
        <v>4548</v>
      </c>
      <c r="C2215" s="21">
        <v>16140</v>
      </c>
      <c r="D2215" s="22"/>
      <c r="E2215" s="23">
        <v>-4.4999999999999998E-2</v>
      </c>
      <c r="F2215" s="24" t="s">
        <v>125</v>
      </c>
    </row>
    <row r="2216" spans="1:6" ht="16" customHeight="1" x14ac:dyDescent="0.45">
      <c r="A2216" s="19" t="s">
        <v>4549</v>
      </c>
      <c r="B2216" s="20" t="s">
        <v>4550</v>
      </c>
      <c r="C2216" s="21">
        <v>3125</v>
      </c>
      <c r="D2216" s="22"/>
      <c r="E2216" s="23">
        <v>-6.8600001335144045E-2</v>
      </c>
      <c r="F2216" s="24" t="s">
        <v>125</v>
      </c>
    </row>
    <row r="2217" spans="1:6" ht="16" customHeight="1" x14ac:dyDescent="0.45">
      <c r="A2217" s="19" t="s">
        <v>4551</v>
      </c>
      <c r="B2217" s="20" t="s">
        <v>4552</v>
      </c>
      <c r="C2217" s="21">
        <v>4100</v>
      </c>
      <c r="D2217" s="22"/>
      <c r="E2217" s="23">
        <v>-2.02999997138977E-2</v>
      </c>
      <c r="F2217" s="24" t="s">
        <v>125</v>
      </c>
    </row>
    <row r="2218" spans="1:6" ht="16" customHeight="1" x14ac:dyDescent="0.45">
      <c r="A2218" s="19" t="s">
        <v>4553</v>
      </c>
      <c r="B2218" s="20" t="s">
        <v>4554</v>
      </c>
      <c r="C2218" s="21">
        <v>1065</v>
      </c>
      <c r="D2218" s="22"/>
      <c r="E2218" s="23">
        <v>0</v>
      </c>
      <c r="F2218" s="24" t="s">
        <v>128</v>
      </c>
    </row>
    <row r="2219" spans="1:6" ht="16" customHeight="1" x14ac:dyDescent="0.45">
      <c r="A2219" s="19" t="s">
        <v>4555</v>
      </c>
      <c r="B2219" s="20" t="s">
        <v>4556</v>
      </c>
      <c r="C2219" s="21">
        <v>5340</v>
      </c>
      <c r="D2219" s="22"/>
      <c r="E2219" s="23">
        <v>-2.730000019073486E-2</v>
      </c>
      <c r="F2219" s="24" t="s">
        <v>125</v>
      </c>
    </row>
    <row r="2220" spans="1:6" ht="16" customHeight="1" x14ac:dyDescent="0.45">
      <c r="A2220" s="19" t="s">
        <v>4557</v>
      </c>
      <c r="B2220" s="20" t="s">
        <v>4558</v>
      </c>
      <c r="C2220" s="21">
        <v>8580</v>
      </c>
      <c r="D2220" s="22"/>
      <c r="E2220" s="23">
        <v>0</v>
      </c>
      <c r="F2220" s="24" t="s">
        <v>251</v>
      </c>
    </row>
    <row r="2221" spans="1:6" ht="16" customHeight="1" x14ac:dyDescent="0.45">
      <c r="A2221" s="19" t="s">
        <v>4559</v>
      </c>
      <c r="B2221" s="20" t="s">
        <v>4560</v>
      </c>
      <c r="C2221" s="21">
        <v>10310</v>
      </c>
      <c r="D2221" s="22"/>
      <c r="E2221" s="23">
        <v>-0.02</v>
      </c>
      <c r="F2221" s="24" t="s">
        <v>125</v>
      </c>
    </row>
    <row r="2222" spans="1:6" ht="16" customHeight="1" x14ac:dyDescent="0.45">
      <c r="A2222" s="19" t="s">
        <v>4561</v>
      </c>
      <c r="B2222" s="20" t="s">
        <v>4562</v>
      </c>
      <c r="C2222" s="21">
        <v>17750</v>
      </c>
      <c r="D2222" s="22"/>
      <c r="E2222" s="23">
        <v>-0.1115999984741211</v>
      </c>
      <c r="F2222" s="24" t="s">
        <v>125</v>
      </c>
    </row>
    <row r="2223" spans="1:6" ht="16" customHeight="1" x14ac:dyDescent="0.45">
      <c r="A2223" s="19" t="s">
        <v>4563</v>
      </c>
      <c r="B2223" s="20" t="s">
        <v>4564</v>
      </c>
      <c r="C2223" s="21">
        <v>63200</v>
      </c>
      <c r="D2223" s="22"/>
      <c r="E2223" s="23">
        <v>-3.6600000858306878E-2</v>
      </c>
      <c r="F2223" s="24" t="s">
        <v>125</v>
      </c>
    </row>
    <row r="2224" spans="1:6" ht="16" customHeight="1" x14ac:dyDescent="0.45">
      <c r="A2224" s="19" t="s">
        <v>4565</v>
      </c>
      <c r="B2224" s="20" t="s">
        <v>4566</v>
      </c>
      <c r="C2224" s="21">
        <v>193800</v>
      </c>
      <c r="D2224" s="22"/>
      <c r="E2224" s="23">
        <v>-2.5199999809265142E-2</v>
      </c>
      <c r="F2224" s="24" t="s">
        <v>128</v>
      </c>
    </row>
    <row r="2225" spans="1:6" ht="16" customHeight="1" x14ac:dyDescent="0.45">
      <c r="A2225" s="19" t="s">
        <v>4567</v>
      </c>
      <c r="B2225" s="20" t="s">
        <v>4568</v>
      </c>
      <c r="C2225" s="21">
        <v>4945</v>
      </c>
      <c r="D2225" s="22"/>
      <c r="E2225" s="23">
        <v>-2.2699999809265139E-2</v>
      </c>
      <c r="F2225" s="24" t="s">
        <v>125</v>
      </c>
    </row>
    <row r="2226" spans="1:6" ht="16" customHeight="1" x14ac:dyDescent="0.45">
      <c r="A2226" s="19" t="s">
        <v>4569</v>
      </c>
      <c r="B2226" s="20" t="s">
        <v>4570</v>
      </c>
      <c r="C2226" s="21">
        <v>1188</v>
      </c>
      <c r="D2226" s="22"/>
      <c r="E2226" s="23">
        <v>-4.8099999427795408E-2</v>
      </c>
      <c r="F2226" s="24" t="s">
        <v>125</v>
      </c>
    </row>
    <row r="2227" spans="1:6" ht="16" customHeight="1" x14ac:dyDescent="0.45">
      <c r="A2227" s="19" t="s">
        <v>4571</v>
      </c>
      <c r="B2227" s="20" t="s">
        <v>4572</v>
      </c>
      <c r="C2227" s="21">
        <v>999</v>
      </c>
      <c r="D2227" s="22"/>
      <c r="E2227" s="23">
        <v>0</v>
      </c>
      <c r="F2227" s="24" t="s">
        <v>128</v>
      </c>
    </row>
    <row r="2228" spans="1:6" ht="16" customHeight="1" x14ac:dyDescent="0.45">
      <c r="A2228" s="19" t="s">
        <v>4573</v>
      </c>
      <c r="B2228" s="20" t="s">
        <v>4574</v>
      </c>
      <c r="C2228" s="21">
        <v>5530</v>
      </c>
      <c r="D2228" s="22"/>
      <c r="E2228" s="23">
        <v>7.3000001907348629E-3</v>
      </c>
      <c r="F2228" s="24" t="s">
        <v>125</v>
      </c>
    </row>
    <row r="2229" spans="1:6" ht="16" customHeight="1" x14ac:dyDescent="0.45">
      <c r="A2229" s="19" t="s">
        <v>4575</v>
      </c>
      <c r="B2229" s="20" t="s">
        <v>4576</v>
      </c>
      <c r="C2229" s="21">
        <v>19120</v>
      </c>
      <c r="D2229" s="22"/>
      <c r="E2229" s="23">
        <v>4.1999998688697811E-3</v>
      </c>
      <c r="F2229" s="24" t="s">
        <v>125</v>
      </c>
    </row>
    <row r="2230" spans="1:6" ht="16" customHeight="1" x14ac:dyDescent="0.45">
      <c r="A2230" s="19" t="s">
        <v>4577</v>
      </c>
      <c r="B2230" s="20" t="s">
        <v>4578</v>
      </c>
      <c r="C2230" s="21">
        <v>33150</v>
      </c>
      <c r="D2230" s="22"/>
      <c r="E2230" s="23">
        <v>-4.4699997901916512E-2</v>
      </c>
      <c r="F2230" s="24" t="s">
        <v>125</v>
      </c>
    </row>
    <row r="2231" spans="1:6" ht="16" customHeight="1" x14ac:dyDescent="0.45">
      <c r="A2231" s="19" t="s">
        <v>4579</v>
      </c>
      <c r="B2231" s="20" t="s">
        <v>4580</v>
      </c>
      <c r="C2231" s="21">
        <v>1016</v>
      </c>
      <c r="D2231" s="22"/>
      <c r="E2231" s="23">
        <v>-2.02999997138977E-2</v>
      </c>
      <c r="F2231" s="24" t="s">
        <v>125</v>
      </c>
    </row>
    <row r="2232" spans="1:6" ht="16" customHeight="1" x14ac:dyDescent="0.45">
      <c r="A2232" s="19" t="s">
        <v>4581</v>
      </c>
      <c r="B2232" s="20" t="s">
        <v>4582</v>
      </c>
      <c r="C2232" s="21">
        <v>1087</v>
      </c>
      <c r="D2232" s="22"/>
      <c r="E2232" s="23">
        <v>0</v>
      </c>
      <c r="F2232" s="24" t="s">
        <v>125</v>
      </c>
    </row>
    <row r="2233" spans="1:6" ht="16" customHeight="1" x14ac:dyDescent="0.45">
      <c r="A2233" s="19" t="s">
        <v>4583</v>
      </c>
      <c r="B2233" s="20" t="s">
        <v>4584</v>
      </c>
      <c r="C2233" s="21">
        <v>46600</v>
      </c>
      <c r="D2233" s="22"/>
      <c r="E2233" s="23">
        <v>-1.0599999427795411E-2</v>
      </c>
      <c r="F2233" s="24" t="s">
        <v>128</v>
      </c>
    </row>
    <row r="2234" spans="1:6" ht="16" customHeight="1" x14ac:dyDescent="0.45">
      <c r="A2234" s="19" t="s">
        <v>4585</v>
      </c>
      <c r="B2234" s="20" t="s">
        <v>4586</v>
      </c>
      <c r="C2234" s="21">
        <v>11660</v>
      </c>
      <c r="D2234" s="22"/>
      <c r="E2234" s="23">
        <v>-1.350000023841858E-2</v>
      </c>
      <c r="F2234" s="24" t="s">
        <v>125</v>
      </c>
    </row>
    <row r="2235" spans="1:6" ht="16" customHeight="1" x14ac:dyDescent="0.45">
      <c r="A2235" s="19" t="s">
        <v>4587</v>
      </c>
      <c r="B2235" s="20" t="s">
        <v>4588</v>
      </c>
      <c r="C2235" s="21">
        <v>25350</v>
      </c>
      <c r="D2235" s="22"/>
      <c r="E2235" s="23">
        <v>3.8900001049041753E-2</v>
      </c>
      <c r="F2235" s="24" t="s">
        <v>128</v>
      </c>
    </row>
    <row r="2236" spans="1:6" ht="16" customHeight="1" x14ac:dyDescent="0.45">
      <c r="A2236" s="19" t="s">
        <v>4589</v>
      </c>
      <c r="B2236" s="20" t="s">
        <v>4590</v>
      </c>
      <c r="C2236" s="21">
        <v>62300</v>
      </c>
      <c r="D2236" s="22"/>
      <c r="E2236" s="23">
        <v>0.1125</v>
      </c>
      <c r="F2236" s="24" t="s">
        <v>128</v>
      </c>
    </row>
    <row r="2237" spans="1:6" ht="16" customHeight="1" x14ac:dyDescent="0.45">
      <c r="A2237" s="19" t="s">
        <v>4591</v>
      </c>
      <c r="B2237" s="20" t="s">
        <v>4592</v>
      </c>
      <c r="C2237" s="21">
        <v>752</v>
      </c>
      <c r="D2237" s="22"/>
      <c r="E2237" s="23">
        <v>0</v>
      </c>
      <c r="F2237" s="24" t="s">
        <v>125</v>
      </c>
    </row>
    <row r="2238" spans="1:6" ht="16" customHeight="1" x14ac:dyDescent="0.45">
      <c r="A2238" s="19" t="s">
        <v>4593</v>
      </c>
      <c r="B2238" s="20" t="s">
        <v>4594</v>
      </c>
      <c r="C2238" s="21">
        <v>25450</v>
      </c>
      <c r="D2238" s="22"/>
      <c r="E2238" s="23">
        <v>-5.8999997377395634E-3</v>
      </c>
      <c r="F2238" s="24" t="s">
        <v>125</v>
      </c>
    </row>
    <row r="2239" spans="1:6" ht="16" customHeight="1" x14ac:dyDescent="0.45">
      <c r="A2239" s="19" t="s">
        <v>4595</v>
      </c>
      <c r="B2239" s="20" t="s">
        <v>4596</v>
      </c>
      <c r="C2239" s="21">
        <v>3660</v>
      </c>
      <c r="D2239" s="22"/>
      <c r="E2239" s="23">
        <v>0</v>
      </c>
      <c r="F2239" s="24" t="s">
        <v>128</v>
      </c>
    </row>
    <row r="2240" spans="1:6" ht="16" customHeight="1" x14ac:dyDescent="0.45">
      <c r="A2240" s="19" t="s">
        <v>4597</v>
      </c>
      <c r="B2240" s="20" t="s">
        <v>4598</v>
      </c>
      <c r="C2240" s="21">
        <v>468</v>
      </c>
      <c r="D2240" s="22"/>
      <c r="E2240" s="23">
        <v>0</v>
      </c>
      <c r="F2240" s="24" t="s">
        <v>125</v>
      </c>
    </row>
    <row r="2241" spans="1:6" ht="16" customHeight="1" x14ac:dyDescent="0.45">
      <c r="A2241" s="19" t="s">
        <v>4599</v>
      </c>
      <c r="B2241" s="20" t="s">
        <v>4600</v>
      </c>
      <c r="C2241" s="21">
        <v>1511</v>
      </c>
      <c r="D2241" s="22"/>
      <c r="E2241" s="23">
        <v>7.3000001907348629E-3</v>
      </c>
      <c r="F2241" s="24" t="s">
        <v>125</v>
      </c>
    </row>
    <row r="2242" spans="1:6" ht="16" customHeight="1" x14ac:dyDescent="0.45">
      <c r="A2242" s="19" t="s">
        <v>4601</v>
      </c>
      <c r="B2242" s="20" t="s">
        <v>4602</v>
      </c>
      <c r="C2242" s="21">
        <v>3110</v>
      </c>
      <c r="D2242" s="22"/>
      <c r="E2242" s="23">
        <v>1.970000028610229E-2</v>
      </c>
      <c r="F2242" s="24" t="s">
        <v>125</v>
      </c>
    </row>
    <row r="2243" spans="1:6" ht="16" customHeight="1" x14ac:dyDescent="0.45">
      <c r="A2243" s="19" t="s">
        <v>4603</v>
      </c>
      <c r="B2243" s="20" t="s">
        <v>4604</v>
      </c>
      <c r="C2243" s="21">
        <v>1387</v>
      </c>
      <c r="D2243" s="22"/>
      <c r="E2243" s="23">
        <v>-4.5399999618530272E-2</v>
      </c>
      <c r="F2243" s="24" t="s">
        <v>125</v>
      </c>
    </row>
    <row r="2244" spans="1:6" ht="16" customHeight="1" x14ac:dyDescent="0.45">
      <c r="A2244" s="19" t="s">
        <v>4605</v>
      </c>
      <c r="B2244" s="20" t="s">
        <v>4606</v>
      </c>
      <c r="C2244" s="21">
        <v>1821</v>
      </c>
      <c r="D2244" s="22"/>
      <c r="E2244" s="23">
        <v>-5.1100001335144037E-2</v>
      </c>
      <c r="F2244" s="24" t="s">
        <v>125</v>
      </c>
    </row>
    <row r="2245" spans="1:6" ht="16" customHeight="1" x14ac:dyDescent="0.45">
      <c r="A2245" s="19" t="s">
        <v>4607</v>
      </c>
      <c r="B2245" s="20" t="s">
        <v>4608</v>
      </c>
      <c r="C2245" s="21">
        <v>4290</v>
      </c>
      <c r="D2245" s="22"/>
      <c r="E2245" s="23">
        <v>-3.8099999427795413E-2</v>
      </c>
      <c r="F2245" s="24" t="s">
        <v>125</v>
      </c>
    </row>
    <row r="2246" spans="1:6" ht="16" customHeight="1" x14ac:dyDescent="0.45">
      <c r="A2246" s="19" t="s">
        <v>4609</v>
      </c>
      <c r="B2246" s="20" t="s">
        <v>4610</v>
      </c>
      <c r="C2246" s="21">
        <v>22600</v>
      </c>
      <c r="D2246" s="22"/>
      <c r="E2246" s="23">
        <v>-2.380000114440918E-2</v>
      </c>
      <c r="F2246" s="24" t="s">
        <v>125</v>
      </c>
    </row>
    <row r="2247" spans="1:6" ht="16" customHeight="1" x14ac:dyDescent="0.45">
      <c r="A2247" s="19" t="s">
        <v>4611</v>
      </c>
      <c r="B2247" s="20" t="s">
        <v>4612</v>
      </c>
      <c r="C2247" s="21">
        <v>525</v>
      </c>
      <c r="D2247" s="22"/>
      <c r="E2247" s="23">
        <v>-2.420000076293945E-2</v>
      </c>
      <c r="F2247" s="24" t="s">
        <v>125</v>
      </c>
    </row>
    <row r="2248" spans="1:6" ht="16" customHeight="1" x14ac:dyDescent="0.45">
      <c r="A2248" s="19" t="s">
        <v>4613</v>
      </c>
      <c r="B2248" s="20" t="s">
        <v>4614</v>
      </c>
      <c r="C2248" s="21">
        <v>32850</v>
      </c>
      <c r="D2248" s="22"/>
      <c r="E2248" s="23">
        <v>-3.099999904632568E-2</v>
      </c>
      <c r="F2248" s="24" t="s">
        <v>125</v>
      </c>
    </row>
    <row r="2249" spans="1:6" ht="16" customHeight="1" x14ac:dyDescent="0.45">
      <c r="A2249" s="19" t="s">
        <v>4615</v>
      </c>
      <c r="B2249" s="20" t="s">
        <v>4616</v>
      </c>
      <c r="C2249" s="21">
        <v>18180</v>
      </c>
      <c r="D2249" s="22"/>
      <c r="E2249" s="23">
        <v>5.0000000000000001E-3</v>
      </c>
      <c r="F2249" s="24" t="s">
        <v>125</v>
      </c>
    </row>
    <row r="2250" spans="1:6" ht="16" customHeight="1" x14ac:dyDescent="0.45">
      <c r="A2250" s="19" t="s">
        <v>4617</v>
      </c>
      <c r="B2250" s="20" t="s">
        <v>4618</v>
      </c>
      <c r="C2250" s="21">
        <v>10000</v>
      </c>
      <c r="D2250" s="22"/>
      <c r="E2250" s="23">
        <v>-6.1900000572204593E-2</v>
      </c>
      <c r="F2250" s="24" t="s">
        <v>125</v>
      </c>
    </row>
    <row r="2251" spans="1:6" ht="16" customHeight="1" x14ac:dyDescent="0.45">
      <c r="A2251" s="19" t="s">
        <v>4619</v>
      </c>
      <c r="B2251" s="20" t="s">
        <v>4620</v>
      </c>
      <c r="C2251" s="21">
        <v>1115</v>
      </c>
      <c r="D2251" s="22"/>
      <c r="E2251" s="23">
        <v>0.29950000762939449</v>
      </c>
      <c r="F2251" s="24" t="s">
        <v>125</v>
      </c>
    </row>
    <row r="2252" spans="1:6" ht="16" customHeight="1" x14ac:dyDescent="0.45">
      <c r="A2252" s="19" t="s">
        <v>4621</v>
      </c>
      <c r="B2252" s="20" t="s">
        <v>4622</v>
      </c>
      <c r="C2252" s="21">
        <v>2515</v>
      </c>
      <c r="D2252" s="22"/>
      <c r="E2252" s="23">
        <v>-4.0100002288818361E-2</v>
      </c>
      <c r="F2252" s="24" t="s">
        <v>125</v>
      </c>
    </row>
    <row r="2253" spans="1:6" ht="16" customHeight="1" x14ac:dyDescent="0.45">
      <c r="A2253" s="19" t="s">
        <v>4623</v>
      </c>
      <c r="B2253" s="20" t="s">
        <v>4624</v>
      </c>
      <c r="C2253" s="21">
        <v>100200</v>
      </c>
      <c r="D2253" s="22"/>
      <c r="E2253" s="23">
        <v>-4.9299998283386229E-2</v>
      </c>
      <c r="F2253" s="24" t="s">
        <v>125</v>
      </c>
    </row>
    <row r="2254" spans="1:6" ht="16" customHeight="1" x14ac:dyDescent="0.45">
      <c r="A2254" s="19" t="s">
        <v>4625</v>
      </c>
      <c r="B2254" s="20" t="s">
        <v>4626</v>
      </c>
      <c r="C2254" s="21">
        <v>10330</v>
      </c>
      <c r="D2254" s="22"/>
      <c r="E2254" s="23">
        <v>-6.7000001668930057E-3</v>
      </c>
      <c r="F2254" s="24" t="s">
        <v>125</v>
      </c>
    </row>
    <row r="2255" spans="1:6" ht="16" customHeight="1" x14ac:dyDescent="0.45">
      <c r="A2255" s="19" t="s">
        <v>4627</v>
      </c>
      <c r="B2255" s="20" t="s">
        <v>4628</v>
      </c>
      <c r="C2255" s="21">
        <v>310</v>
      </c>
      <c r="D2255" s="22"/>
      <c r="E2255" s="23">
        <v>0</v>
      </c>
      <c r="F2255" s="24" t="s">
        <v>125</v>
      </c>
    </row>
    <row r="2256" spans="1:6" ht="16" customHeight="1" x14ac:dyDescent="0.45">
      <c r="A2256" s="19" t="s">
        <v>4629</v>
      </c>
      <c r="B2256" s="20" t="s">
        <v>4630</v>
      </c>
      <c r="C2256" s="21">
        <v>6115</v>
      </c>
      <c r="D2256" s="22"/>
      <c r="E2256" s="23">
        <v>-2.77999997138977E-2</v>
      </c>
      <c r="F2256" s="24" t="s">
        <v>128</v>
      </c>
    </row>
    <row r="2257" spans="1:6" ht="16" customHeight="1" x14ac:dyDescent="0.45">
      <c r="A2257" s="19" t="s">
        <v>4631</v>
      </c>
      <c r="B2257" s="20" t="s">
        <v>4632</v>
      </c>
      <c r="C2257" s="21">
        <v>642</v>
      </c>
      <c r="D2257" s="22"/>
      <c r="E2257" s="23">
        <v>0</v>
      </c>
      <c r="F2257" s="24" t="s">
        <v>128</v>
      </c>
    </row>
    <row r="2258" spans="1:6" ht="16" customHeight="1" x14ac:dyDescent="0.45">
      <c r="A2258" s="19" t="s">
        <v>4633</v>
      </c>
      <c r="B2258" s="20" t="s">
        <v>4634</v>
      </c>
      <c r="C2258" s="21">
        <v>14240</v>
      </c>
      <c r="D2258" s="22"/>
      <c r="E2258" s="23">
        <v>8.4499998092651366E-2</v>
      </c>
      <c r="F2258" s="24" t="s">
        <v>125</v>
      </c>
    </row>
    <row r="2259" spans="1:6" ht="16" customHeight="1" x14ac:dyDescent="0.45">
      <c r="A2259" s="19" t="s">
        <v>4635</v>
      </c>
      <c r="B2259" s="20" t="s">
        <v>4636</v>
      </c>
      <c r="C2259" s="21">
        <v>4625</v>
      </c>
      <c r="D2259" s="22"/>
      <c r="E2259" s="23">
        <v>-1.0700000524520871E-2</v>
      </c>
      <c r="F2259" s="24" t="s">
        <v>125</v>
      </c>
    </row>
    <row r="2260" spans="1:6" ht="16" customHeight="1" x14ac:dyDescent="0.45">
      <c r="A2260" s="19" t="s">
        <v>4637</v>
      </c>
      <c r="B2260" s="20" t="s">
        <v>4638</v>
      </c>
      <c r="C2260" s="21">
        <v>40050</v>
      </c>
      <c r="D2260" s="22"/>
      <c r="E2260" s="23">
        <v>1.389999985694885E-2</v>
      </c>
      <c r="F2260" s="24" t="s">
        <v>128</v>
      </c>
    </row>
    <row r="2261" spans="1:6" ht="16" customHeight="1" x14ac:dyDescent="0.45">
      <c r="A2261" s="19" t="s">
        <v>4639</v>
      </c>
      <c r="B2261" s="20" t="s">
        <v>4640</v>
      </c>
      <c r="C2261" s="21">
        <v>17150</v>
      </c>
      <c r="D2261" s="22"/>
      <c r="E2261" s="23">
        <v>7.1900000572204595E-2</v>
      </c>
      <c r="F2261" s="24" t="s">
        <v>125</v>
      </c>
    </row>
    <row r="2262" spans="1:6" ht="16" customHeight="1" x14ac:dyDescent="0.45">
      <c r="A2262" s="19" t="s">
        <v>4641</v>
      </c>
      <c r="B2262" s="20" t="s">
        <v>4642</v>
      </c>
      <c r="C2262" s="21">
        <v>68600</v>
      </c>
      <c r="D2262" s="22"/>
      <c r="E2262" s="23">
        <v>3.1600000858306887E-2</v>
      </c>
      <c r="F2262" s="24" t="s">
        <v>128</v>
      </c>
    </row>
    <row r="2263" spans="1:6" ht="16" customHeight="1" x14ac:dyDescent="0.45">
      <c r="A2263" s="19" t="s">
        <v>4643</v>
      </c>
      <c r="B2263" s="20" t="s">
        <v>4644</v>
      </c>
      <c r="C2263" s="21">
        <v>3555</v>
      </c>
      <c r="D2263" s="22"/>
      <c r="E2263" s="23">
        <v>2.4500000476837161E-2</v>
      </c>
      <c r="F2263" s="24" t="s">
        <v>125</v>
      </c>
    </row>
    <row r="2264" spans="1:6" ht="16" customHeight="1" x14ac:dyDescent="0.45">
      <c r="A2264" s="19" t="s">
        <v>4645</v>
      </c>
      <c r="B2264" s="20" t="s">
        <v>4646</v>
      </c>
      <c r="C2264" s="21">
        <v>2945</v>
      </c>
      <c r="D2264" s="22"/>
      <c r="E2264" s="23">
        <v>-3.4400000572204589E-2</v>
      </c>
      <c r="F2264" s="24" t="s">
        <v>125</v>
      </c>
    </row>
    <row r="2265" spans="1:6" ht="16" customHeight="1" x14ac:dyDescent="0.45">
      <c r="A2265" s="19" t="s">
        <v>4647</v>
      </c>
      <c r="B2265" s="20" t="s">
        <v>4648</v>
      </c>
      <c r="C2265" s="21">
        <v>103300</v>
      </c>
      <c r="D2265" s="22"/>
      <c r="E2265" s="23">
        <v>-3.1900000572204587E-2</v>
      </c>
      <c r="F2265" s="24" t="s">
        <v>125</v>
      </c>
    </row>
    <row r="2266" spans="1:6" ht="16" customHeight="1" x14ac:dyDescent="0.45">
      <c r="A2266" s="19" t="s">
        <v>4649</v>
      </c>
      <c r="B2266" s="20" t="s">
        <v>4650</v>
      </c>
      <c r="C2266" s="21">
        <v>4815</v>
      </c>
      <c r="D2266" s="22"/>
      <c r="E2266" s="23">
        <v>-3.7000000476837158E-2</v>
      </c>
      <c r="F2266" s="24" t="s">
        <v>125</v>
      </c>
    </row>
    <row r="2267" spans="1:6" ht="16" customHeight="1" x14ac:dyDescent="0.45">
      <c r="A2267" s="19" t="s">
        <v>4651</v>
      </c>
      <c r="B2267" s="20" t="s">
        <v>4652</v>
      </c>
      <c r="C2267" s="21">
        <v>6190</v>
      </c>
      <c r="D2267" s="22"/>
      <c r="E2267" s="23">
        <v>0</v>
      </c>
      <c r="F2267" s="24" t="s">
        <v>125</v>
      </c>
    </row>
    <row r="2268" spans="1:6" ht="16" customHeight="1" x14ac:dyDescent="0.45">
      <c r="A2268" s="19" t="s">
        <v>4653</v>
      </c>
      <c r="B2268" s="20" t="s">
        <v>4654</v>
      </c>
      <c r="C2268" s="21">
        <v>10880</v>
      </c>
      <c r="D2268" s="22"/>
      <c r="E2268" s="23">
        <v>3.9200000762939453E-2</v>
      </c>
      <c r="F2268" s="24" t="s">
        <v>125</v>
      </c>
    </row>
    <row r="2269" spans="1:6" ht="16" customHeight="1" x14ac:dyDescent="0.45">
      <c r="A2269" s="19" t="s">
        <v>4655</v>
      </c>
      <c r="B2269" s="20" t="s">
        <v>4656</v>
      </c>
      <c r="C2269" s="21">
        <v>17130</v>
      </c>
      <c r="D2269" s="22"/>
      <c r="E2269" s="23">
        <v>0.17489999771118159</v>
      </c>
      <c r="F2269" s="24" t="s">
        <v>125</v>
      </c>
    </row>
    <row r="2270" spans="1:6" ht="16" customHeight="1" x14ac:dyDescent="0.45">
      <c r="A2270" s="19" t="s">
        <v>4657</v>
      </c>
      <c r="B2270" s="20" t="s">
        <v>4658</v>
      </c>
      <c r="C2270" s="21">
        <v>24450</v>
      </c>
      <c r="D2270" s="22"/>
      <c r="E2270" s="23">
        <v>-3.7400000095367432E-2</v>
      </c>
      <c r="F2270" s="24" t="s">
        <v>125</v>
      </c>
    </row>
    <row r="2271" spans="1:6" ht="16" customHeight="1" x14ac:dyDescent="0.45">
      <c r="A2271" s="19" t="s">
        <v>4659</v>
      </c>
      <c r="B2271" s="20" t="s">
        <v>4660</v>
      </c>
      <c r="C2271" s="21">
        <v>15400</v>
      </c>
      <c r="D2271" s="22"/>
      <c r="E2271" s="23">
        <v>3.559999942779541E-2</v>
      </c>
      <c r="F2271" s="24" t="s">
        <v>125</v>
      </c>
    </row>
    <row r="2272" spans="1:6" ht="16" customHeight="1" x14ac:dyDescent="0.45">
      <c r="A2272" s="19" t="s">
        <v>4661</v>
      </c>
      <c r="B2272" s="20" t="s">
        <v>4662</v>
      </c>
      <c r="C2272" s="21">
        <v>42450</v>
      </c>
      <c r="D2272" s="22"/>
      <c r="E2272" s="23">
        <v>3.2799999713897708E-2</v>
      </c>
      <c r="F2272" s="24" t="s">
        <v>125</v>
      </c>
    </row>
    <row r="2273" spans="1:6" ht="16" customHeight="1" x14ac:dyDescent="0.45">
      <c r="A2273" s="19" t="s">
        <v>4663</v>
      </c>
      <c r="B2273" s="20" t="s">
        <v>4664</v>
      </c>
      <c r="C2273" s="21">
        <v>3030</v>
      </c>
      <c r="D2273" s="22"/>
      <c r="E2273" s="23">
        <v>-1.2999999523162839E-2</v>
      </c>
      <c r="F2273" s="24" t="s">
        <v>125</v>
      </c>
    </row>
    <row r="2274" spans="1:6" ht="16" customHeight="1" x14ac:dyDescent="0.45">
      <c r="A2274" s="19" t="s">
        <v>4665</v>
      </c>
      <c r="B2274" s="20" t="s">
        <v>4666</v>
      </c>
      <c r="C2274" s="21">
        <v>3280</v>
      </c>
      <c r="D2274" s="22"/>
      <c r="E2274" s="23">
        <v>-4.0900001525878908E-2</v>
      </c>
      <c r="F2274" s="24" t="s">
        <v>125</v>
      </c>
    </row>
    <row r="2275" spans="1:6" ht="16" customHeight="1" x14ac:dyDescent="0.45">
      <c r="A2275" s="19" t="s">
        <v>4667</v>
      </c>
      <c r="B2275" s="20" t="s">
        <v>4668</v>
      </c>
      <c r="C2275" s="21">
        <v>30350</v>
      </c>
      <c r="D2275" s="22"/>
      <c r="E2275" s="23">
        <v>-4.1100001335144042E-2</v>
      </c>
      <c r="F2275" s="24" t="s">
        <v>125</v>
      </c>
    </row>
    <row r="2276" spans="1:6" ht="16" customHeight="1" x14ac:dyDescent="0.45">
      <c r="A2276" s="19" t="s">
        <v>4669</v>
      </c>
      <c r="B2276" s="20" t="s">
        <v>4670</v>
      </c>
      <c r="C2276" s="21">
        <v>517</v>
      </c>
      <c r="D2276" s="22"/>
      <c r="E2276" s="23">
        <v>0</v>
      </c>
      <c r="F2276" s="24" t="s">
        <v>125</v>
      </c>
    </row>
    <row r="2277" spans="1:6" ht="16" customHeight="1" x14ac:dyDescent="0.45">
      <c r="A2277" s="19" t="s">
        <v>4671</v>
      </c>
      <c r="B2277" s="20" t="s">
        <v>4672</v>
      </c>
      <c r="C2277" s="21">
        <v>3225</v>
      </c>
      <c r="D2277" s="22"/>
      <c r="E2277" s="23">
        <v>-9.2000001668930062E-3</v>
      </c>
      <c r="F2277" s="24" t="s">
        <v>125</v>
      </c>
    </row>
    <row r="2278" spans="1:6" ht="16" customHeight="1" x14ac:dyDescent="0.45">
      <c r="A2278" s="19" t="s">
        <v>4673</v>
      </c>
      <c r="B2278" s="20" t="s">
        <v>4674</v>
      </c>
      <c r="C2278" s="21">
        <v>2455</v>
      </c>
      <c r="D2278" s="22"/>
      <c r="E2278" s="23">
        <v>-1.7999999523162839E-2</v>
      </c>
      <c r="F2278" s="24" t="s">
        <v>125</v>
      </c>
    </row>
    <row r="2279" spans="1:6" ht="16" customHeight="1" x14ac:dyDescent="0.45">
      <c r="A2279" s="19" t="s">
        <v>4675</v>
      </c>
      <c r="B2279" s="20" t="s">
        <v>4676</v>
      </c>
      <c r="C2279" s="21">
        <v>1650</v>
      </c>
      <c r="D2279" s="22"/>
      <c r="E2279" s="23">
        <v>0</v>
      </c>
      <c r="F2279" s="24" t="s">
        <v>125</v>
      </c>
    </row>
    <row r="2280" spans="1:6" ht="16" customHeight="1" x14ac:dyDescent="0.45">
      <c r="A2280" s="19" t="s">
        <v>4677</v>
      </c>
      <c r="B2280" s="20" t="s">
        <v>4678</v>
      </c>
      <c r="C2280" s="21">
        <v>3060</v>
      </c>
      <c r="D2280" s="22"/>
      <c r="E2280" s="23">
        <v>0</v>
      </c>
      <c r="F2280" s="24" t="s">
        <v>125</v>
      </c>
    </row>
    <row r="2281" spans="1:6" ht="16" customHeight="1" x14ac:dyDescent="0.45">
      <c r="A2281" s="19" t="s">
        <v>4679</v>
      </c>
      <c r="B2281" s="20" t="s">
        <v>4680</v>
      </c>
      <c r="C2281" s="21">
        <v>10390</v>
      </c>
      <c r="D2281" s="22"/>
      <c r="E2281" s="23">
        <v>-3.7999999523162839E-2</v>
      </c>
      <c r="F2281" s="24" t="s">
        <v>128</v>
      </c>
    </row>
    <row r="2282" spans="1:6" ht="16" customHeight="1" x14ac:dyDescent="0.45">
      <c r="A2282" s="19" t="s">
        <v>4681</v>
      </c>
      <c r="B2282" s="20" t="s">
        <v>4682</v>
      </c>
      <c r="C2282" s="21">
        <v>888</v>
      </c>
      <c r="D2282" s="22"/>
      <c r="E2282" s="23">
        <v>-0.01</v>
      </c>
      <c r="F2282" s="24" t="s">
        <v>128</v>
      </c>
    </row>
    <row r="2283" spans="1:6" ht="16" customHeight="1" x14ac:dyDescent="0.45">
      <c r="A2283" s="19" t="s">
        <v>4683</v>
      </c>
      <c r="B2283" s="20" t="s">
        <v>4684</v>
      </c>
      <c r="C2283" s="21">
        <v>4975</v>
      </c>
      <c r="D2283" s="22"/>
      <c r="E2283" s="23">
        <v>-8.999999761581421E-3</v>
      </c>
      <c r="F2283" s="24" t="s">
        <v>125</v>
      </c>
    </row>
    <row r="2284" spans="1:6" ht="16" customHeight="1" x14ac:dyDescent="0.45">
      <c r="A2284" s="19" t="s">
        <v>4685</v>
      </c>
      <c r="B2284" s="20" t="s">
        <v>4686</v>
      </c>
      <c r="C2284" s="21">
        <v>16030</v>
      </c>
      <c r="D2284" s="22"/>
      <c r="E2284" s="23">
        <v>9.3999999761581413E-3</v>
      </c>
      <c r="F2284" s="24" t="s">
        <v>125</v>
      </c>
    </row>
    <row r="2285" spans="1:6" ht="16" customHeight="1" x14ac:dyDescent="0.45">
      <c r="A2285" s="19" t="s">
        <v>4687</v>
      </c>
      <c r="B2285" s="20" t="s">
        <v>4688</v>
      </c>
      <c r="C2285" s="21">
        <v>5840</v>
      </c>
      <c r="D2285" s="22"/>
      <c r="E2285" s="23">
        <v>-3.4000000357627871E-3</v>
      </c>
      <c r="F2285" s="24" t="s">
        <v>125</v>
      </c>
    </row>
    <row r="2286" spans="1:6" ht="16" customHeight="1" x14ac:dyDescent="0.45">
      <c r="A2286" s="19" t="s">
        <v>4689</v>
      </c>
      <c r="B2286" s="20" t="s">
        <v>4690</v>
      </c>
      <c r="C2286" s="21">
        <v>1069</v>
      </c>
      <c r="D2286" s="22"/>
      <c r="E2286" s="23">
        <v>-8.630000114440918E-2</v>
      </c>
      <c r="F2286" s="24" t="s">
        <v>125</v>
      </c>
    </row>
    <row r="2287" spans="1:6" ht="16" customHeight="1" x14ac:dyDescent="0.45">
      <c r="A2287" s="19" t="s">
        <v>4691</v>
      </c>
      <c r="B2287" s="20" t="s">
        <v>4692</v>
      </c>
      <c r="C2287" s="21">
        <v>3790</v>
      </c>
      <c r="D2287" s="22"/>
      <c r="E2287" s="23">
        <v>4.0000000596046451E-3</v>
      </c>
      <c r="F2287" s="24" t="s">
        <v>125</v>
      </c>
    </row>
    <row r="2288" spans="1:6" ht="16" customHeight="1" x14ac:dyDescent="0.45">
      <c r="A2288" s="19" t="s">
        <v>4693</v>
      </c>
      <c r="B2288" s="20" t="s">
        <v>4694</v>
      </c>
      <c r="C2288" s="21">
        <v>1268</v>
      </c>
      <c r="D2288" s="22"/>
      <c r="E2288" s="23">
        <v>-3.5699999332427977E-2</v>
      </c>
      <c r="F2288" s="24" t="s">
        <v>125</v>
      </c>
    </row>
    <row r="2289" spans="1:6" ht="16" customHeight="1" x14ac:dyDescent="0.45">
      <c r="A2289" s="19" t="s">
        <v>4695</v>
      </c>
      <c r="B2289" s="20" t="s">
        <v>4696</v>
      </c>
      <c r="C2289" s="21">
        <v>21400</v>
      </c>
      <c r="D2289" s="22"/>
      <c r="E2289" s="23">
        <v>-2.5099999904632572E-2</v>
      </c>
      <c r="F2289" s="24" t="s">
        <v>125</v>
      </c>
    </row>
    <row r="2290" spans="1:6" ht="16" customHeight="1" x14ac:dyDescent="0.45">
      <c r="A2290" s="19" t="s">
        <v>4697</v>
      </c>
      <c r="B2290" s="20" t="s">
        <v>4698</v>
      </c>
      <c r="C2290" s="21">
        <v>810</v>
      </c>
      <c r="D2290" s="22"/>
      <c r="E2290" s="23">
        <v>-0.14739999771118159</v>
      </c>
      <c r="F2290" s="24" t="s">
        <v>251</v>
      </c>
    </row>
    <row r="2291" spans="1:6" ht="16" customHeight="1" x14ac:dyDescent="0.45">
      <c r="A2291" s="19" t="s">
        <v>4699</v>
      </c>
      <c r="B2291" s="20" t="s">
        <v>4700</v>
      </c>
      <c r="C2291" s="21">
        <v>44350</v>
      </c>
      <c r="D2291" s="22"/>
      <c r="E2291" s="23">
        <v>0.16559999465942379</v>
      </c>
      <c r="F2291" s="24" t="s">
        <v>125</v>
      </c>
    </row>
    <row r="2292" spans="1:6" ht="16" customHeight="1" x14ac:dyDescent="0.45">
      <c r="A2292" s="19" t="s">
        <v>4701</v>
      </c>
      <c r="B2292" s="20" t="s">
        <v>4702</v>
      </c>
      <c r="C2292" s="21">
        <v>6220</v>
      </c>
      <c r="D2292" s="22"/>
      <c r="E2292" s="23">
        <v>2.4700000286102291E-2</v>
      </c>
      <c r="F2292" s="24" t="s">
        <v>125</v>
      </c>
    </row>
    <row r="2293" spans="1:6" ht="16" customHeight="1" x14ac:dyDescent="0.45">
      <c r="A2293" s="19" t="s">
        <v>4703</v>
      </c>
      <c r="B2293" s="20" t="s">
        <v>4704</v>
      </c>
      <c r="C2293" s="21">
        <v>2785</v>
      </c>
      <c r="D2293" s="22"/>
      <c r="E2293" s="23">
        <v>-3.7999999523162839E-2</v>
      </c>
      <c r="F2293" s="24" t="s">
        <v>251</v>
      </c>
    </row>
    <row r="2294" spans="1:6" ht="16" customHeight="1" x14ac:dyDescent="0.45">
      <c r="A2294" s="19" t="s">
        <v>4705</v>
      </c>
      <c r="B2294" s="20" t="s">
        <v>4706</v>
      </c>
      <c r="C2294" s="21">
        <v>56700</v>
      </c>
      <c r="D2294" s="22"/>
      <c r="E2294" s="23">
        <v>1.7999999523162839E-2</v>
      </c>
      <c r="F2294" s="24" t="s">
        <v>125</v>
      </c>
    </row>
    <row r="2295" spans="1:6" ht="16" customHeight="1" x14ac:dyDescent="0.45">
      <c r="A2295" s="19" t="s">
        <v>4707</v>
      </c>
      <c r="B2295" s="20" t="s">
        <v>4708</v>
      </c>
      <c r="C2295" s="21">
        <v>20450</v>
      </c>
      <c r="D2295" s="22"/>
      <c r="E2295" s="23">
        <v>-1.6799999475479121E-2</v>
      </c>
      <c r="F2295" s="24" t="s">
        <v>125</v>
      </c>
    </row>
    <row r="2296" spans="1:6" ht="16" customHeight="1" x14ac:dyDescent="0.45">
      <c r="A2296" s="19" t="s">
        <v>4709</v>
      </c>
      <c r="B2296" s="20" t="s">
        <v>4710</v>
      </c>
      <c r="C2296" s="21">
        <v>2245</v>
      </c>
      <c r="D2296" s="22"/>
      <c r="E2296" s="23">
        <v>2.5099999904632572E-2</v>
      </c>
      <c r="F2296" s="24" t="s">
        <v>125</v>
      </c>
    </row>
    <row r="2297" spans="1:6" ht="16" customHeight="1" x14ac:dyDescent="0.45">
      <c r="A2297" s="19" t="s">
        <v>4711</v>
      </c>
      <c r="B2297" s="20" t="s">
        <v>4712</v>
      </c>
      <c r="C2297" s="21">
        <v>10280</v>
      </c>
      <c r="D2297" s="22"/>
      <c r="E2297" s="23">
        <v>0</v>
      </c>
      <c r="F2297" s="24" t="s">
        <v>125</v>
      </c>
    </row>
    <row r="2298" spans="1:6" ht="16" customHeight="1" x14ac:dyDescent="0.45">
      <c r="A2298" s="19" t="s">
        <v>4713</v>
      </c>
      <c r="B2298" s="20" t="s">
        <v>4714</v>
      </c>
      <c r="C2298" s="21">
        <v>5280</v>
      </c>
      <c r="D2298" s="22"/>
      <c r="E2298" s="23">
        <v>0</v>
      </c>
      <c r="F2298" s="24" t="s">
        <v>125</v>
      </c>
    </row>
    <row r="2299" spans="1:6" ht="16" customHeight="1" x14ac:dyDescent="0.45">
      <c r="A2299" s="19" t="s">
        <v>4715</v>
      </c>
      <c r="B2299" s="20" t="s">
        <v>4716</v>
      </c>
      <c r="C2299" s="21">
        <v>815</v>
      </c>
      <c r="D2299" s="22"/>
      <c r="E2299" s="23">
        <v>0</v>
      </c>
      <c r="F2299" s="24" t="s">
        <v>125</v>
      </c>
    </row>
    <row r="2300" spans="1:6" ht="16" customHeight="1" x14ac:dyDescent="0.45">
      <c r="A2300" s="19" t="s">
        <v>4717</v>
      </c>
      <c r="B2300" s="20" t="s">
        <v>4718</v>
      </c>
      <c r="C2300" s="21">
        <v>10200</v>
      </c>
      <c r="D2300" s="22"/>
      <c r="E2300" s="23">
        <v>-1.0000000149011611E-3</v>
      </c>
      <c r="F2300" s="24" t="s">
        <v>128</v>
      </c>
    </row>
    <row r="2301" spans="1:6" ht="16" customHeight="1" x14ac:dyDescent="0.45">
      <c r="A2301" s="19" t="s">
        <v>4719</v>
      </c>
      <c r="B2301" s="20" t="s">
        <v>4720</v>
      </c>
      <c r="C2301" s="21">
        <v>4390</v>
      </c>
      <c r="D2301" s="22"/>
      <c r="E2301" s="23">
        <v>-4.2500000000000003E-2</v>
      </c>
      <c r="F2301" s="24" t="s">
        <v>128</v>
      </c>
    </row>
    <row r="2302" spans="1:6" ht="16" customHeight="1" x14ac:dyDescent="0.45">
      <c r="A2302" s="19" t="s">
        <v>4721</v>
      </c>
      <c r="B2302" s="20" t="s">
        <v>4722</v>
      </c>
      <c r="C2302" s="21">
        <v>5690</v>
      </c>
      <c r="D2302" s="22"/>
      <c r="E2302" s="23">
        <v>-3.2300000190734861E-2</v>
      </c>
      <c r="F2302" s="24" t="s">
        <v>125</v>
      </c>
    </row>
    <row r="2303" spans="1:6" ht="16" customHeight="1" x14ac:dyDescent="0.45">
      <c r="A2303" s="19" t="s">
        <v>4723</v>
      </c>
      <c r="B2303" s="20" t="s">
        <v>4724</v>
      </c>
      <c r="C2303" s="21">
        <v>1941</v>
      </c>
      <c r="D2303" s="22"/>
      <c r="E2303" s="23">
        <v>-2.6600000858306889E-2</v>
      </c>
      <c r="F2303" s="24" t="s">
        <v>125</v>
      </c>
    </row>
    <row r="2304" spans="1:6" ht="16" customHeight="1" x14ac:dyDescent="0.45">
      <c r="A2304" s="19" t="s">
        <v>4725</v>
      </c>
      <c r="B2304" s="20" t="s">
        <v>4726</v>
      </c>
      <c r="C2304" s="21">
        <v>23700</v>
      </c>
      <c r="D2304" s="22"/>
      <c r="E2304" s="23">
        <v>7.7300000190734866E-2</v>
      </c>
      <c r="F2304" s="24" t="s">
        <v>128</v>
      </c>
    </row>
    <row r="2305" spans="1:6" ht="16" customHeight="1" x14ac:dyDescent="0.45">
      <c r="A2305" s="19" t="s">
        <v>4727</v>
      </c>
      <c r="B2305" s="20" t="s">
        <v>4728</v>
      </c>
      <c r="C2305" s="21">
        <v>96400</v>
      </c>
      <c r="D2305" s="22"/>
      <c r="E2305" s="23">
        <v>5.4699997901916507E-2</v>
      </c>
      <c r="F2305" s="24" t="s">
        <v>128</v>
      </c>
    </row>
    <row r="2306" spans="1:6" ht="16" customHeight="1" x14ac:dyDescent="0.45">
      <c r="A2306" s="19" t="s">
        <v>4729</v>
      </c>
      <c r="B2306" s="20" t="s">
        <v>4730</v>
      </c>
      <c r="C2306" s="21">
        <v>18090</v>
      </c>
      <c r="D2306" s="22"/>
      <c r="E2306" s="23">
        <v>6.1599998474121093E-2</v>
      </c>
      <c r="F2306" s="24" t="s">
        <v>128</v>
      </c>
    </row>
    <row r="2307" spans="1:6" ht="16" customHeight="1" x14ac:dyDescent="0.45">
      <c r="A2307" s="19" t="s">
        <v>4731</v>
      </c>
      <c r="B2307" s="20" t="s">
        <v>4732</v>
      </c>
      <c r="C2307" s="21">
        <v>9790</v>
      </c>
      <c r="D2307" s="22"/>
      <c r="E2307" s="23">
        <v>0.1125</v>
      </c>
      <c r="F2307" s="24" t="s">
        <v>125</v>
      </c>
    </row>
    <row r="2308" spans="1:6" ht="16" customHeight="1" x14ac:dyDescent="0.45">
      <c r="A2308" s="19" t="s">
        <v>4733</v>
      </c>
      <c r="B2308" s="20" t="s">
        <v>4734</v>
      </c>
      <c r="C2308" s="21">
        <v>6930</v>
      </c>
      <c r="D2308" s="22"/>
      <c r="E2308" s="23">
        <v>-3.079999923706055E-2</v>
      </c>
      <c r="F2308" s="24" t="s">
        <v>125</v>
      </c>
    </row>
    <row r="2309" spans="1:6" ht="16" customHeight="1" x14ac:dyDescent="0.45">
      <c r="A2309" s="19" t="s">
        <v>4735</v>
      </c>
      <c r="B2309" s="20" t="s">
        <v>4736</v>
      </c>
      <c r="C2309" s="21">
        <v>12130</v>
      </c>
      <c r="D2309" s="22"/>
      <c r="E2309" s="23">
        <v>-3.3000001311302191E-3</v>
      </c>
      <c r="F2309" s="24" t="s">
        <v>128</v>
      </c>
    </row>
    <row r="2310" spans="1:6" ht="16" customHeight="1" x14ac:dyDescent="0.45">
      <c r="A2310" s="19" t="s">
        <v>4737</v>
      </c>
      <c r="B2310" s="20" t="s">
        <v>4738</v>
      </c>
      <c r="C2310" s="21">
        <v>2885</v>
      </c>
      <c r="D2310" s="22"/>
      <c r="E2310" s="23">
        <v>0</v>
      </c>
      <c r="F2310" s="24" t="s">
        <v>125</v>
      </c>
    </row>
    <row r="2311" spans="1:6" ht="16" customHeight="1" x14ac:dyDescent="0.45">
      <c r="A2311" s="19" t="s">
        <v>4739</v>
      </c>
      <c r="B2311" s="20" t="s">
        <v>4740</v>
      </c>
      <c r="C2311" s="21">
        <v>19890</v>
      </c>
      <c r="D2311" s="22"/>
      <c r="E2311" s="23">
        <v>3.0000001192092901E-3</v>
      </c>
      <c r="F2311" s="24" t="s">
        <v>125</v>
      </c>
    </row>
    <row r="2312" spans="1:6" ht="16" customHeight="1" x14ac:dyDescent="0.45">
      <c r="A2312" s="19" t="s">
        <v>4741</v>
      </c>
      <c r="B2312" s="20" t="s">
        <v>4742</v>
      </c>
      <c r="C2312" s="21">
        <v>148000</v>
      </c>
      <c r="D2312" s="22"/>
      <c r="E2312" s="23">
        <v>2.6400001049041749E-2</v>
      </c>
      <c r="F2312" s="24" t="s">
        <v>125</v>
      </c>
    </row>
    <row r="2313" spans="1:6" ht="16" customHeight="1" x14ac:dyDescent="0.45">
      <c r="A2313" s="19" t="s">
        <v>4743</v>
      </c>
      <c r="B2313" s="20" t="s">
        <v>4744</v>
      </c>
      <c r="C2313" s="21">
        <v>9370</v>
      </c>
      <c r="D2313" s="22"/>
      <c r="E2313" s="23">
        <v>-3.5999999046325677E-2</v>
      </c>
      <c r="F2313" s="24" t="s">
        <v>125</v>
      </c>
    </row>
    <row r="2314" spans="1:6" ht="16" customHeight="1" x14ac:dyDescent="0.45">
      <c r="A2314" s="19" t="s">
        <v>4745</v>
      </c>
      <c r="B2314" s="20" t="s">
        <v>4746</v>
      </c>
      <c r="C2314" s="21">
        <v>45900</v>
      </c>
      <c r="D2314" s="22"/>
      <c r="E2314" s="23">
        <v>-9.1099996566772465E-2</v>
      </c>
      <c r="F2314" s="24" t="s">
        <v>125</v>
      </c>
    </row>
    <row r="2315" spans="1:6" ht="16" customHeight="1" x14ac:dyDescent="0.45">
      <c r="A2315" s="19" t="s">
        <v>4747</v>
      </c>
      <c r="B2315" s="20" t="s">
        <v>4748</v>
      </c>
      <c r="C2315" s="21">
        <v>14500</v>
      </c>
      <c r="D2315" s="22"/>
      <c r="E2315" s="23">
        <v>-3.4000000953674323E-2</v>
      </c>
      <c r="F2315" s="24" t="s">
        <v>125</v>
      </c>
    </row>
    <row r="2316" spans="1:6" ht="16" customHeight="1" x14ac:dyDescent="0.45">
      <c r="A2316" s="19" t="s">
        <v>4749</v>
      </c>
      <c r="B2316" s="20" t="s">
        <v>4750</v>
      </c>
      <c r="C2316" s="21">
        <v>1736</v>
      </c>
      <c r="D2316" s="22"/>
      <c r="E2316" s="23">
        <v>0.14140000343322751</v>
      </c>
      <c r="F2316" s="24" t="s">
        <v>251</v>
      </c>
    </row>
    <row r="2317" spans="1:6" ht="16" customHeight="1" x14ac:dyDescent="0.45">
      <c r="A2317" s="19" t="s">
        <v>4751</v>
      </c>
      <c r="B2317" s="20" t="s">
        <v>4752</v>
      </c>
      <c r="C2317" s="21">
        <v>480</v>
      </c>
      <c r="D2317" s="22"/>
      <c r="E2317" s="23">
        <v>0</v>
      </c>
      <c r="F2317" s="24" t="s">
        <v>125</v>
      </c>
    </row>
    <row r="2318" spans="1:6" ht="16" customHeight="1" x14ac:dyDescent="0.45">
      <c r="A2318" s="19" t="s">
        <v>4753</v>
      </c>
      <c r="B2318" s="20" t="s">
        <v>4754</v>
      </c>
      <c r="C2318" s="21">
        <v>905</v>
      </c>
      <c r="D2318" s="22"/>
      <c r="E2318" s="23">
        <v>0</v>
      </c>
      <c r="F2318" s="24" t="s">
        <v>125</v>
      </c>
    </row>
    <row r="2319" spans="1:6" ht="16" customHeight="1" x14ac:dyDescent="0.45">
      <c r="A2319" s="19" t="s">
        <v>4755</v>
      </c>
      <c r="B2319" s="20" t="s">
        <v>4756</v>
      </c>
      <c r="C2319" s="21">
        <v>210000</v>
      </c>
      <c r="D2319" s="22"/>
      <c r="E2319" s="23">
        <v>4.7999998927116391E-3</v>
      </c>
      <c r="F2319" s="24" t="s">
        <v>128</v>
      </c>
    </row>
    <row r="2320" spans="1:6" ht="16" customHeight="1" x14ac:dyDescent="0.45">
      <c r="A2320" s="19" t="s">
        <v>4757</v>
      </c>
      <c r="B2320" s="20" t="s">
        <v>4758</v>
      </c>
      <c r="C2320" s="21">
        <v>17650</v>
      </c>
      <c r="D2320" s="22"/>
      <c r="E2320" s="23">
        <v>-4.0799999237060548E-2</v>
      </c>
      <c r="F2320" s="24" t="s">
        <v>128</v>
      </c>
    </row>
    <row r="2321" spans="1:6" ht="16" customHeight="1" x14ac:dyDescent="0.45">
      <c r="A2321" s="19" t="s">
        <v>4759</v>
      </c>
      <c r="B2321" s="20" t="s">
        <v>4760</v>
      </c>
      <c r="C2321" s="21">
        <v>5010</v>
      </c>
      <c r="D2321" s="22"/>
      <c r="E2321" s="23">
        <v>-1.7599999904632568E-2</v>
      </c>
      <c r="F2321" s="24" t="s">
        <v>125</v>
      </c>
    </row>
    <row r="2322" spans="1:6" ht="16" customHeight="1" x14ac:dyDescent="0.45">
      <c r="A2322" s="19" t="s">
        <v>4761</v>
      </c>
      <c r="B2322" s="20" t="s">
        <v>4762</v>
      </c>
      <c r="C2322" s="21">
        <v>77000</v>
      </c>
      <c r="D2322" s="22"/>
      <c r="E2322" s="23">
        <v>-3.0199999809265139E-2</v>
      </c>
      <c r="F2322" s="24" t="s">
        <v>125</v>
      </c>
    </row>
    <row r="2323" spans="1:6" ht="16" customHeight="1" x14ac:dyDescent="0.45">
      <c r="A2323" s="19" t="s">
        <v>4763</v>
      </c>
      <c r="B2323" s="20" t="s">
        <v>4764</v>
      </c>
      <c r="C2323" s="21">
        <v>63000</v>
      </c>
      <c r="D2323" s="22"/>
      <c r="E2323" s="23">
        <v>4.7999998927116391E-3</v>
      </c>
      <c r="F2323" s="24" t="s">
        <v>128</v>
      </c>
    </row>
    <row r="2324" spans="1:6" ht="16" customHeight="1" x14ac:dyDescent="0.45">
      <c r="A2324" s="19" t="s">
        <v>4765</v>
      </c>
      <c r="B2324" s="20" t="s">
        <v>4766</v>
      </c>
      <c r="C2324" s="21">
        <v>17940</v>
      </c>
      <c r="D2324" s="22"/>
      <c r="E2324" s="23">
        <v>-2.5499999523162838E-2</v>
      </c>
      <c r="F2324" s="24" t="s">
        <v>128</v>
      </c>
    </row>
    <row r="2325" spans="1:6" ht="16" customHeight="1" x14ac:dyDescent="0.45">
      <c r="A2325" s="19" t="s">
        <v>4767</v>
      </c>
      <c r="B2325" s="20" t="s">
        <v>4768</v>
      </c>
      <c r="C2325" s="21">
        <v>51300</v>
      </c>
      <c r="D2325" s="22"/>
      <c r="E2325" s="23">
        <v>3.8999998569488529E-3</v>
      </c>
      <c r="F2325" s="24" t="s">
        <v>125</v>
      </c>
    </row>
    <row r="2326" spans="1:6" ht="16" customHeight="1" x14ac:dyDescent="0.45">
      <c r="A2326" s="19" t="s">
        <v>4769</v>
      </c>
      <c r="B2326" s="20" t="s">
        <v>4770</v>
      </c>
      <c r="C2326" s="21">
        <v>4025</v>
      </c>
      <c r="D2326" s="22"/>
      <c r="E2326" s="23">
        <v>0.01</v>
      </c>
      <c r="F2326" s="24" t="s">
        <v>251</v>
      </c>
    </row>
    <row r="2327" spans="1:6" ht="16" customHeight="1" x14ac:dyDescent="0.45">
      <c r="A2327" s="19" t="s">
        <v>4771</v>
      </c>
      <c r="B2327" s="20" t="s">
        <v>4772</v>
      </c>
      <c r="C2327" s="21">
        <v>1403</v>
      </c>
      <c r="D2327" s="22"/>
      <c r="E2327" s="23">
        <v>-5.0000000000000001E-3</v>
      </c>
      <c r="F2327" s="24" t="s">
        <v>128</v>
      </c>
    </row>
    <row r="2328" spans="1:6" ht="16" customHeight="1" x14ac:dyDescent="0.45">
      <c r="A2328" s="19" t="s">
        <v>4773</v>
      </c>
      <c r="B2328" s="20" t="s">
        <v>4774</v>
      </c>
      <c r="C2328" s="21">
        <v>3460</v>
      </c>
      <c r="D2328" s="22"/>
      <c r="E2328" s="23">
        <v>2.6700000762939449E-2</v>
      </c>
      <c r="F2328" s="24" t="s">
        <v>125</v>
      </c>
    </row>
    <row r="2329" spans="1:6" ht="16" customHeight="1" x14ac:dyDescent="0.45">
      <c r="A2329" s="19" t="s">
        <v>4775</v>
      </c>
      <c r="B2329" s="20" t="s">
        <v>4776</v>
      </c>
      <c r="C2329" s="21">
        <v>5890</v>
      </c>
      <c r="D2329" s="22"/>
      <c r="E2329" s="23">
        <v>1.7300000190734861E-2</v>
      </c>
      <c r="F2329" s="24" t="s">
        <v>125</v>
      </c>
    </row>
    <row r="2330" spans="1:6" ht="16" customHeight="1" x14ac:dyDescent="0.45">
      <c r="A2330" s="19" t="s">
        <v>4777</v>
      </c>
      <c r="B2330" s="20" t="s">
        <v>4778</v>
      </c>
      <c r="C2330" s="21">
        <v>1352</v>
      </c>
      <c r="D2330" s="22"/>
      <c r="E2330" s="23">
        <v>-1.4600000381469729E-2</v>
      </c>
      <c r="F2330" s="24" t="s">
        <v>125</v>
      </c>
    </row>
    <row r="2331" spans="1:6" ht="16" customHeight="1" x14ac:dyDescent="0.45">
      <c r="A2331" s="19" t="s">
        <v>4779</v>
      </c>
      <c r="B2331" s="20" t="s">
        <v>4780</v>
      </c>
      <c r="C2331" s="21">
        <v>3680</v>
      </c>
      <c r="D2331" s="22"/>
      <c r="E2331" s="23">
        <v>-6.5999999046325683E-2</v>
      </c>
      <c r="F2331" s="24" t="s">
        <v>125</v>
      </c>
    </row>
    <row r="2332" spans="1:6" ht="16" customHeight="1" x14ac:dyDescent="0.45">
      <c r="A2332" s="19" t="s">
        <v>4781</v>
      </c>
      <c r="B2332" s="20" t="s">
        <v>4782</v>
      </c>
      <c r="C2332" s="21">
        <v>69500</v>
      </c>
      <c r="D2332" s="22"/>
      <c r="E2332" s="23">
        <v>-5.6999999284744274E-3</v>
      </c>
      <c r="F2332" s="24" t="s">
        <v>128</v>
      </c>
    </row>
    <row r="2333" spans="1:6" ht="16" customHeight="1" x14ac:dyDescent="0.45">
      <c r="A2333" s="19" t="s">
        <v>4783</v>
      </c>
      <c r="B2333" s="20" t="s">
        <v>4784</v>
      </c>
      <c r="C2333" s="21">
        <v>10900</v>
      </c>
      <c r="D2333" s="22"/>
      <c r="E2333" s="23">
        <v>-2.1500000953674311E-2</v>
      </c>
      <c r="F2333" s="24" t="s">
        <v>128</v>
      </c>
    </row>
    <row r="2334" spans="1:6" ht="16" customHeight="1" x14ac:dyDescent="0.45">
      <c r="A2334" s="19" t="s">
        <v>4785</v>
      </c>
      <c r="B2334" s="20" t="s">
        <v>4786</v>
      </c>
      <c r="C2334" s="21">
        <v>15190</v>
      </c>
      <c r="D2334" s="22"/>
      <c r="E2334" s="23">
        <v>-2.8800001144409181E-2</v>
      </c>
      <c r="F2334" s="24" t="s">
        <v>128</v>
      </c>
    </row>
    <row r="2335" spans="1:6" ht="16" customHeight="1" x14ac:dyDescent="0.45">
      <c r="A2335" s="19" t="s">
        <v>4787</v>
      </c>
      <c r="B2335" s="20" t="s">
        <v>4788</v>
      </c>
      <c r="C2335" s="21">
        <v>58550</v>
      </c>
      <c r="D2335" s="22"/>
      <c r="E2335" s="23">
        <v>-1.7599999904632568E-2</v>
      </c>
      <c r="F2335" s="24" t="s">
        <v>125</v>
      </c>
    </row>
    <row r="2336" spans="1:6" ht="16" customHeight="1" x14ac:dyDescent="0.45">
      <c r="A2336" s="19" t="s">
        <v>4789</v>
      </c>
      <c r="B2336" s="20" t="s">
        <v>4790</v>
      </c>
      <c r="C2336" s="21">
        <v>30600</v>
      </c>
      <c r="D2336" s="22"/>
      <c r="E2336" s="23">
        <v>-1.6100000143051151E-2</v>
      </c>
      <c r="F2336" s="24" t="s">
        <v>128</v>
      </c>
    </row>
    <row r="2337" spans="1:6" ht="16" customHeight="1" x14ac:dyDescent="0.45">
      <c r="A2337" s="19" t="s">
        <v>4791</v>
      </c>
      <c r="B2337" s="20" t="s">
        <v>4792</v>
      </c>
      <c r="C2337" s="21">
        <v>95800</v>
      </c>
      <c r="D2337" s="22"/>
      <c r="E2337" s="23">
        <v>2.1300001144409181E-2</v>
      </c>
      <c r="F2337" s="24" t="s">
        <v>128</v>
      </c>
    </row>
    <row r="2338" spans="1:6" ht="16" customHeight="1" x14ac:dyDescent="0.45">
      <c r="A2338" s="19" t="s">
        <v>4793</v>
      </c>
      <c r="B2338" s="20" t="s">
        <v>4794</v>
      </c>
      <c r="C2338" s="21">
        <v>30800</v>
      </c>
      <c r="D2338" s="22"/>
      <c r="E2338" s="23">
        <v>1.4800000190734861E-2</v>
      </c>
      <c r="F2338" s="24" t="s">
        <v>128</v>
      </c>
    </row>
    <row r="2339" spans="1:6" ht="16" customHeight="1" x14ac:dyDescent="0.45">
      <c r="A2339" s="19" t="s">
        <v>4795</v>
      </c>
      <c r="B2339" s="20" t="s">
        <v>4796</v>
      </c>
      <c r="C2339" s="21">
        <v>102300</v>
      </c>
      <c r="D2339" s="22"/>
      <c r="E2339" s="23">
        <v>-2.390000104904175E-2</v>
      </c>
      <c r="F2339" s="24" t="s">
        <v>125</v>
      </c>
    </row>
    <row r="2340" spans="1:6" ht="16" customHeight="1" x14ac:dyDescent="0.45">
      <c r="A2340" s="19" t="s">
        <v>4797</v>
      </c>
      <c r="B2340" s="20" t="s">
        <v>4798</v>
      </c>
      <c r="C2340" s="21">
        <v>83600</v>
      </c>
      <c r="D2340" s="22"/>
      <c r="E2340" s="23">
        <v>-3.5799999237060537E-2</v>
      </c>
      <c r="F2340" s="24" t="s">
        <v>128</v>
      </c>
    </row>
    <row r="2341" spans="1:6" ht="16" customHeight="1" x14ac:dyDescent="0.45">
      <c r="A2341" s="19" t="s">
        <v>4799</v>
      </c>
      <c r="B2341" s="20" t="s">
        <v>4800</v>
      </c>
      <c r="C2341" s="21">
        <v>11430</v>
      </c>
      <c r="D2341" s="22"/>
      <c r="E2341" s="23">
        <v>6.8200001716613765E-2</v>
      </c>
      <c r="F2341" s="24" t="s">
        <v>125</v>
      </c>
    </row>
    <row r="2342" spans="1:6" ht="16" customHeight="1" x14ac:dyDescent="0.45">
      <c r="A2342" s="19" t="s">
        <v>4801</v>
      </c>
      <c r="B2342" s="20" t="s">
        <v>4802</v>
      </c>
      <c r="C2342" s="21">
        <v>17130</v>
      </c>
      <c r="D2342" s="22"/>
      <c r="E2342" s="23">
        <v>-3.3800001144409182E-2</v>
      </c>
      <c r="F2342" s="24" t="s">
        <v>125</v>
      </c>
    </row>
    <row r="2343" spans="1:6" ht="16" customHeight="1" x14ac:dyDescent="0.45">
      <c r="A2343" s="19" t="s">
        <v>4803</v>
      </c>
      <c r="B2343" s="20" t="s">
        <v>4804</v>
      </c>
      <c r="C2343" s="21">
        <v>2605</v>
      </c>
      <c r="D2343" s="22"/>
      <c r="E2343" s="23">
        <v>-2.7999999523162841E-2</v>
      </c>
      <c r="F2343" s="24" t="s">
        <v>125</v>
      </c>
    </row>
    <row r="2344" spans="1:6" ht="16" customHeight="1" x14ac:dyDescent="0.45">
      <c r="A2344" s="19" t="s">
        <v>4805</v>
      </c>
      <c r="B2344" s="20" t="s">
        <v>4806</v>
      </c>
      <c r="C2344" s="21">
        <v>21350</v>
      </c>
      <c r="D2344" s="22"/>
      <c r="E2344" s="23">
        <v>-4.2600002288818363E-2</v>
      </c>
      <c r="F2344" s="24" t="s">
        <v>125</v>
      </c>
    </row>
    <row r="2345" spans="1:6" ht="16" customHeight="1" x14ac:dyDescent="0.45">
      <c r="A2345" s="19" t="s">
        <v>4807</v>
      </c>
      <c r="B2345" s="20" t="s">
        <v>4808</v>
      </c>
      <c r="C2345" s="21">
        <v>22650</v>
      </c>
      <c r="D2345" s="22"/>
      <c r="E2345" s="23">
        <v>2.9500000476837158E-2</v>
      </c>
      <c r="F2345" s="24" t="s">
        <v>125</v>
      </c>
    </row>
    <row r="2346" spans="1:6" ht="16" customHeight="1" x14ac:dyDescent="0.45">
      <c r="A2346" s="19" t="s">
        <v>4809</v>
      </c>
      <c r="B2346" s="20" t="s">
        <v>4810</v>
      </c>
      <c r="C2346" s="21">
        <v>3905</v>
      </c>
      <c r="D2346" s="22"/>
      <c r="E2346" s="23">
        <v>-2.0099999904632571E-2</v>
      </c>
      <c r="F2346" s="24" t="s">
        <v>125</v>
      </c>
    </row>
    <row r="2347" spans="1:6" ht="16" customHeight="1" x14ac:dyDescent="0.45">
      <c r="A2347" s="19" t="s">
        <v>4811</v>
      </c>
      <c r="B2347" s="20" t="s">
        <v>4812</v>
      </c>
      <c r="C2347" s="21">
        <v>11630</v>
      </c>
      <c r="D2347" s="22"/>
      <c r="E2347" s="23">
        <v>-1.8600000143051149E-2</v>
      </c>
      <c r="F2347" s="24" t="s">
        <v>125</v>
      </c>
    </row>
    <row r="2348" spans="1:6" ht="16" customHeight="1" x14ac:dyDescent="0.45">
      <c r="A2348" s="19" t="s">
        <v>4813</v>
      </c>
      <c r="B2348" s="20" t="s">
        <v>4814</v>
      </c>
      <c r="C2348" s="21">
        <v>458</v>
      </c>
      <c r="D2348" s="22"/>
      <c r="E2348" s="23">
        <v>0</v>
      </c>
      <c r="F2348" s="24" t="s">
        <v>125</v>
      </c>
    </row>
    <row r="2349" spans="1:6" ht="16" customHeight="1" x14ac:dyDescent="0.45">
      <c r="A2349" s="19" t="s">
        <v>4815</v>
      </c>
      <c r="B2349" s="20" t="s">
        <v>4816</v>
      </c>
      <c r="C2349" s="21">
        <v>5690</v>
      </c>
      <c r="D2349" s="22"/>
      <c r="E2349" s="23">
        <v>-5.0100002288818363E-2</v>
      </c>
      <c r="F2349" s="24" t="s">
        <v>128</v>
      </c>
    </row>
    <row r="2350" spans="1:6" ht="16" customHeight="1" x14ac:dyDescent="0.45">
      <c r="A2350" s="19" t="s">
        <v>4817</v>
      </c>
      <c r="B2350" s="20" t="s">
        <v>4818</v>
      </c>
      <c r="C2350" s="21">
        <v>11080</v>
      </c>
      <c r="D2350" s="22"/>
      <c r="E2350" s="23">
        <v>-2.9800000190734859E-2</v>
      </c>
      <c r="F2350" s="24" t="s">
        <v>125</v>
      </c>
    </row>
    <row r="2351" spans="1:6" ht="16" customHeight="1" x14ac:dyDescent="0.45">
      <c r="A2351" s="19" t="s">
        <v>4819</v>
      </c>
      <c r="B2351" s="20" t="s">
        <v>4820</v>
      </c>
      <c r="C2351" s="21">
        <v>9630</v>
      </c>
      <c r="D2351" s="22"/>
      <c r="E2351" s="23">
        <v>-1.929999947547913E-2</v>
      </c>
      <c r="F2351" s="24" t="s">
        <v>128</v>
      </c>
    </row>
    <row r="2352" spans="1:6" ht="16" customHeight="1" x14ac:dyDescent="0.45">
      <c r="A2352" s="19" t="s">
        <v>4821</v>
      </c>
      <c r="B2352" s="20" t="s">
        <v>4822</v>
      </c>
      <c r="C2352" s="21">
        <v>30450</v>
      </c>
      <c r="D2352" s="22"/>
      <c r="E2352" s="23">
        <v>1.6699999570846561E-2</v>
      </c>
      <c r="F2352" s="24" t="s">
        <v>125</v>
      </c>
    </row>
    <row r="2353" spans="1:6" ht="16" customHeight="1" x14ac:dyDescent="0.45">
      <c r="A2353" s="19" t="s">
        <v>4823</v>
      </c>
      <c r="B2353" s="20" t="s">
        <v>4824</v>
      </c>
      <c r="C2353" s="21">
        <v>28900</v>
      </c>
      <c r="D2353" s="22"/>
      <c r="E2353" s="23">
        <v>-5.199999809265137E-3</v>
      </c>
      <c r="F2353" s="24" t="s">
        <v>128</v>
      </c>
    </row>
    <row r="2354" spans="1:6" ht="16" customHeight="1" x14ac:dyDescent="0.45">
      <c r="A2354" s="19" t="s">
        <v>4825</v>
      </c>
      <c r="B2354" s="20" t="s">
        <v>4826</v>
      </c>
      <c r="C2354" s="21">
        <v>24000</v>
      </c>
      <c r="D2354" s="22"/>
      <c r="E2354" s="23">
        <v>-2.0399999618530271E-2</v>
      </c>
      <c r="F2354" s="24" t="s">
        <v>128</v>
      </c>
    </row>
    <row r="2355" spans="1:6" ht="16" customHeight="1" x14ac:dyDescent="0.45">
      <c r="A2355" s="19" t="s">
        <v>4827</v>
      </c>
      <c r="B2355" s="20" t="s">
        <v>4828</v>
      </c>
      <c r="C2355" s="21">
        <v>12320</v>
      </c>
      <c r="D2355" s="22"/>
      <c r="E2355" s="23">
        <v>-5.079999923706055E-2</v>
      </c>
      <c r="F2355" s="24" t="s">
        <v>125</v>
      </c>
    </row>
    <row r="2356" spans="1:6" ht="16" customHeight="1" x14ac:dyDescent="0.45">
      <c r="A2356" s="19" t="s">
        <v>4829</v>
      </c>
      <c r="B2356" s="20" t="s">
        <v>4830</v>
      </c>
      <c r="C2356" s="21">
        <v>4100</v>
      </c>
      <c r="D2356" s="22"/>
      <c r="E2356" s="23">
        <v>-2.730000019073486E-2</v>
      </c>
      <c r="F2356" s="24" t="s">
        <v>125</v>
      </c>
    </row>
    <row r="2357" spans="1:6" ht="16" customHeight="1" x14ac:dyDescent="0.45">
      <c r="A2357" s="19" t="s">
        <v>4831</v>
      </c>
      <c r="B2357" s="20" t="s">
        <v>4832</v>
      </c>
      <c r="C2357" s="21">
        <v>28100</v>
      </c>
      <c r="D2357" s="22"/>
      <c r="E2357" s="23">
        <v>-4.7500000000000001E-2</v>
      </c>
      <c r="F2357" s="24" t="s">
        <v>125</v>
      </c>
    </row>
    <row r="2358" spans="1:6" ht="16" customHeight="1" x14ac:dyDescent="0.45">
      <c r="A2358" s="19" t="s">
        <v>4833</v>
      </c>
      <c r="B2358" s="20" t="s">
        <v>4834</v>
      </c>
      <c r="C2358" s="21">
        <v>7000</v>
      </c>
      <c r="D2358" s="22"/>
      <c r="E2358" s="23">
        <v>0</v>
      </c>
      <c r="F2358" s="24" t="s">
        <v>251</v>
      </c>
    </row>
    <row r="2359" spans="1:6" ht="16" customHeight="1" x14ac:dyDescent="0.45">
      <c r="A2359" s="19" t="s">
        <v>4835</v>
      </c>
      <c r="B2359" s="20" t="s">
        <v>4836</v>
      </c>
      <c r="C2359" s="21">
        <v>14130</v>
      </c>
      <c r="D2359" s="22"/>
      <c r="E2359" s="23">
        <v>-5.480000019073486E-2</v>
      </c>
      <c r="F2359" s="24" t="s">
        <v>125</v>
      </c>
    </row>
    <row r="2360" spans="1:6" ht="16" customHeight="1" x14ac:dyDescent="0.45">
      <c r="A2360" s="19" t="s">
        <v>4837</v>
      </c>
      <c r="B2360" s="20" t="s">
        <v>4838</v>
      </c>
      <c r="C2360" s="21">
        <v>820</v>
      </c>
      <c r="D2360" s="22"/>
      <c r="E2360" s="23">
        <v>-1.6799999475479121E-2</v>
      </c>
      <c r="F2360" s="24" t="s">
        <v>125</v>
      </c>
    </row>
    <row r="2361" spans="1:6" ht="16" customHeight="1" x14ac:dyDescent="0.45">
      <c r="A2361" s="19" t="s">
        <v>4839</v>
      </c>
      <c r="B2361" s="20" t="s">
        <v>4840</v>
      </c>
      <c r="C2361" s="21">
        <v>16010</v>
      </c>
      <c r="D2361" s="22"/>
      <c r="E2361" s="23">
        <v>-1.169999957084656E-2</v>
      </c>
      <c r="F2361" s="24" t="s">
        <v>125</v>
      </c>
    </row>
    <row r="2362" spans="1:6" ht="16" customHeight="1" x14ac:dyDescent="0.45">
      <c r="A2362" s="19" t="s">
        <v>4841</v>
      </c>
      <c r="B2362" s="20" t="s">
        <v>4842</v>
      </c>
      <c r="C2362" s="21">
        <v>50900</v>
      </c>
      <c r="D2362" s="22"/>
      <c r="E2362" s="23">
        <v>-9.2700004577636719E-2</v>
      </c>
      <c r="F2362" s="24" t="s">
        <v>125</v>
      </c>
    </row>
    <row r="2363" spans="1:6" ht="16" customHeight="1" x14ac:dyDescent="0.45">
      <c r="A2363" s="19" t="s">
        <v>4843</v>
      </c>
      <c r="B2363" s="20" t="s">
        <v>4844</v>
      </c>
      <c r="C2363" s="21">
        <v>727</v>
      </c>
      <c r="D2363" s="22"/>
      <c r="E2363" s="23">
        <v>0</v>
      </c>
      <c r="F2363" s="24" t="s">
        <v>125</v>
      </c>
    </row>
    <row r="2364" spans="1:6" ht="16" customHeight="1" x14ac:dyDescent="0.45">
      <c r="A2364" s="19" t="s">
        <v>4845</v>
      </c>
      <c r="B2364" s="20" t="s">
        <v>4846</v>
      </c>
      <c r="C2364" s="21">
        <v>33450</v>
      </c>
      <c r="D2364" s="22"/>
      <c r="E2364" s="23">
        <v>-4.2899999618530277E-2</v>
      </c>
      <c r="F2364" s="24" t="s">
        <v>125</v>
      </c>
    </row>
    <row r="2365" spans="1:6" ht="16" customHeight="1" x14ac:dyDescent="0.45">
      <c r="A2365" s="19" t="s">
        <v>4847</v>
      </c>
      <c r="B2365" s="20" t="s">
        <v>4848</v>
      </c>
      <c r="C2365" s="21">
        <v>49200</v>
      </c>
      <c r="D2365" s="22"/>
      <c r="E2365" s="23">
        <v>-1.7999999523162839E-2</v>
      </c>
      <c r="F2365" s="24" t="s">
        <v>125</v>
      </c>
    </row>
    <row r="2366" spans="1:6" ht="16" customHeight="1" x14ac:dyDescent="0.45">
      <c r="A2366" s="19" t="s">
        <v>4849</v>
      </c>
      <c r="B2366" s="20" t="s">
        <v>4850</v>
      </c>
      <c r="C2366" s="21">
        <v>93200</v>
      </c>
      <c r="D2366" s="22"/>
      <c r="E2366" s="23">
        <v>-7.9099998474121094E-2</v>
      </c>
      <c r="F2366" s="24" t="s">
        <v>125</v>
      </c>
    </row>
    <row r="2367" spans="1:6" ht="16" customHeight="1" x14ac:dyDescent="0.45">
      <c r="A2367" s="19" t="s">
        <v>4851</v>
      </c>
      <c r="B2367" s="20" t="s">
        <v>4852</v>
      </c>
      <c r="C2367" s="21">
        <v>10110</v>
      </c>
      <c r="D2367" s="22"/>
      <c r="E2367" s="23">
        <v>-1.0000000149011611E-3</v>
      </c>
      <c r="F2367" s="24" t="s">
        <v>125</v>
      </c>
    </row>
    <row r="2368" spans="1:6" ht="16" customHeight="1" x14ac:dyDescent="0.45">
      <c r="A2368" s="19" t="s">
        <v>4853</v>
      </c>
      <c r="B2368" s="20" t="s">
        <v>4854</v>
      </c>
      <c r="C2368" s="21">
        <v>22150</v>
      </c>
      <c r="D2368" s="22"/>
      <c r="E2368" s="23">
        <v>-1.340000033378601E-2</v>
      </c>
      <c r="F2368" s="24" t="s">
        <v>125</v>
      </c>
    </row>
    <row r="2369" spans="1:6" ht="16" customHeight="1" x14ac:dyDescent="0.45">
      <c r="A2369" s="19" t="s">
        <v>4855</v>
      </c>
      <c r="B2369" s="20" t="s">
        <v>4856</v>
      </c>
      <c r="C2369" s="21">
        <v>16720</v>
      </c>
      <c r="D2369" s="22"/>
      <c r="E2369" s="23">
        <v>6.7699999809265138E-2</v>
      </c>
      <c r="F2369" s="24" t="s">
        <v>125</v>
      </c>
    </row>
    <row r="2370" spans="1:6" ht="16" customHeight="1" x14ac:dyDescent="0.45">
      <c r="A2370" s="19" t="s">
        <v>4857</v>
      </c>
      <c r="B2370" s="20" t="s">
        <v>4858</v>
      </c>
      <c r="C2370" s="21">
        <v>4080</v>
      </c>
      <c r="D2370" s="22"/>
      <c r="E2370" s="23">
        <v>0</v>
      </c>
      <c r="F2370" s="24" t="s">
        <v>125</v>
      </c>
    </row>
    <row r="2371" spans="1:6" ht="16" customHeight="1" x14ac:dyDescent="0.45">
      <c r="A2371" s="19" t="s">
        <v>4859</v>
      </c>
      <c r="B2371" s="20" t="s">
        <v>4860</v>
      </c>
      <c r="C2371" s="21">
        <v>1999</v>
      </c>
      <c r="D2371" s="22"/>
      <c r="E2371" s="23">
        <v>-5.0000000745058064E-4</v>
      </c>
      <c r="F2371" s="24" t="s">
        <v>251</v>
      </c>
    </row>
    <row r="2372" spans="1:6" ht="16" customHeight="1" x14ac:dyDescent="0.45">
      <c r="A2372" s="19" t="s">
        <v>4861</v>
      </c>
      <c r="B2372" s="20" t="s">
        <v>4862</v>
      </c>
      <c r="C2372" s="21">
        <v>293</v>
      </c>
      <c r="D2372" s="22"/>
      <c r="E2372" s="23">
        <v>0</v>
      </c>
      <c r="F2372" s="24" t="s">
        <v>125</v>
      </c>
    </row>
    <row r="2373" spans="1:6" ht="16" customHeight="1" x14ac:dyDescent="0.45">
      <c r="A2373" s="19" t="s">
        <v>4863</v>
      </c>
      <c r="B2373" s="20" t="s">
        <v>4864</v>
      </c>
      <c r="C2373" s="21">
        <v>3360</v>
      </c>
      <c r="D2373" s="22"/>
      <c r="E2373" s="23">
        <v>4.4999998807907114E-3</v>
      </c>
      <c r="F2373" s="24" t="s">
        <v>125</v>
      </c>
    </row>
    <row r="2374" spans="1:6" ht="16" customHeight="1" x14ac:dyDescent="0.45">
      <c r="A2374" s="19" t="s">
        <v>4865</v>
      </c>
      <c r="B2374" s="20" t="s">
        <v>4866</v>
      </c>
      <c r="C2374" s="21">
        <v>8560</v>
      </c>
      <c r="D2374" s="22"/>
      <c r="E2374" s="23">
        <v>-1.039999961853027E-2</v>
      </c>
      <c r="F2374" s="24" t="s">
        <v>128</v>
      </c>
    </row>
    <row r="2375" spans="1:6" ht="16" customHeight="1" x14ac:dyDescent="0.45">
      <c r="A2375" s="19" t="s">
        <v>4867</v>
      </c>
      <c r="B2375" s="20" t="s">
        <v>4868</v>
      </c>
      <c r="C2375" s="21">
        <v>9350</v>
      </c>
      <c r="D2375" s="22"/>
      <c r="E2375" s="23">
        <v>-2.099999934434891E-3</v>
      </c>
      <c r="F2375" s="24" t="s">
        <v>128</v>
      </c>
    </row>
    <row r="2376" spans="1:6" ht="16" customHeight="1" x14ac:dyDescent="0.45">
      <c r="A2376" s="19" t="s">
        <v>4869</v>
      </c>
      <c r="B2376" s="20" t="s">
        <v>4870</v>
      </c>
      <c r="C2376" s="21">
        <v>7190</v>
      </c>
      <c r="D2376" s="22"/>
      <c r="E2376" s="23">
        <v>0</v>
      </c>
      <c r="F2376" s="24" t="s">
        <v>128</v>
      </c>
    </row>
    <row r="2377" spans="1:6" ht="16" customHeight="1" x14ac:dyDescent="0.45">
      <c r="A2377" s="19" t="s">
        <v>4871</v>
      </c>
      <c r="B2377" s="20" t="s">
        <v>4872</v>
      </c>
      <c r="C2377" s="21">
        <v>7400</v>
      </c>
      <c r="D2377" s="22"/>
      <c r="E2377" s="23">
        <v>-1.0700000524520871E-2</v>
      </c>
      <c r="F2377" s="24" t="s">
        <v>128</v>
      </c>
    </row>
    <row r="2378" spans="1:6" ht="16" customHeight="1" x14ac:dyDescent="0.45">
      <c r="A2378" s="19" t="s">
        <v>4873</v>
      </c>
      <c r="B2378" s="20" t="s">
        <v>4874</v>
      </c>
      <c r="C2378" s="21">
        <v>285000</v>
      </c>
      <c r="D2378" s="22"/>
      <c r="E2378" s="23">
        <v>-1.210000038146973E-2</v>
      </c>
      <c r="F2378" s="24" t="s">
        <v>128</v>
      </c>
    </row>
    <row r="2379" spans="1:6" ht="16" customHeight="1" x14ac:dyDescent="0.45">
      <c r="A2379" s="19" t="s">
        <v>4875</v>
      </c>
      <c r="B2379" s="20" t="s">
        <v>4876</v>
      </c>
      <c r="C2379" s="21">
        <v>10500</v>
      </c>
      <c r="D2379" s="22"/>
      <c r="E2379" s="23">
        <v>-2.77999997138977E-2</v>
      </c>
      <c r="F2379" s="24" t="s">
        <v>125</v>
      </c>
    </row>
    <row r="2380" spans="1:6" ht="16" customHeight="1" x14ac:dyDescent="0.45">
      <c r="A2380" s="19" t="s">
        <v>4877</v>
      </c>
      <c r="B2380" s="20" t="s">
        <v>4878</v>
      </c>
      <c r="C2380" s="21">
        <v>732</v>
      </c>
      <c r="D2380" s="22"/>
      <c r="E2380" s="23">
        <v>0</v>
      </c>
      <c r="F2380" s="24" t="s">
        <v>125</v>
      </c>
    </row>
    <row r="2381" spans="1:6" ht="16" customHeight="1" x14ac:dyDescent="0.45">
      <c r="A2381" s="19" t="s">
        <v>4879</v>
      </c>
      <c r="B2381" s="20" t="s">
        <v>4880</v>
      </c>
      <c r="C2381" s="21">
        <v>1070</v>
      </c>
      <c r="D2381" s="22"/>
      <c r="E2381" s="23">
        <v>-6.4999997615814214E-3</v>
      </c>
      <c r="F2381" s="24" t="s">
        <v>251</v>
      </c>
    </row>
    <row r="2382" spans="1:6" ht="16" customHeight="1" x14ac:dyDescent="0.45">
      <c r="A2382" s="19" t="s">
        <v>4881</v>
      </c>
      <c r="B2382" s="20" t="s">
        <v>4882</v>
      </c>
      <c r="C2382" s="21">
        <v>3910</v>
      </c>
      <c r="D2382" s="22"/>
      <c r="E2382" s="23">
        <v>-1.8799999952316279E-2</v>
      </c>
      <c r="F2382" s="24" t="s">
        <v>125</v>
      </c>
    </row>
    <row r="2383" spans="1:6" ht="16" customHeight="1" x14ac:dyDescent="0.45">
      <c r="A2383" s="19" t="s">
        <v>4883</v>
      </c>
      <c r="B2383" s="20" t="s">
        <v>4884</v>
      </c>
      <c r="C2383" s="21">
        <v>569</v>
      </c>
      <c r="D2383" s="22"/>
      <c r="E2383" s="23">
        <v>-5.1700000762939451E-2</v>
      </c>
      <c r="F2383" s="24" t="s">
        <v>125</v>
      </c>
    </row>
    <row r="2384" spans="1:6" ht="16" customHeight="1" x14ac:dyDescent="0.45">
      <c r="A2384" s="19" t="s">
        <v>4885</v>
      </c>
      <c r="B2384" s="20" t="s">
        <v>4886</v>
      </c>
      <c r="C2384" s="21">
        <v>3265</v>
      </c>
      <c r="D2384" s="22"/>
      <c r="E2384" s="23">
        <v>-1.0599999427795411E-2</v>
      </c>
      <c r="F2384" s="24" t="s">
        <v>125</v>
      </c>
    </row>
    <row r="2385" spans="1:6" ht="16" customHeight="1" x14ac:dyDescent="0.45">
      <c r="A2385" s="19" t="s">
        <v>4887</v>
      </c>
      <c r="B2385" s="20" t="s">
        <v>4888</v>
      </c>
      <c r="C2385" s="21">
        <v>55000</v>
      </c>
      <c r="D2385" s="22"/>
      <c r="E2385" s="23">
        <v>-2.309999942779541E-2</v>
      </c>
      <c r="F2385" s="24" t="s">
        <v>125</v>
      </c>
    </row>
    <row r="2386" spans="1:6" ht="16" customHeight="1" x14ac:dyDescent="0.45">
      <c r="A2386" s="19" t="s">
        <v>4889</v>
      </c>
      <c r="B2386" s="20" t="s">
        <v>4890</v>
      </c>
      <c r="C2386" s="21">
        <v>49900</v>
      </c>
      <c r="D2386" s="22"/>
      <c r="E2386" s="23">
        <v>-1.7699999809265139E-2</v>
      </c>
      <c r="F2386" s="24" t="s">
        <v>125</v>
      </c>
    </row>
    <row r="2387" spans="1:6" ht="16" customHeight="1" x14ac:dyDescent="0.45">
      <c r="A2387" s="19" t="s">
        <v>4891</v>
      </c>
      <c r="B2387" s="20" t="s">
        <v>4892</v>
      </c>
      <c r="C2387" s="21">
        <v>13000</v>
      </c>
      <c r="D2387" s="22"/>
      <c r="E2387" s="23">
        <v>-1.6599999666213991E-2</v>
      </c>
      <c r="F2387" s="24" t="s">
        <v>125</v>
      </c>
    </row>
    <row r="2388" spans="1:6" ht="16" customHeight="1" x14ac:dyDescent="0.45">
      <c r="A2388" s="19" t="s">
        <v>4893</v>
      </c>
      <c r="B2388" s="20" t="s">
        <v>4894</v>
      </c>
      <c r="C2388" s="21">
        <v>2080</v>
      </c>
      <c r="D2388" s="22"/>
      <c r="E2388" s="23">
        <v>-1.4199999570846561E-2</v>
      </c>
      <c r="F2388" s="24" t="s">
        <v>125</v>
      </c>
    </row>
    <row r="2389" spans="1:6" ht="16" customHeight="1" x14ac:dyDescent="0.45">
      <c r="A2389" s="19" t="s">
        <v>4895</v>
      </c>
      <c r="B2389" s="20" t="s">
        <v>4896</v>
      </c>
      <c r="C2389" s="21">
        <v>3770</v>
      </c>
      <c r="D2389" s="22"/>
      <c r="E2389" s="23">
        <v>-1.570000052452087E-2</v>
      </c>
      <c r="F2389" s="24" t="s">
        <v>128</v>
      </c>
    </row>
    <row r="2390" spans="1:6" ht="16" customHeight="1" x14ac:dyDescent="0.45">
      <c r="A2390" s="19" t="s">
        <v>4897</v>
      </c>
      <c r="B2390" s="20" t="s">
        <v>4898</v>
      </c>
      <c r="C2390" s="21">
        <v>6420</v>
      </c>
      <c r="D2390" s="22"/>
      <c r="E2390" s="23">
        <v>-8.0200004577636722E-2</v>
      </c>
      <c r="F2390" s="24" t="s">
        <v>125</v>
      </c>
    </row>
    <row r="2391" spans="1:6" ht="16" customHeight="1" x14ac:dyDescent="0.45">
      <c r="A2391" s="19" t="s">
        <v>4899</v>
      </c>
      <c r="B2391" s="20" t="s">
        <v>4900</v>
      </c>
      <c r="C2391" s="21">
        <v>2040</v>
      </c>
      <c r="D2391" s="22"/>
      <c r="E2391" s="23">
        <v>-2.39999994635582E-3</v>
      </c>
      <c r="F2391" s="24" t="s">
        <v>125</v>
      </c>
    </row>
    <row r="2392" spans="1:6" ht="16" customHeight="1" x14ac:dyDescent="0.45">
      <c r="A2392" s="19" t="s">
        <v>4901</v>
      </c>
      <c r="B2392" s="20" t="s">
        <v>4902</v>
      </c>
      <c r="C2392" s="21">
        <v>2035</v>
      </c>
      <c r="D2392" s="22"/>
      <c r="E2392" s="23">
        <v>4.9000000953674317E-3</v>
      </c>
      <c r="F2392" s="24" t="s">
        <v>125</v>
      </c>
    </row>
    <row r="2393" spans="1:6" ht="16" customHeight="1" x14ac:dyDescent="0.45">
      <c r="A2393" s="19" t="s">
        <v>4903</v>
      </c>
      <c r="B2393" s="20" t="s">
        <v>4904</v>
      </c>
      <c r="C2393" s="21">
        <v>481000</v>
      </c>
      <c r="D2393" s="22"/>
      <c r="E2393" s="23">
        <v>0.13850000381469729</v>
      </c>
      <c r="F2393" s="24" t="s">
        <v>128</v>
      </c>
    </row>
    <row r="2394" spans="1:6" ht="16" customHeight="1" x14ac:dyDescent="0.45">
      <c r="A2394" s="19" t="s">
        <v>4905</v>
      </c>
      <c r="B2394" s="20" t="s">
        <v>4906</v>
      </c>
      <c r="C2394" s="21">
        <v>2010</v>
      </c>
      <c r="D2394" s="22"/>
      <c r="E2394" s="23">
        <v>-5.0000000000000001E-3</v>
      </c>
      <c r="F2394" s="24" t="s">
        <v>125</v>
      </c>
    </row>
    <row r="2395" spans="1:6" ht="16" customHeight="1" x14ac:dyDescent="0.45">
      <c r="A2395" s="19" t="s">
        <v>4907</v>
      </c>
      <c r="B2395" s="20" t="s">
        <v>4908</v>
      </c>
      <c r="C2395" s="21">
        <v>1998</v>
      </c>
      <c r="D2395" s="22"/>
      <c r="E2395" s="23">
        <v>-5.0000000745058064E-4</v>
      </c>
      <c r="F2395" s="24" t="s">
        <v>125</v>
      </c>
    </row>
    <row r="2396" spans="1:6" ht="16" customHeight="1" x14ac:dyDescent="0.45">
      <c r="A2396" s="19" t="s">
        <v>4909</v>
      </c>
      <c r="B2396" s="20" t="s">
        <v>4910</v>
      </c>
      <c r="C2396" s="21">
        <v>2475</v>
      </c>
      <c r="D2396" s="22"/>
      <c r="E2396" s="23">
        <v>-6.25E-2</v>
      </c>
      <c r="F2396" s="24" t="s">
        <v>125</v>
      </c>
    </row>
    <row r="2397" spans="1:6" ht="16" customHeight="1" x14ac:dyDescent="0.45">
      <c r="A2397" s="19" t="s">
        <v>4911</v>
      </c>
      <c r="B2397" s="20" t="s">
        <v>4912</v>
      </c>
      <c r="C2397" s="21">
        <v>7580</v>
      </c>
      <c r="D2397" s="22"/>
      <c r="E2397" s="23">
        <v>-5.1300001144409177E-2</v>
      </c>
      <c r="F2397" s="24" t="s">
        <v>125</v>
      </c>
    </row>
    <row r="2398" spans="1:6" ht="16" customHeight="1" x14ac:dyDescent="0.45">
      <c r="A2398" s="19" t="s">
        <v>4913</v>
      </c>
      <c r="B2398" s="20" t="s">
        <v>4914</v>
      </c>
      <c r="C2398" s="21">
        <v>4200</v>
      </c>
      <c r="D2398" s="22"/>
      <c r="E2398" s="23">
        <v>1.19999997317791E-3</v>
      </c>
      <c r="F2398" s="24" t="s">
        <v>251</v>
      </c>
    </row>
    <row r="2399" spans="1:6" ht="16" customHeight="1" x14ac:dyDescent="0.45">
      <c r="A2399" s="19" t="s">
        <v>4915</v>
      </c>
      <c r="B2399" s="20" t="s">
        <v>4916</v>
      </c>
      <c r="C2399" s="21">
        <v>52700</v>
      </c>
      <c r="D2399" s="22"/>
      <c r="E2399" s="23">
        <v>1.899999976158142E-3</v>
      </c>
      <c r="F2399" s="24" t="s">
        <v>125</v>
      </c>
    </row>
    <row r="2400" spans="1:6" ht="16" customHeight="1" x14ac:dyDescent="0.45">
      <c r="A2400" s="19" t="s">
        <v>4917</v>
      </c>
      <c r="B2400" s="20" t="s">
        <v>4918</v>
      </c>
      <c r="C2400" s="21">
        <v>1000</v>
      </c>
      <c r="D2400" s="22"/>
      <c r="E2400" s="23">
        <v>0</v>
      </c>
      <c r="F2400" s="24" t="s">
        <v>251</v>
      </c>
    </row>
    <row r="2401" spans="1:6" ht="16" customHeight="1" x14ac:dyDescent="0.45">
      <c r="A2401" s="19" t="s">
        <v>4919</v>
      </c>
      <c r="B2401" s="20" t="s">
        <v>4920</v>
      </c>
      <c r="C2401" s="21">
        <v>2995</v>
      </c>
      <c r="D2401" s="22"/>
      <c r="E2401" s="23">
        <v>0</v>
      </c>
      <c r="F2401" s="24" t="s">
        <v>251</v>
      </c>
    </row>
    <row r="2402" spans="1:6" ht="16" customHeight="1" x14ac:dyDescent="0.45">
      <c r="A2402" s="19" t="s">
        <v>4921</v>
      </c>
      <c r="B2402" s="20" t="s">
        <v>4922</v>
      </c>
      <c r="C2402" s="21">
        <v>16490</v>
      </c>
      <c r="D2402" s="22"/>
      <c r="E2402" s="23">
        <v>-2.8900001049041751E-2</v>
      </c>
      <c r="F2402" s="24" t="s">
        <v>251</v>
      </c>
    </row>
    <row r="2403" spans="1:6" ht="16" customHeight="1" x14ac:dyDescent="0.45">
      <c r="A2403" s="19" t="s">
        <v>4923</v>
      </c>
      <c r="B2403" s="20" t="s">
        <v>4924</v>
      </c>
      <c r="C2403" s="21">
        <v>3945</v>
      </c>
      <c r="D2403" s="22"/>
      <c r="E2403" s="23">
        <v>-1.299999952316284E-3</v>
      </c>
      <c r="F2403" s="24" t="s">
        <v>251</v>
      </c>
    </row>
    <row r="2404" spans="1:6" ht="16" customHeight="1" x14ac:dyDescent="0.45">
      <c r="A2404" s="19" t="s">
        <v>4925</v>
      </c>
      <c r="B2404" s="20" t="s">
        <v>4926</v>
      </c>
      <c r="C2404" s="21">
        <v>3820</v>
      </c>
      <c r="D2404" s="22"/>
      <c r="E2404" s="23">
        <v>-7.799999713897705E-3</v>
      </c>
      <c r="F2404" s="24" t="s">
        <v>125</v>
      </c>
    </row>
    <row r="2405" spans="1:6" ht="16" customHeight="1" x14ac:dyDescent="0.45">
      <c r="A2405" s="19" t="s">
        <v>4927</v>
      </c>
      <c r="B2405" s="20" t="s">
        <v>4928</v>
      </c>
      <c r="C2405" s="21">
        <v>19820</v>
      </c>
      <c r="D2405" s="22"/>
      <c r="E2405" s="23">
        <v>-2.8399999141693111E-2</v>
      </c>
      <c r="F2405" s="24" t="s">
        <v>125</v>
      </c>
    </row>
    <row r="2406" spans="1:6" ht="16" customHeight="1" x14ac:dyDescent="0.45">
      <c r="A2406" s="19" t="s">
        <v>4929</v>
      </c>
      <c r="B2406" s="20" t="s">
        <v>4930</v>
      </c>
      <c r="C2406" s="21">
        <v>8780</v>
      </c>
      <c r="D2406" s="22"/>
      <c r="E2406" s="23">
        <v>-2.300000041723252E-3</v>
      </c>
      <c r="F2406" s="24" t="s">
        <v>251</v>
      </c>
    </row>
    <row r="2407" spans="1:6" ht="16" customHeight="1" x14ac:dyDescent="0.45">
      <c r="A2407" s="19" t="s">
        <v>4931</v>
      </c>
      <c r="B2407" s="20" t="s">
        <v>4932</v>
      </c>
      <c r="C2407" s="21">
        <v>3340</v>
      </c>
      <c r="D2407" s="22"/>
      <c r="E2407" s="23">
        <v>-3.6099998950958251E-2</v>
      </c>
      <c r="F2407" s="24" t="s">
        <v>125</v>
      </c>
    </row>
    <row r="2408" spans="1:6" ht="16" customHeight="1" x14ac:dyDescent="0.45">
      <c r="A2408" s="19" t="s">
        <v>4933</v>
      </c>
      <c r="B2408" s="20" t="s">
        <v>4934</v>
      </c>
      <c r="C2408" s="21">
        <v>1919</v>
      </c>
      <c r="D2408" s="22"/>
      <c r="E2408" s="23">
        <v>-3.3699998855590822E-2</v>
      </c>
      <c r="F2408" s="24" t="s">
        <v>125</v>
      </c>
    </row>
    <row r="2409" spans="1:6" ht="16" customHeight="1" x14ac:dyDescent="0.45">
      <c r="A2409" s="19" t="s">
        <v>4935</v>
      </c>
      <c r="B2409" s="20" t="s">
        <v>4936</v>
      </c>
      <c r="C2409" s="21">
        <v>4790</v>
      </c>
      <c r="D2409" s="22"/>
      <c r="E2409" s="23">
        <v>-9.3000000715255729E-3</v>
      </c>
      <c r="F2409" s="24" t="s">
        <v>128</v>
      </c>
    </row>
    <row r="2410" spans="1:6" ht="16" customHeight="1" x14ac:dyDescent="0.45">
      <c r="A2410" s="19" t="s">
        <v>4937</v>
      </c>
      <c r="B2410" s="20" t="s">
        <v>4938</v>
      </c>
      <c r="C2410" s="21">
        <v>4980</v>
      </c>
      <c r="D2410" s="22"/>
      <c r="E2410" s="23">
        <v>-1.970000028610229E-2</v>
      </c>
      <c r="F2410" s="24" t="s">
        <v>128</v>
      </c>
    </row>
    <row r="2411" spans="1:6" ht="16" customHeight="1" x14ac:dyDescent="0.45">
      <c r="A2411" s="19" t="s">
        <v>4939</v>
      </c>
      <c r="B2411" s="20" t="s">
        <v>4940</v>
      </c>
      <c r="C2411" s="21">
        <v>8510</v>
      </c>
      <c r="D2411" s="22"/>
      <c r="E2411" s="23">
        <v>-3.4100000858306882E-2</v>
      </c>
      <c r="F2411" s="24" t="s">
        <v>128</v>
      </c>
    </row>
    <row r="2412" spans="1:6" ht="16" customHeight="1" x14ac:dyDescent="0.45">
      <c r="A2412" s="19" t="s">
        <v>4941</v>
      </c>
      <c r="B2412" s="20" t="s">
        <v>4942</v>
      </c>
      <c r="C2412" s="21">
        <v>44700</v>
      </c>
      <c r="D2412" s="22"/>
      <c r="E2412" s="23">
        <v>-2.8299999237060551E-2</v>
      </c>
      <c r="F2412" s="24" t="s">
        <v>125</v>
      </c>
    </row>
    <row r="2413" spans="1:6" ht="16" customHeight="1" x14ac:dyDescent="0.45">
      <c r="A2413" s="19" t="s">
        <v>4943</v>
      </c>
      <c r="B2413" s="20" t="s">
        <v>4944</v>
      </c>
      <c r="C2413" s="21">
        <v>1169000</v>
      </c>
      <c r="D2413" s="22"/>
      <c r="E2413" s="23">
        <v>-1.7599999904632568E-2</v>
      </c>
      <c r="F2413" s="24" t="s">
        <v>128</v>
      </c>
    </row>
    <row r="2414" spans="1:6" ht="16" customHeight="1" x14ac:dyDescent="0.45">
      <c r="A2414" s="19" t="s">
        <v>4945</v>
      </c>
      <c r="B2414" s="20" t="s">
        <v>4946</v>
      </c>
      <c r="C2414" s="21">
        <v>2002</v>
      </c>
      <c r="D2414" s="22"/>
      <c r="E2414" s="23">
        <v>-3.5199999809265137E-2</v>
      </c>
      <c r="F2414" s="24" t="s">
        <v>128</v>
      </c>
    </row>
    <row r="2415" spans="1:6" ht="16" customHeight="1" x14ac:dyDescent="0.45">
      <c r="A2415" s="19" t="s">
        <v>4947</v>
      </c>
      <c r="B2415" s="20" t="s">
        <v>4948</v>
      </c>
      <c r="C2415" s="21">
        <v>78100</v>
      </c>
      <c r="D2415" s="22"/>
      <c r="E2415" s="23">
        <v>3.3099999427795408E-2</v>
      </c>
      <c r="F2415" s="24" t="s">
        <v>125</v>
      </c>
    </row>
    <row r="2416" spans="1:6" ht="16" customHeight="1" x14ac:dyDescent="0.45">
      <c r="A2416" s="19" t="s">
        <v>4949</v>
      </c>
      <c r="B2416" s="20" t="s">
        <v>4950</v>
      </c>
      <c r="C2416" s="21">
        <v>7260</v>
      </c>
      <c r="D2416" s="22"/>
      <c r="E2416" s="23">
        <v>2.8000000119209291E-3</v>
      </c>
      <c r="F2416" s="24" t="s">
        <v>125</v>
      </c>
    </row>
    <row r="2417" spans="1:6" ht="16" customHeight="1" x14ac:dyDescent="0.45">
      <c r="A2417" s="19" t="s">
        <v>4951</v>
      </c>
      <c r="B2417" s="20" t="s">
        <v>4952</v>
      </c>
      <c r="C2417" s="21">
        <v>3330</v>
      </c>
      <c r="D2417" s="22"/>
      <c r="E2417" s="23">
        <v>-6.9800000190734859E-2</v>
      </c>
      <c r="F2417" s="24" t="s">
        <v>251</v>
      </c>
    </row>
    <row r="2418" spans="1:6" ht="16" customHeight="1" x14ac:dyDescent="0.45">
      <c r="A2418" s="19" t="s">
        <v>4953</v>
      </c>
      <c r="B2418" s="20" t="s">
        <v>4954</v>
      </c>
      <c r="C2418" s="21">
        <v>3210</v>
      </c>
      <c r="D2418" s="22"/>
      <c r="E2418" s="23">
        <v>-5.8699998855590817E-2</v>
      </c>
      <c r="F2418" s="24" t="s">
        <v>128</v>
      </c>
    </row>
    <row r="2419" spans="1:6" ht="16" customHeight="1" x14ac:dyDescent="0.45">
      <c r="A2419" s="19" t="s">
        <v>4955</v>
      </c>
      <c r="B2419" s="20" t="s">
        <v>4956</v>
      </c>
      <c r="C2419" s="21">
        <v>4050</v>
      </c>
      <c r="D2419" s="22"/>
      <c r="E2419" s="23">
        <v>-2.410000085830688E-2</v>
      </c>
      <c r="F2419" s="24" t="s">
        <v>128</v>
      </c>
    </row>
    <row r="2420" spans="1:6" ht="16" customHeight="1" x14ac:dyDescent="0.45">
      <c r="A2420" s="19" t="s">
        <v>4957</v>
      </c>
      <c r="B2420" s="20" t="s">
        <v>4958</v>
      </c>
      <c r="C2420" s="21">
        <v>677</v>
      </c>
      <c r="D2420" s="22"/>
      <c r="E2420" s="23">
        <v>0.13970000267028809</v>
      </c>
      <c r="F2420" s="24" t="s">
        <v>251</v>
      </c>
    </row>
    <row r="2421" spans="1:6" ht="16" customHeight="1" x14ac:dyDescent="0.45">
      <c r="A2421" s="19" t="s">
        <v>4959</v>
      </c>
      <c r="B2421" s="20" t="s">
        <v>4960</v>
      </c>
      <c r="C2421" s="21">
        <v>1902</v>
      </c>
      <c r="D2421" s="22"/>
      <c r="E2421" s="23">
        <v>-3.5499999523162837E-2</v>
      </c>
      <c r="F2421" s="24" t="s">
        <v>128</v>
      </c>
    </row>
    <row r="2422" spans="1:6" ht="16" customHeight="1" x14ac:dyDescent="0.45">
      <c r="A2422" s="19" t="s">
        <v>4961</v>
      </c>
      <c r="B2422" s="20" t="s">
        <v>4962</v>
      </c>
      <c r="C2422" s="21">
        <v>10760</v>
      </c>
      <c r="D2422" s="22"/>
      <c r="E2422" s="23">
        <v>-4.6000000834465031E-3</v>
      </c>
      <c r="F2422" s="24" t="s">
        <v>128</v>
      </c>
    </row>
    <row r="2423" spans="1:6" ht="16" customHeight="1" x14ac:dyDescent="0.45">
      <c r="A2423" s="19" t="s">
        <v>4963</v>
      </c>
      <c r="B2423" s="20" t="s">
        <v>4964</v>
      </c>
      <c r="C2423" s="21">
        <v>55600</v>
      </c>
      <c r="D2423" s="22"/>
      <c r="E2423" s="23">
        <v>-5.4400000572204593E-2</v>
      </c>
      <c r="F2423" s="24" t="s">
        <v>125</v>
      </c>
    </row>
    <row r="2424" spans="1:6" ht="16" customHeight="1" x14ac:dyDescent="0.45">
      <c r="A2424" s="19" t="s">
        <v>4965</v>
      </c>
      <c r="B2424" s="20" t="s">
        <v>4966</v>
      </c>
      <c r="C2424" s="21">
        <v>2525</v>
      </c>
      <c r="D2424" s="22"/>
      <c r="E2424" s="23">
        <v>-2.1300001144409181E-2</v>
      </c>
      <c r="F2424" s="24" t="s">
        <v>125</v>
      </c>
    </row>
    <row r="2425" spans="1:6" ht="16" customHeight="1" x14ac:dyDescent="0.45">
      <c r="A2425" s="19" t="s">
        <v>4967</v>
      </c>
      <c r="B2425" s="20" t="s">
        <v>4968</v>
      </c>
      <c r="C2425" s="21">
        <v>3020</v>
      </c>
      <c r="D2425" s="22"/>
      <c r="E2425" s="23">
        <v>-4.9000000953674317E-3</v>
      </c>
      <c r="F2425" s="24" t="s">
        <v>128</v>
      </c>
    </row>
    <row r="2426" spans="1:6" ht="16" customHeight="1" x14ac:dyDescent="0.45">
      <c r="A2426" s="19" t="s">
        <v>4969</v>
      </c>
      <c r="B2426" s="20" t="s">
        <v>4970</v>
      </c>
      <c r="C2426" s="21">
        <v>11850</v>
      </c>
      <c r="D2426" s="22"/>
      <c r="E2426" s="23">
        <v>-3.109999895095825E-2</v>
      </c>
      <c r="F2426" s="24" t="s">
        <v>125</v>
      </c>
    </row>
    <row r="2427" spans="1:6" ht="16" customHeight="1" x14ac:dyDescent="0.45">
      <c r="A2427" s="19" t="s">
        <v>4971</v>
      </c>
      <c r="B2427" s="20" t="s">
        <v>4972</v>
      </c>
      <c r="C2427" s="21">
        <v>6420</v>
      </c>
      <c r="D2427" s="22"/>
      <c r="E2427" s="23">
        <v>-3.460000038146973E-2</v>
      </c>
      <c r="F2427" s="24" t="s">
        <v>125</v>
      </c>
    </row>
    <row r="2428" spans="1:6" ht="16" customHeight="1" x14ac:dyDescent="0.45">
      <c r="A2428" s="19" t="s">
        <v>4973</v>
      </c>
      <c r="B2428" s="20" t="s">
        <v>4974</v>
      </c>
      <c r="C2428" s="21">
        <v>654</v>
      </c>
      <c r="D2428" s="22"/>
      <c r="E2428" s="23">
        <v>0</v>
      </c>
      <c r="F2428" s="24" t="s">
        <v>125</v>
      </c>
    </row>
    <row r="2429" spans="1:6" ht="16" customHeight="1" x14ac:dyDescent="0.45">
      <c r="A2429" s="19" t="s">
        <v>4975</v>
      </c>
      <c r="B2429" s="20" t="s">
        <v>4976</v>
      </c>
      <c r="C2429" s="21">
        <v>2910</v>
      </c>
      <c r="D2429" s="22"/>
      <c r="E2429" s="23">
        <v>-1.6900000572204591E-2</v>
      </c>
      <c r="F2429" s="24" t="s">
        <v>125</v>
      </c>
    </row>
    <row r="2430" spans="1:6" ht="16" customHeight="1" x14ac:dyDescent="0.45">
      <c r="A2430" s="19" t="s">
        <v>4977</v>
      </c>
      <c r="B2430" s="20" t="s">
        <v>4978</v>
      </c>
      <c r="C2430" s="21">
        <v>89700</v>
      </c>
      <c r="D2430" s="22"/>
      <c r="E2430" s="23">
        <v>3.460000038146973E-2</v>
      </c>
      <c r="F2430" s="24" t="s">
        <v>125</v>
      </c>
    </row>
    <row r="2431" spans="1:6" ht="16" customHeight="1" x14ac:dyDescent="0.45">
      <c r="A2431" s="19" t="s">
        <v>4979</v>
      </c>
      <c r="B2431" s="20" t="s">
        <v>4980</v>
      </c>
      <c r="C2431" s="21">
        <v>20850</v>
      </c>
      <c r="D2431" s="22"/>
      <c r="E2431" s="23">
        <v>-1.179999947547913E-2</v>
      </c>
      <c r="F2431" s="24" t="s">
        <v>128</v>
      </c>
    </row>
    <row r="2432" spans="1:6" ht="16" customHeight="1" x14ac:dyDescent="0.45">
      <c r="A2432" s="19" t="s">
        <v>4981</v>
      </c>
      <c r="B2432" s="20" t="s">
        <v>4982</v>
      </c>
      <c r="C2432" s="21">
        <v>1839</v>
      </c>
      <c r="D2432" s="22"/>
      <c r="E2432" s="23">
        <v>-5.0000000745058064E-4</v>
      </c>
      <c r="F2432" s="24" t="s">
        <v>125</v>
      </c>
    </row>
    <row r="2433" spans="1:6" ht="16" customHeight="1" x14ac:dyDescent="0.45">
      <c r="A2433" s="19" t="s">
        <v>4983</v>
      </c>
      <c r="B2433" s="20" t="s">
        <v>4984</v>
      </c>
      <c r="C2433" s="21">
        <v>62100</v>
      </c>
      <c r="D2433" s="22"/>
      <c r="E2433" s="23">
        <v>1.309999942779541E-2</v>
      </c>
      <c r="F2433" s="24" t="s">
        <v>125</v>
      </c>
    </row>
    <row r="2434" spans="1:6" ht="16" customHeight="1" x14ac:dyDescent="0.45">
      <c r="A2434" s="19" t="s">
        <v>4985</v>
      </c>
      <c r="B2434" s="20" t="s">
        <v>4986</v>
      </c>
      <c r="C2434" s="21">
        <v>449</v>
      </c>
      <c r="D2434" s="22"/>
      <c r="E2434" s="23">
        <v>0</v>
      </c>
      <c r="F2434" s="24" t="s">
        <v>251</v>
      </c>
    </row>
    <row r="2435" spans="1:6" ht="16" customHeight="1" x14ac:dyDescent="0.45">
      <c r="A2435" s="19" t="s">
        <v>4987</v>
      </c>
      <c r="B2435" s="20" t="s">
        <v>4988</v>
      </c>
      <c r="C2435" s="21">
        <v>14950</v>
      </c>
      <c r="D2435" s="22"/>
      <c r="E2435" s="23">
        <v>3.5299999713897703E-2</v>
      </c>
      <c r="F2435" s="24" t="s">
        <v>125</v>
      </c>
    </row>
    <row r="2436" spans="1:6" ht="16" customHeight="1" x14ac:dyDescent="0.45">
      <c r="A2436" s="19" t="s">
        <v>4989</v>
      </c>
      <c r="B2436" s="20" t="s">
        <v>4990</v>
      </c>
      <c r="C2436" s="21">
        <v>16740</v>
      </c>
      <c r="D2436" s="22"/>
      <c r="E2436" s="23">
        <v>-1.360000014305115E-2</v>
      </c>
      <c r="F2436" s="24" t="s">
        <v>128</v>
      </c>
    </row>
    <row r="2437" spans="1:6" ht="16" customHeight="1" x14ac:dyDescent="0.45">
      <c r="A2437" s="19" t="s">
        <v>4991</v>
      </c>
      <c r="B2437" s="20" t="s">
        <v>4992</v>
      </c>
      <c r="C2437" s="21">
        <v>604</v>
      </c>
      <c r="D2437" s="22"/>
      <c r="E2437" s="23">
        <v>-3.509999990463257E-2</v>
      </c>
      <c r="F2437" s="24" t="s">
        <v>125</v>
      </c>
    </row>
    <row r="2438" spans="1:6" ht="16" customHeight="1" x14ac:dyDescent="0.45">
      <c r="A2438" s="19" t="s">
        <v>4993</v>
      </c>
      <c r="B2438" s="20" t="s">
        <v>4994</v>
      </c>
      <c r="C2438" s="21">
        <v>7340</v>
      </c>
      <c r="D2438" s="22"/>
      <c r="E2438" s="23">
        <v>-2.77999997138977E-2</v>
      </c>
      <c r="F2438" s="24" t="s">
        <v>128</v>
      </c>
    </row>
    <row r="2439" spans="1:6" ht="16" customHeight="1" x14ac:dyDescent="0.45">
      <c r="A2439" s="19" t="s">
        <v>4995</v>
      </c>
      <c r="B2439" s="20" t="s">
        <v>4996</v>
      </c>
      <c r="C2439" s="21">
        <v>4415</v>
      </c>
      <c r="D2439" s="22"/>
      <c r="E2439" s="23">
        <v>-1.4500000476837161E-2</v>
      </c>
      <c r="F2439" s="24" t="s">
        <v>125</v>
      </c>
    </row>
    <row r="2440" spans="1:6" ht="16" customHeight="1" x14ac:dyDescent="0.45">
      <c r="A2440" s="19" t="s">
        <v>4997</v>
      </c>
      <c r="B2440" s="20" t="s">
        <v>4998</v>
      </c>
      <c r="C2440" s="21">
        <v>63700</v>
      </c>
      <c r="D2440" s="22"/>
      <c r="E2440" s="23">
        <v>8.6999998092651368E-2</v>
      </c>
      <c r="F2440" s="24" t="s">
        <v>125</v>
      </c>
    </row>
    <row r="2441" spans="1:6" ht="16" customHeight="1" x14ac:dyDescent="0.45">
      <c r="A2441" s="19" t="s">
        <v>4999</v>
      </c>
      <c r="B2441" s="20" t="s">
        <v>5000</v>
      </c>
      <c r="C2441" s="21">
        <v>2190</v>
      </c>
      <c r="D2441" s="22"/>
      <c r="E2441" s="23">
        <v>-2.0099999904632571E-2</v>
      </c>
      <c r="F2441" s="24" t="s">
        <v>125</v>
      </c>
    </row>
    <row r="2442" spans="1:6" ht="16" customHeight="1" x14ac:dyDescent="0.45">
      <c r="A2442" s="19" t="s">
        <v>5001</v>
      </c>
      <c r="B2442" s="20" t="s">
        <v>5002</v>
      </c>
      <c r="C2442" s="21">
        <v>18130</v>
      </c>
      <c r="D2442" s="22"/>
      <c r="E2442" s="23">
        <v>-1.4700000286102291E-2</v>
      </c>
      <c r="F2442" s="24" t="s">
        <v>125</v>
      </c>
    </row>
    <row r="2443" spans="1:6" ht="16" customHeight="1" x14ac:dyDescent="0.45">
      <c r="A2443" s="19" t="s">
        <v>5003</v>
      </c>
      <c r="B2443" s="20" t="s">
        <v>5004</v>
      </c>
      <c r="C2443" s="21">
        <v>7310</v>
      </c>
      <c r="D2443" s="22"/>
      <c r="E2443" s="23">
        <v>4.0999999642372144E-3</v>
      </c>
      <c r="F2443" s="24" t="s">
        <v>125</v>
      </c>
    </row>
    <row r="2444" spans="1:6" ht="16" customHeight="1" x14ac:dyDescent="0.45">
      <c r="A2444" s="19" t="s">
        <v>5005</v>
      </c>
      <c r="B2444" s="20" t="s">
        <v>5006</v>
      </c>
      <c r="C2444" s="21">
        <v>4365</v>
      </c>
      <c r="D2444" s="22"/>
      <c r="E2444" s="23">
        <v>-1.7999999523162839E-2</v>
      </c>
      <c r="F2444" s="24" t="s">
        <v>125</v>
      </c>
    </row>
    <row r="2445" spans="1:6" ht="16" customHeight="1" x14ac:dyDescent="0.45">
      <c r="A2445" s="19" t="s">
        <v>5007</v>
      </c>
      <c r="B2445" s="20" t="s">
        <v>5008</v>
      </c>
      <c r="C2445" s="21">
        <v>596</v>
      </c>
      <c r="D2445" s="22"/>
      <c r="E2445" s="23">
        <v>0</v>
      </c>
      <c r="F2445" s="24" t="s">
        <v>125</v>
      </c>
    </row>
    <row r="2446" spans="1:6" ht="16" customHeight="1" x14ac:dyDescent="0.45">
      <c r="A2446" s="19" t="s">
        <v>5009</v>
      </c>
      <c r="B2446" s="20" t="s">
        <v>5010</v>
      </c>
      <c r="C2446" s="21">
        <v>100600</v>
      </c>
      <c r="D2446" s="22"/>
      <c r="E2446" s="23">
        <v>8.7600002288818354E-2</v>
      </c>
      <c r="F2446" s="24" t="s">
        <v>125</v>
      </c>
    </row>
    <row r="2447" spans="1:6" ht="16" customHeight="1" x14ac:dyDescent="0.45">
      <c r="A2447" s="19" t="s">
        <v>5011</v>
      </c>
      <c r="B2447" s="20" t="s">
        <v>5012</v>
      </c>
      <c r="C2447" s="21">
        <v>7670</v>
      </c>
      <c r="D2447" s="22"/>
      <c r="E2447" s="23">
        <v>-1.919999957084656E-2</v>
      </c>
      <c r="F2447" s="24" t="s">
        <v>125</v>
      </c>
    </row>
    <row r="2448" spans="1:6" ht="16" customHeight="1" x14ac:dyDescent="0.45">
      <c r="A2448" s="19" t="s">
        <v>5013</v>
      </c>
      <c r="B2448" s="20" t="s">
        <v>5014</v>
      </c>
      <c r="C2448" s="21">
        <v>898</v>
      </c>
      <c r="D2448" s="22"/>
      <c r="E2448" s="23">
        <v>-1.3200000524520869E-2</v>
      </c>
      <c r="F2448" s="24" t="s">
        <v>128</v>
      </c>
    </row>
    <row r="2449" spans="1:6" ht="16" customHeight="1" x14ac:dyDescent="0.45">
      <c r="A2449" s="19" t="s">
        <v>5015</v>
      </c>
      <c r="B2449" s="20" t="s">
        <v>5016</v>
      </c>
      <c r="C2449" s="21">
        <v>6620</v>
      </c>
      <c r="D2449" s="22"/>
      <c r="E2449" s="23">
        <v>-4.4999998807907114E-3</v>
      </c>
      <c r="F2449" s="24" t="s">
        <v>125</v>
      </c>
    </row>
    <row r="2450" spans="1:6" ht="16" customHeight="1" x14ac:dyDescent="0.45">
      <c r="A2450" s="19" t="s">
        <v>5017</v>
      </c>
      <c r="B2450" s="20" t="s">
        <v>5018</v>
      </c>
      <c r="C2450" s="21">
        <v>6630</v>
      </c>
      <c r="D2450" s="22"/>
      <c r="E2450" s="23">
        <v>-2.359999895095825E-2</v>
      </c>
      <c r="F2450" s="24" t="s">
        <v>125</v>
      </c>
    </row>
    <row r="2451" spans="1:6" ht="16" customHeight="1" x14ac:dyDescent="0.45">
      <c r="A2451" s="19" t="s">
        <v>5019</v>
      </c>
      <c r="B2451" s="20" t="s">
        <v>5020</v>
      </c>
      <c r="C2451" s="21">
        <v>8780</v>
      </c>
      <c r="D2451" s="22"/>
      <c r="E2451" s="23">
        <v>-1.009999990463257E-2</v>
      </c>
      <c r="F2451" s="24" t="s">
        <v>125</v>
      </c>
    </row>
    <row r="2452" spans="1:6" ht="16" customHeight="1" x14ac:dyDescent="0.45">
      <c r="A2452" s="19" t="s">
        <v>5021</v>
      </c>
      <c r="B2452" s="20" t="s">
        <v>5022</v>
      </c>
      <c r="C2452" s="21">
        <v>21200</v>
      </c>
      <c r="D2452" s="22"/>
      <c r="E2452" s="23">
        <v>-6.4000000953674321E-2</v>
      </c>
      <c r="F2452" s="24" t="s">
        <v>125</v>
      </c>
    </row>
    <row r="2453" spans="1:6" ht="16" customHeight="1" x14ac:dyDescent="0.45">
      <c r="A2453" s="19" t="s">
        <v>5023</v>
      </c>
      <c r="B2453" s="20" t="s">
        <v>5024</v>
      </c>
      <c r="C2453" s="21">
        <v>588</v>
      </c>
      <c r="D2453" s="22"/>
      <c r="E2453" s="23">
        <v>-1.6699999570846561E-2</v>
      </c>
      <c r="F2453" s="24" t="s">
        <v>125</v>
      </c>
    </row>
    <row r="2454" spans="1:6" ht="16" customHeight="1" x14ac:dyDescent="0.45">
      <c r="A2454" s="19" t="s">
        <v>5025</v>
      </c>
      <c r="B2454" s="20" t="s">
        <v>5026</v>
      </c>
      <c r="C2454" s="21">
        <v>2600</v>
      </c>
      <c r="D2454" s="22"/>
      <c r="E2454" s="23">
        <v>-1.330000042915344E-2</v>
      </c>
      <c r="F2454" s="24" t="s">
        <v>125</v>
      </c>
    </row>
    <row r="2455" spans="1:6" ht="16" customHeight="1" x14ac:dyDescent="0.45">
      <c r="A2455" s="19" t="s">
        <v>5027</v>
      </c>
      <c r="B2455" s="20" t="s">
        <v>5028</v>
      </c>
      <c r="C2455" s="21">
        <v>3355</v>
      </c>
      <c r="D2455" s="22"/>
      <c r="E2455" s="23">
        <v>-2.75E-2</v>
      </c>
      <c r="F2455" s="24" t="s">
        <v>125</v>
      </c>
    </row>
    <row r="2456" spans="1:6" ht="16" customHeight="1" x14ac:dyDescent="0.45">
      <c r="A2456" s="19" t="s">
        <v>5029</v>
      </c>
      <c r="B2456" s="20" t="s">
        <v>5030</v>
      </c>
      <c r="C2456" s="21">
        <v>8080</v>
      </c>
      <c r="D2456" s="22"/>
      <c r="E2456" s="23">
        <v>-7.6599998474121092E-2</v>
      </c>
      <c r="F2456" s="24" t="s">
        <v>125</v>
      </c>
    </row>
    <row r="2457" spans="1:6" ht="16" customHeight="1" x14ac:dyDescent="0.45">
      <c r="A2457" s="19" t="s">
        <v>5031</v>
      </c>
      <c r="B2457" s="20" t="s">
        <v>5032</v>
      </c>
      <c r="C2457" s="21">
        <v>296000</v>
      </c>
      <c r="D2457" s="22"/>
      <c r="E2457" s="23">
        <v>-8.3999997377395622E-3</v>
      </c>
      <c r="F2457" s="24" t="s">
        <v>125</v>
      </c>
    </row>
    <row r="2458" spans="1:6" ht="16" customHeight="1" x14ac:dyDescent="0.45">
      <c r="A2458" s="19" t="s">
        <v>5033</v>
      </c>
      <c r="B2458" s="20" t="s">
        <v>5034</v>
      </c>
      <c r="C2458" s="21">
        <v>2870</v>
      </c>
      <c r="D2458" s="22"/>
      <c r="E2458" s="23">
        <v>-1.7100000381469731E-2</v>
      </c>
      <c r="F2458" s="24" t="s">
        <v>125</v>
      </c>
    </row>
    <row r="2459" spans="1:6" ht="16" customHeight="1" x14ac:dyDescent="0.45">
      <c r="A2459" s="19" t="s">
        <v>5035</v>
      </c>
      <c r="B2459" s="20" t="s">
        <v>5036</v>
      </c>
      <c r="C2459" s="21">
        <v>60200</v>
      </c>
      <c r="D2459" s="22"/>
      <c r="E2459" s="23">
        <v>-2.1099998950958251E-2</v>
      </c>
      <c r="F2459" s="24" t="s">
        <v>125</v>
      </c>
    </row>
    <row r="2460" spans="1:6" ht="16" customHeight="1" x14ac:dyDescent="0.45">
      <c r="A2460" s="19" t="s">
        <v>5037</v>
      </c>
      <c r="B2460" s="20" t="s">
        <v>5038</v>
      </c>
      <c r="C2460" s="21">
        <v>1710</v>
      </c>
      <c r="D2460" s="22"/>
      <c r="E2460" s="23">
        <v>0</v>
      </c>
      <c r="F2460" s="24" t="s">
        <v>125</v>
      </c>
    </row>
    <row r="2461" spans="1:6" ht="16" customHeight="1" x14ac:dyDescent="0.45">
      <c r="A2461" s="19" t="s">
        <v>5039</v>
      </c>
      <c r="B2461" s="20" t="s">
        <v>5040</v>
      </c>
      <c r="C2461" s="21">
        <v>5840</v>
      </c>
      <c r="D2461" s="22"/>
      <c r="E2461" s="23">
        <v>1.570000052452087E-2</v>
      </c>
      <c r="F2461" s="24" t="s">
        <v>125</v>
      </c>
    </row>
    <row r="2462" spans="1:6" ht="16" customHeight="1" x14ac:dyDescent="0.45">
      <c r="A2462" s="19" t="s">
        <v>5041</v>
      </c>
      <c r="B2462" s="20" t="s">
        <v>5042</v>
      </c>
      <c r="C2462" s="21">
        <v>168200</v>
      </c>
      <c r="D2462" s="22"/>
      <c r="E2462" s="23">
        <v>2.39999994635582E-3</v>
      </c>
      <c r="F2462" s="24" t="s">
        <v>125</v>
      </c>
    </row>
    <row r="2463" spans="1:6" ht="16" customHeight="1" x14ac:dyDescent="0.45">
      <c r="A2463" s="19" t="s">
        <v>5043</v>
      </c>
      <c r="B2463" s="20" t="s">
        <v>5044</v>
      </c>
      <c r="C2463" s="21">
        <v>7500</v>
      </c>
      <c r="D2463" s="22"/>
      <c r="E2463" s="23">
        <v>-1.299999952316284E-3</v>
      </c>
      <c r="F2463" s="24" t="s">
        <v>128</v>
      </c>
    </row>
    <row r="2464" spans="1:6" ht="16" customHeight="1" x14ac:dyDescent="0.45">
      <c r="A2464" s="19" t="s">
        <v>5045</v>
      </c>
      <c r="B2464" s="20" t="s">
        <v>5046</v>
      </c>
      <c r="C2464" s="21">
        <v>73800</v>
      </c>
      <c r="D2464" s="22"/>
      <c r="E2464" s="23">
        <v>8.199999928474427E-3</v>
      </c>
      <c r="F2464" s="24" t="s">
        <v>125</v>
      </c>
    </row>
    <row r="2465" spans="1:6" ht="16" customHeight="1" x14ac:dyDescent="0.45">
      <c r="A2465" s="19" t="s">
        <v>5047</v>
      </c>
      <c r="B2465" s="20" t="s">
        <v>5048</v>
      </c>
      <c r="C2465" s="21">
        <v>19050</v>
      </c>
      <c r="D2465" s="22"/>
      <c r="E2465" s="23">
        <v>-3.930000066757202E-2</v>
      </c>
      <c r="F2465" s="24" t="s">
        <v>125</v>
      </c>
    </row>
    <row r="2466" spans="1:6" ht="16" customHeight="1" x14ac:dyDescent="0.45">
      <c r="A2466" s="19" t="s">
        <v>5049</v>
      </c>
      <c r="B2466" s="20" t="s">
        <v>5050</v>
      </c>
      <c r="C2466" s="21">
        <v>1279</v>
      </c>
      <c r="D2466" s="22"/>
      <c r="E2466" s="23">
        <v>-1.159999966621399E-2</v>
      </c>
      <c r="F2466" s="24" t="s">
        <v>125</v>
      </c>
    </row>
    <row r="2467" spans="1:6" ht="16" customHeight="1" x14ac:dyDescent="0.45">
      <c r="A2467" s="19" t="s">
        <v>5051</v>
      </c>
      <c r="B2467" s="20" t="s">
        <v>5052</v>
      </c>
      <c r="C2467" s="21">
        <v>94700</v>
      </c>
      <c r="D2467" s="22"/>
      <c r="E2467" s="23">
        <v>3.0499999523162839E-2</v>
      </c>
      <c r="F2467" s="24" t="s">
        <v>125</v>
      </c>
    </row>
    <row r="2468" spans="1:6" ht="16" customHeight="1" x14ac:dyDescent="0.45">
      <c r="A2468" s="19" t="s">
        <v>5053</v>
      </c>
      <c r="B2468" s="20" t="s">
        <v>5054</v>
      </c>
      <c r="C2468" s="21">
        <v>1789</v>
      </c>
      <c r="D2468" s="22"/>
      <c r="E2468" s="23">
        <v>5.6000000238418581E-3</v>
      </c>
      <c r="F2468" s="24" t="s">
        <v>251</v>
      </c>
    </row>
    <row r="2469" spans="1:6" ht="16" customHeight="1" x14ac:dyDescent="0.45">
      <c r="A2469" s="19" t="s">
        <v>5055</v>
      </c>
      <c r="B2469" s="20" t="s">
        <v>5056</v>
      </c>
      <c r="C2469" s="21">
        <v>30000</v>
      </c>
      <c r="D2469" s="22"/>
      <c r="E2469" s="23">
        <v>-3.069999933242798E-2</v>
      </c>
      <c r="F2469" s="24" t="s">
        <v>128</v>
      </c>
    </row>
    <row r="2470" spans="1:6" ht="16" customHeight="1" x14ac:dyDescent="0.45">
      <c r="A2470" s="19" t="s">
        <v>5057</v>
      </c>
      <c r="B2470" s="20" t="s">
        <v>5058</v>
      </c>
      <c r="C2470" s="21">
        <v>2715</v>
      </c>
      <c r="D2470" s="22"/>
      <c r="E2470" s="23">
        <v>-3.0399999618530269E-2</v>
      </c>
      <c r="F2470" s="24" t="s">
        <v>128</v>
      </c>
    </row>
    <row r="2471" spans="1:6" ht="16" customHeight="1" x14ac:dyDescent="0.45">
      <c r="A2471" s="19" t="s">
        <v>5059</v>
      </c>
      <c r="B2471" s="20" t="s">
        <v>5060</v>
      </c>
      <c r="C2471" s="21">
        <v>4010</v>
      </c>
      <c r="D2471" s="22"/>
      <c r="E2471" s="23">
        <v>-1.350000023841858E-2</v>
      </c>
      <c r="F2471" s="24" t="s">
        <v>128</v>
      </c>
    </row>
    <row r="2472" spans="1:6" ht="16" customHeight="1" x14ac:dyDescent="0.45">
      <c r="A2472" s="19" t="s">
        <v>5061</v>
      </c>
      <c r="B2472" s="20" t="s">
        <v>5062</v>
      </c>
      <c r="C2472" s="21">
        <v>11100</v>
      </c>
      <c r="D2472" s="22"/>
      <c r="E2472" s="23">
        <v>-0.1155000019073486</v>
      </c>
      <c r="F2472" s="24" t="s">
        <v>125</v>
      </c>
    </row>
    <row r="2473" spans="1:6" ht="16" customHeight="1" x14ac:dyDescent="0.45">
      <c r="A2473" s="19" t="s">
        <v>5063</v>
      </c>
      <c r="B2473" s="20" t="s">
        <v>5064</v>
      </c>
      <c r="C2473" s="21">
        <v>254</v>
      </c>
      <c r="D2473" s="22"/>
      <c r="E2473" s="23">
        <v>-5.2199997901916498E-2</v>
      </c>
      <c r="F2473" s="24" t="s">
        <v>128</v>
      </c>
    </row>
    <row r="2474" spans="1:6" ht="16" customHeight="1" x14ac:dyDescent="0.45">
      <c r="A2474" s="19" t="s">
        <v>5065</v>
      </c>
      <c r="B2474" s="20" t="s">
        <v>5066</v>
      </c>
      <c r="C2474" s="21">
        <v>22250</v>
      </c>
      <c r="D2474" s="22"/>
      <c r="E2474" s="23">
        <v>0.12890000343322761</v>
      </c>
      <c r="F2474" s="24" t="s">
        <v>125</v>
      </c>
    </row>
    <row r="2475" spans="1:6" ht="16" customHeight="1" x14ac:dyDescent="0.45">
      <c r="A2475" s="19" t="s">
        <v>5067</v>
      </c>
      <c r="B2475" s="20" t="s">
        <v>5068</v>
      </c>
      <c r="C2475" s="21">
        <v>9390</v>
      </c>
      <c r="D2475" s="22"/>
      <c r="E2475" s="23">
        <v>0.10079999923706059</v>
      </c>
      <c r="F2475" s="24" t="s">
        <v>125</v>
      </c>
    </row>
    <row r="2476" spans="1:6" ht="16" customHeight="1" x14ac:dyDescent="0.45">
      <c r="A2476" s="19" t="s">
        <v>5069</v>
      </c>
      <c r="B2476" s="20" t="s">
        <v>5070</v>
      </c>
      <c r="C2476" s="21">
        <v>867</v>
      </c>
      <c r="D2476" s="22"/>
      <c r="E2476" s="23">
        <v>-2.5799999237060549E-2</v>
      </c>
      <c r="F2476" s="24" t="s">
        <v>125</v>
      </c>
    </row>
    <row r="2477" spans="1:6" ht="16" customHeight="1" x14ac:dyDescent="0.45">
      <c r="A2477" s="19" t="s">
        <v>5071</v>
      </c>
      <c r="B2477" s="20" t="s">
        <v>5072</v>
      </c>
      <c r="C2477" s="21">
        <v>2575</v>
      </c>
      <c r="D2477" s="22"/>
      <c r="E2477" s="23">
        <v>-2.0899999141693111E-2</v>
      </c>
      <c r="F2477" s="24" t="s">
        <v>125</v>
      </c>
    </row>
    <row r="2478" spans="1:6" ht="16" customHeight="1" x14ac:dyDescent="0.45">
      <c r="A2478" s="19" t="s">
        <v>5073</v>
      </c>
      <c r="B2478" s="20" t="s">
        <v>5074</v>
      </c>
      <c r="C2478" s="21">
        <v>3555</v>
      </c>
      <c r="D2478" s="22"/>
      <c r="E2478" s="23">
        <v>-2.8699998855590821E-2</v>
      </c>
      <c r="F2478" s="24" t="s">
        <v>125</v>
      </c>
    </row>
    <row r="2479" spans="1:6" ht="16" customHeight="1" x14ac:dyDescent="0.45">
      <c r="A2479" s="19" t="s">
        <v>5075</v>
      </c>
      <c r="B2479" s="20" t="s">
        <v>5076</v>
      </c>
      <c r="C2479" s="21">
        <v>2020</v>
      </c>
      <c r="D2479" s="22"/>
      <c r="E2479" s="23">
        <v>-2.420000076293945E-2</v>
      </c>
      <c r="F2479" s="24" t="s">
        <v>125</v>
      </c>
    </row>
    <row r="2480" spans="1:6" ht="16" customHeight="1" x14ac:dyDescent="0.45">
      <c r="A2480" s="19" t="s">
        <v>5077</v>
      </c>
      <c r="B2480" s="20" t="s">
        <v>5078</v>
      </c>
      <c r="C2480" s="21">
        <v>1687</v>
      </c>
      <c r="D2480" s="22"/>
      <c r="E2480" s="23">
        <v>-5.9999998658895489E-4</v>
      </c>
      <c r="F2480" s="24" t="s">
        <v>251</v>
      </c>
    </row>
    <row r="2481" spans="1:6" ht="16" customHeight="1" x14ac:dyDescent="0.45">
      <c r="A2481" s="19" t="s">
        <v>5079</v>
      </c>
      <c r="B2481" s="20" t="s">
        <v>5080</v>
      </c>
      <c r="C2481" s="21">
        <v>8620</v>
      </c>
      <c r="D2481" s="22"/>
      <c r="E2481" s="23">
        <v>-1.2599999904632571E-2</v>
      </c>
      <c r="F2481" s="24" t="s">
        <v>125</v>
      </c>
    </row>
    <row r="2482" spans="1:6" ht="16" customHeight="1" x14ac:dyDescent="0.45">
      <c r="A2482" s="19" t="s">
        <v>5081</v>
      </c>
      <c r="B2482" s="20" t="s">
        <v>5082</v>
      </c>
      <c r="C2482" s="21">
        <v>76300</v>
      </c>
      <c r="D2482" s="22"/>
      <c r="E2482" s="23">
        <v>-6.0300002098083498E-2</v>
      </c>
      <c r="F2482" s="24" t="s">
        <v>125</v>
      </c>
    </row>
    <row r="2483" spans="1:6" ht="16" customHeight="1" x14ac:dyDescent="0.45">
      <c r="A2483" s="19" t="s">
        <v>5083</v>
      </c>
      <c r="B2483" s="20" t="s">
        <v>5084</v>
      </c>
      <c r="C2483" s="21">
        <v>15490</v>
      </c>
      <c r="D2483" s="22"/>
      <c r="E2483" s="23">
        <v>-2.2699999809265139E-2</v>
      </c>
      <c r="F2483" s="24" t="s">
        <v>128</v>
      </c>
    </row>
    <row r="2484" spans="1:6" ht="16" customHeight="1" x14ac:dyDescent="0.45">
      <c r="A2484" s="19" t="s">
        <v>5085</v>
      </c>
      <c r="B2484" s="20" t="s">
        <v>5086</v>
      </c>
      <c r="C2484" s="21">
        <v>1731</v>
      </c>
      <c r="D2484" s="22"/>
      <c r="E2484" s="23">
        <v>5.9999998658895489E-4</v>
      </c>
      <c r="F2484" s="24" t="s">
        <v>125</v>
      </c>
    </row>
    <row r="2485" spans="1:6" ht="16" customHeight="1" x14ac:dyDescent="0.45">
      <c r="A2485" s="19" t="s">
        <v>5087</v>
      </c>
      <c r="B2485" s="20" t="s">
        <v>5088</v>
      </c>
      <c r="C2485" s="21">
        <v>416</v>
      </c>
      <c r="D2485" s="22"/>
      <c r="E2485" s="23">
        <v>0</v>
      </c>
      <c r="F2485" s="24" t="s">
        <v>125</v>
      </c>
    </row>
    <row r="2486" spans="1:6" ht="16" customHeight="1" x14ac:dyDescent="0.45">
      <c r="A2486" s="19" t="s">
        <v>5089</v>
      </c>
      <c r="B2486" s="20" t="s">
        <v>5090</v>
      </c>
      <c r="C2486" s="21">
        <v>971</v>
      </c>
      <c r="D2486" s="22"/>
      <c r="E2486" s="23">
        <v>-4.2399997711181643E-2</v>
      </c>
      <c r="F2486" s="24" t="s">
        <v>125</v>
      </c>
    </row>
    <row r="2487" spans="1:6" ht="16" customHeight="1" x14ac:dyDescent="0.45">
      <c r="A2487" s="19" t="s">
        <v>5091</v>
      </c>
      <c r="B2487" s="20" t="s">
        <v>5092</v>
      </c>
      <c r="C2487" s="21">
        <v>8590</v>
      </c>
      <c r="D2487" s="22"/>
      <c r="E2487" s="23">
        <v>-4.4499998092651358E-2</v>
      </c>
      <c r="F2487" s="24" t="s">
        <v>125</v>
      </c>
    </row>
    <row r="2488" spans="1:6" ht="16" customHeight="1" x14ac:dyDescent="0.45">
      <c r="A2488" s="19" t="s">
        <v>5093</v>
      </c>
      <c r="B2488" s="20" t="s">
        <v>5094</v>
      </c>
      <c r="C2488" s="21">
        <v>999</v>
      </c>
      <c r="D2488" s="22"/>
      <c r="E2488" s="23">
        <v>-4.4000000953674318E-2</v>
      </c>
      <c r="F2488" s="24" t="s">
        <v>125</v>
      </c>
    </row>
    <row r="2489" spans="1:6" ht="16" customHeight="1" x14ac:dyDescent="0.45">
      <c r="A2489" s="19" t="s">
        <v>5095</v>
      </c>
      <c r="B2489" s="20" t="s">
        <v>5096</v>
      </c>
      <c r="C2489" s="21">
        <v>334000</v>
      </c>
      <c r="D2489" s="22"/>
      <c r="E2489" s="23">
        <v>-1.4700000286102291E-2</v>
      </c>
      <c r="F2489" s="24" t="s">
        <v>125</v>
      </c>
    </row>
    <row r="2490" spans="1:6" ht="16" customHeight="1" x14ac:dyDescent="0.45">
      <c r="A2490" s="19" t="s">
        <v>5097</v>
      </c>
      <c r="B2490" s="20" t="s">
        <v>5098</v>
      </c>
      <c r="C2490" s="21">
        <v>36200</v>
      </c>
      <c r="D2490" s="22"/>
      <c r="E2490" s="23">
        <v>-2.8000000119209291E-3</v>
      </c>
      <c r="F2490" s="24" t="s">
        <v>251</v>
      </c>
    </row>
    <row r="2491" spans="1:6" ht="16" customHeight="1" x14ac:dyDescent="0.45">
      <c r="A2491" s="19" t="s">
        <v>5099</v>
      </c>
      <c r="B2491" s="20" t="s">
        <v>5100</v>
      </c>
      <c r="C2491" s="21">
        <v>20050</v>
      </c>
      <c r="D2491" s="22"/>
      <c r="E2491" s="23">
        <v>-9.9000000953674318E-3</v>
      </c>
      <c r="F2491" s="24" t="s">
        <v>128</v>
      </c>
    </row>
    <row r="2492" spans="1:6" ht="16" customHeight="1" x14ac:dyDescent="0.45">
      <c r="A2492" s="19" t="s">
        <v>5101</v>
      </c>
      <c r="B2492" s="20" t="s">
        <v>5102</v>
      </c>
      <c r="C2492" s="21">
        <v>2715</v>
      </c>
      <c r="D2492" s="22"/>
      <c r="E2492" s="23">
        <v>-7.3000001907348629E-3</v>
      </c>
      <c r="F2492" s="24" t="s">
        <v>125</v>
      </c>
    </row>
    <row r="2493" spans="1:6" ht="16" customHeight="1" x14ac:dyDescent="0.45">
      <c r="A2493" s="19" t="s">
        <v>5103</v>
      </c>
      <c r="B2493" s="20" t="s">
        <v>5104</v>
      </c>
      <c r="C2493" s="21">
        <v>9310</v>
      </c>
      <c r="D2493" s="22"/>
      <c r="E2493" s="23">
        <v>-3.6199998855590818E-2</v>
      </c>
      <c r="F2493" s="24" t="s">
        <v>125</v>
      </c>
    </row>
    <row r="2494" spans="1:6" ht="16" customHeight="1" x14ac:dyDescent="0.45">
      <c r="A2494" s="19" t="s">
        <v>5105</v>
      </c>
      <c r="B2494" s="20" t="s">
        <v>5106</v>
      </c>
      <c r="C2494" s="21">
        <v>5790</v>
      </c>
      <c r="D2494" s="22"/>
      <c r="E2494" s="23">
        <v>3.3900001049041749E-2</v>
      </c>
      <c r="F2494" s="24" t="s">
        <v>125</v>
      </c>
    </row>
    <row r="2495" spans="1:6" ht="16" customHeight="1" x14ac:dyDescent="0.45">
      <c r="A2495" s="19" t="s">
        <v>5107</v>
      </c>
      <c r="B2495" s="20" t="s">
        <v>5108</v>
      </c>
      <c r="C2495" s="21">
        <v>9670</v>
      </c>
      <c r="D2495" s="22"/>
      <c r="E2495" s="23">
        <v>0.2996999931335449</v>
      </c>
      <c r="F2495" s="24" t="s">
        <v>125</v>
      </c>
    </row>
    <row r="2496" spans="1:6" ht="16" customHeight="1" x14ac:dyDescent="0.45">
      <c r="A2496" s="19" t="s">
        <v>5109</v>
      </c>
      <c r="B2496" s="20" t="s">
        <v>5110</v>
      </c>
      <c r="C2496" s="21">
        <v>5320</v>
      </c>
      <c r="D2496" s="22"/>
      <c r="E2496" s="23">
        <v>3.7999999523162841E-3</v>
      </c>
      <c r="F2496" s="24" t="s">
        <v>125</v>
      </c>
    </row>
    <row r="2497" spans="1:6" ht="16" customHeight="1" x14ac:dyDescent="0.45">
      <c r="A2497" s="19" t="s">
        <v>5111</v>
      </c>
      <c r="B2497" s="20" t="s">
        <v>5112</v>
      </c>
      <c r="C2497" s="21">
        <v>22800</v>
      </c>
      <c r="D2497" s="22"/>
      <c r="E2497" s="23">
        <v>-4.4000000953674318E-2</v>
      </c>
      <c r="F2497" s="24" t="s">
        <v>125</v>
      </c>
    </row>
    <row r="2498" spans="1:6" ht="16" customHeight="1" x14ac:dyDescent="0.45">
      <c r="A2498" s="19" t="s">
        <v>5113</v>
      </c>
      <c r="B2498" s="20" t="s">
        <v>5114</v>
      </c>
      <c r="C2498" s="21">
        <v>11490</v>
      </c>
      <c r="D2498" s="22"/>
      <c r="E2498" s="23">
        <v>2.5899999141693119E-2</v>
      </c>
      <c r="F2498" s="24" t="s">
        <v>125</v>
      </c>
    </row>
    <row r="2499" spans="1:6" ht="16" customHeight="1" x14ac:dyDescent="0.45">
      <c r="A2499" s="19" t="s">
        <v>5115</v>
      </c>
      <c r="B2499" s="20" t="s">
        <v>5116</v>
      </c>
      <c r="C2499" s="21">
        <v>4420</v>
      </c>
      <c r="D2499" s="22"/>
      <c r="E2499" s="23">
        <v>0.3</v>
      </c>
      <c r="F2499" s="24" t="s">
        <v>125</v>
      </c>
    </row>
    <row r="2500" spans="1:6" ht="16" customHeight="1" x14ac:dyDescent="0.45">
      <c r="A2500" s="19" t="s">
        <v>5117</v>
      </c>
      <c r="B2500" s="20" t="s">
        <v>5118</v>
      </c>
      <c r="C2500" s="21">
        <v>3395</v>
      </c>
      <c r="D2500" s="22"/>
      <c r="E2500" s="23">
        <v>-2.5799999237060549E-2</v>
      </c>
      <c r="F2500" s="24" t="s">
        <v>125</v>
      </c>
    </row>
    <row r="2501" spans="1:6" ht="16" customHeight="1" x14ac:dyDescent="0.45">
      <c r="A2501" s="19" t="s">
        <v>5119</v>
      </c>
      <c r="B2501" s="20" t="s">
        <v>5120</v>
      </c>
      <c r="C2501" s="21">
        <v>7480</v>
      </c>
      <c r="D2501" s="22"/>
      <c r="E2501" s="23">
        <v>-2.349999904632568E-2</v>
      </c>
      <c r="F2501" s="24" t="s">
        <v>125</v>
      </c>
    </row>
    <row r="2502" spans="1:6" ht="16" customHeight="1" x14ac:dyDescent="0.45">
      <c r="A2502" s="19" t="s">
        <v>5121</v>
      </c>
      <c r="B2502" s="20" t="s">
        <v>5122</v>
      </c>
      <c r="C2502" s="21">
        <v>10680</v>
      </c>
      <c r="D2502" s="22"/>
      <c r="E2502" s="23">
        <v>-2.380000114440918E-2</v>
      </c>
      <c r="F2502" s="24" t="s">
        <v>125</v>
      </c>
    </row>
    <row r="2503" spans="1:6" ht="16" customHeight="1" x14ac:dyDescent="0.45">
      <c r="A2503" s="19" t="s">
        <v>5123</v>
      </c>
      <c r="B2503" s="20" t="s">
        <v>5124</v>
      </c>
      <c r="C2503" s="21">
        <v>2080</v>
      </c>
      <c r="D2503" s="22"/>
      <c r="E2503" s="23">
        <v>-3.930000066757202E-2</v>
      </c>
      <c r="F2503" s="24" t="s">
        <v>125</v>
      </c>
    </row>
    <row r="2504" spans="1:6" ht="16" customHeight="1" x14ac:dyDescent="0.45">
      <c r="A2504" s="19" t="s">
        <v>5125</v>
      </c>
      <c r="B2504" s="20" t="s">
        <v>5126</v>
      </c>
      <c r="C2504" s="21">
        <v>1036</v>
      </c>
      <c r="D2504" s="22"/>
      <c r="E2504" s="23">
        <v>0</v>
      </c>
      <c r="F2504" s="24" t="s">
        <v>125</v>
      </c>
    </row>
    <row r="2505" spans="1:6" ht="16" customHeight="1" x14ac:dyDescent="0.45">
      <c r="A2505" s="19" t="s">
        <v>5127</v>
      </c>
      <c r="B2505" s="20" t="s">
        <v>5128</v>
      </c>
      <c r="C2505" s="21">
        <v>1414</v>
      </c>
      <c r="D2505" s="22"/>
      <c r="E2505" s="23">
        <v>-5.8000001907348643E-2</v>
      </c>
      <c r="F2505" s="24" t="s">
        <v>125</v>
      </c>
    </row>
    <row r="2506" spans="1:6" ht="16" customHeight="1" x14ac:dyDescent="0.45">
      <c r="A2506" s="19" t="s">
        <v>5129</v>
      </c>
      <c r="B2506" s="20" t="s">
        <v>5130</v>
      </c>
      <c r="C2506" s="21">
        <v>313000</v>
      </c>
      <c r="D2506" s="22"/>
      <c r="E2506" s="23">
        <v>0</v>
      </c>
      <c r="F2506" s="24" t="s">
        <v>125</v>
      </c>
    </row>
    <row r="2507" spans="1:6" ht="16" customHeight="1" x14ac:dyDescent="0.45">
      <c r="A2507" s="19" t="s">
        <v>5131</v>
      </c>
      <c r="B2507" s="20" t="s">
        <v>5132</v>
      </c>
      <c r="C2507" s="21">
        <v>7660</v>
      </c>
      <c r="D2507" s="22"/>
      <c r="E2507" s="23">
        <v>-1.159999966621399E-2</v>
      </c>
      <c r="F2507" s="24" t="s">
        <v>125</v>
      </c>
    </row>
    <row r="2508" spans="1:6" ht="16" customHeight="1" x14ac:dyDescent="0.45">
      <c r="A2508" s="19" t="s">
        <v>5133</v>
      </c>
      <c r="B2508" s="20" t="s">
        <v>5134</v>
      </c>
      <c r="C2508" s="21">
        <v>536</v>
      </c>
      <c r="D2508" s="22"/>
      <c r="E2508" s="23">
        <v>7.409999847412109E-2</v>
      </c>
      <c r="F2508" s="24" t="s">
        <v>251</v>
      </c>
    </row>
    <row r="2509" spans="1:6" ht="16" customHeight="1" x14ac:dyDescent="0.45">
      <c r="A2509" s="19" t="s">
        <v>5135</v>
      </c>
      <c r="B2509" s="20" t="s">
        <v>5136</v>
      </c>
      <c r="C2509" s="21">
        <v>1742</v>
      </c>
      <c r="D2509" s="22"/>
      <c r="E2509" s="23">
        <v>-7.8299999237060547E-2</v>
      </c>
      <c r="F2509" s="24" t="s">
        <v>125</v>
      </c>
    </row>
    <row r="2510" spans="1:6" ht="16" customHeight="1" x14ac:dyDescent="0.45">
      <c r="A2510" s="19" t="s">
        <v>5137</v>
      </c>
      <c r="B2510" s="20" t="s">
        <v>5138</v>
      </c>
      <c r="C2510" s="21">
        <v>3720</v>
      </c>
      <c r="D2510" s="22"/>
      <c r="E2510" s="23">
        <v>-1.330000042915344E-2</v>
      </c>
      <c r="F2510" s="24" t="s">
        <v>125</v>
      </c>
    </row>
    <row r="2511" spans="1:6" ht="16" customHeight="1" x14ac:dyDescent="0.45">
      <c r="A2511" s="19" t="s">
        <v>5139</v>
      </c>
      <c r="B2511" s="20" t="s">
        <v>5140</v>
      </c>
      <c r="C2511" s="21">
        <v>3410</v>
      </c>
      <c r="D2511" s="22"/>
      <c r="E2511" s="23">
        <v>-4.2100000381469729E-2</v>
      </c>
      <c r="F2511" s="24" t="s">
        <v>128</v>
      </c>
    </row>
    <row r="2512" spans="1:6" ht="16" customHeight="1" x14ac:dyDescent="0.45">
      <c r="A2512" s="19" t="s">
        <v>5141</v>
      </c>
      <c r="B2512" s="20" t="s">
        <v>5142</v>
      </c>
      <c r="C2512" s="21">
        <v>1467</v>
      </c>
      <c r="D2512" s="22"/>
      <c r="E2512" s="23">
        <v>2.0199999809265141E-2</v>
      </c>
      <c r="F2512" s="24" t="s">
        <v>125</v>
      </c>
    </row>
    <row r="2513" spans="1:6" ht="16" customHeight="1" x14ac:dyDescent="0.45">
      <c r="A2513" s="19" t="s">
        <v>5143</v>
      </c>
      <c r="B2513" s="20" t="s">
        <v>5144</v>
      </c>
      <c r="C2513" s="21">
        <v>4015</v>
      </c>
      <c r="D2513" s="22"/>
      <c r="E2513" s="23">
        <v>-3.2500000000000001E-2</v>
      </c>
      <c r="F2513" s="24" t="s">
        <v>128</v>
      </c>
    </row>
    <row r="2514" spans="1:6" ht="16" customHeight="1" x14ac:dyDescent="0.45">
      <c r="A2514" s="19" t="s">
        <v>5145</v>
      </c>
      <c r="B2514" s="20" t="s">
        <v>5146</v>
      </c>
      <c r="C2514" s="21">
        <v>398</v>
      </c>
      <c r="D2514" s="22"/>
      <c r="E2514" s="23">
        <v>0</v>
      </c>
      <c r="F2514" s="24" t="s">
        <v>251</v>
      </c>
    </row>
    <row r="2515" spans="1:6" ht="16" customHeight="1" x14ac:dyDescent="0.45">
      <c r="A2515" s="19" t="s">
        <v>5147</v>
      </c>
      <c r="B2515" s="20" t="s">
        <v>5148</v>
      </c>
      <c r="C2515" s="21">
        <v>950</v>
      </c>
      <c r="D2515" s="22"/>
      <c r="E2515" s="23">
        <v>0</v>
      </c>
      <c r="F2515" s="24" t="s">
        <v>125</v>
      </c>
    </row>
    <row r="2516" spans="1:6" ht="16" customHeight="1" x14ac:dyDescent="0.45">
      <c r="A2516" s="19" t="s">
        <v>5149</v>
      </c>
      <c r="B2516" s="20" t="s">
        <v>5150</v>
      </c>
      <c r="C2516" s="21">
        <v>1104</v>
      </c>
      <c r="D2516" s="22"/>
      <c r="E2516" s="23">
        <v>-3.8299999237060553E-2</v>
      </c>
      <c r="F2516" s="24" t="s">
        <v>125</v>
      </c>
    </row>
    <row r="2517" spans="1:6" ht="16" customHeight="1" x14ac:dyDescent="0.45">
      <c r="A2517" s="19" t="s">
        <v>5151</v>
      </c>
      <c r="B2517" s="20" t="s">
        <v>5152</v>
      </c>
      <c r="C2517" s="21">
        <v>1531</v>
      </c>
      <c r="D2517" s="22"/>
      <c r="E2517" s="23">
        <v>-2.4800000190734861E-2</v>
      </c>
      <c r="F2517" s="24" t="s">
        <v>125</v>
      </c>
    </row>
    <row r="2518" spans="1:6" ht="16" customHeight="1" x14ac:dyDescent="0.45">
      <c r="A2518" s="19" t="s">
        <v>5153</v>
      </c>
      <c r="B2518" s="20" t="s">
        <v>5154</v>
      </c>
      <c r="C2518" s="21">
        <v>5660</v>
      </c>
      <c r="D2518" s="22"/>
      <c r="E2518" s="23">
        <v>3.4999999403953551E-3</v>
      </c>
      <c r="F2518" s="24" t="s">
        <v>128</v>
      </c>
    </row>
    <row r="2519" spans="1:6" ht="16" customHeight="1" x14ac:dyDescent="0.45">
      <c r="A2519" s="19" t="s">
        <v>5155</v>
      </c>
      <c r="B2519" s="20" t="s">
        <v>5156</v>
      </c>
      <c r="C2519" s="21">
        <v>5670</v>
      </c>
      <c r="D2519" s="22"/>
      <c r="E2519" s="23">
        <v>-1.559999942779541E-2</v>
      </c>
      <c r="F2519" s="24" t="s">
        <v>125</v>
      </c>
    </row>
    <row r="2520" spans="1:6" ht="16" customHeight="1" x14ac:dyDescent="0.45">
      <c r="A2520" s="19" t="s">
        <v>5157</v>
      </c>
      <c r="B2520" s="20" t="s">
        <v>5158</v>
      </c>
      <c r="C2520" s="21">
        <v>1633</v>
      </c>
      <c r="D2520" s="22"/>
      <c r="E2520" s="23">
        <v>7.4000000953674313E-3</v>
      </c>
      <c r="F2520" s="24" t="s">
        <v>125</v>
      </c>
    </row>
    <row r="2521" spans="1:6" ht="16" customHeight="1" x14ac:dyDescent="0.45">
      <c r="A2521" s="19" t="s">
        <v>5159</v>
      </c>
      <c r="B2521" s="20" t="s">
        <v>5160</v>
      </c>
      <c r="C2521" s="21">
        <v>13310</v>
      </c>
      <c r="D2521" s="22"/>
      <c r="E2521" s="23">
        <v>-6.7300000190734857E-2</v>
      </c>
      <c r="F2521" s="24" t="s">
        <v>128</v>
      </c>
    </row>
    <row r="2522" spans="1:6" ht="16" customHeight="1" x14ac:dyDescent="0.45">
      <c r="A2522" s="19" t="s">
        <v>5161</v>
      </c>
      <c r="B2522" s="20" t="s">
        <v>5162</v>
      </c>
      <c r="C2522" s="21">
        <v>35150</v>
      </c>
      <c r="D2522" s="22"/>
      <c r="E2522" s="23">
        <v>-2.0899999141693111E-2</v>
      </c>
      <c r="F2522" s="24" t="s">
        <v>128</v>
      </c>
    </row>
    <row r="2523" spans="1:6" ht="16" customHeight="1" x14ac:dyDescent="0.45">
      <c r="A2523" s="19" t="s">
        <v>5163</v>
      </c>
      <c r="B2523" s="20" t="s">
        <v>5164</v>
      </c>
      <c r="C2523" s="21">
        <v>54700</v>
      </c>
      <c r="D2523" s="22"/>
      <c r="E2523" s="23">
        <v>-6.5000000000000002E-2</v>
      </c>
      <c r="F2523" s="24" t="s">
        <v>125</v>
      </c>
    </row>
    <row r="2524" spans="1:6" ht="16" customHeight="1" x14ac:dyDescent="0.45">
      <c r="A2524" s="19" t="s">
        <v>5165</v>
      </c>
      <c r="B2524" s="20" t="s">
        <v>5166</v>
      </c>
      <c r="C2524" s="21">
        <v>41500</v>
      </c>
      <c r="D2524" s="22"/>
      <c r="E2524" s="23">
        <v>-2.5799999237060549E-2</v>
      </c>
      <c r="F2524" s="24" t="s">
        <v>125</v>
      </c>
    </row>
    <row r="2525" spans="1:6" ht="16" customHeight="1" x14ac:dyDescent="0.45">
      <c r="A2525" s="19" t="s">
        <v>5167</v>
      </c>
      <c r="B2525" s="20" t="s">
        <v>5168</v>
      </c>
      <c r="C2525" s="21">
        <v>9860</v>
      </c>
      <c r="D2525" s="22"/>
      <c r="E2525" s="23">
        <v>4.7800002098083487E-2</v>
      </c>
      <c r="F2525" s="24" t="s">
        <v>125</v>
      </c>
    </row>
    <row r="2526" spans="1:6" ht="16" customHeight="1" x14ac:dyDescent="0.45">
      <c r="A2526" s="19" t="s">
        <v>5169</v>
      </c>
      <c r="B2526" s="20" t="s">
        <v>5170</v>
      </c>
      <c r="C2526" s="21">
        <v>14560</v>
      </c>
      <c r="D2526" s="22"/>
      <c r="E2526" s="23">
        <v>-2.7999999523162841E-2</v>
      </c>
      <c r="F2526" s="24" t="s">
        <v>125</v>
      </c>
    </row>
    <row r="2527" spans="1:6" ht="16" customHeight="1" x14ac:dyDescent="0.45">
      <c r="A2527" s="19" t="s">
        <v>5171</v>
      </c>
      <c r="B2527" s="20" t="s">
        <v>5172</v>
      </c>
      <c r="C2527" s="21">
        <v>674</v>
      </c>
      <c r="D2527" s="22"/>
      <c r="E2527" s="23">
        <v>0</v>
      </c>
      <c r="F2527" s="24" t="s">
        <v>128</v>
      </c>
    </row>
    <row r="2528" spans="1:6" ht="16" customHeight="1" x14ac:dyDescent="0.45">
      <c r="A2528" s="19" t="s">
        <v>5173</v>
      </c>
      <c r="B2528" s="20" t="s">
        <v>5174</v>
      </c>
      <c r="C2528" s="21">
        <v>585</v>
      </c>
      <c r="D2528" s="22"/>
      <c r="E2528" s="23">
        <v>0</v>
      </c>
      <c r="F2528" s="24" t="s">
        <v>251</v>
      </c>
    </row>
    <row r="2529" spans="1:6" ht="16" customHeight="1" x14ac:dyDescent="0.45">
      <c r="A2529" s="19" t="s">
        <v>5175</v>
      </c>
      <c r="B2529" s="20" t="s">
        <v>5176</v>
      </c>
      <c r="C2529" s="21">
        <v>25150</v>
      </c>
      <c r="D2529" s="22"/>
      <c r="E2529" s="23">
        <v>-3.079999923706055E-2</v>
      </c>
      <c r="F2529" s="24" t="s">
        <v>125</v>
      </c>
    </row>
    <row r="2530" spans="1:6" ht="16" customHeight="1" x14ac:dyDescent="0.45">
      <c r="A2530" s="19" t="s">
        <v>5177</v>
      </c>
      <c r="B2530" s="20" t="s">
        <v>5178</v>
      </c>
      <c r="C2530" s="21">
        <v>265000</v>
      </c>
      <c r="D2530" s="22"/>
      <c r="E2530" s="23">
        <v>-9.3000000715255729E-3</v>
      </c>
      <c r="F2530" s="24" t="s">
        <v>125</v>
      </c>
    </row>
    <row r="2531" spans="1:6" ht="16" customHeight="1" x14ac:dyDescent="0.45">
      <c r="A2531" s="19" t="s">
        <v>5179</v>
      </c>
      <c r="B2531" s="20" t="s">
        <v>5180</v>
      </c>
      <c r="C2531" s="21">
        <v>1010</v>
      </c>
      <c r="D2531" s="22"/>
      <c r="E2531" s="23">
        <v>-2.0399999618530271E-2</v>
      </c>
      <c r="F2531" s="24" t="s">
        <v>128</v>
      </c>
    </row>
    <row r="2532" spans="1:6" ht="16" customHeight="1" x14ac:dyDescent="0.45">
      <c r="A2532" s="19" t="s">
        <v>5181</v>
      </c>
      <c r="B2532" s="20" t="s">
        <v>5182</v>
      </c>
      <c r="C2532" s="21">
        <v>4030</v>
      </c>
      <c r="D2532" s="22"/>
      <c r="E2532" s="23">
        <v>-8.6000001430511473E-3</v>
      </c>
      <c r="F2532" s="24" t="s">
        <v>128</v>
      </c>
    </row>
    <row r="2533" spans="1:6" ht="16" customHeight="1" x14ac:dyDescent="0.45">
      <c r="A2533" s="19" t="s">
        <v>5183</v>
      </c>
      <c r="B2533" s="20" t="s">
        <v>5184</v>
      </c>
      <c r="C2533" s="21">
        <v>799</v>
      </c>
      <c r="D2533" s="22"/>
      <c r="E2533" s="23">
        <v>0</v>
      </c>
      <c r="F2533" s="24" t="s">
        <v>125</v>
      </c>
    </row>
    <row r="2534" spans="1:6" ht="16" customHeight="1" x14ac:dyDescent="0.45">
      <c r="A2534" s="19" t="s">
        <v>5185</v>
      </c>
      <c r="B2534" s="20" t="s">
        <v>5186</v>
      </c>
      <c r="C2534" s="21">
        <v>4255</v>
      </c>
      <c r="D2534" s="22"/>
      <c r="E2534" s="23">
        <v>-1.4999999999999999E-2</v>
      </c>
      <c r="F2534" s="24" t="s">
        <v>125</v>
      </c>
    </row>
    <row r="2535" spans="1:6" ht="16" customHeight="1" x14ac:dyDescent="0.45">
      <c r="A2535" s="19" t="s">
        <v>5187</v>
      </c>
      <c r="B2535" s="20" t="s">
        <v>5188</v>
      </c>
      <c r="C2535" s="21">
        <v>8920</v>
      </c>
      <c r="D2535" s="22"/>
      <c r="E2535" s="23">
        <v>-2.730000019073486E-2</v>
      </c>
      <c r="F2535" s="24" t="s">
        <v>125</v>
      </c>
    </row>
    <row r="2536" spans="1:6" ht="16" customHeight="1" x14ac:dyDescent="0.45">
      <c r="A2536" s="19" t="s">
        <v>5189</v>
      </c>
      <c r="B2536" s="20" t="s">
        <v>5190</v>
      </c>
      <c r="C2536" s="21">
        <v>5720</v>
      </c>
      <c r="D2536" s="22"/>
      <c r="E2536" s="23">
        <v>1.7799999713897709E-2</v>
      </c>
      <c r="F2536" s="24" t="s">
        <v>125</v>
      </c>
    </row>
    <row r="2537" spans="1:6" ht="16" customHeight="1" x14ac:dyDescent="0.45">
      <c r="A2537" s="19" t="s">
        <v>5191</v>
      </c>
      <c r="B2537" s="20" t="s">
        <v>5192</v>
      </c>
      <c r="C2537" s="21">
        <v>34625</v>
      </c>
      <c r="D2537" s="22"/>
      <c r="E2537" s="23">
        <v>-2.0499999523162841E-2</v>
      </c>
      <c r="F2537" s="24" t="s">
        <v>128</v>
      </c>
    </row>
    <row r="2538" spans="1:6" ht="16" customHeight="1" x14ac:dyDescent="0.45">
      <c r="A2538" s="19" t="s">
        <v>5193</v>
      </c>
      <c r="B2538" s="20" t="s">
        <v>5194</v>
      </c>
      <c r="C2538" s="21">
        <v>7680</v>
      </c>
      <c r="D2538" s="22"/>
      <c r="E2538" s="23">
        <v>-5.3000001907348632E-2</v>
      </c>
      <c r="F2538" s="24" t="s">
        <v>128</v>
      </c>
    </row>
    <row r="2539" spans="1:6" ht="16" customHeight="1" x14ac:dyDescent="0.45">
      <c r="A2539" s="19" t="s">
        <v>5195</v>
      </c>
      <c r="B2539" s="20" t="s">
        <v>5196</v>
      </c>
      <c r="C2539" s="21">
        <v>20300</v>
      </c>
      <c r="D2539" s="22"/>
      <c r="E2539" s="23">
        <v>0</v>
      </c>
      <c r="F2539" s="24" t="s">
        <v>125</v>
      </c>
    </row>
    <row r="2540" spans="1:6" ht="16" customHeight="1" x14ac:dyDescent="0.45">
      <c r="A2540" s="19" t="s">
        <v>5197</v>
      </c>
      <c r="B2540" s="20" t="s">
        <v>5198</v>
      </c>
      <c r="C2540" s="21">
        <v>83400</v>
      </c>
      <c r="D2540" s="22"/>
      <c r="E2540" s="23">
        <v>-4.4699997901916512E-2</v>
      </c>
      <c r="F2540" s="24" t="s">
        <v>128</v>
      </c>
    </row>
    <row r="2541" spans="1:6" ht="16" customHeight="1" x14ac:dyDescent="0.45">
      <c r="A2541" s="19" t="s">
        <v>5199</v>
      </c>
      <c r="B2541" s="20" t="s">
        <v>5200</v>
      </c>
      <c r="C2541" s="21">
        <v>287500</v>
      </c>
      <c r="D2541" s="22"/>
      <c r="E2541" s="23">
        <v>7.6799998283386225E-2</v>
      </c>
      <c r="F2541" s="24" t="s">
        <v>128</v>
      </c>
    </row>
    <row r="2542" spans="1:6" ht="16" customHeight="1" x14ac:dyDescent="0.45">
      <c r="A2542" s="19" t="s">
        <v>5201</v>
      </c>
      <c r="B2542" s="20" t="s">
        <v>5202</v>
      </c>
      <c r="C2542" s="21">
        <v>2000</v>
      </c>
      <c r="D2542" s="22"/>
      <c r="E2542" s="23">
        <v>-2.2000000476837159E-2</v>
      </c>
      <c r="F2542" s="24" t="s">
        <v>125</v>
      </c>
    </row>
    <row r="2543" spans="1:6" ht="16" customHeight="1" x14ac:dyDescent="0.45">
      <c r="A2543" s="19" t="s">
        <v>5203</v>
      </c>
      <c r="B2543" s="20" t="s">
        <v>5204</v>
      </c>
      <c r="C2543" s="21">
        <v>3690</v>
      </c>
      <c r="D2543" s="22"/>
      <c r="E2543" s="23">
        <v>-2.769999980926514E-2</v>
      </c>
      <c r="F2543" s="24" t="s">
        <v>125</v>
      </c>
    </row>
    <row r="2544" spans="1:6" ht="16" customHeight="1" x14ac:dyDescent="0.45">
      <c r="A2544" s="19" t="s">
        <v>5205</v>
      </c>
      <c r="B2544" s="20" t="s">
        <v>5206</v>
      </c>
      <c r="C2544" s="21">
        <v>1175</v>
      </c>
      <c r="D2544" s="22"/>
      <c r="E2544" s="23">
        <v>0</v>
      </c>
      <c r="F2544" s="24" t="s">
        <v>125</v>
      </c>
    </row>
    <row r="2545" spans="1:6" ht="16" customHeight="1" x14ac:dyDescent="0.45">
      <c r="A2545" s="19" t="s">
        <v>5207</v>
      </c>
      <c r="B2545" s="20" t="s">
        <v>5208</v>
      </c>
      <c r="C2545" s="21">
        <v>2255</v>
      </c>
      <c r="D2545" s="22"/>
      <c r="E2545" s="23">
        <v>-5.0500001907348629E-2</v>
      </c>
      <c r="F2545" s="24" t="s">
        <v>125</v>
      </c>
    </row>
    <row r="2546" spans="1:6" ht="16" customHeight="1" x14ac:dyDescent="0.45">
      <c r="A2546" s="19" t="s">
        <v>5209</v>
      </c>
      <c r="B2546" s="20" t="s">
        <v>5210</v>
      </c>
      <c r="C2546" s="21">
        <v>2700</v>
      </c>
      <c r="D2546" s="22"/>
      <c r="E2546" s="23">
        <v>0</v>
      </c>
      <c r="F2546" s="24" t="s">
        <v>125</v>
      </c>
    </row>
    <row r="2547" spans="1:6" ht="16" customHeight="1" x14ac:dyDescent="0.45">
      <c r="A2547" s="19" t="s">
        <v>5211</v>
      </c>
      <c r="B2547" s="20" t="s">
        <v>5212</v>
      </c>
      <c r="C2547" s="21">
        <v>5470</v>
      </c>
      <c r="D2547" s="22"/>
      <c r="E2547" s="23">
        <v>-2.8399999141693111E-2</v>
      </c>
      <c r="F2547" s="24" t="s">
        <v>125</v>
      </c>
    </row>
    <row r="2548" spans="1:6" ht="16" customHeight="1" x14ac:dyDescent="0.45">
      <c r="A2548" s="19" t="s">
        <v>5213</v>
      </c>
      <c r="B2548" s="20" t="s">
        <v>5214</v>
      </c>
      <c r="C2548" s="21">
        <v>8230</v>
      </c>
      <c r="D2548" s="22"/>
      <c r="E2548" s="23">
        <v>-0.1053999996185303</v>
      </c>
      <c r="F2548" s="24" t="s">
        <v>125</v>
      </c>
    </row>
    <row r="2549" spans="1:6" ht="16" customHeight="1" x14ac:dyDescent="0.45">
      <c r="A2549" s="19" t="s">
        <v>5215</v>
      </c>
      <c r="B2549" s="20" t="s">
        <v>5216</v>
      </c>
      <c r="C2549" s="21">
        <v>7070</v>
      </c>
      <c r="D2549" s="22"/>
      <c r="E2549" s="23">
        <v>-3.6800000667572018E-2</v>
      </c>
      <c r="F2549" s="24" t="s">
        <v>125</v>
      </c>
    </row>
    <row r="2550" spans="1:6" ht="16" customHeight="1" x14ac:dyDescent="0.45">
      <c r="A2550" s="19" t="s">
        <v>5217</v>
      </c>
      <c r="B2550" s="20" t="s">
        <v>5218</v>
      </c>
      <c r="C2550" s="21">
        <v>1020</v>
      </c>
      <c r="D2550" s="22"/>
      <c r="E2550" s="23">
        <v>0</v>
      </c>
      <c r="F2550" s="24" t="s">
        <v>125</v>
      </c>
    </row>
    <row r="2551" spans="1:6" ht="16" customHeight="1" x14ac:dyDescent="0.45">
      <c r="A2551" s="19" t="s">
        <v>5219</v>
      </c>
      <c r="B2551" s="20" t="s">
        <v>5220</v>
      </c>
      <c r="C2551" s="21">
        <v>4790</v>
      </c>
      <c r="D2551" s="22"/>
      <c r="E2551" s="23">
        <v>-5.199999809265137E-3</v>
      </c>
      <c r="F2551" s="24" t="s">
        <v>125</v>
      </c>
    </row>
    <row r="2552" spans="1:6" ht="16" customHeight="1" x14ac:dyDescent="0.45">
      <c r="A2552" s="19" t="s">
        <v>5221</v>
      </c>
      <c r="B2552" s="20" t="s">
        <v>5222</v>
      </c>
      <c r="C2552" s="21">
        <v>2360</v>
      </c>
      <c r="D2552" s="22"/>
      <c r="E2552" s="23">
        <v>-4.1999998688697811E-3</v>
      </c>
      <c r="F2552" s="24" t="s">
        <v>125</v>
      </c>
    </row>
    <row r="2553" spans="1:6" ht="16" customHeight="1" x14ac:dyDescent="0.45">
      <c r="A2553" s="19" t="s">
        <v>5223</v>
      </c>
      <c r="B2553" s="20" t="s">
        <v>5224</v>
      </c>
      <c r="C2553" s="21">
        <v>3090</v>
      </c>
      <c r="D2553" s="22"/>
      <c r="E2553" s="23">
        <v>-6.7899999618530271E-2</v>
      </c>
      <c r="F2553" s="24" t="s">
        <v>125</v>
      </c>
    </row>
    <row r="2554" spans="1:6" ht="16" customHeight="1" x14ac:dyDescent="0.45">
      <c r="A2554" s="19" t="s">
        <v>5225</v>
      </c>
      <c r="B2554" s="20" t="s">
        <v>5226</v>
      </c>
      <c r="C2554" s="21">
        <v>6500</v>
      </c>
      <c r="D2554" s="22"/>
      <c r="E2554" s="23">
        <v>-2.5499999523162838E-2</v>
      </c>
      <c r="F2554" s="24" t="s">
        <v>125</v>
      </c>
    </row>
    <row r="2555" spans="1:6" ht="16" customHeight="1" x14ac:dyDescent="0.45">
      <c r="A2555" s="19" t="s">
        <v>5227</v>
      </c>
      <c r="B2555" s="20" t="s">
        <v>5228</v>
      </c>
      <c r="C2555" s="21">
        <v>10840</v>
      </c>
      <c r="D2555" s="22"/>
      <c r="E2555" s="23">
        <v>3.2400000095367427E-2</v>
      </c>
      <c r="F2555" s="24" t="s">
        <v>125</v>
      </c>
    </row>
    <row r="2556" spans="1:6" ht="16" customHeight="1" x14ac:dyDescent="0.45">
      <c r="A2556" s="19" t="s">
        <v>5229</v>
      </c>
      <c r="B2556" s="20" t="s">
        <v>5230</v>
      </c>
      <c r="C2556" s="21">
        <v>11450</v>
      </c>
      <c r="D2556" s="22"/>
      <c r="E2556" s="23">
        <v>1.2400000095367431E-2</v>
      </c>
      <c r="F2556" s="24" t="s">
        <v>125</v>
      </c>
    </row>
    <row r="2557" spans="1:6" ht="16" customHeight="1" x14ac:dyDescent="0.45">
      <c r="A2557" s="19" t="s">
        <v>5231</v>
      </c>
      <c r="B2557" s="20" t="s">
        <v>5232</v>
      </c>
      <c r="C2557" s="21">
        <v>11590</v>
      </c>
      <c r="D2557" s="22"/>
      <c r="E2557" s="23">
        <v>-3.9000000953674313E-2</v>
      </c>
      <c r="F2557" s="24" t="s">
        <v>128</v>
      </c>
    </row>
    <row r="2558" spans="1:6" ht="16" customHeight="1" x14ac:dyDescent="0.45">
      <c r="A2558" s="19" t="s">
        <v>5233</v>
      </c>
      <c r="B2558" s="20" t="s">
        <v>5234</v>
      </c>
      <c r="C2558" s="21">
        <v>2870</v>
      </c>
      <c r="D2558" s="22"/>
      <c r="E2558" s="23">
        <v>-8.6000001430511473E-3</v>
      </c>
      <c r="F2558" s="24" t="s">
        <v>125</v>
      </c>
    </row>
    <row r="2559" spans="1:6" ht="16" customHeight="1" x14ac:dyDescent="0.45">
      <c r="A2559" s="19" t="s">
        <v>5235</v>
      </c>
      <c r="B2559" s="20" t="s">
        <v>5236</v>
      </c>
      <c r="C2559" s="21">
        <v>10450</v>
      </c>
      <c r="D2559" s="22"/>
      <c r="E2559" s="23">
        <v>-1.509999990463257E-2</v>
      </c>
      <c r="F2559" s="24" t="s">
        <v>125</v>
      </c>
    </row>
    <row r="2560" spans="1:6" ht="16" customHeight="1" x14ac:dyDescent="0.45">
      <c r="A2560" s="19" t="s">
        <v>5237</v>
      </c>
      <c r="B2560" s="20" t="s">
        <v>5238</v>
      </c>
      <c r="C2560" s="21">
        <v>99700</v>
      </c>
      <c r="D2560" s="22"/>
      <c r="E2560" s="23">
        <v>-6.0000002384185793E-3</v>
      </c>
      <c r="F2560" s="24" t="s">
        <v>128</v>
      </c>
    </row>
    <row r="2561" spans="1:6" ht="16" customHeight="1" x14ac:dyDescent="0.45">
      <c r="A2561" s="19" t="s">
        <v>5239</v>
      </c>
      <c r="B2561" s="20" t="s">
        <v>5240</v>
      </c>
      <c r="C2561" s="21">
        <v>44900</v>
      </c>
      <c r="D2561" s="22"/>
      <c r="E2561" s="23">
        <v>-2.8099999427795411E-2</v>
      </c>
      <c r="F2561" s="24" t="s">
        <v>128</v>
      </c>
    </row>
    <row r="2562" spans="1:6" ht="16" customHeight="1" x14ac:dyDescent="0.45">
      <c r="A2562" s="19" t="s">
        <v>5241</v>
      </c>
      <c r="B2562" s="20" t="s">
        <v>5242</v>
      </c>
      <c r="C2562" s="21">
        <v>9890</v>
      </c>
      <c r="D2562" s="22"/>
      <c r="E2562" s="23">
        <v>-3.8900001049041753E-2</v>
      </c>
      <c r="F2562" s="24" t="s">
        <v>125</v>
      </c>
    </row>
    <row r="2563" spans="1:6" ht="16" customHeight="1" x14ac:dyDescent="0.45">
      <c r="A2563" s="19" t="s">
        <v>5243</v>
      </c>
      <c r="B2563" s="20" t="s">
        <v>5244</v>
      </c>
      <c r="C2563" s="21">
        <v>927</v>
      </c>
      <c r="D2563" s="22"/>
      <c r="E2563" s="23">
        <v>0</v>
      </c>
      <c r="F2563" s="24" t="s">
        <v>125</v>
      </c>
    </row>
    <row r="2564" spans="1:6" ht="16" customHeight="1" x14ac:dyDescent="0.45">
      <c r="A2564" s="19" t="s">
        <v>5245</v>
      </c>
      <c r="B2564" s="20" t="s">
        <v>5246</v>
      </c>
      <c r="C2564" s="21">
        <v>14080</v>
      </c>
      <c r="D2564" s="22"/>
      <c r="E2564" s="23">
        <v>-1.6799999475479121E-2</v>
      </c>
      <c r="F2564" s="24" t="s">
        <v>125</v>
      </c>
    </row>
    <row r="2565" spans="1:6" ht="16" customHeight="1" x14ac:dyDescent="0.45">
      <c r="A2565" s="19" t="s">
        <v>5247</v>
      </c>
      <c r="B2565" s="20" t="s">
        <v>5248</v>
      </c>
      <c r="C2565" s="21">
        <v>12580</v>
      </c>
      <c r="D2565" s="22"/>
      <c r="E2565" s="23">
        <v>1.6200000047683721E-2</v>
      </c>
      <c r="F2565" s="24" t="s">
        <v>125</v>
      </c>
    </row>
    <row r="2566" spans="1:6" ht="16" customHeight="1" x14ac:dyDescent="0.45">
      <c r="A2566" s="19" t="s">
        <v>5249</v>
      </c>
      <c r="B2566" s="20" t="s">
        <v>5250</v>
      </c>
      <c r="C2566" s="21">
        <v>1650</v>
      </c>
      <c r="D2566" s="22"/>
      <c r="E2566" s="23">
        <v>-4.1300001144409182E-2</v>
      </c>
      <c r="F2566" s="24" t="s">
        <v>251</v>
      </c>
    </row>
    <row r="2567" spans="1:6" ht="16" customHeight="1" x14ac:dyDescent="0.45">
      <c r="A2567" s="19" t="s">
        <v>5251</v>
      </c>
      <c r="B2567" s="20" t="s">
        <v>5252</v>
      </c>
      <c r="C2567" s="21">
        <v>19090</v>
      </c>
      <c r="D2567" s="22"/>
      <c r="E2567" s="23">
        <v>-6.4200000762939455E-2</v>
      </c>
      <c r="F2567" s="24" t="s">
        <v>125</v>
      </c>
    </row>
    <row r="2568" spans="1:6" ht="16" customHeight="1" x14ac:dyDescent="0.45">
      <c r="A2568" s="19" t="s">
        <v>5253</v>
      </c>
      <c r="B2568" s="20" t="s">
        <v>5254</v>
      </c>
      <c r="C2568" s="21">
        <v>4005</v>
      </c>
      <c r="D2568" s="22"/>
      <c r="E2568" s="23">
        <v>-3.0299999713897709E-2</v>
      </c>
      <c r="F2568" s="24" t="s">
        <v>125</v>
      </c>
    </row>
    <row r="2569" spans="1:6" ht="16" customHeight="1" x14ac:dyDescent="0.45">
      <c r="A2569" s="19" t="s">
        <v>5255</v>
      </c>
      <c r="B2569" s="20" t="s">
        <v>5256</v>
      </c>
      <c r="C2569" s="21">
        <v>2120</v>
      </c>
      <c r="D2569" s="22"/>
      <c r="E2569" s="23">
        <v>-5.5700001716613767E-2</v>
      </c>
      <c r="F2569" s="24" t="s">
        <v>125</v>
      </c>
    </row>
    <row r="2570" spans="1:6" ht="16" customHeight="1" x14ac:dyDescent="0.45">
      <c r="A2570" s="19" t="s">
        <v>5257</v>
      </c>
      <c r="B2570" s="20" t="s">
        <v>5258</v>
      </c>
      <c r="C2570" s="21">
        <v>8200</v>
      </c>
      <c r="D2570" s="22"/>
      <c r="E2570" s="23">
        <v>-4.650000095367432E-2</v>
      </c>
      <c r="F2570" s="24" t="s">
        <v>128</v>
      </c>
    </row>
    <row r="2571" spans="1:6" ht="16" customHeight="1" x14ac:dyDescent="0.45">
      <c r="A2571" s="19" t="s">
        <v>5259</v>
      </c>
      <c r="B2571" s="20" t="s">
        <v>5260</v>
      </c>
      <c r="C2571" s="21">
        <v>612</v>
      </c>
      <c r="D2571" s="22"/>
      <c r="E2571" s="23">
        <v>0</v>
      </c>
      <c r="F2571" s="24" t="s">
        <v>125</v>
      </c>
    </row>
    <row r="2572" spans="1:6" ht="16" customHeight="1" x14ac:dyDescent="0.45">
      <c r="A2572" s="19" t="s">
        <v>5261</v>
      </c>
      <c r="B2572" s="20" t="s">
        <v>5262</v>
      </c>
      <c r="C2572" s="21">
        <v>3270</v>
      </c>
      <c r="D2572" s="22"/>
      <c r="E2572" s="23">
        <v>1.2400000095367431E-2</v>
      </c>
      <c r="F2572" s="24" t="s">
        <v>125</v>
      </c>
    </row>
    <row r="2573" spans="1:6" ht="16" customHeight="1" x14ac:dyDescent="0.45">
      <c r="A2573" s="19" t="s">
        <v>5263</v>
      </c>
      <c r="B2573" s="20" t="s">
        <v>5264</v>
      </c>
      <c r="C2573" s="21">
        <v>4885</v>
      </c>
      <c r="D2573" s="22"/>
      <c r="E2573" s="23">
        <v>2.8399999141693111E-2</v>
      </c>
      <c r="F2573" s="24" t="s">
        <v>251</v>
      </c>
    </row>
    <row r="2574" spans="1:6" ht="16" customHeight="1" x14ac:dyDescent="0.45">
      <c r="A2574" s="19" t="s">
        <v>5265</v>
      </c>
      <c r="B2574" s="20" t="s">
        <v>5266</v>
      </c>
      <c r="C2574" s="21">
        <v>82200</v>
      </c>
      <c r="D2574" s="22"/>
      <c r="E2574" s="23">
        <v>-1.19999997317791E-3</v>
      </c>
      <c r="F2574" s="24" t="s">
        <v>125</v>
      </c>
    </row>
    <row r="2575" spans="1:6" ht="16" customHeight="1" x14ac:dyDescent="0.45">
      <c r="A2575" s="19" t="s">
        <v>5267</v>
      </c>
      <c r="B2575" s="20" t="s">
        <v>5268</v>
      </c>
      <c r="C2575" s="21">
        <v>53900</v>
      </c>
      <c r="D2575" s="22"/>
      <c r="E2575" s="23">
        <v>-2.359999895095825E-2</v>
      </c>
      <c r="F2575" s="24" t="s">
        <v>125</v>
      </c>
    </row>
    <row r="2576" spans="1:6" ht="16" customHeight="1" x14ac:dyDescent="0.45">
      <c r="A2576" s="19" t="s">
        <v>5269</v>
      </c>
      <c r="B2576" s="20" t="s">
        <v>5270</v>
      </c>
      <c r="C2576" s="21">
        <v>4935</v>
      </c>
      <c r="D2576" s="22"/>
      <c r="E2576" s="23">
        <v>-3.0000001192092901E-3</v>
      </c>
      <c r="F2576" s="24" t="s">
        <v>125</v>
      </c>
    </row>
    <row r="2577" spans="1:6" ht="16" customHeight="1" x14ac:dyDescent="0.45">
      <c r="A2577" s="19" t="s">
        <v>5271</v>
      </c>
      <c r="B2577" s="20" t="s">
        <v>5272</v>
      </c>
      <c r="C2577" s="21">
        <v>1211</v>
      </c>
      <c r="D2577" s="22"/>
      <c r="E2577" s="23">
        <v>-4.5700001716613772E-2</v>
      </c>
      <c r="F2577" s="24" t="s">
        <v>125</v>
      </c>
    </row>
    <row r="2578" spans="1:6" ht="16" customHeight="1" x14ac:dyDescent="0.45">
      <c r="A2578" s="19" t="s">
        <v>5273</v>
      </c>
      <c r="B2578" s="20" t="s">
        <v>5274</v>
      </c>
      <c r="C2578" s="21">
        <v>2265</v>
      </c>
      <c r="D2578" s="22"/>
      <c r="E2578" s="23">
        <v>-2.199999988079071E-3</v>
      </c>
      <c r="F2578" s="24" t="s">
        <v>125</v>
      </c>
    </row>
    <row r="2579" spans="1:6" ht="16" customHeight="1" x14ac:dyDescent="0.45">
      <c r="A2579" s="19" t="s">
        <v>5275</v>
      </c>
      <c r="B2579" s="20" t="s">
        <v>5276</v>
      </c>
      <c r="C2579" s="21">
        <v>8720</v>
      </c>
      <c r="D2579" s="22"/>
      <c r="E2579" s="23">
        <v>-2.2400000095367429E-2</v>
      </c>
      <c r="F2579" s="24" t="s">
        <v>125</v>
      </c>
    </row>
    <row r="2580" spans="1:6" ht="16" customHeight="1" x14ac:dyDescent="0.45">
      <c r="A2580" s="19" t="s">
        <v>5277</v>
      </c>
      <c r="B2580" s="20" t="s">
        <v>5278</v>
      </c>
      <c r="C2580" s="21">
        <v>7280</v>
      </c>
      <c r="D2580" s="22"/>
      <c r="E2580" s="23">
        <v>-2.9300000667572022E-2</v>
      </c>
      <c r="F2580" s="24" t="s">
        <v>125</v>
      </c>
    </row>
    <row r="2581" spans="1:6" ht="16" customHeight="1" x14ac:dyDescent="0.45">
      <c r="A2581" s="19" t="s">
        <v>5279</v>
      </c>
      <c r="B2581" s="20" t="s">
        <v>5280</v>
      </c>
      <c r="C2581" s="21">
        <v>2370</v>
      </c>
      <c r="D2581" s="22"/>
      <c r="E2581" s="23">
        <v>0</v>
      </c>
      <c r="F2581" s="24" t="s">
        <v>125</v>
      </c>
    </row>
    <row r="2582" spans="1:6" ht="16" customHeight="1" x14ac:dyDescent="0.45">
      <c r="A2582" s="19" t="s">
        <v>5281</v>
      </c>
      <c r="B2582" s="20" t="s">
        <v>5282</v>
      </c>
      <c r="C2582" s="21">
        <v>4095</v>
      </c>
      <c r="D2582" s="22"/>
      <c r="E2582" s="23">
        <v>6.1000001430511477E-3</v>
      </c>
      <c r="F2582" s="24" t="s">
        <v>125</v>
      </c>
    </row>
    <row r="2583" spans="1:6" ht="16" customHeight="1" x14ac:dyDescent="0.45">
      <c r="A2583" s="19" t="s">
        <v>5283</v>
      </c>
      <c r="B2583" s="20" t="s">
        <v>5284</v>
      </c>
      <c r="C2583" s="21">
        <v>2450</v>
      </c>
      <c r="D2583" s="22"/>
      <c r="E2583" s="23">
        <v>-0.02</v>
      </c>
      <c r="F2583" s="24" t="s">
        <v>125</v>
      </c>
    </row>
    <row r="2584" spans="1:6" ht="16" customHeight="1" x14ac:dyDescent="0.45">
      <c r="A2584" s="19" t="s">
        <v>5285</v>
      </c>
      <c r="B2584" s="20" t="s">
        <v>5286</v>
      </c>
      <c r="C2584" s="21">
        <v>4635</v>
      </c>
      <c r="D2584" s="22"/>
      <c r="E2584" s="23">
        <v>0</v>
      </c>
      <c r="F2584" s="24" t="s">
        <v>251</v>
      </c>
    </row>
    <row r="2585" spans="1:6" ht="16" customHeight="1" x14ac:dyDescent="0.45">
      <c r="A2585" s="19" t="s">
        <v>5287</v>
      </c>
      <c r="B2585" s="20" t="s">
        <v>5288</v>
      </c>
      <c r="C2585" s="21">
        <v>1178</v>
      </c>
      <c r="D2585" s="22"/>
      <c r="E2585" s="23">
        <v>0</v>
      </c>
      <c r="F2585" s="24" t="s">
        <v>128</v>
      </c>
    </row>
    <row r="2586" spans="1:6" ht="16" customHeight="1" x14ac:dyDescent="0.45">
      <c r="A2586" s="19" t="s">
        <v>5289</v>
      </c>
      <c r="B2586" s="20" t="s">
        <v>5290</v>
      </c>
      <c r="C2586" s="21">
        <v>4490</v>
      </c>
      <c r="D2586" s="22"/>
      <c r="E2586" s="23">
        <v>-2.390000104904175E-2</v>
      </c>
      <c r="F2586" s="24" t="s">
        <v>125</v>
      </c>
    </row>
    <row r="2587" spans="1:6" ht="16" customHeight="1" x14ac:dyDescent="0.45">
      <c r="A2587" s="19" t="s">
        <v>5291</v>
      </c>
      <c r="B2587" s="20" t="s">
        <v>5292</v>
      </c>
      <c r="C2587" s="21">
        <v>2710</v>
      </c>
      <c r="D2587" s="22"/>
      <c r="E2587" s="23">
        <v>-4.2399997711181643E-2</v>
      </c>
      <c r="F2587" s="24" t="s">
        <v>125</v>
      </c>
    </row>
    <row r="2588" spans="1:6" ht="16" customHeight="1" x14ac:dyDescent="0.45">
      <c r="A2588" s="19" t="s">
        <v>5293</v>
      </c>
      <c r="B2588" s="20" t="s">
        <v>5294</v>
      </c>
      <c r="C2588" s="21">
        <v>464</v>
      </c>
      <c r="D2588" s="22"/>
      <c r="E2588" s="23">
        <v>1.7500000000000002E-2</v>
      </c>
      <c r="F2588" s="24" t="s">
        <v>125</v>
      </c>
    </row>
    <row r="2589" spans="1:6" ht="16" customHeight="1" x14ac:dyDescent="0.45">
      <c r="A2589" s="19" t="s">
        <v>5295</v>
      </c>
      <c r="B2589" s="20" t="s">
        <v>5296</v>
      </c>
      <c r="C2589" s="21">
        <v>11350</v>
      </c>
      <c r="D2589" s="22"/>
      <c r="E2589" s="23">
        <v>-1.0499999523162841E-2</v>
      </c>
      <c r="F2589" s="24" t="s">
        <v>125</v>
      </c>
    </row>
    <row r="2590" spans="1:6" ht="16" customHeight="1" x14ac:dyDescent="0.45">
      <c r="A2590" s="19" t="s">
        <v>5297</v>
      </c>
      <c r="B2590" s="20" t="s">
        <v>5298</v>
      </c>
      <c r="C2590" s="21">
        <v>16650</v>
      </c>
      <c r="D2590" s="22"/>
      <c r="E2590" s="23">
        <v>3.2200000286102287E-2</v>
      </c>
      <c r="F2590" s="24" t="s">
        <v>125</v>
      </c>
    </row>
    <row r="2591" spans="1:6" ht="16" customHeight="1" x14ac:dyDescent="0.45">
      <c r="A2591" s="19" t="s">
        <v>5299</v>
      </c>
      <c r="B2591" s="20" t="s">
        <v>5300</v>
      </c>
      <c r="C2591" s="21">
        <v>1458</v>
      </c>
      <c r="D2591" s="22"/>
      <c r="E2591" s="23">
        <v>1.7400000095367432E-2</v>
      </c>
      <c r="F2591" s="24" t="s">
        <v>125</v>
      </c>
    </row>
    <row r="2592" spans="1:6" ht="16" customHeight="1" x14ac:dyDescent="0.45">
      <c r="A2592" s="19" t="s">
        <v>5301</v>
      </c>
      <c r="B2592" s="20" t="s">
        <v>5302</v>
      </c>
      <c r="C2592" s="21">
        <v>2330</v>
      </c>
      <c r="D2592" s="22"/>
      <c r="E2592" s="23">
        <v>8.7000000476837158E-3</v>
      </c>
      <c r="F2592" s="24" t="s">
        <v>125</v>
      </c>
    </row>
    <row r="2593" spans="1:6" ht="16" customHeight="1" x14ac:dyDescent="0.45">
      <c r="A2593" s="19" t="s">
        <v>5303</v>
      </c>
      <c r="B2593" s="20" t="s">
        <v>5304</v>
      </c>
      <c r="C2593" s="21">
        <v>6040</v>
      </c>
      <c r="D2593" s="22"/>
      <c r="E2593" s="23">
        <v>0</v>
      </c>
      <c r="F2593" s="24" t="s">
        <v>125</v>
      </c>
    </row>
    <row r="2594" spans="1:6" ht="16" customHeight="1" x14ac:dyDescent="0.45">
      <c r="A2594" s="19" t="s">
        <v>5305</v>
      </c>
      <c r="B2594" s="20" t="s">
        <v>5306</v>
      </c>
      <c r="C2594" s="21">
        <v>7590</v>
      </c>
      <c r="D2594" s="22"/>
      <c r="E2594" s="23">
        <v>9.6800003051757816E-2</v>
      </c>
      <c r="F2594" s="24" t="s">
        <v>125</v>
      </c>
    </row>
    <row r="2595" spans="1:6" ht="16" customHeight="1" x14ac:dyDescent="0.45">
      <c r="A2595" s="19" t="s">
        <v>5307</v>
      </c>
      <c r="B2595" s="20" t="s">
        <v>5308</v>
      </c>
      <c r="C2595" s="21">
        <v>6340</v>
      </c>
      <c r="D2595" s="22"/>
      <c r="E2595" s="23">
        <v>-8.2500000000000004E-2</v>
      </c>
      <c r="F2595" s="24" t="s">
        <v>125</v>
      </c>
    </row>
    <row r="2596" spans="1:6" ht="16" customHeight="1" x14ac:dyDescent="0.45">
      <c r="A2596" s="19" t="s">
        <v>5309</v>
      </c>
      <c r="B2596" s="20" t="s">
        <v>5310</v>
      </c>
      <c r="C2596" s="21">
        <v>8445</v>
      </c>
      <c r="D2596" s="22"/>
      <c r="E2596" s="23">
        <v>-4.0999999642372144E-3</v>
      </c>
      <c r="F2596" s="24" t="s">
        <v>125</v>
      </c>
    </row>
    <row r="2597" spans="1:6" ht="16" customHeight="1" x14ac:dyDescent="0.45">
      <c r="A2597" s="19" t="s">
        <v>5311</v>
      </c>
      <c r="B2597" s="20" t="s">
        <v>5312</v>
      </c>
      <c r="C2597" s="21">
        <v>103700</v>
      </c>
      <c r="D2597" s="22"/>
      <c r="E2597" s="23">
        <v>3.5999999046325677E-2</v>
      </c>
      <c r="F2597" s="24" t="s">
        <v>125</v>
      </c>
    </row>
    <row r="2598" spans="1:6" ht="16" customHeight="1" x14ac:dyDescent="0.45">
      <c r="A2598" s="19" t="s">
        <v>5313</v>
      </c>
      <c r="B2598" s="20" t="s">
        <v>5314</v>
      </c>
      <c r="C2598" s="21">
        <v>127700</v>
      </c>
      <c r="D2598" s="22"/>
      <c r="E2598" s="23">
        <v>-3.2599999904632568E-2</v>
      </c>
      <c r="F2598" s="24" t="s">
        <v>125</v>
      </c>
    </row>
    <row r="2599" spans="1:6" ht="16" customHeight="1" x14ac:dyDescent="0.45">
      <c r="A2599" s="19" t="s">
        <v>5315</v>
      </c>
      <c r="B2599" s="20" t="s">
        <v>5316</v>
      </c>
      <c r="C2599" s="21">
        <v>10650</v>
      </c>
      <c r="D2599" s="22"/>
      <c r="E2599" s="23">
        <v>-9.3000000715255729E-3</v>
      </c>
      <c r="F2599" s="24" t="s">
        <v>125</v>
      </c>
    </row>
    <row r="2600" spans="1:6" ht="16" customHeight="1" x14ac:dyDescent="0.45">
      <c r="A2600" s="19" t="s">
        <v>5317</v>
      </c>
      <c r="B2600" s="20" t="s">
        <v>5318</v>
      </c>
      <c r="C2600" s="21">
        <v>12930</v>
      </c>
      <c r="D2600" s="22"/>
      <c r="E2600" s="23">
        <v>-1.600000023841858E-2</v>
      </c>
      <c r="F2600" s="24" t="s">
        <v>125</v>
      </c>
    </row>
    <row r="2601" spans="1:6" ht="16" customHeight="1" x14ac:dyDescent="0.45">
      <c r="A2601" s="19" t="s">
        <v>5319</v>
      </c>
      <c r="B2601" s="20" t="s">
        <v>5320</v>
      </c>
      <c r="C2601" s="21">
        <v>6070</v>
      </c>
      <c r="D2601" s="22"/>
      <c r="E2601" s="23">
        <v>-1.2999999523162839E-2</v>
      </c>
      <c r="F2601" s="24" t="s">
        <v>125</v>
      </c>
    </row>
    <row r="2602" spans="1:6" ht="16" customHeight="1" x14ac:dyDescent="0.45">
      <c r="A2602" s="19" t="s">
        <v>5321</v>
      </c>
      <c r="B2602" s="20" t="s">
        <v>5322</v>
      </c>
      <c r="C2602" s="21">
        <v>2385</v>
      </c>
      <c r="D2602" s="22"/>
      <c r="E2602" s="23">
        <v>-1.4500000476837161E-2</v>
      </c>
      <c r="F2602" s="24" t="s">
        <v>125</v>
      </c>
    </row>
    <row r="2603" spans="1:6" ht="16" customHeight="1" x14ac:dyDescent="0.45">
      <c r="A2603" s="19" t="s">
        <v>5323</v>
      </c>
      <c r="B2603" s="20" t="s">
        <v>5324</v>
      </c>
      <c r="C2603" s="21">
        <v>57900</v>
      </c>
      <c r="D2603" s="22"/>
      <c r="E2603" s="23">
        <v>-1.700000017881394E-3</v>
      </c>
      <c r="F2603" s="24" t="s">
        <v>125</v>
      </c>
    </row>
    <row r="2604" spans="1:6" ht="16" customHeight="1" x14ac:dyDescent="0.45">
      <c r="A2604" s="19" t="s">
        <v>5325</v>
      </c>
      <c r="B2604" s="20" t="s">
        <v>5326</v>
      </c>
      <c r="C2604" s="21">
        <v>3295</v>
      </c>
      <c r="D2604" s="22"/>
      <c r="E2604" s="23">
        <v>3.9400000572204587E-2</v>
      </c>
      <c r="F2604" s="24" t="s">
        <v>125</v>
      </c>
    </row>
    <row r="2605" spans="1:6" ht="16" customHeight="1" x14ac:dyDescent="0.45">
      <c r="A2605" s="19" t="s">
        <v>5327</v>
      </c>
      <c r="B2605" s="20" t="s">
        <v>5328</v>
      </c>
      <c r="C2605" s="21">
        <v>6600</v>
      </c>
      <c r="D2605" s="22"/>
      <c r="E2605" s="23">
        <v>-8.999999761581421E-3</v>
      </c>
      <c r="F2605" s="24" t="s">
        <v>125</v>
      </c>
    </row>
    <row r="2606" spans="1:6" ht="16" customHeight="1" x14ac:dyDescent="0.45">
      <c r="A2606" s="19" t="s">
        <v>5329</v>
      </c>
      <c r="B2606" s="20" t="s">
        <v>5330</v>
      </c>
      <c r="C2606" s="21">
        <v>3615</v>
      </c>
      <c r="D2606" s="22"/>
      <c r="E2606" s="23">
        <v>-2.690000057220459E-2</v>
      </c>
      <c r="F2606" s="24" t="s">
        <v>125</v>
      </c>
    </row>
    <row r="2607" spans="1:6" ht="16" customHeight="1" x14ac:dyDescent="0.45">
      <c r="A2607" s="19" t="s">
        <v>5331</v>
      </c>
      <c r="B2607" s="20" t="s">
        <v>5332</v>
      </c>
      <c r="C2607" s="21">
        <v>7010</v>
      </c>
      <c r="D2607" s="22"/>
      <c r="E2607" s="23">
        <v>-2.5000000000000001E-2</v>
      </c>
      <c r="F2607" s="24" t="s">
        <v>125</v>
      </c>
    </row>
    <row r="2608" spans="1:6" ht="16" customHeight="1" x14ac:dyDescent="0.45">
      <c r="A2608" s="19" t="s">
        <v>5333</v>
      </c>
      <c r="B2608" s="20" t="s">
        <v>5334</v>
      </c>
      <c r="C2608" s="21">
        <v>2885</v>
      </c>
      <c r="D2608" s="22"/>
      <c r="E2608" s="23">
        <v>-2.5299999713897701E-2</v>
      </c>
      <c r="F2608" s="24" t="s">
        <v>125</v>
      </c>
    </row>
    <row r="2609" spans="1:6" ht="16" customHeight="1" x14ac:dyDescent="0.45">
      <c r="A2609" s="19" t="s">
        <v>5335</v>
      </c>
      <c r="B2609" s="20" t="s">
        <v>5336</v>
      </c>
      <c r="C2609" s="21">
        <v>1288</v>
      </c>
      <c r="D2609" s="22"/>
      <c r="E2609" s="23">
        <v>-4.1700000762939463E-2</v>
      </c>
      <c r="F2609" s="24" t="s">
        <v>125</v>
      </c>
    </row>
    <row r="2610" spans="1:6" ht="16" customHeight="1" x14ac:dyDescent="0.45">
      <c r="A2610" s="19" t="s">
        <v>5337</v>
      </c>
      <c r="B2610" s="20" t="s">
        <v>5338</v>
      </c>
      <c r="C2610" s="21">
        <v>6220</v>
      </c>
      <c r="D2610" s="22"/>
      <c r="E2610" s="23">
        <v>-3.119999885559082E-2</v>
      </c>
      <c r="F2610" s="24" t="s">
        <v>125</v>
      </c>
    </row>
    <row r="2611" spans="1:6" ht="16" customHeight="1" x14ac:dyDescent="0.45">
      <c r="A2611" s="19" t="s">
        <v>5339</v>
      </c>
      <c r="B2611" s="20" t="s">
        <v>5340</v>
      </c>
      <c r="C2611" s="21">
        <v>1833</v>
      </c>
      <c r="D2611" s="22"/>
      <c r="E2611" s="23">
        <v>-4.2800002098083503E-2</v>
      </c>
      <c r="F2611" s="24" t="s">
        <v>125</v>
      </c>
    </row>
    <row r="2612" spans="1:6" ht="16" customHeight="1" x14ac:dyDescent="0.45">
      <c r="A2612" s="19" t="s">
        <v>5341</v>
      </c>
      <c r="B2612" s="20" t="s">
        <v>5342</v>
      </c>
      <c r="C2612" s="21">
        <v>21300</v>
      </c>
      <c r="D2612" s="22"/>
      <c r="E2612" s="23">
        <v>4.9299998283386229E-2</v>
      </c>
      <c r="F2612" s="24" t="s">
        <v>125</v>
      </c>
    </row>
    <row r="2613" spans="1:6" ht="16" customHeight="1" x14ac:dyDescent="0.45">
      <c r="A2613" s="19" t="s">
        <v>5343</v>
      </c>
      <c r="B2613" s="20" t="s">
        <v>5344</v>
      </c>
      <c r="C2613" s="21">
        <v>62000</v>
      </c>
      <c r="D2613" s="22"/>
      <c r="E2613" s="23">
        <v>0.27440000534057618</v>
      </c>
      <c r="F2613" s="24" t="s">
        <v>125</v>
      </c>
    </row>
    <row r="2614" spans="1:6" ht="16" customHeight="1" x14ac:dyDescent="0.45">
      <c r="A2614" s="19" t="s">
        <v>5345</v>
      </c>
      <c r="B2614" s="20" t="s">
        <v>5346</v>
      </c>
      <c r="C2614" s="21">
        <v>2075</v>
      </c>
      <c r="D2614" s="22"/>
      <c r="E2614" s="23">
        <v>4.7999998927116391E-3</v>
      </c>
      <c r="F2614" s="24" t="s">
        <v>125</v>
      </c>
    </row>
    <row r="2615" spans="1:6" ht="16" customHeight="1" x14ac:dyDescent="0.45">
      <c r="A2615" s="19" t="s">
        <v>5347</v>
      </c>
      <c r="B2615" s="20" t="s">
        <v>5348</v>
      </c>
      <c r="C2615" s="21">
        <v>20450</v>
      </c>
      <c r="D2615" s="22"/>
      <c r="E2615" s="23">
        <v>9.9000000953674318E-3</v>
      </c>
      <c r="F2615" s="24" t="s">
        <v>125</v>
      </c>
    </row>
    <row r="2616" spans="1:6" ht="16" customHeight="1" x14ac:dyDescent="0.45">
      <c r="A2616" s="19" t="s">
        <v>5349</v>
      </c>
      <c r="B2616" s="20" t="s">
        <v>5350</v>
      </c>
      <c r="C2616" s="21">
        <v>1579</v>
      </c>
      <c r="D2616" s="22"/>
      <c r="E2616" s="23">
        <v>0</v>
      </c>
      <c r="F2616" s="24" t="s">
        <v>125</v>
      </c>
    </row>
    <row r="2617" spans="1:6" ht="16" customHeight="1" x14ac:dyDescent="0.45">
      <c r="A2617" s="19" t="s">
        <v>5351</v>
      </c>
      <c r="B2617" s="20" t="s">
        <v>5352</v>
      </c>
      <c r="C2617" s="21">
        <v>2090</v>
      </c>
      <c r="D2617" s="22"/>
      <c r="E2617" s="23">
        <v>2.39999994635582E-3</v>
      </c>
      <c r="F2617" s="24" t="s">
        <v>125</v>
      </c>
    </row>
    <row r="2618" spans="1:6" ht="16" customHeight="1" x14ac:dyDescent="0.45">
      <c r="A2618" s="19" t="s">
        <v>5353</v>
      </c>
      <c r="B2618" s="20" t="s">
        <v>5354</v>
      </c>
      <c r="C2618" s="21">
        <v>2060</v>
      </c>
      <c r="D2618" s="22"/>
      <c r="E2618" s="23">
        <v>-2.39999994635582E-3</v>
      </c>
      <c r="F2618" s="24" t="s">
        <v>125</v>
      </c>
    </row>
    <row r="2619" spans="1:6" ht="16" customHeight="1" x14ac:dyDescent="0.45">
      <c r="A2619" s="19" t="s">
        <v>5355</v>
      </c>
      <c r="B2619" s="20" t="s">
        <v>5356</v>
      </c>
      <c r="C2619" s="21">
        <v>2095</v>
      </c>
      <c r="D2619" s="22"/>
      <c r="E2619" s="23">
        <v>2.39999994635582E-3</v>
      </c>
      <c r="F2619" s="24" t="s">
        <v>125</v>
      </c>
    </row>
    <row r="2620" spans="1:6" ht="16" customHeight="1" x14ac:dyDescent="0.45">
      <c r="A2620" s="19" t="s">
        <v>5357</v>
      </c>
      <c r="B2620" s="20" t="s">
        <v>5358</v>
      </c>
      <c r="C2620" s="21">
        <v>2080</v>
      </c>
      <c r="D2620" s="22"/>
      <c r="E2620" s="23">
        <v>-7.2000002861022953E-3</v>
      </c>
      <c r="F2620" s="24" t="s">
        <v>125</v>
      </c>
    </row>
    <row r="2621" spans="1:6" ht="16" customHeight="1" x14ac:dyDescent="0.45">
      <c r="A2621" s="19" t="s">
        <v>5359</v>
      </c>
      <c r="B2621" s="20" t="s">
        <v>5360</v>
      </c>
      <c r="C2621" s="21">
        <v>2050</v>
      </c>
      <c r="D2621" s="22"/>
      <c r="E2621" s="23">
        <v>7.4000000953674313E-3</v>
      </c>
      <c r="F2621" s="24" t="s">
        <v>125</v>
      </c>
    </row>
    <row r="2622" spans="1:6" ht="16" customHeight="1" x14ac:dyDescent="0.45">
      <c r="A2622" s="19" t="s">
        <v>5361</v>
      </c>
      <c r="B2622" s="20" t="s">
        <v>5362</v>
      </c>
      <c r="C2622" s="21">
        <v>2015</v>
      </c>
      <c r="D2622" s="22"/>
      <c r="E2622" s="23">
        <v>2.5000000000000001E-3</v>
      </c>
      <c r="F2622" s="24" t="s">
        <v>125</v>
      </c>
    </row>
    <row r="2623" spans="1:6" ht="16" customHeight="1" x14ac:dyDescent="0.45">
      <c r="A2623" s="19" t="s">
        <v>5363</v>
      </c>
      <c r="B2623" s="20" t="s">
        <v>5364</v>
      </c>
      <c r="C2623" s="21">
        <v>1999</v>
      </c>
      <c r="D2623" s="22"/>
      <c r="E2623" s="23">
        <v>-5.0000000745058064E-4</v>
      </c>
      <c r="F2623" s="24" t="s">
        <v>125</v>
      </c>
    </row>
    <row r="2624" spans="1:6" ht="16" customHeight="1" x14ac:dyDescent="0.45">
      <c r="A2624" s="19" t="s">
        <v>5365</v>
      </c>
      <c r="B2624" s="20" t="s">
        <v>5366</v>
      </c>
      <c r="C2624" s="21">
        <v>126800</v>
      </c>
      <c r="D2624" s="22"/>
      <c r="E2624" s="23">
        <v>1.599999964237213E-3</v>
      </c>
      <c r="F2624" s="24" t="s">
        <v>128</v>
      </c>
    </row>
    <row r="2625" spans="1:6" ht="16" customHeight="1" x14ac:dyDescent="0.45">
      <c r="A2625" s="19" t="s">
        <v>5367</v>
      </c>
      <c r="B2625" s="20" t="s">
        <v>5368</v>
      </c>
      <c r="C2625" s="21">
        <v>30050</v>
      </c>
      <c r="D2625" s="22"/>
      <c r="E2625" s="23">
        <v>-3.5299999713897703E-2</v>
      </c>
      <c r="F2625" s="24" t="s">
        <v>125</v>
      </c>
    </row>
    <row r="2626" spans="1:6" ht="16" customHeight="1" x14ac:dyDescent="0.45">
      <c r="A2626" s="19" t="s">
        <v>5369</v>
      </c>
      <c r="B2626" s="20" t="s">
        <v>5370</v>
      </c>
      <c r="C2626" s="21">
        <v>42900</v>
      </c>
      <c r="D2626" s="22"/>
      <c r="E2626" s="23">
        <v>2.0199999809265141E-2</v>
      </c>
      <c r="F2626" s="24" t="s">
        <v>125</v>
      </c>
    </row>
    <row r="2627" spans="1:6" ht="16" customHeight="1" x14ac:dyDescent="0.45">
      <c r="A2627" s="19" t="s">
        <v>5371</v>
      </c>
      <c r="B2627" s="20" t="s">
        <v>5372</v>
      </c>
      <c r="C2627" s="21">
        <v>78800</v>
      </c>
      <c r="D2627" s="22"/>
      <c r="E2627" s="23">
        <v>-7.5999999046325682E-3</v>
      </c>
      <c r="F2627" s="24" t="s">
        <v>125</v>
      </c>
    </row>
    <row r="2628" spans="1:6" ht="16" customHeight="1" x14ac:dyDescent="0.45">
      <c r="A2628" s="19" t="s">
        <v>5373</v>
      </c>
      <c r="B2628" s="20" t="s">
        <v>5374</v>
      </c>
      <c r="C2628" s="21">
        <v>9790</v>
      </c>
      <c r="D2628" s="22"/>
      <c r="E2628" s="23">
        <v>-6.1000001430511477E-3</v>
      </c>
      <c r="F2628" s="24" t="s">
        <v>128</v>
      </c>
    </row>
    <row r="2629" spans="1:6" ht="16" customHeight="1" x14ac:dyDescent="0.45">
      <c r="A2629" s="19" t="s">
        <v>5375</v>
      </c>
      <c r="B2629" s="20" t="s">
        <v>5376</v>
      </c>
      <c r="C2629" s="21">
        <v>41300</v>
      </c>
      <c r="D2629" s="22"/>
      <c r="E2629" s="23">
        <v>-1.200000047683716E-2</v>
      </c>
      <c r="F2629" s="24" t="s">
        <v>128</v>
      </c>
    </row>
    <row r="2630" spans="1:6" ht="16" customHeight="1" x14ac:dyDescent="0.45">
      <c r="A2630" s="19" t="s">
        <v>5377</v>
      </c>
      <c r="B2630" s="20" t="s">
        <v>5378</v>
      </c>
      <c r="C2630" s="21">
        <v>3200</v>
      </c>
      <c r="D2630" s="22"/>
      <c r="E2630" s="23">
        <v>-3.7599999904632572E-2</v>
      </c>
      <c r="F2630" s="24" t="s">
        <v>125</v>
      </c>
    </row>
    <row r="2631" spans="1:6" ht="16" customHeight="1" x14ac:dyDescent="0.45">
      <c r="A2631" s="19" t="s">
        <v>5379</v>
      </c>
      <c r="B2631" s="20" t="s">
        <v>5380</v>
      </c>
      <c r="C2631" s="21">
        <v>13490</v>
      </c>
      <c r="D2631" s="22"/>
      <c r="E2631" s="23">
        <v>-7.0000000298023226E-4</v>
      </c>
      <c r="F2631" s="24" t="s">
        <v>125</v>
      </c>
    </row>
    <row r="2632" spans="1:6" ht="16" customHeight="1" x14ac:dyDescent="0.45">
      <c r="A2632" s="19" t="s">
        <v>5381</v>
      </c>
      <c r="B2632" s="20" t="s">
        <v>5382</v>
      </c>
      <c r="C2632" s="21">
        <v>7660</v>
      </c>
      <c r="D2632" s="22"/>
      <c r="E2632" s="23">
        <v>8.5000000000000006E-2</v>
      </c>
      <c r="F2632" s="24" t="s">
        <v>125</v>
      </c>
    </row>
    <row r="2633" spans="1:6" ht="16" customHeight="1" x14ac:dyDescent="0.45">
      <c r="A2633" s="19" t="s">
        <v>5383</v>
      </c>
      <c r="B2633" s="20" t="s">
        <v>5384</v>
      </c>
      <c r="C2633" s="21">
        <v>2020</v>
      </c>
      <c r="D2633" s="22"/>
      <c r="E2633" s="23">
        <v>-1.940000057220459E-2</v>
      </c>
      <c r="F2633" s="24" t="s">
        <v>125</v>
      </c>
    </row>
    <row r="2634" spans="1:6" ht="16" customHeight="1" x14ac:dyDescent="0.45">
      <c r="A2634" s="19" t="s">
        <v>5385</v>
      </c>
      <c r="B2634" s="20" t="s">
        <v>5386</v>
      </c>
      <c r="C2634" s="21">
        <v>1995</v>
      </c>
      <c r="D2634" s="22"/>
      <c r="E2634" s="23">
        <v>-7.4999999999999997E-3</v>
      </c>
      <c r="F2634" s="24" t="s">
        <v>125</v>
      </c>
    </row>
    <row r="2635" spans="1:6" ht="16" customHeight="1" x14ac:dyDescent="0.45">
      <c r="A2635" s="19" t="s">
        <v>5387</v>
      </c>
      <c r="B2635" s="20" t="s">
        <v>5388</v>
      </c>
      <c r="C2635" s="21">
        <v>6180</v>
      </c>
      <c r="D2635" s="22"/>
      <c r="E2635" s="23">
        <v>-0.1534000015258789</v>
      </c>
      <c r="F2635" s="24" t="s">
        <v>125</v>
      </c>
    </row>
    <row r="2636" spans="1:6" ht="16" customHeight="1" x14ac:dyDescent="0.45">
      <c r="A2636" s="19" t="s">
        <v>5389</v>
      </c>
      <c r="B2636" s="20" t="s">
        <v>5390</v>
      </c>
      <c r="C2636" s="21">
        <v>45400</v>
      </c>
      <c r="D2636" s="22"/>
      <c r="E2636" s="23">
        <v>-1.629999995231628E-2</v>
      </c>
      <c r="F2636" s="24" t="s">
        <v>125</v>
      </c>
    </row>
    <row r="2637" spans="1:6" ht="16" customHeight="1" x14ac:dyDescent="0.45">
      <c r="A2637" s="19" t="s">
        <v>5391</v>
      </c>
      <c r="B2637" s="20" t="s">
        <v>5392</v>
      </c>
      <c r="C2637" s="21">
        <v>246000</v>
      </c>
      <c r="D2637" s="22"/>
      <c r="E2637" s="23">
        <v>-4.4699997901916512E-2</v>
      </c>
      <c r="F2637" s="24" t="s">
        <v>128</v>
      </c>
    </row>
    <row r="2638" spans="1:6" ht="16" customHeight="1" x14ac:dyDescent="0.45">
      <c r="A2638" s="19" t="s">
        <v>5393</v>
      </c>
      <c r="B2638" s="20" t="s">
        <v>5394</v>
      </c>
      <c r="C2638" s="21">
        <v>18760</v>
      </c>
      <c r="D2638" s="22"/>
      <c r="E2638" s="23">
        <v>2.1800000667572018E-2</v>
      </c>
      <c r="F2638" s="24" t="s">
        <v>125</v>
      </c>
    </row>
    <row r="2639" spans="1:6" ht="16" customHeight="1" x14ac:dyDescent="0.45">
      <c r="A2639" s="19" t="s">
        <v>5395</v>
      </c>
      <c r="B2639" s="20" t="s">
        <v>5396</v>
      </c>
      <c r="C2639" s="21">
        <v>4595</v>
      </c>
      <c r="D2639" s="22"/>
      <c r="E2639" s="23">
        <v>-3.3000001311302191E-3</v>
      </c>
      <c r="F2639" s="24" t="s">
        <v>128</v>
      </c>
    </row>
    <row r="2640" spans="1:6" ht="16" customHeight="1" x14ac:dyDescent="0.45">
      <c r="A2640" s="19" t="s">
        <v>5397</v>
      </c>
      <c r="B2640" s="20" t="s">
        <v>5398</v>
      </c>
      <c r="C2640" s="21">
        <v>43050</v>
      </c>
      <c r="D2640" s="22"/>
      <c r="E2640" s="23">
        <v>-5.1799998283386231E-2</v>
      </c>
      <c r="F2640" s="24" t="s">
        <v>125</v>
      </c>
    </row>
    <row r="2641" spans="1:6" ht="16" customHeight="1" x14ac:dyDescent="0.45">
      <c r="A2641" s="19" t="s">
        <v>5399</v>
      </c>
      <c r="B2641" s="20" t="s">
        <v>5400</v>
      </c>
      <c r="C2641" s="21">
        <v>2850</v>
      </c>
      <c r="D2641" s="22"/>
      <c r="E2641" s="23">
        <v>-1.7200000286102291E-2</v>
      </c>
      <c r="F2641" s="24" t="s">
        <v>125</v>
      </c>
    </row>
    <row r="2642" spans="1:6" ht="16" customHeight="1" x14ac:dyDescent="0.45">
      <c r="A2642" s="19" t="s">
        <v>5401</v>
      </c>
      <c r="B2642" s="20" t="s">
        <v>5402</v>
      </c>
      <c r="C2642" s="21">
        <v>17110</v>
      </c>
      <c r="D2642" s="22"/>
      <c r="E2642" s="23">
        <v>-6.5500001907348629E-2</v>
      </c>
      <c r="F2642" s="24" t="s">
        <v>125</v>
      </c>
    </row>
    <row r="2643" spans="1:6" ht="16" customHeight="1" x14ac:dyDescent="0.45">
      <c r="A2643" s="19" t="s">
        <v>5403</v>
      </c>
      <c r="B2643" s="20" t="s">
        <v>5404</v>
      </c>
      <c r="C2643" s="21">
        <v>16880</v>
      </c>
      <c r="D2643" s="22"/>
      <c r="E2643" s="23">
        <v>-1.110000014305115E-2</v>
      </c>
      <c r="F2643" s="24" t="s">
        <v>128</v>
      </c>
    </row>
    <row r="2644" spans="1:6" ht="16" customHeight="1" x14ac:dyDescent="0.45">
      <c r="A2644" s="19" t="s">
        <v>5405</v>
      </c>
      <c r="B2644" s="20" t="s">
        <v>5406</v>
      </c>
      <c r="C2644" s="21">
        <v>14000</v>
      </c>
      <c r="D2644" s="22"/>
      <c r="E2644" s="23">
        <v>-5.6999999284744274E-3</v>
      </c>
      <c r="F2644" s="24" t="s">
        <v>128</v>
      </c>
    </row>
    <row r="2645" spans="1:6" ht="16" customHeight="1" x14ac:dyDescent="0.45">
      <c r="A2645" s="19" t="s">
        <v>5407</v>
      </c>
      <c r="B2645" s="20" t="s">
        <v>5408</v>
      </c>
      <c r="C2645" s="21">
        <v>9100</v>
      </c>
      <c r="D2645" s="22"/>
      <c r="E2645" s="23">
        <v>-1.0900000333786009E-2</v>
      </c>
      <c r="F2645" s="24" t="s">
        <v>128</v>
      </c>
    </row>
    <row r="2646" spans="1:6" ht="16" customHeight="1" x14ac:dyDescent="0.45">
      <c r="A2646" s="19" t="s">
        <v>5409</v>
      </c>
      <c r="B2646" s="20" t="s">
        <v>5410</v>
      </c>
      <c r="C2646" s="21">
        <v>11950</v>
      </c>
      <c r="D2646" s="22"/>
      <c r="E2646" s="23">
        <v>-1.6499999761581421E-2</v>
      </c>
      <c r="F2646" s="24" t="s">
        <v>128</v>
      </c>
    </row>
    <row r="2647" spans="1:6" ht="16" customHeight="1" x14ac:dyDescent="0.45">
      <c r="A2647" s="19" t="s">
        <v>5411</v>
      </c>
      <c r="B2647" s="20" t="s">
        <v>5412</v>
      </c>
      <c r="C2647" s="21">
        <v>2110</v>
      </c>
      <c r="D2647" s="22"/>
      <c r="E2647" s="23">
        <v>0</v>
      </c>
      <c r="F2647" s="24" t="s">
        <v>125</v>
      </c>
    </row>
    <row r="2648" spans="1:6" ht="16" customHeight="1" x14ac:dyDescent="0.45">
      <c r="A2648" s="19" t="s">
        <v>5413</v>
      </c>
      <c r="B2648" s="20" t="s">
        <v>5414</v>
      </c>
      <c r="C2648" s="21">
        <v>4255</v>
      </c>
      <c r="D2648" s="22"/>
      <c r="E2648" s="23">
        <v>-2.6300001144409179E-2</v>
      </c>
      <c r="F2648" s="24" t="s">
        <v>125</v>
      </c>
    </row>
    <row r="2649" spans="1:6" ht="16" customHeight="1" x14ac:dyDescent="0.45">
      <c r="A2649" s="19" t="s">
        <v>5415</v>
      </c>
      <c r="B2649" s="20" t="s">
        <v>5416</v>
      </c>
      <c r="C2649" s="21">
        <v>5960</v>
      </c>
      <c r="D2649" s="22"/>
      <c r="E2649" s="23">
        <v>4.0100002288818361E-2</v>
      </c>
      <c r="F2649" s="24" t="s">
        <v>125</v>
      </c>
    </row>
    <row r="2650" spans="1:6" ht="16" customHeight="1" x14ac:dyDescent="0.45">
      <c r="A2650" s="19" t="s">
        <v>5417</v>
      </c>
      <c r="B2650" s="20" t="s">
        <v>5418</v>
      </c>
      <c r="C2650" s="21">
        <v>38300</v>
      </c>
      <c r="D2650" s="22"/>
      <c r="E2650" s="23">
        <v>-7.799999713897705E-3</v>
      </c>
      <c r="F2650" s="24" t="s">
        <v>128</v>
      </c>
    </row>
    <row r="2651" spans="1:6" ht="16" customHeight="1" x14ac:dyDescent="0.45">
      <c r="A2651" s="19" t="s">
        <v>5419</v>
      </c>
      <c r="B2651" s="20" t="s">
        <v>5420</v>
      </c>
      <c r="C2651" s="21">
        <v>4900</v>
      </c>
      <c r="D2651" s="22"/>
      <c r="E2651" s="23">
        <v>-1.110000014305115E-2</v>
      </c>
      <c r="F2651" s="24" t="s">
        <v>125</v>
      </c>
    </row>
    <row r="2652" spans="1:6" ht="16" customHeight="1" x14ac:dyDescent="0.45">
      <c r="A2652" s="19" t="s">
        <v>5421</v>
      </c>
      <c r="B2652" s="20" t="s">
        <v>5422</v>
      </c>
      <c r="C2652" s="21">
        <v>63700</v>
      </c>
      <c r="D2652" s="22"/>
      <c r="E2652" s="23">
        <v>8.5200004577636712E-2</v>
      </c>
      <c r="F2652" s="24" t="s">
        <v>128</v>
      </c>
    </row>
    <row r="2653" spans="1:6" ht="16" customHeight="1" x14ac:dyDescent="0.45">
      <c r="A2653" s="19" t="s">
        <v>5423</v>
      </c>
      <c r="B2653" s="20" t="s">
        <v>5424</v>
      </c>
      <c r="C2653" s="21">
        <v>281500</v>
      </c>
      <c r="D2653" s="22"/>
      <c r="E2653" s="23">
        <v>7.4400000572204583E-2</v>
      </c>
      <c r="F2653" s="24" t="s">
        <v>128</v>
      </c>
    </row>
    <row r="2654" spans="1:6" ht="16" customHeight="1" x14ac:dyDescent="0.45">
      <c r="A2654" s="19" t="s">
        <v>5425</v>
      </c>
      <c r="B2654" s="20" t="s">
        <v>5426</v>
      </c>
      <c r="C2654" s="21">
        <v>193100</v>
      </c>
      <c r="D2654" s="22"/>
      <c r="E2654" s="23">
        <v>6.1599998474121093E-2</v>
      </c>
      <c r="F2654" s="24" t="s">
        <v>128</v>
      </c>
    </row>
    <row r="2655" spans="1:6" ht="16" customHeight="1" x14ac:dyDescent="0.45">
      <c r="A2655" s="19" t="s">
        <v>5427</v>
      </c>
      <c r="B2655" s="20" t="s">
        <v>5428</v>
      </c>
      <c r="C2655" s="21">
        <v>109100</v>
      </c>
      <c r="D2655" s="22"/>
      <c r="E2655" s="23">
        <v>1.7699999809265139E-2</v>
      </c>
      <c r="F2655" s="24" t="s">
        <v>125</v>
      </c>
    </row>
    <row r="2656" spans="1:6" ht="16" customHeight="1" x14ac:dyDescent="0.45">
      <c r="A2656" s="19" t="s">
        <v>5429</v>
      </c>
      <c r="B2656" s="20" t="s">
        <v>5430</v>
      </c>
      <c r="C2656" s="21">
        <v>1981</v>
      </c>
      <c r="D2656" s="22"/>
      <c r="E2656" s="23">
        <v>-4.4999998807907114E-3</v>
      </c>
      <c r="F2656" s="24" t="s">
        <v>128</v>
      </c>
    </row>
    <row r="2657" spans="1:6" ht="16" customHeight="1" x14ac:dyDescent="0.45">
      <c r="A2657" s="19" t="s">
        <v>5431</v>
      </c>
      <c r="B2657" s="20" t="s">
        <v>5432</v>
      </c>
      <c r="C2657" s="21">
        <v>88500</v>
      </c>
      <c r="D2657" s="22"/>
      <c r="E2657" s="23">
        <v>-1.099999994039536E-3</v>
      </c>
      <c r="F2657" s="24" t="s">
        <v>128</v>
      </c>
    </row>
    <row r="2658" spans="1:6" ht="16" customHeight="1" x14ac:dyDescent="0.45">
      <c r="A2658" s="19" t="s">
        <v>5433</v>
      </c>
      <c r="B2658" s="20" t="s">
        <v>5434</v>
      </c>
      <c r="C2658" s="21">
        <v>2497</v>
      </c>
      <c r="D2658" s="22"/>
      <c r="E2658" s="23">
        <v>-3.9600000381469727E-2</v>
      </c>
      <c r="F2658" s="24" t="s">
        <v>125</v>
      </c>
    </row>
    <row r="2659" spans="1:6" ht="16" customHeight="1" x14ac:dyDescent="0.45">
      <c r="A2659" s="19" t="s">
        <v>5435</v>
      </c>
      <c r="B2659" s="20" t="s">
        <v>5436</v>
      </c>
      <c r="C2659" s="21">
        <v>4490</v>
      </c>
      <c r="D2659" s="22"/>
      <c r="E2659" s="23">
        <v>-6.6000002622604373E-3</v>
      </c>
      <c r="F2659" s="24" t="s">
        <v>128</v>
      </c>
    </row>
    <row r="2660" spans="1:6" ht="16" customHeight="1" x14ac:dyDescent="0.45">
      <c r="A2660" s="19" t="s">
        <v>5437</v>
      </c>
      <c r="B2660" s="20" t="s">
        <v>5438</v>
      </c>
      <c r="C2660" s="21">
        <v>3380</v>
      </c>
      <c r="D2660" s="22"/>
      <c r="E2660" s="23">
        <v>2.740000009536743E-2</v>
      </c>
      <c r="F2660" s="24" t="s">
        <v>251</v>
      </c>
    </row>
    <row r="2661" spans="1:6" ht="16" customHeight="1" x14ac:dyDescent="0.45">
      <c r="A2661" s="19" t="s">
        <v>5439</v>
      </c>
      <c r="B2661" s="20" t="s">
        <v>5440</v>
      </c>
      <c r="C2661" s="21">
        <v>3875</v>
      </c>
      <c r="D2661" s="22"/>
      <c r="E2661" s="23">
        <v>-3.7300000190734872E-2</v>
      </c>
      <c r="F2661" s="24" t="s">
        <v>125</v>
      </c>
    </row>
    <row r="2662" spans="1:6" ht="16" customHeight="1" x14ac:dyDescent="0.45">
      <c r="A2662" s="19" t="s">
        <v>5441</v>
      </c>
      <c r="B2662" s="20" t="s">
        <v>5442</v>
      </c>
      <c r="C2662" s="21">
        <v>781</v>
      </c>
      <c r="D2662" s="22"/>
      <c r="E2662" s="23">
        <v>-2.9800000190734859E-2</v>
      </c>
      <c r="F2662" s="24" t="s">
        <v>125</v>
      </c>
    </row>
    <row r="2663" spans="1:6" ht="16" customHeight="1" x14ac:dyDescent="0.45">
      <c r="A2663" s="19" t="s">
        <v>5443</v>
      </c>
      <c r="B2663" s="20" t="s">
        <v>5444</v>
      </c>
      <c r="C2663" s="21">
        <v>14990</v>
      </c>
      <c r="D2663" s="22"/>
      <c r="E2663" s="23">
        <v>-3.2899999618530268E-2</v>
      </c>
      <c r="F2663" s="24" t="s">
        <v>128</v>
      </c>
    </row>
    <row r="2664" spans="1:6" ht="16" customHeight="1" x14ac:dyDescent="0.45">
      <c r="A2664" s="19" t="s">
        <v>5445</v>
      </c>
      <c r="B2664" s="20" t="s">
        <v>5446</v>
      </c>
      <c r="C2664" s="21">
        <v>4360</v>
      </c>
      <c r="D2664" s="22"/>
      <c r="E2664" s="23">
        <v>-5.829999923706055E-2</v>
      </c>
      <c r="F2664" s="24" t="s">
        <v>125</v>
      </c>
    </row>
    <row r="2665" spans="1:6" ht="16" customHeight="1" x14ac:dyDescent="0.45">
      <c r="A2665" s="19" t="s">
        <v>5447</v>
      </c>
      <c r="B2665" s="20" t="s">
        <v>5448</v>
      </c>
      <c r="C2665" s="21">
        <v>2795</v>
      </c>
      <c r="D2665" s="22"/>
      <c r="E2665" s="23">
        <v>-3.6000001430511481E-3</v>
      </c>
      <c r="F2665" s="24" t="s">
        <v>128</v>
      </c>
    </row>
    <row r="2666" spans="1:6" ht="16" customHeight="1" x14ac:dyDescent="0.45">
      <c r="A2666" s="19" t="s">
        <v>5449</v>
      </c>
      <c r="B2666" s="20" t="s">
        <v>5450</v>
      </c>
      <c r="C2666" s="21">
        <v>485000</v>
      </c>
      <c r="D2666" s="22"/>
      <c r="E2666" s="23">
        <v>-2.1199998855590822E-2</v>
      </c>
      <c r="F2666" s="24" t="s">
        <v>128</v>
      </c>
    </row>
    <row r="2667" spans="1:6" ht="16" customHeight="1" x14ac:dyDescent="0.45">
      <c r="A2667" s="19" t="s">
        <v>5451</v>
      </c>
      <c r="B2667" s="20" t="s">
        <v>5452</v>
      </c>
      <c r="C2667" s="21">
        <v>13640</v>
      </c>
      <c r="D2667" s="22"/>
      <c r="E2667" s="23">
        <v>-2.9200000762939451E-2</v>
      </c>
      <c r="F2667" s="24" t="s">
        <v>125</v>
      </c>
    </row>
    <row r="2668" spans="1:6" ht="16" customHeight="1" x14ac:dyDescent="0.45">
      <c r="A2668" s="19" t="s">
        <v>5453</v>
      </c>
      <c r="B2668" s="20" t="s">
        <v>5454</v>
      </c>
      <c r="C2668" s="21">
        <v>24600</v>
      </c>
      <c r="D2668" s="22"/>
      <c r="E2668" s="23">
        <v>-2.769999980926514E-2</v>
      </c>
      <c r="F2668" s="24" t="s">
        <v>128</v>
      </c>
    </row>
    <row r="2669" spans="1:6" ht="16" customHeight="1" x14ac:dyDescent="0.45">
      <c r="A2669" s="19" t="s">
        <v>5455</v>
      </c>
      <c r="B2669" s="20" t="s">
        <v>5456</v>
      </c>
      <c r="C2669" s="21">
        <v>2725</v>
      </c>
      <c r="D2669" s="22"/>
      <c r="E2669" s="23">
        <v>0</v>
      </c>
      <c r="F2669" s="24" t="s">
        <v>125</v>
      </c>
    </row>
    <row r="2670" spans="1:6" ht="16" customHeight="1" x14ac:dyDescent="0.45">
      <c r="A2670" s="19" t="s">
        <v>5457</v>
      </c>
      <c r="B2670" s="20" t="s">
        <v>5458</v>
      </c>
      <c r="C2670" s="21">
        <v>2555</v>
      </c>
      <c r="D2670" s="22"/>
      <c r="E2670" s="23">
        <v>-2.4800000190734861E-2</v>
      </c>
      <c r="F2670" s="24" t="s">
        <v>128</v>
      </c>
    </row>
    <row r="2671" spans="1:6" ht="16" customHeight="1" x14ac:dyDescent="0.45">
      <c r="A2671" s="19" t="s">
        <v>5459</v>
      </c>
      <c r="B2671" s="20" t="s">
        <v>5460</v>
      </c>
      <c r="C2671" s="21">
        <v>45350</v>
      </c>
      <c r="D2671" s="22"/>
      <c r="E2671" s="23">
        <v>1.909999966621399E-2</v>
      </c>
      <c r="F2671" s="24" t="s">
        <v>128</v>
      </c>
    </row>
    <row r="2672" spans="1:6" ht="16" customHeight="1" x14ac:dyDescent="0.45">
      <c r="A2672" s="19" t="s">
        <v>5461</v>
      </c>
      <c r="B2672" s="20" t="s">
        <v>5462</v>
      </c>
      <c r="C2672" s="21">
        <v>4175</v>
      </c>
      <c r="D2672" s="22"/>
      <c r="E2672" s="23">
        <v>-4.7999998927116391E-3</v>
      </c>
      <c r="F2672" s="24" t="s">
        <v>125</v>
      </c>
    </row>
    <row r="2673" spans="1:6" ht="16" customHeight="1" x14ac:dyDescent="0.45">
      <c r="A2673" s="19" t="s">
        <v>5463</v>
      </c>
      <c r="B2673" s="20" t="s">
        <v>5464</v>
      </c>
      <c r="C2673" s="21">
        <v>801</v>
      </c>
      <c r="D2673" s="22"/>
      <c r="E2673" s="23">
        <v>0</v>
      </c>
      <c r="F2673" s="24" t="s">
        <v>128</v>
      </c>
    </row>
    <row r="2674" spans="1:6" ht="16" customHeight="1" x14ac:dyDescent="0.45">
      <c r="A2674" s="19" t="s">
        <v>5465</v>
      </c>
      <c r="B2674" s="20" t="s">
        <v>5466</v>
      </c>
      <c r="C2674" s="21">
        <v>2830</v>
      </c>
      <c r="D2674" s="22"/>
      <c r="E2674" s="23">
        <v>-4.7100000381469727E-2</v>
      </c>
      <c r="F2674" s="24" t="s">
        <v>125</v>
      </c>
    </row>
    <row r="2675" spans="1:6" ht="16" customHeight="1" x14ac:dyDescent="0.45">
      <c r="A2675" s="19" t="s">
        <v>5467</v>
      </c>
      <c r="B2675" s="20" t="s">
        <v>5468</v>
      </c>
      <c r="C2675" s="21">
        <v>4140</v>
      </c>
      <c r="D2675" s="22"/>
      <c r="E2675" s="23">
        <v>-9.5999997854232782E-3</v>
      </c>
      <c r="F2675" s="24" t="s">
        <v>125</v>
      </c>
    </row>
    <row r="2676" spans="1:6" ht="16" customHeight="1" x14ac:dyDescent="0.45">
      <c r="A2676" s="19" t="s">
        <v>5469</v>
      </c>
      <c r="B2676" s="20" t="s">
        <v>5470</v>
      </c>
      <c r="C2676" s="21">
        <v>6620</v>
      </c>
      <c r="D2676" s="22"/>
      <c r="E2676" s="23">
        <v>1.8500000238418579E-2</v>
      </c>
      <c r="F2676" s="24" t="s">
        <v>125</v>
      </c>
    </row>
    <row r="2677" spans="1:6" ht="16" customHeight="1" x14ac:dyDescent="0.45">
      <c r="A2677" s="19" t="s">
        <v>5471</v>
      </c>
      <c r="B2677" s="20" t="s">
        <v>5472</v>
      </c>
      <c r="C2677" s="21">
        <v>11730</v>
      </c>
      <c r="D2677" s="22"/>
      <c r="E2677" s="23">
        <v>2.710000038146973E-2</v>
      </c>
      <c r="F2677" s="24" t="s">
        <v>125</v>
      </c>
    </row>
    <row r="2678" spans="1:6" ht="16" customHeight="1" x14ac:dyDescent="0.45">
      <c r="A2678" s="19" t="s">
        <v>5473</v>
      </c>
      <c r="B2678" s="20" t="s">
        <v>5474</v>
      </c>
      <c r="C2678" s="21">
        <v>2087</v>
      </c>
      <c r="D2678" s="22"/>
      <c r="E2678" s="23">
        <v>1.0000000149011611E-3</v>
      </c>
      <c r="F2678" s="24" t="s">
        <v>125</v>
      </c>
    </row>
    <row r="2679" spans="1:6" ht="16" customHeight="1" x14ac:dyDescent="0.45">
      <c r="A2679" s="19" t="s">
        <v>5475</v>
      </c>
      <c r="B2679" s="20" t="s">
        <v>5476</v>
      </c>
      <c r="C2679" s="21">
        <v>2050</v>
      </c>
      <c r="D2679" s="22"/>
      <c r="E2679" s="23">
        <v>0</v>
      </c>
      <c r="F2679" s="24" t="s">
        <v>125</v>
      </c>
    </row>
    <row r="2680" spans="1:6" ht="16" customHeight="1" x14ac:dyDescent="0.45">
      <c r="A2680" s="19" t="s">
        <v>5477</v>
      </c>
      <c r="B2680" s="20" t="s">
        <v>5478</v>
      </c>
      <c r="C2680" s="21">
        <v>739</v>
      </c>
      <c r="D2680" s="22"/>
      <c r="E2680" s="23">
        <v>-3.1500000953674313E-2</v>
      </c>
      <c r="F2680" s="24" t="s">
        <v>128</v>
      </c>
    </row>
    <row r="2681" spans="1:6" ht="16" customHeight="1" x14ac:dyDescent="0.45">
      <c r="A2681" s="19" t="s">
        <v>5479</v>
      </c>
      <c r="B2681" s="20" t="s">
        <v>5480</v>
      </c>
      <c r="C2681" s="21">
        <v>5230</v>
      </c>
      <c r="D2681" s="22"/>
      <c r="E2681" s="23">
        <v>-1.8799999952316279E-2</v>
      </c>
      <c r="F2681" s="24" t="s">
        <v>128</v>
      </c>
    </row>
    <row r="2682" spans="1:6" ht="16" customHeight="1" x14ac:dyDescent="0.45">
      <c r="A2682" s="19" t="s">
        <v>5481</v>
      </c>
      <c r="B2682" s="20" t="s">
        <v>5482</v>
      </c>
      <c r="C2682" s="21">
        <v>2210</v>
      </c>
      <c r="D2682" s="22"/>
      <c r="E2682" s="23">
        <v>2.300000041723252E-3</v>
      </c>
      <c r="F2682" s="24" t="s">
        <v>128</v>
      </c>
    </row>
    <row r="2683" spans="1:6" ht="16" customHeight="1" x14ac:dyDescent="0.45">
      <c r="A2683" s="19" t="s">
        <v>5483</v>
      </c>
      <c r="B2683" s="20" t="s">
        <v>5484</v>
      </c>
      <c r="C2683" s="21">
        <v>7120</v>
      </c>
      <c r="D2683" s="22"/>
      <c r="E2683" s="23">
        <v>-2.4700000286102291E-2</v>
      </c>
      <c r="F2683" s="24" t="s">
        <v>128</v>
      </c>
    </row>
    <row r="2684" spans="1:6" ht="16" customHeight="1" x14ac:dyDescent="0.45">
      <c r="A2684" s="19" t="s">
        <v>5485</v>
      </c>
      <c r="B2684" s="20" t="s">
        <v>5486</v>
      </c>
      <c r="C2684" s="21">
        <v>10220</v>
      </c>
      <c r="D2684" s="22"/>
      <c r="E2684" s="23">
        <v>-1.6399999856948851E-2</v>
      </c>
      <c r="F2684" s="24" t="s">
        <v>128</v>
      </c>
    </row>
    <row r="2685" spans="1:6" ht="16" customHeight="1" x14ac:dyDescent="0.45">
      <c r="A2685" s="19" t="s">
        <v>5487</v>
      </c>
      <c r="B2685" s="20" t="s">
        <v>5488</v>
      </c>
      <c r="C2685" s="21">
        <v>2925</v>
      </c>
      <c r="D2685" s="22"/>
      <c r="E2685" s="23">
        <v>-1.350000023841858E-2</v>
      </c>
      <c r="F2685" s="24" t="s">
        <v>125</v>
      </c>
    </row>
    <row r="2686" spans="1:6" ht="16" customHeight="1" x14ac:dyDescent="0.45">
      <c r="A2686" s="19" t="s">
        <v>5489</v>
      </c>
      <c r="B2686" s="20" t="s">
        <v>5490</v>
      </c>
      <c r="C2686" s="21">
        <v>47700</v>
      </c>
      <c r="D2686" s="22"/>
      <c r="E2686" s="23">
        <v>-2.2499999999999999E-2</v>
      </c>
      <c r="F2686" s="24" t="s">
        <v>128</v>
      </c>
    </row>
    <row r="2687" spans="1:6" ht="16" customHeight="1" x14ac:dyDescent="0.45">
      <c r="A2687" s="19" t="s">
        <v>5491</v>
      </c>
      <c r="B2687" s="20" t="s">
        <v>5492</v>
      </c>
      <c r="C2687" s="21">
        <v>966</v>
      </c>
      <c r="D2687" s="22"/>
      <c r="E2687" s="23">
        <v>-7.2000002861022953E-3</v>
      </c>
      <c r="F2687" s="24" t="s">
        <v>125</v>
      </c>
    </row>
    <row r="2688" spans="1:6" ht="16" customHeight="1" x14ac:dyDescent="0.45">
      <c r="A2688" s="19" t="s">
        <v>5493</v>
      </c>
      <c r="B2688" s="20" t="s">
        <v>5494</v>
      </c>
      <c r="C2688" s="21">
        <v>5680</v>
      </c>
      <c r="D2688" s="22"/>
      <c r="E2688" s="23">
        <v>0</v>
      </c>
      <c r="F2688" s="24" t="s">
        <v>125</v>
      </c>
    </row>
    <row r="2689" spans="1:6" ht="16" customHeight="1" x14ac:dyDescent="0.45">
      <c r="A2689" s="19" t="s">
        <v>5495</v>
      </c>
      <c r="B2689" s="20" t="s">
        <v>5496</v>
      </c>
      <c r="C2689" s="21">
        <v>87300</v>
      </c>
      <c r="D2689" s="22"/>
      <c r="E2689" s="23">
        <v>-1.580000042915344E-2</v>
      </c>
      <c r="F2689" s="24" t="s">
        <v>128</v>
      </c>
    </row>
    <row r="2690" spans="1:6" ht="16" customHeight="1" x14ac:dyDescent="0.45">
      <c r="A2690" s="19" t="s">
        <v>5497</v>
      </c>
      <c r="B2690" s="20" t="s">
        <v>5498</v>
      </c>
      <c r="C2690" s="21">
        <v>2330</v>
      </c>
      <c r="D2690" s="22"/>
      <c r="E2690" s="23">
        <v>-6.3999998569488521E-3</v>
      </c>
      <c r="F2690" s="24" t="s">
        <v>125</v>
      </c>
    </row>
    <row r="2691" spans="1:6" ht="16" customHeight="1" x14ac:dyDescent="0.45">
      <c r="A2691" s="19" t="s">
        <v>5499</v>
      </c>
      <c r="B2691" s="20" t="s">
        <v>5500</v>
      </c>
      <c r="C2691" s="21">
        <v>60200</v>
      </c>
      <c r="D2691" s="22"/>
      <c r="E2691" s="23">
        <v>-2.1099998950958251E-2</v>
      </c>
      <c r="F2691" s="24" t="s">
        <v>128</v>
      </c>
    </row>
    <row r="2692" spans="1:6" ht="16" customHeight="1" x14ac:dyDescent="0.45">
      <c r="A2692" s="19" t="s">
        <v>5501</v>
      </c>
      <c r="B2692" s="20" t="s">
        <v>5502</v>
      </c>
      <c r="C2692" s="21">
        <v>1564</v>
      </c>
      <c r="D2692" s="22"/>
      <c r="E2692" s="23">
        <v>-1.389999985694885E-2</v>
      </c>
      <c r="F2692" s="24" t="s">
        <v>128</v>
      </c>
    </row>
    <row r="2693" spans="1:6" ht="16" customHeight="1" x14ac:dyDescent="0.45">
      <c r="A2693" s="19" t="s">
        <v>5503</v>
      </c>
      <c r="B2693" s="20" t="s">
        <v>5504</v>
      </c>
      <c r="C2693" s="21">
        <v>1524</v>
      </c>
      <c r="D2693" s="22"/>
      <c r="E2693" s="23">
        <v>0</v>
      </c>
      <c r="F2693" s="24" t="s">
        <v>128</v>
      </c>
    </row>
    <row r="2694" spans="1:6" ht="16" customHeight="1" x14ac:dyDescent="0.45">
      <c r="A2694" s="19" t="s">
        <v>5505</v>
      </c>
      <c r="B2694" s="20" t="s">
        <v>5506</v>
      </c>
      <c r="C2694" s="21">
        <v>11090</v>
      </c>
      <c r="D2694" s="22"/>
      <c r="E2694" s="23">
        <v>-3.4000000953674323E-2</v>
      </c>
      <c r="F2694" s="24" t="s">
        <v>125</v>
      </c>
    </row>
    <row r="2695" spans="1:6" ht="16" customHeight="1" x14ac:dyDescent="0.45">
      <c r="A2695" s="19" t="s">
        <v>5507</v>
      </c>
      <c r="B2695" s="20" t="s">
        <v>5508</v>
      </c>
      <c r="C2695" s="21">
        <v>2305</v>
      </c>
      <c r="D2695" s="22"/>
      <c r="E2695" s="23">
        <v>-3.3499999046325682E-2</v>
      </c>
      <c r="F2695" s="24" t="s">
        <v>125</v>
      </c>
    </row>
    <row r="2696" spans="1:6" ht="16" customHeight="1" x14ac:dyDescent="0.45">
      <c r="A2696" s="19" t="s">
        <v>5509</v>
      </c>
      <c r="B2696" s="20" t="s">
        <v>5510</v>
      </c>
      <c r="C2696" s="21">
        <v>115500</v>
      </c>
      <c r="D2696" s="22"/>
      <c r="E2696" s="23">
        <v>-9.6999998092651363E-2</v>
      </c>
      <c r="F2696" s="24" t="s">
        <v>125</v>
      </c>
    </row>
    <row r="2697" spans="1:6" ht="16" customHeight="1" x14ac:dyDescent="0.45">
      <c r="A2697" s="19" t="s">
        <v>5511</v>
      </c>
      <c r="B2697" s="20" t="s">
        <v>5512</v>
      </c>
      <c r="C2697" s="21">
        <v>178700</v>
      </c>
      <c r="D2697" s="22"/>
      <c r="E2697" s="23">
        <v>-7.2000002861022953E-3</v>
      </c>
      <c r="F2697" s="24" t="s">
        <v>128</v>
      </c>
    </row>
    <row r="2698" spans="1:6" ht="16" customHeight="1" x14ac:dyDescent="0.45">
      <c r="A2698" s="19" t="s">
        <v>5513</v>
      </c>
      <c r="B2698" s="20" t="s">
        <v>5514</v>
      </c>
      <c r="C2698" s="21">
        <v>8660</v>
      </c>
      <c r="D2698" s="22"/>
      <c r="E2698" s="23">
        <v>-2.0399999618530271E-2</v>
      </c>
      <c r="F2698" s="24" t="s">
        <v>128</v>
      </c>
    </row>
    <row r="2699" spans="1:6" ht="16" customHeight="1" x14ac:dyDescent="0.45">
      <c r="A2699" s="19" t="s">
        <v>5515</v>
      </c>
      <c r="B2699" s="20" t="s">
        <v>5516</v>
      </c>
      <c r="C2699" s="21">
        <v>9900</v>
      </c>
      <c r="D2699" s="22"/>
      <c r="E2699" s="23">
        <v>-1.8799999952316279E-2</v>
      </c>
      <c r="F2699" s="24" t="s">
        <v>128</v>
      </c>
    </row>
    <row r="2700" spans="1:6" ht="16" customHeight="1" x14ac:dyDescent="0.45">
      <c r="A2700" s="19" t="s">
        <v>5517</v>
      </c>
      <c r="B2700" s="20" t="s">
        <v>5518</v>
      </c>
      <c r="C2700" s="21">
        <v>20600</v>
      </c>
      <c r="D2700" s="22"/>
      <c r="E2700" s="23">
        <v>1.230000019073486E-2</v>
      </c>
      <c r="F2700" s="24" t="s">
        <v>125</v>
      </c>
    </row>
    <row r="2701" spans="1:6" ht="16" customHeight="1" x14ac:dyDescent="0.45">
      <c r="A2701" s="19" t="s">
        <v>5519</v>
      </c>
      <c r="B2701" s="20" t="s">
        <v>5520</v>
      </c>
      <c r="C2701" s="21">
        <v>4010</v>
      </c>
      <c r="D2701" s="22"/>
      <c r="E2701" s="23">
        <v>-7.4000000953674313E-3</v>
      </c>
      <c r="F2701" s="24" t="s">
        <v>125</v>
      </c>
    </row>
    <row r="2702" spans="1:6" ht="16" customHeight="1" x14ac:dyDescent="0.45">
      <c r="A2702" s="19" t="s">
        <v>5521</v>
      </c>
      <c r="B2702" s="20" t="s">
        <v>5522</v>
      </c>
      <c r="C2702" s="21">
        <v>24400</v>
      </c>
      <c r="D2702" s="22"/>
      <c r="E2702" s="23">
        <v>2.9500000476837158E-2</v>
      </c>
      <c r="F2702" s="24" t="s">
        <v>128</v>
      </c>
    </row>
    <row r="2703" spans="1:6" ht="16" customHeight="1" x14ac:dyDescent="0.45">
      <c r="A2703" s="19" t="s">
        <v>5523</v>
      </c>
      <c r="B2703" s="20" t="s">
        <v>5524</v>
      </c>
      <c r="C2703" s="21">
        <v>10140</v>
      </c>
      <c r="D2703" s="22"/>
      <c r="E2703" s="23">
        <v>-2.000000029802323E-3</v>
      </c>
      <c r="F2703" s="24" t="s">
        <v>128</v>
      </c>
    </row>
    <row r="2704" spans="1:6" ht="16" customHeight="1" x14ac:dyDescent="0.45">
      <c r="A2704" s="19" t="s">
        <v>5525</v>
      </c>
      <c r="B2704" s="20" t="s">
        <v>5526</v>
      </c>
      <c r="C2704" s="21">
        <v>5370</v>
      </c>
      <c r="D2704" s="22"/>
      <c r="E2704" s="23">
        <v>-1.2899999618530269E-2</v>
      </c>
      <c r="F2704" s="24" t="s">
        <v>125</v>
      </c>
    </row>
    <row r="2705" spans="1:6" ht="16" customHeight="1" x14ac:dyDescent="0.45">
      <c r="A2705" s="19" t="s">
        <v>5527</v>
      </c>
      <c r="B2705" s="20" t="s">
        <v>5528</v>
      </c>
      <c r="C2705" s="21">
        <v>19080</v>
      </c>
      <c r="D2705" s="22"/>
      <c r="E2705" s="23">
        <v>-2.700000047683716E-2</v>
      </c>
      <c r="F2705" s="24" t="s">
        <v>125</v>
      </c>
    </row>
    <row r="2706" spans="1:6" ht="16" customHeight="1" x14ac:dyDescent="0.45">
      <c r="A2706" s="19" t="s">
        <v>5529</v>
      </c>
      <c r="B2706" s="20" t="s">
        <v>5530</v>
      </c>
      <c r="C2706" s="21">
        <v>16890</v>
      </c>
      <c r="D2706" s="22"/>
      <c r="E2706" s="23">
        <v>-1.169999957084656E-2</v>
      </c>
      <c r="F2706" s="24" t="s">
        <v>125</v>
      </c>
    </row>
    <row r="2707" spans="1:6" ht="16" customHeight="1" x14ac:dyDescent="0.45">
      <c r="A2707" s="19" t="s">
        <v>5531</v>
      </c>
      <c r="B2707" s="20" t="s">
        <v>5532</v>
      </c>
      <c r="C2707" s="21">
        <v>27150</v>
      </c>
      <c r="D2707" s="22"/>
      <c r="E2707" s="23">
        <v>-1.990000009536743E-2</v>
      </c>
      <c r="F2707" s="24" t="s">
        <v>128</v>
      </c>
    </row>
    <row r="2708" spans="1:6" ht="16" customHeight="1" x14ac:dyDescent="0.45">
      <c r="A2708" s="19" t="s">
        <v>5533</v>
      </c>
      <c r="B2708" s="20" t="s">
        <v>5534</v>
      </c>
      <c r="C2708" s="21">
        <v>384000</v>
      </c>
      <c r="D2708" s="22"/>
      <c r="E2708" s="23">
        <v>1.590000033378601E-2</v>
      </c>
      <c r="F2708" s="24" t="s">
        <v>128</v>
      </c>
    </row>
    <row r="2709" spans="1:6" ht="16" customHeight="1" x14ac:dyDescent="0.45">
      <c r="A2709" s="19" t="s">
        <v>5535</v>
      </c>
      <c r="B2709" s="20" t="s">
        <v>5536</v>
      </c>
      <c r="C2709" s="21">
        <v>36950</v>
      </c>
      <c r="D2709" s="22"/>
      <c r="E2709" s="23">
        <v>-2.8900001049041751E-2</v>
      </c>
      <c r="F2709" s="24" t="s">
        <v>128</v>
      </c>
    </row>
    <row r="2710" spans="1:6" ht="16" customHeight="1" x14ac:dyDescent="0.45">
      <c r="A2710" s="19" t="s">
        <v>5537</v>
      </c>
      <c r="B2710" s="20" t="s">
        <v>5538</v>
      </c>
      <c r="C2710" s="21">
        <v>437000</v>
      </c>
      <c r="D2710" s="22"/>
      <c r="E2710" s="23">
        <v>-1.7999999523162839E-2</v>
      </c>
      <c r="F2710" s="24" t="s">
        <v>128</v>
      </c>
    </row>
    <row r="2711" spans="1:6" ht="16" customHeight="1" x14ac:dyDescent="0.45">
      <c r="A2711" s="19" t="s">
        <v>5539</v>
      </c>
      <c r="B2711" s="20" t="s">
        <v>5540</v>
      </c>
      <c r="C2711" s="21">
        <v>9710</v>
      </c>
      <c r="D2711" s="22"/>
      <c r="E2711" s="23">
        <v>0.18850000381469731</v>
      </c>
      <c r="F2711" s="24" t="s">
        <v>125</v>
      </c>
    </row>
    <row r="2712" spans="1:6" ht="16" customHeight="1" x14ac:dyDescent="0.45">
      <c r="A2712" s="19" t="s">
        <v>5541</v>
      </c>
      <c r="B2712" s="20" t="s">
        <v>5542</v>
      </c>
      <c r="C2712" s="21">
        <v>1296</v>
      </c>
      <c r="D2712" s="22"/>
      <c r="E2712" s="23">
        <v>-8.9899997711181637E-2</v>
      </c>
      <c r="F2712" s="24" t="s">
        <v>125</v>
      </c>
    </row>
    <row r="2713" spans="1:6" ht="16" customHeight="1" x14ac:dyDescent="0.45">
      <c r="A2713" s="19" t="s">
        <v>5543</v>
      </c>
      <c r="B2713" s="20" t="s">
        <v>5544</v>
      </c>
      <c r="C2713" s="21">
        <v>40650</v>
      </c>
      <c r="D2713" s="22"/>
      <c r="E2713" s="23">
        <v>-2.8699998855590821E-2</v>
      </c>
      <c r="F2713" s="24" t="s">
        <v>128</v>
      </c>
    </row>
    <row r="2714" spans="1:6" ht="16" customHeight="1" x14ac:dyDescent="0.45">
      <c r="A2714" s="19" t="s">
        <v>5545</v>
      </c>
      <c r="B2714" s="20" t="s">
        <v>5546</v>
      </c>
      <c r="C2714" s="21">
        <v>20750</v>
      </c>
      <c r="D2714" s="22"/>
      <c r="E2714" s="23">
        <v>0</v>
      </c>
      <c r="F2714" s="24" t="s">
        <v>125</v>
      </c>
    </row>
    <row r="2715" spans="1:6" ht="16" customHeight="1" x14ac:dyDescent="0.45">
      <c r="A2715" s="19" t="s">
        <v>5547</v>
      </c>
      <c r="B2715" s="20" t="s">
        <v>5548</v>
      </c>
      <c r="C2715" s="21">
        <v>25650</v>
      </c>
      <c r="D2715" s="22"/>
      <c r="E2715" s="23">
        <v>-2.8399999141693111E-2</v>
      </c>
      <c r="F2715" s="24" t="s">
        <v>128</v>
      </c>
    </row>
    <row r="2716" spans="1:6" ht="16" customHeight="1" x14ac:dyDescent="0.45">
      <c r="A2716" s="19" t="s">
        <v>5549</v>
      </c>
      <c r="B2716" s="20" t="s">
        <v>5550</v>
      </c>
      <c r="C2716" s="21">
        <v>5050</v>
      </c>
      <c r="D2716" s="22"/>
      <c r="E2716" s="23">
        <v>-1.559999942779541E-2</v>
      </c>
      <c r="F2716" s="24" t="s">
        <v>128</v>
      </c>
    </row>
    <row r="2717" spans="1:6" ht="16" customHeight="1" x14ac:dyDescent="0.45">
      <c r="A2717" s="19" t="s">
        <v>5551</v>
      </c>
      <c r="B2717" s="20" t="s">
        <v>5552</v>
      </c>
      <c r="C2717" s="21">
        <v>1509</v>
      </c>
      <c r="D2717" s="22"/>
      <c r="E2717" s="23">
        <v>7.0000000298023226E-4</v>
      </c>
      <c r="F2717" s="24" t="s">
        <v>125</v>
      </c>
    </row>
    <row r="2718" spans="1:6" ht="16" customHeight="1" x14ac:dyDescent="0.45">
      <c r="A2718" s="19" t="s">
        <v>5553</v>
      </c>
      <c r="B2718" s="20" t="s">
        <v>5554</v>
      </c>
      <c r="C2718" s="21">
        <v>11290</v>
      </c>
      <c r="D2718" s="22"/>
      <c r="E2718" s="23">
        <v>-2.759999990463257E-2</v>
      </c>
      <c r="F2718" s="24" t="s">
        <v>128</v>
      </c>
    </row>
    <row r="2719" spans="1:6" ht="16" customHeight="1" x14ac:dyDescent="0.45">
      <c r="A2719" s="19" t="s">
        <v>5555</v>
      </c>
      <c r="B2719" s="20" t="s">
        <v>5556</v>
      </c>
      <c r="C2719" s="21">
        <v>666</v>
      </c>
      <c r="D2719" s="22"/>
      <c r="E2719" s="23">
        <v>0</v>
      </c>
      <c r="F2719" s="24" t="s">
        <v>128</v>
      </c>
    </row>
    <row r="2720" spans="1:6" ht="16" customHeight="1" x14ac:dyDescent="0.45">
      <c r="A2720" s="19" t="s">
        <v>5557</v>
      </c>
      <c r="B2720" s="20" t="s">
        <v>5558</v>
      </c>
      <c r="C2720" s="21">
        <v>4560</v>
      </c>
      <c r="D2720" s="22"/>
      <c r="E2720" s="23">
        <v>1.330000042915344E-2</v>
      </c>
      <c r="F2720" s="24" t="s">
        <v>128</v>
      </c>
    </row>
    <row r="2721" spans="1:6" ht="16" customHeight="1" x14ac:dyDescent="0.45">
      <c r="A2721" s="19" t="s">
        <v>5559</v>
      </c>
      <c r="B2721" s="20" t="s">
        <v>5560</v>
      </c>
      <c r="C2721" s="21">
        <v>3485</v>
      </c>
      <c r="D2721" s="22"/>
      <c r="E2721" s="23">
        <v>4.0300002098083487E-2</v>
      </c>
      <c r="F2721" s="24" t="s">
        <v>128</v>
      </c>
    </row>
    <row r="2722" spans="1:6" ht="16" customHeight="1" x14ac:dyDescent="0.45">
      <c r="A2722" s="19" t="s">
        <v>5561</v>
      </c>
      <c r="B2722" s="20" t="s">
        <v>5562</v>
      </c>
      <c r="C2722" s="21">
        <v>17730</v>
      </c>
      <c r="D2722" s="22"/>
      <c r="E2722" s="23">
        <v>2.369999885559082E-2</v>
      </c>
      <c r="F2722" s="24" t="s">
        <v>125</v>
      </c>
    </row>
    <row r="2723" spans="1:6" ht="16" customHeight="1" x14ac:dyDescent="0.45">
      <c r="A2723" s="19" t="s">
        <v>5563</v>
      </c>
      <c r="B2723" s="20" t="s">
        <v>5564</v>
      </c>
      <c r="C2723" s="21">
        <v>8030</v>
      </c>
      <c r="D2723" s="22"/>
      <c r="E2723" s="23">
        <v>-3.0199999809265139E-2</v>
      </c>
      <c r="F2723" s="24" t="s">
        <v>128</v>
      </c>
    </row>
    <row r="2724" spans="1:6" ht="16" customHeight="1" x14ac:dyDescent="0.45">
      <c r="A2724" s="19" t="s">
        <v>5565</v>
      </c>
      <c r="B2724" s="20" t="s">
        <v>5566</v>
      </c>
      <c r="C2724" s="21">
        <v>294500</v>
      </c>
      <c r="D2724" s="22"/>
      <c r="E2724" s="23">
        <v>2.789999961853027E-2</v>
      </c>
      <c r="F2724" s="24" t="s">
        <v>128</v>
      </c>
    </row>
    <row r="2725" spans="1:6" ht="16" customHeight="1" x14ac:dyDescent="0.45">
      <c r="A2725" s="19" t="s">
        <v>5567</v>
      </c>
      <c r="B2725" s="20" t="s">
        <v>5568</v>
      </c>
      <c r="C2725" s="21">
        <v>8040</v>
      </c>
      <c r="D2725" s="22"/>
      <c r="E2725" s="23">
        <v>-2.6600000858306889E-2</v>
      </c>
      <c r="F2725" s="24" t="s">
        <v>128</v>
      </c>
    </row>
    <row r="2726" spans="1:6" ht="16" customHeight="1" x14ac:dyDescent="0.45">
      <c r="A2726" s="19" t="s">
        <v>5569</v>
      </c>
      <c r="B2726" s="20" t="s">
        <v>5570</v>
      </c>
      <c r="C2726" s="21">
        <v>3430</v>
      </c>
      <c r="D2726" s="22"/>
      <c r="E2726" s="23">
        <v>1.629999995231628E-2</v>
      </c>
      <c r="F2726" s="24" t="s">
        <v>128</v>
      </c>
    </row>
    <row r="2727" spans="1:6" ht="16" customHeight="1" x14ac:dyDescent="0.45">
      <c r="A2727" s="19" t="s">
        <v>5571</v>
      </c>
      <c r="B2727" s="20" t="s">
        <v>5572</v>
      </c>
      <c r="C2727" s="21">
        <v>2585</v>
      </c>
      <c r="D2727" s="22"/>
      <c r="E2727" s="23">
        <v>-3.539999961853027E-2</v>
      </c>
      <c r="F2727" s="24" t="s">
        <v>128</v>
      </c>
    </row>
    <row r="2728" spans="1:6" ht="16" customHeight="1" x14ac:dyDescent="0.45">
      <c r="A2728" s="19" t="s">
        <v>5573</v>
      </c>
      <c r="B2728" s="20" t="s">
        <v>5574</v>
      </c>
      <c r="C2728" s="21">
        <v>29500</v>
      </c>
      <c r="D2728" s="22"/>
      <c r="E2728" s="23">
        <v>-1.169999957084656E-2</v>
      </c>
      <c r="F2728" s="24" t="s">
        <v>125</v>
      </c>
    </row>
    <row r="2729" spans="1:6" ht="16" customHeight="1" x14ac:dyDescent="0.45">
      <c r="A2729" s="19" t="s">
        <v>5575</v>
      </c>
      <c r="B2729" s="20" t="s">
        <v>5576</v>
      </c>
      <c r="C2729" s="21">
        <v>16100</v>
      </c>
      <c r="D2729" s="22"/>
      <c r="E2729" s="23">
        <v>0.1164999961853027</v>
      </c>
      <c r="F2729" s="24" t="s">
        <v>128</v>
      </c>
    </row>
    <row r="2730" spans="1:6" ht="16" customHeight="1" x14ac:dyDescent="0.45">
      <c r="A2730" s="19" t="s">
        <v>5577</v>
      </c>
      <c r="B2730" s="20" t="s">
        <v>5578</v>
      </c>
      <c r="C2730" s="21">
        <v>5150</v>
      </c>
      <c r="D2730" s="22"/>
      <c r="E2730" s="23">
        <v>3.7300000190734872E-2</v>
      </c>
      <c r="F2730" s="24" t="s">
        <v>128</v>
      </c>
    </row>
    <row r="2731" spans="1:6" ht="16" customHeight="1" x14ac:dyDescent="0.45">
      <c r="A2731" s="19" t="s">
        <v>5579</v>
      </c>
      <c r="B2731" s="20" t="s">
        <v>5580</v>
      </c>
      <c r="C2731" s="21">
        <v>5030</v>
      </c>
      <c r="D2731" s="22"/>
      <c r="E2731" s="23">
        <v>4.4699997901916512E-2</v>
      </c>
      <c r="F2731" s="24" t="s">
        <v>125</v>
      </c>
    </row>
    <row r="2732" spans="1:6" ht="16" customHeight="1" x14ac:dyDescent="0.45">
      <c r="A2732" s="19" t="s">
        <v>5581</v>
      </c>
      <c r="B2732" s="20" t="s">
        <v>5582</v>
      </c>
      <c r="C2732" s="21">
        <v>32950</v>
      </c>
      <c r="D2732" s="22"/>
      <c r="E2732" s="23">
        <v>2.329999923706055E-2</v>
      </c>
      <c r="F2732" s="24" t="s">
        <v>125</v>
      </c>
    </row>
    <row r="2733" spans="1:6" ht="16" customHeight="1" x14ac:dyDescent="0.45">
      <c r="A2733" s="19" t="s">
        <v>5583</v>
      </c>
      <c r="B2733" s="20" t="s">
        <v>5584</v>
      </c>
      <c r="C2733" s="21">
        <v>32650</v>
      </c>
      <c r="D2733" s="22"/>
      <c r="E2733" s="23">
        <v>4.6000000834465031E-3</v>
      </c>
      <c r="F2733" s="24" t="s">
        <v>125</v>
      </c>
    </row>
    <row r="2734" spans="1:6" ht="16" customHeight="1" x14ac:dyDescent="0.45">
      <c r="A2734" s="19" t="s">
        <v>5585</v>
      </c>
      <c r="B2734" s="20" t="s">
        <v>5586</v>
      </c>
      <c r="C2734" s="21">
        <v>30450</v>
      </c>
      <c r="D2734" s="22"/>
      <c r="E2734" s="23">
        <v>4.4600000381469718E-2</v>
      </c>
      <c r="F2734" s="24" t="s">
        <v>128</v>
      </c>
    </row>
    <row r="2735" spans="1:6" ht="16" customHeight="1" x14ac:dyDescent="0.45">
      <c r="A2735" s="19" t="s">
        <v>5587</v>
      </c>
      <c r="B2735" s="20" t="s">
        <v>5588</v>
      </c>
      <c r="C2735" s="21">
        <v>29900</v>
      </c>
      <c r="D2735" s="22"/>
      <c r="E2735" s="23">
        <v>8.3999997377395622E-3</v>
      </c>
      <c r="F2735" s="24" t="s">
        <v>128</v>
      </c>
    </row>
    <row r="2736" spans="1:6" ht="16" customHeight="1" x14ac:dyDescent="0.45">
      <c r="A2736" s="19" t="s">
        <v>5589</v>
      </c>
      <c r="B2736" s="20" t="s">
        <v>5590</v>
      </c>
      <c r="C2736" s="21">
        <v>5340</v>
      </c>
      <c r="D2736" s="22"/>
      <c r="E2736" s="23">
        <v>0.1010000038146973</v>
      </c>
      <c r="F2736" s="24" t="s">
        <v>128</v>
      </c>
    </row>
    <row r="2737" spans="1:6" ht="16" customHeight="1" x14ac:dyDescent="0.45">
      <c r="A2737" s="19" t="s">
        <v>5591</v>
      </c>
      <c r="B2737" s="20" t="s">
        <v>5592</v>
      </c>
      <c r="C2737" s="21">
        <v>45100</v>
      </c>
      <c r="D2737" s="22"/>
      <c r="E2737" s="23">
        <v>-2.5899999141693119E-2</v>
      </c>
      <c r="F2737" s="24" t="s">
        <v>128</v>
      </c>
    </row>
    <row r="2738" spans="1:6" ht="16" customHeight="1" x14ac:dyDescent="0.45">
      <c r="A2738" s="19" t="s">
        <v>5593</v>
      </c>
      <c r="B2738" s="20" t="s">
        <v>5594</v>
      </c>
      <c r="C2738" s="21">
        <v>1533</v>
      </c>
      <c r="D2738" s="22"/>
      <c r="E2738" s="23">
        <v>0</v>
      </c>
      <c r="F2738" s="24" t="s">
        <v>125</v>
      </c>
    </row>
    <row r="2739" spans="1:6" ht="16" customHeight="1" x14ac:dyDescent="0.45">
      <c r="A2739" s="19" t="s">
        <v>5595</v>
      </c>
      <c r="B2739" s="20" t="s">
        <v>5596</v>
      </c>
      <c r="C2739" s="21">
        <v>3145</v>
      </c>
      <c r="D2739" s="22"/>
      <c r="E2739" s="23">
        <v>-1.599999964237213E-3</v>
      </c>
      <c r="F2739" s="24" t="s">
        <v>125</v>
      </c>
    </row>
    <row r="2740" spans="1:6" ht="16" customHeight="1" x14ac:dyDescent="0.45">
      <c r="A2740" s="19" t="s">
        <v>5597</v>
      </c>
      <c r="B2740" s="20" t="s">
        <v>5598</v>
      </c>
      <c r="C2740" s="21">
        <v>12020</v>
      </c>
      <c r="D2740" s="22"/>
      <c r="E2740" s="23">
        <v>0.29950000762939449</v>
      </c>
      <c r="F2740" s="24" t="s">
        <v>125</v>
      </c>
    </row>
    <row r="2741" spans="1:6" ht="16" customHeight="1" x14ac:dyDescent="0.45">
      <c r="A2741" s="19" t="s">
        <v>5599</v>
      </c>
      <c r="B2741" s="20" t="s">
        <v>5600</v>
      </c>
      <c r="C2741" s="21">
        <v>2660</v>
      </c>
      <c r="D2741" s="22"/>
      <c r="E2741" s="23">
        <v>-3.6199998855590818E-2</v>
      </c>
      <c r="F2741" s="24" t="s">
        <v>128</v>
      </c>
    </row>
    <row r="2742" spans="1:6" ht="16" customHeight="1" x14ac:dyDescent="0.45">
      <c r="A2742" s="19" t="s">
        <v>5601</v>
      </c>
      <c r="B2742" s="20" t="s">
        <v>5602</v>
      </c>
      <c r="C2742" s="21">
        <v>3410</v>
      </c>
      <c r="D2742" s="22"/>
      <c r="E2742" s="23">
        <v>-1.8700000047683719E-2</v>
      </c>
      <c r="F2742" s="24" t="s">
        <v>125</v>
      </c>
    </row>
    <row r="2743" spans="1:6" ht="16" customHeight="1" x14ac:dyDescent="0.45">
      <c r="A2743" s="19" t="s">
        <v>5603</v>
      </c>
      <c r="B2743" s="20" t="s">
        <v>5604</v>
      </c>
      <c r="C2743" s="21">
        <v>3845</v>
      </c>
      <c r="D2743" s="22"/>
      <c r="E2743" s="23">
        <v>-2.6600000858306889E-2</v>
      </c>
      <c r="F2743" s="24" t="s">
        <v>125</v>
      </c>
    </row>
    <row r="2744" spans="1:6" ht="16" customHeight="1" x14ac:dyDescent="0.45">
      <c r="A2744" s="19" t="s">
        <v>5605</v>
      </c>
      <c r="B2744" s="20" t="s">
        <v>5606</v>
      </c>
      <c r="C2744" s="21">
        <v>16920</v>
      </c>
      <c r="D2744" s="22"/>
      <c r="E2744" s="23">
        <v>-2.2000000476837159E-2</v>
      </c>
      <c r="F2744" s="24" t="s">
        <v>128</v>
      </c>
    </row>
    <row r="2745" spans="1:6" ht="16" customHeight="1" x14ac:dyDescent="0.45">
      <c r="A2745" s="19" t="s">
        <v>5607</v>
      </c>
      <c r="B2745" s="20" t="s">
        <v>5608</v>
      </c>
      <c r="C2745" s="21">
        <v>5490</v>
      </c>
      <c r="D2745" s="22"/>
      <c r="E2745" s="23">
        <v>-4.3600001335144037E-2</v>
      </c>
      <c r="F2745" s="24" t="s">
        <v>128</v>
      </c>
    </row>
    <row r="2746" spans="1:6" ht="16" customHeight="1" x14ac:dyDescent="0.45">
      <c r="A2746" s="19" t="s">
        <v>5609</v>
      </c>
      <c r="B2746" s="20" t="s">
        <v>5610</v>
      </c>
      <c r="C2746" s="21">
        <v>17230</v>
      </c>
      <c r="D2746" s="22"/>
      <c r="E2746" s="23">
        <v>-9.8000001907348634E-3</v>
      </c>
      <c r="F2746" s="24" t="s">
        <v>128</v>
      </c>
    </row>
    <row r="2747" spans="1:6" ht="16" customHeight="1" x14ac:dyDescent="0.45">
      <c r="A2747" s="19" t="s">
        <v>5611</v>
      </c>
      <c r="B2747" s="20" t="s">
        <v>5612</v>
      </c>
      <c r="C2747" s="21">
        <v>7740</v>
      </c>
      <c r="D2747" s="22"/>
      <c r="E2747" s="23">
        <v>-7.6999998092651366E-3</v>
      </c>
      <c r="F2747" s="24" t="s">
        <v>125</v>
      </c>
    </row>
    <row r="2748" spans="1:6" ht="16" customHeight="1" x14ac:dyDescent="0.45">
      <c r="A2748" s="19" t="s">
        <v>5613</v>
      </c>
      <c r="B2748" s="20" t="s">
        <v>5614</v>
      </c>
      <c r="C2748" s="21">
        <v>60100</v>
      </c>
      <c r="D2748" s="22"/>
      <c r="E2748" s="23">
        <v>-2.1199998855590822E-2</v>
      </c>
      <c r="F2748" s="24" t="s">
        <v>128</v>
      </c>
    </row>
    <row r="2749" spans="1:6" ht="16" customHeight="1" x14ac:dyDescent="0.45">
      <c r="A2749" s="19" t="s">
        <v>5615</v>
      </c>
      <c r="B2749" s="20" t="s">
        <v>5616</v>
      </c>
      <c r="C2749" s="21">
        <v>182600</v>
      </c>
      <c r="D2749" s="22"/>
      <c r="E2749" s="23">
        <v>-1.990000009536743E-2</v>
      </c>
      <c r="F2749" s="24" t="s">
        <v>128</v>
      </c>
    </row>
    <row r="2750" spans="1:6" ht="16" customHeight="1" x14ac:dyDescent="0.45">
      <c r="A2750" s="19" t="s">
        <v>5617</v>
      </c>
      <c r="B2750" s="20" t="s">
        <v>5618</v>
      </c>
      <c r="C2750" s="21">
        <v>20550</v>
      </c>
      <c r="D2750" s="22"/>
      <c r="E2750" s="23">
        <v>-2.39999994635582E-3</v>
      </c>
      <c r="F2750" s="24" t="s">
        <v>128</v>
      </c>
    </row>
    <row r="2751" spans="1:6" ht="16" customHeight="1" x14ac:dyDescent="0.45">
      <c r="A2751" s="19" t="s">
        <v>5619</v>
      </c>
      <c r="B2751" s="20" t="s">
        <v>5620</v>
      </c>
      <c r="C2751" s="21">
        <v>861</v>
      </c>
      <c r="D2751" s="22"/>
      <c r="E2751" s="23">
        <v>0</v>
      </c>
      <c r="F2751" s="24" t="s">
        <v>125</v>
      </c>
    </row>
    <row r="2752" spans="1:6" ht="16" customHeight="1" x14ac:dyDescent="0.45">
      <c r="A2752" s="19" t="s">
        <v>5621</v>
      </c>
      <c r="B2752" s="20" t="s">
        <v>5622</v>
      </c>
      <c r="C2752" s="21">
        <v>5660</v>
      </c>
      <c r="D2752" s="22"/>
      <c r="E2752" s="23">
        <v>3.8499999046325693E-2</v>
      </c>
      <c r="F2752" s="24" t="s">
        <v>125</v>
      </c>
    </row>
    <row r="2753" spans="1:6" ht="16" customHeight="1" x14ac:dyDescent="0.45">
      <c r="A2753" s="19" t="s">
        <v>5623</v>
      </c>
      <c r="B2753" s="20" t="s">
        <v>5624</v>
      </c>
      <c r="C2753" s="21">
        <v>69100</v>
      </c>
      <c r="D2753" s="22"/>
      <c r="E2753" s="23">
        <v>-1.139999985694885E-2</v>
      </c>
      <c r="F2753" s="24" t="s">
        <v>125</v>
      </c>
    </row>
    <row r="2754" spans="1:6" ht="16" customHeight="1" x14ac:dyDescent="0.45">
      <c r="A2754" s="19" t="s">
        <v>5625</v>
      </c>
      <c r="B2754" s="20" t="s">
        <v>5626</v>
      </c>
      <c r="C2754" s="21">
        <v>19010</v>
      </c>
      <c r="D2754" s="22"/>
      <c r="E2754" s="23">
        <v>-1.139999985694885E-2</v>
      </c>
      <c r="F2754" s="24" t="s">
        <v>128</v>
      </c>
    </row>
    <row r="2755" spans="1:6" ht="16" customHeight="1" x14ac:dyDescent="0.45">
      <c r="A2755" s="19" t="s">
        <v>5627</v>
      </c>
      <c r="B2755" s="20" t="s">
        <v>5628</v>
      </c>
      <c r="C2755" s="21">
        <v>6560</v>
      </c>
      <c r="D2755" s="22"/>
      <c r="E2755" s="23">
        <v>2.6600000858306889E-2</v>
      </c>
      <c r="F2755" s="24" t="s">
        <v>128</v>
      </c>
    </row>
    <row r="2756" spans="1:6" ht="16" customHeight="1" x14ac:dyDescent="0.45">
      <c r="A2756" s="19" t="s">
        <v>5629</v>
      </c>
      <c r="B2756" s="20" t="s">
        <v>5630</v>
      </c>
      <c r="C2756" s="21">
        <v>110600</v>
      </c>
      <c r="D2756" s="22"/>
      <c r="E2756" s="23">
        <v>-1.509999990463257E-2</v>
      </c>
      <c r="F2756" s="24" t="s">
        <v>128</v>
      </c>
    </row>
    <row r="2757" spans="1:6" ht="16" customHeight="1" x14ac:dyDescent="0.45">
      <c r="A2757" s="19" t="s">
        <v>5631</v>
      </c>
      <c r="B2757" s="20" t="s">
        <v>5632</v>
      </c>
      <c r="C2757" s="21">
        <v>32300</v>
      </c>
      <c r="D2757" s="22"/>
      <c r="E2757" s="23">
        <v>-1.519999980926514E-2</v>
      </c>
      <c r="F2757" s="24" t="s">
        <v>128</v>
      </c>
    </row>
    <row r="2758" spans="1:6" ht="16" customHeight="1" x14ac:dyDescent="0.45">
      <c r="A2758" s="19" t="s">
        <v>5633</v>
      </c>
      <c r="B2758" s="20" t="s">
        <v>5634</v>
      </c>
      <c r="C2758" s="21">
        <v>1254</v>
      </c>
      <c r="D2758" s="22"/>
      <c r="E2758" s="23">
        <v>0</v>
      </c>
      <c r="F2758" s="24" t="s">
        <v>128</v>
      </c>
    </row>
    <row r="2759" spans="1:6" ht="16" customHeight="1" x14ac:dyDescent="0.45">
      <c r="A2759" s="19" t="s">
        <v>5635</v>
      </c>
      <c r="B2759" s="20" t="s">
        <v>5636</v>
      </c>
      <c r="C2759" s="21">
        <v>6590</v>
      </c>
      <c r="D2759" s="22"/>
      <c r="E2759" s="23">
        <v>-2.7999999523162841E-2</v>
      </c>
      <c r="F2759" s="24" t="s">
        <v>125</v>
      </c>
    </row>
    <row r="2760" spans="1:6" ht="16" customHeight="1" x14ac:dyDescent="0.45">
      <c r="A2760" s="19" t="s">
        <v>5637</v>
      </c>
      <c r="B2760" s="20" t="s">
        <v>5638</v>
      </c>
      <c r="C2760" s="21">
        <v>544</v>
      </c>
      <c r="D2760" s="22"/>
      <c r="E2760" s="23">
        <v>0</v>
      </c>
      <c r="F2760" s="24" t="s">
        <v>128</v>
      </c>
    </row>
    <row r="2761" spans="1:6" ht="16" customHeight="1" x14ac:dyDescent="0.45">
      <c r="A2761" s="19" t="s">
        <v>5639</v>
      </c>
      <c r="B2761" s="20" t="s">
        <v>5640</v>
      </c>
      <c r="C2761" s="21">
        <v>2495</v>
      </c>
      <c r="D2761" s="22"/>
      <c r="E2761" s="23">
        <v>-1.190000057220459E-2</v>
      </c>
      <c r="F2761" s="24" t="s">
        <v>128</v>
      </c>
    </row>
    <row r="2762" spans="1:6" ht="16" customHeight="1" x14ac:dyDescent="0.45">
      <c r="A2762" s="19" t="s">
        <v>5641</v>
      </c>
      <c r="B2762" s="20" t="s">
        <v>5642</v>
      </c>
      <c r="C2762" s="21">
        <v>7950</v>
      </c>
      <c r="D2762" s="22"/>
      <c r="E2762" s="23">
        <v>0.1389999961853027</v>
      </c>
      <c r="F2762" s="24" t="s">
        <v>125</v>
      </c>
    </row>
    <row r="2763" spans="1:6" ht="16" customHeight="1" x14ac:dyDescent="0.45">
      <c r="A2763" s="19" t="s">
        <v>5643</v>
      </c>
      <c r="B2763" s="20" t="s">
        <v>5644</v>
      </c>
      <c r="C2763" s="21">
        <v>9370</v>
      </c>
      <c r="D2763" s="22"/>
      <c r="E2763" s="23">
        <v>9.7000002861022949E-3</v>
      </c>
      <c r="F2763" s="24" t="s">
        <v>125</v>
      </c>
    </row>
    <row r="2764" spans="1:6" ht="16" customHeight="1" x14ac:dyDescent="0.45">
      <c r="A2764" s="19" t="s">
        <v>5645</v>
      </c>
      <c r="B2764" s="20" t="s">
        <v>5646</v>
      </c>
      <c r="C2764" s="21">
        <v>662</v>
      </c>
      <c r="D2764" s="22"/>
      <c r="E2764" s="23">
        <v>-4.6100001335144053E-2</v>
      </c>
      <c r="F2764" s="24" t="s">
        <v>125</v>
      </c>
    </row>
    <row r="2765" spans="1:6" ht="16" customHeight="1" x14ac:dyDescent="0.45">
      <c r="A2765" s="19" t="s">
        <v>5647</v>
      </c>
      <c r="B2765" s="20" t="s">
        <v>5648</v>
      </c>
      <c r="C2765" s="21">
        <v>47900</v>
      </c>
      <c r="D2765" s="22"/>
      <c r="E2765" s="23">
        <v>3.7899999618530272E-2</v>
      </c>
      <c r="F2765" s="24" t="s">
        <v>125</v>
      </c>
    </row>
    <row r="2766" spans="1:6" ht="16" customHeight="1" x14ac:dyDescent="0.45">
      <c r="A2766" s="19" t="s">
        <v>5649</v>
      </c>
      <c r="B2766" s="20" t="s">
        <v>5650</v>
      </c>
      <c r="C2766" s="21">
        <v>15170</v>
      </c>
      <c r="D2766" s="22"/>
      <c r="E2766" s="23">
        <v>-6.4999997615814214E-3</v>
      </c>
      <c r="F2766" s="24" t="s">
        <v>125</v>
      </c>
    </row>
    <row r="2767" spans="1:6" ht="16" customHeight="1" x14ac:dyDescent="0.45">
      <c r="A2767" s="19" t="s">
        <v>5651</v>
      </c>
      <c r="B2767" s="20" t="s">
        <v>33</v>
      </c>
      <c r="C2767" s="21">
        <v>145200</v>
      </c>
      <c r="D2767" s="22"/>
      <c r="E2767" s="23">
        <v>3.7899999618530272E-2</v>
      </c>
      <c r="F2767" s="24" t="s">
        <v>128</v>
      </c>
    </row>
    <row r="2768" spans="1:6" ht="16" customHeight="1" x14ac:dyDescent="0.45">
      <c r="A2768" s="19" t="s">
        <v>5652</v>
      </c>
      <c r="B2768" s="20" t="s">
        <v>5653</v>
      </c>
      <c r="C2768" s="21">
        <v>51900</v>
      </c>
      <c r="D2768" s="22"/>
      <c r="E2768" s="23">
        <v>2.769999980926514E-2</v>
      </c>
      <c r="F2768" s="24" t="s">
        <v>128</v>
      </c>
    </row>
    <row r="2769" spans="1:6" ht="16" customHeight="1" x14ac:dyDescent="0.45">
      <c r="A2769" s="19" t="s">
        <v>5654</v>
      </c>
      <c r="B2769" s="20" t="s">
        <v>5655</v>
      </c>
      <c r="C2769" s="21">
        <v>3040</v>
      </c>
      <c r="D2769" s="22"/>
      <c r="E2769" s="23">
        <v>5.0000000000000001E-3</v>
      </c>
      <c r="F2769" s="24" t="s">
        <v>128</v>
      </c>
    </row>
    <row r="2770" spans="1:6" ht="16" customHeight="1" x14ac:dyDescent="0.45">
      <c r="A2770" s="19" t="s">
        <v>5656</v>
      </c>
      <c r="B2770" s="20" t="s">
        <v>5657</v>
      </c>
      <c r="C2770" s="21">
        <v>7100</v>
      </c>
      <c r="D2770" s="22"/>
      <c r="E2770" s="23">
        <v>-9.8000001907348634E-3</v>
      </c>
      <c r="F2770" s="24" t="s">
        <v>128</v>
      </c>
    </row>
    <row r="2771" spans="1:6" ht="16" customHeight="1" x14ac:dyDescent="0.45">
      <c r="A2771" s="19" t="s">
        <v>5658</v>
      </c>
      <c r="B2771" s="20" t="s">
        <v>5659</v>
      </c>
      <c r="C2771" s="21">
        <v>5400</v>
      </c>
      <c r="D2771" s="22"/>
      <c r="E2771" s="23">
        <v>-4.760000228881836E-2</v>
      </c>
      <c r="F2771" s="24" t="s">
        <v>128</v>
      </c>
    </row>
    <row r="2772" spans="1:6" ht="16" customHeight="1" x14ac:dyDescent="0.45">
      <c r="A2772" s="19" t="s">
        <v>5660</v>
      </c>
      <c r="B2772" s="20" t="s">
        <v>5661</v>
      </c>
      <c r="C2772" s="21">
        <v>87800</v>
      </c>
      <c r="D2772" s="22"/>
      <c r="E2772" s="23">
        <v>-1.009999990463257E-2</v>
      </c>
      <c r="F2772" s="24" t="s">
        <v>128</v>
      </c>
    </row>
    <row r="2773" spans="1:6" ht="16" customHeight="1" x14ac:dyDescent="0.45">
      <c r="A2773" s="19" t="s">
        <v>5662</v>
      </c>
      <c r="B2773" s="20" t="s">
        <v>5663</v>
      </c>
      <c r="C2773" s="21">
        <v>5260</v>
      </c>
      <c r="D2773" s="22"/>
      <c r="E2773" s="23">
        <v>4.3699998855590817E-2</v>
      </c>
      <c r="F2773" s="24" t="s">
        <v>128</v>
      </c>
    </row>
    <row r="2774" spans="1:6" ht="16" customHeight="1" x14ac:dyDescent="0.45">
      <c r="A2774" s="19" t="s">
        <v>5664</v>
      </c>
      <c r="B2774" s="20" t="s">
        <v>5665</v>
      </c>
      <c r="C2774" s="21">
        <v>7150</v>
      </c>
      <c r="D2774" s="22"/>
      <c r="E2774" s="23">
        <v>4.3800001144409177E-2</v>
      </c>
      <c r="F2774" s="24" t="s">
        <v>128</v>
      </c>
    </row>
    <row r="2775" spans="1:6" ht="16" customHeight="1" x14ac:dyDescent="0.45">
      <c r="A2775" s="19" t="s">
        <v>5666</v>
      </c>
      <c r="B2775" s="20" t="s">
        <v>5667</v>
      </c>
      <c r="C2775" s="21">
        <v>48050</v>
      </c>
      <c r="D2775" s="22"/>
      <c r="E2775" s="23">
        <v>-3.7100000381469718E-2</v>
      </c>
      <c r="F2775" s="24" t="s">
        <v>128</v>
      </c>
    </row>
    <row r="2776" spans="1:6" ht="16" customHeight="1" x14ac:dyDescent="0.45">
      <c r="A2776" s="19" t="s">
        <v>5668</v>
      </c>
      <c r="B2776" s="20" t="s">
        <v>5669</v>
      </c>
      <c r="C2776" s="21">
        <v>28100</v>
      </c>
      <c r="D2776" s="22"/>
      <c r="E2776" s="23">
        <v>-3.099999904632568E-2</v>
      </c>
      <c r="F2776" s="24" t="s">
        <v>128</v>
      </c>
    </row>
    <row r="2777" spans="1:6" ht="16" customHeight="1" x14ac:dyDescent="0.45">
      <c r="A2777" s="19" t="s">
        <v>5670</v>
      </c>
      <c r="B2777" s="20" t="s">
        <v>5671</v>
      </c>
      <c r="C2777" s="21">
        <v>124700</v>
      </c>
      <c r="D2777" s="22"/>
      <c r="E2777" s="23">
        <v>4.1799998283386229E-2</v>
      </c>
      <c r="F2777" s="24" t="s">
        <v>128</v>
      </c>
    </row>
    <row r="2778" spans="1:6" ht="16" customHeight="1" x14ac:dyDescent="0.45">
      <c r="A2778" s="19" t="s">
        <v>5672</v>
      </c>
      <c r="B2778" s="20" t="s">
        <v>5673</v>
      </c>
      <c r="C2778" s="21">
        <v>1438000</v>
      </c>
      <c r="D2778" s="22"/>
      <c r="E2778" s="23">
        <v>-1.8400000333786009E-2</v>
      </c>
      <c r="F2778" s="24" t="s">
        <v>128</v>
      </c>
    </row>
    <row r="2779" spans="1:6" ht="16" customHeight="1" x14ac:dyDescent="0.45">
      <c r="A2779" s="19" t="s">
        <v>5674</v>
      </c>
      <c r="B2779" s="20" t="s">
        <v>5675</v>
      </c>
      <c r="C2779" s="21">
        <v>82400</v>
      </c>
      <c r="D2779" s="22"/>
      <c r="E2779" s="23">
        <v>-7.9299998283386228E-2</v>
      </c>
      <c r="F2779" s="24" t="s">
        <v>128</v>
      </c>
    </row>
    <row r="2780" spans="1:6" ht="16" customHeight="1" x14ac:dyDescent="0.45">
      <c r="A2780" s="19" t="s">
        <v>5676</v>
      </c>
      <c r="B2780" s="20" t="s">
        <v>5677</v>
      </c>
      <c r="C2780" s="21">
        <v>130200</v>
      </c>
      <c r="D2780" s="22"/>
      <c r="E2780" s="23">
        <v>-2.1099998950958251E-2</v>
      </c>
      <c r="F2780" s="24" t="s">
        <v>128</v>
      </c>
    </row>
    <row r="2781" spans="1:6" ht="16" customHeight="1" x14ac:dyDescent="0.45">
      <c r="A2781" s="19" t="s">
        <v>5678</v>
      </c>
      <c r="B2781" s="20" t="s">
        <v>5679</v>
      </c>
      <c r="C2781" s="21">
        <v>9280</v>
      </c>
      <c r="D2781" s="22"/>
      <c r="E2781" s="23">
        <v>0.13310000419616699</v>
      </c>
      <c r="F2781" s="24" t="s">
        <v>128</v>
      </c>
    </row>
    <row r="2782" spans="1:6" ht="16" customHeight="1" x14ac:dyDescent="0.45">
      <c r="A2782" s="19" t="s">
        <v>5680</v>
      </c>
      <c r="B2782" s="20" t="s">
        <v>5681</v>
      </c>
      <c r="C2782" s="21">
        <v>9890</v>
      </c>
      <c r="D2782" s="22"/>
      <c r="E2782" s="23">
        <v>4.6599998474121093E-2</v>
      </c>
      <c r="F2782" s="24" t="s">
        <v>128</v>
      </c>
    </row>
    <row r="2783" spans="1:6" ht="16" customHeight="1" x14ac:dyDescent="0.45">
      <c r="A2783" s="19" t="s">
        <v>5682</v>
      </c>
      <c r="B2783" s="20" t="s">
        <v>5683</v>
      </c>
      <c r="C2783" s="21">
        <v>2040</v>
      </c>
      <c r="D2783" s="22"/>
      <c r="E2783" s="23">
        <v>0</v>
      </c>
      <c r="F2783" s="24" t="s">
        <v>125</v>
      </c>
    </row>
    <row r="2784" spans="1:6" ht="16" customHeight="1" x14ac:dyDescent="0.45">
      <c r="A2784" s="19" t="s">
        <v>5684</v>
      </c>
      <c r="B2784" s="20" t="s">
        <v>5685</v>
      </c>
      <c r="C2784" s="21">
        <v>77000</v>
      </c>
      <c r="D2784" s="22"/>
      <c r="E2784" s="23">
        <v>-3.1400001049041747E-2</v>
      </c>
      <c r="F2784" s="24" t="s">
        <v>128</v>
      </c>
    </row>
    <row r="2785" spans="1:6" ht="16" customHeight="1" x14ac:dyDescent="0.45">
      <c r="A2785" s="19" t="s">
        <v>5686</v>
      </c>
      <c r="B2785" s="20" t="s">
        <v>5687</v>
      </c>
      <c r="C2785" s="21">
        <v>7910</v>
      </c>
      <c r="D2785" s="22"/>
      <c r="E2785" s="23">
        <v>-1.6200000047683721E-2</v>
      </c>
      <c r="F2785" s="24" t="s">
        <v>125</v>
      </c>
    </row>
    <row r="2786" spans="1:6" ht="16" customHeight="1" x14ac:dyDescent="0.45">
      <c r="A2786" s="19" t="s">
        <v>5688</v>
      </c>
      <c r="B2786" s="20" t="s">
        <v>5689</v>
      </c>
      <c r="C2786" s="21">
        <v>7770</v>
      </c>
      <c r="D2786" s="22"/>
      <c r="E2786" s="23">
        <v>-2.1400001049041752E-2</v>
      </c>
      <c r="F2786" s="24" t="s">
        <v>125</v>
      </c>
    </row>
    <row r="2787" spans="1:6" ht="16" customHeight="1" x14ac:dyDescent="0.45">
      <c r="A2787" s="19" t="s">
        <v>5690</v>
      </c>
      <c r="B2787" s="20" t="s">
        <v>5691</v>
      </c>
      <c r="C2787" s="21">
        <v>9610</v>
      </c>
      <c r="D2787" s="22"/>
      <c r="E2787" s="23">
        <v>-1.6399999856948851E-2</v>
      </c>
      <c r="F2787" s="24" t="s">
        <v>125</v>
      </c>
    </row>
    <row r="2788" spans="1:6" ht="16" customHeight="1" x14ac:dyDescent="0.45">
      <c r="A2788" s="19" t="s">
        <v>5692</v>
      </c>
      <c r="B2788" s="20" t="s">
        <v>5693</v>
      </c>
      <c r="C2788" s="21">
        <v>2450</v>
      </c>
      <c r="D2788" s="22"/>
      <c r="E2788" s="23">
        <v>0.2996999931335449</v>
      </c>
      <c r="F2788" s="24" t="s">
        <v>125</v>
      </c>
    </row>
    <row r="2789" spans="1:6" ht="16" customHeight="1" x14ac:dyDescent="0.45">
      <c r="A2789" s="19" t="s">
        <v>5694</v>
      </c>
      <c r="B2789" s="20" t="s">
        <v>5695</v>
      </c>
      <c r="C2789" s="21">
        <v>6410</v>
      </c>
      <c r="D2789" s="22"/>
      <c r="E2789" s="23">
        <v>-1.230000019073486E-2</v>
      </c>
      <c r="F2789" s="24" t="s">
        <v>128</v>
      </c>
    </row>
    <row r="2790" spans="1:6" ht="16" customHeight="1" x14ac:dyDescent="0.45">
      <c r="A2790" s="19" t="s">
        <v>5696</v>
      </c>
      <c r="B2790" s="20" t="s">
        <v>5697</v>
      </c>
      <c r="C2790" s="21">
        <v>1886</v>
      </c>
      <c r="D2790" s="22"/>
      <c r="E2790" s="23">
        <v>-1.8700000047683719E-2</v>
      </c>
      <c r="F2790" s="24" t="s">
        <v>125</v>
      </c>
    </row>
    <row r="2791" spans="1:6" ht="16" customHeight="1" x14ac:dyDescent="0.45">
      <c r="A2791" s="19" t="s">
        <v>5698</v>
      </c>
      <c r="B2791" s="20" t="s">
        <v>5699</v>
      </c>
      <c r="C2791" s="21">
        <v>1199</v>
      </c>
      <c r="D2791" s="22"/>
      <c r="E2791" s="23">
        <v>0</v>
      </c>
      <c r="F2791" s="24" t="s">
        <v>128</v>
      </c>
    </row>
    <row r="2792" spans="1:6" ht="16" customHeight="1" x14ac:dyDescent="0.45">
      <c r="A2792" s="19" t="s">
        <v>5700</v>
      </c>
      <c r="B2792" s="20" t="s">
        <v>5701</v>
      </c>
      <c r="C2792" s="21">
        <v>1076</v>
      </c>
      <c r="D2792" s="22"/>
      <c r="E2792" s="23">
        <v>-4.6000000834465031E-3</v>
      </c>
      <c r="F2792" s="24" t="s">
        <v>125</v>
      </c>
    </row>
    <row r="2793" spans="1:6" ht="16" customHeight="1" x14ac:dyDescent="0.45">
      <c r="A2793" s="19" t="s">
        <v>5702</v>
      </c>
      <c r="B2793" s="20" t="s">
        <v>5703</v>
      </c>
      <c r="C2793" s="21">
        <v>20650</v>
      </c>
      <c r="D2793" s="22"/>
      <c r="E2793" s="23">
        <v>-7.2000002861022953E-3</v>
      </c>
      <c r="F2793" s="24" t="s">
        <v>125</v>
      </c>
    </row>
    <row r="2794" spans="1:6" ht="16" customHeight="1" x14ac:dyDescent="0.45">
      <c r="A2794" s="19" t="s">
        <v>5704</v>
      </c>
      <c r="B2794" s="20" t="s">
        <v>5705</v>
      </c>
      <c r="C2794" s="21">
        <v>36450</v>
      </c>
      <c r="D2794" s="22"/>
      <c r="E2794" s="23">
        <v>7.8400001525878907E-2</v>
      </c>
      <c r="F2794" s="24" t="s">
        <v>125</v>
      </c>
    </row>
    <row r="2795" spans="1:6" ht="16" customHeight="1" x14ac:dyDescent="0.45">
      <c r="A2795" s="19" t="s">
        <v>5706</v>
      </c>
      <c r="B2795" s="20" t="s">
        <v>5707</v>
      </c>
      <c r="C2795" s="21">
        <v>8180</v>
      </c>
      <c r="D2795" s="22"/>
      <c r="E2795" s="23">
        <v>-6.3000001907348627E-2</v>
      </c>
      <c r="F2795" s="24" t="s">
        <v>125</v>
      </c>
    </row>
    <row r="2796" spans="1:6" ht="16" customHeight="1" x14ac:dyDescent="0.45">
      <c r="A2796" s="19" t="s">
        <v>5708</v>
      </c>
      <c r="B2796" s="20" t="s">
        <v>5709</v>
      </c>
      <c r="C2796" s="21">
        <v>164200</v>
      </c>
      <c r="D2796" s="22"/>
      <c r="E2796" s="23">
        <v>3.0099999904632569E-2</v>
      </c>
      <c r="F2796" s="24" t="s">
        <v>128</v>
      </c>
    </row>
    <row r="2797" spans="1:6" ht="16" customHeight="1" x14ac:dyDescent="0.45">
      <c r="A2797" s="19" t="s">
        <v>5710</v>
      </c>
      <c r="B2797" s="20" t="s">
        <v>5711</v>
      </c>
      <c r="C2797" s="21">
        <v>73200</v>
      </c>
      <c r="D2797" s="22"/>
      <c r="E2797" s="23">
        <v>-5.4000002145767213E-3</v>
      </c>
      <c r="F2797" s="24" t="s">
        <v>128</v>
      </c>
    </row>
    <row r="2798" spans="1:6" ht="16" customHeight="1" x14ac:dyDescent="0.45">
      <c r="A2798" s="19" t="s">
        <v>5712</v>
      </c>
      <c r="B2798" s="20" t="s">
        <v>5713</v>
      </c>
      <c r="C2798" s="21">
        <v>5610</v>
      </c>
      <c r="D2798" s="22"/>
      <c r="E2798" s="23">
        <v>-2.4300000667572021E-2</v>
      </c>
      <c r="F2798" s="24" t="s">
        <v>125</v>
      </c>
    </row>
    <row r="2799" spans="1:6" ht="16" customHeight="1" x14ac:dyDescent="0.45">
      <c r="A2799" s="19" t="s">
        <v>5714</v>
      </c>
      <c r="B2799" s="20" t="s">
        <v>5715</v>
      </c>
      <c r="C2799" s="21">
        <v>16140</v>
      </c>
      <c r="D2799" s="22"/>
      <c r="E2799" s="23">
        <v>-1.2799999713897701E-2</v>
      </c>
      <c r="F2799" s="24" t="s">
        <v>128</v>
      </c>
    </row>
    <row r="2800" spans="1:6" ht="16" customHeight="1" x14ac:dyDescent="0.45">
      <c r="A2800" s="19" t="s">
        <v>5716</v>
      </c>
      <c r="B2800" s="20" t="s">
        <v>5717</v>
      </c>
      <c r="C2800" s="21">
        <v>222000</v>
      </c>
      <c r="D2800" s="22"/>
      <c r="E2800" s="23">
        <v>-1.549999952316284E-2</v>
      </c>
      <c r="F2800" s="24" t="s">
        <v>128</v>
      </c>
    </row>
    <row r="2801" spans="1:6" ht="16" customHeight="1" x14ac:dyDescent="0.45">
      <c r="A2801" s="19" t="s">
        <v>5718</v>
      </c>
      <c r="B2801" s="20" t="s">
        <v>5719</v>
      </c>
      <c r="C2801" s="21">
        <v>259000</v>
      </c>
      <c r="D2801" s="22"/>
      <c r="E2801" s="23">
        <v>-3.7200000286102292E-2</v>
      </c>
      <c r="F2801" s="24" t="s">
        <v>128</v>
      </c>
    </row>
    <row r="2802" spans="1:6" ht="16" customHeight="1" x14ac:dyDescent="0.45">
      <c r="A2802" s="19" t="s">
        <v>5720</v>
      </c>
      <c r="B2802" s="20" t="s">
        <v>5721</v>
      </c>
      <c r="C2802" s="21">
        <v>7910</v>
      </c>
      <c r="D2802" s="22"/>
      <c r="E2802" s="23">
        <v>-1.8600000143051149E-2</v>
      </c>
      <c r="F2802" s="24" t="s">
        <v>128</v>
      </c>
    </row>
    <row r="2803" spans="1:6" ht="16" customHeight="1" x14ac:dyDescent="0.45">
      <c r="A2803" s="19" t="s">
        <v>5722</v>
      </c>
      <c r="B2803" s="20" t="s">
        <v>5723</v>
      </c>
      <c r="C2803" s="21">
        <v>433000</v>
      </c>
      <c r="D2803" s="22"/>
      <c r="E2803" s="23">
        <v>3.4999999403953551E-3</v>
      </c>
      <c r="F2803" s="24" t="s">
        <v>128</v>
      </c>
    </row>
    <row r="2804" spans="1:6" ht="16" customHeight="1" x14ac:dyDescent="0.45">
      <c r="A2804" s="19" t="s">
        <v>5724</v>
      </c>
      <c r="B2804" s="20" t="s">
        <v>5725</v>
      </c>
      <c r="C2804" s="21">
        <v>31250</v>
      </c>
      <c r="D2804" s="22"/>
      <c r="E2804" s="23">
        <v>-3.7000000476837158E-2</v>
      </c>
      <c r="F2804" s="24" t="s">
        <v>125</v>
      </c>
    </row>
    <row r="2805" spans="1:6" ht="16" customHeight="1" x14ac:dyDescent="0.45">
      <c r="A2805" s="19" t="s">
        <v>5726</v>
      </c>
      <c r="B2805" s="20" t="s">
        <v>5727</v>
      </c>
      <c r="C2805" s="21">
        <v>13840</v>
      </c>
      <c r="D2805" s="22"/>
      <c r="E2805" s="23">
        <v>-3.8900001049041753E-2</v>
      </c>
      <c r="F2805" s="24" t="s">
        <v>125</v>
      </c>
    </row>
    <row r="2806" spans="1:6" ht="16" customHeight="1" x14ac:dyDescent="0.45">
      <c r="A2806" s="19" t="s">
        <v>5728</v>
      </c>
      <c r="B2806" s="20" t="s">
        <v>5729</v>
      </c>
      <c r="C2806" s="21">
        <v>4455</v>
      </c>
      <c r="D2806" s="22"/>
      <c r="E2806" s="23">
        <v>-3.3599998950958249E-2</v>
      </c>
      <c r="F2806" s="24" t="s">
        <v>125</v>
      </c>
    </row>
    <row r="2807" spans="1:6" ht="16" customHeight="1" x14ac:dyDescent="0.45">
      <c r="A2807" s="19" t="s">
        <v>5730</v>
      </c>
      <c r="B2807" s="20" t="s">
        <v>5731</v>
      </c>
      <c r="C2807" s="21">
        <v>110800</v>
      </c>
      <c r="D2807" s="22"/>
      <c r="E2807" s="23">
        <v>-8.1000000238418586E-3</v>
      </c>
      <c r="F2807" s="24" t="s">
        <v>128</v>
      </c>
    </row>
    <row r="2808" spans="1:6" ht="16" customHeight="1" x14ac:dyDescent="0.45">
      <c r="A2808" s="19" t="s">
        <v>5732</v>
      </c>
      <c r="B2808" s="20" t="s">
        <v>5733</v>
      </c>
      <c r="C2808" s="21">
        <v>17470</v>
      </c>
      <c r="D2808" s="22"/>
      <c r="E2808" s="23">
        <v>-1.700000017881394E-3</v>
      </c>
      <c r="F2808" s="24" t="s">
        <v>128</v>
      </c>
    </row>
    <row r="2809" spans="1:6" ht="16" customHeight="1" x14ac:dyDescent="0.45">
      <c r="A2809" s="19" t="s">
        <v>5734</v>
      </c>
      <c r="B2809" s="20" t="s">
        <v>5735</v>
      </c>
      <c r="C2809" s="21">
        <v>994</v>
      </c>
      <c r="D2809" s="22"/>
      <c r="E2809" s="23">
        <v>0</v>
      </c>
      <c r="F2809" s="24" t="s">
        <v>125</v>
      </c>
    </row>
    <row r="2810" spans="1:6" ht="16" customHeight="1" x14ac:dyDescent="0.45">
      <c r="A2810" s="19" t="s">
        <v>5736</v>
      </c>
      <c r="B2810" s="20" t="s">
        <v>5737</v>
      </c>
      <c r="C2810" s="21">
        <v>8290</v>
      </c>
      <c r="D2810" s="22"/>
      <c r="E2810" s="23">
        <v>-3.490000009536743E-2</v>
      </c>
      <c r="F2810" s="24" t="s">
        <v>128</v>
      </c>
    </row>
    <row r="2811" spans="1:6" ht="16" customHeight="1" x14ac:dyDescent="0.45">
      <c r="A2811" s="19" t="s">
        <v>5738</v>
      </c>
      <c r="B2811" s="20" t="s">
        <v>5739</v>
      </c>
      <c r="C2811" s="21">
        <v>9130</v>
      </c>
      <c r="D2811" s="22"/>
      <c r="E2811" s="23">
        <v>-2.0399999618530271E-2</v>
      </c>
      <c r="F2811" s="24" t="s">
        <v>125</v>
      </c>
    </row>
    <row r="2812" spans="1:6" ht="16" customHeight="1" x14ac:dyDescent="0.45">
      <c r="A2812" s="19" t="s">
        <v>5740</v>
      </c>
      <c r="B2812" s="20" t="s">
        <v>5741</v>
      </c>
      <c r="C2812" s="21">
        <v>10840</v>
      </c>
      <c r="D2812" s="22"/>
      <c r="E2812" s="23">
        <v>-1.7200000286102291E-2</v>
      </c>
      <c r="F2812" s="24" t="s">
        <v>125</v>
      </c>
    </row>
    <row r="2813" spans="1:6" ht="16" customHeight="1" x14ac:dyDescent="0.45">
      <c r="A2813" s="19" t="s">
        <v>5742</v>
      </c>
      <c r="B2813" s="20" t="s">
        <v>5743</v>
      </c>
      <c r="C2813" s="21">
        <v>97400</v>
      </c>
      <c r="D2813" s="22"/>
      <c r="E2813" s="23">
        <v>-2.700000047683716E-2</v>
      </c>
      <c r="F2813" s="24" t="s">
        <v>128</v>
      </c>
    </row>
    <row r="2814" spans="1:6" ht="16" customHeight="1" x14ac:dyDescent="0.45">
      <c r="A2814" s="19" t="s">
        <v>5744</v>
      </c>
      <c r="B2814" s="20" t="s">
        <v>5745</v>
      </c>
      <c r="C2814" s="21">
        <v>441000</v>
      </c>
      <c r="D2814" s="22"/>
      <c r="E2814" s="23">
        <v>-1.120000004768372E-2</v>
      </c>
      <c r="F2814" s="24" t="s">
        <v>128</v>
      </c>
    </row>
    <row r="2815" spans="1:6" ht="16" customHeight="1" x14ac:dyDescent="0.45">
      <c r="A2815" s="19" t="s">
        <v>5746</v>
      </c>
      <c r="B2815" s="20" t="s">
        <v>5747</v>
      </c>
      <c r="C2815" s="21">
        <v>82300</v>
      </c>
      <c r="D2815" s="22"/>
      <c r="E2815" s="23">
        <v>-7.2000002861022953E-3</v>
      </c>
      <c r="F2815" s="24" t="s">
        <v>128</v>
      </c>
    </row>
    <row r="2816" spans="1:6" ht="16" customHeight="1" x14ac:dyDescent="0.45">
      <c r="A2816" s="19" t="s">
        <v>5748</v>
      </c>
      <c r="B2816" s="20" t="s">
        <v>5749</v>
      </c>
      <c r="C2816" s="21">
        <v>6190</v>
      </c>
      <c r="D2816" s="22"/>
      <c r="E2816" s="23">
        <v>-3.5799999237060537E-2</v>
      </c>
      <c r="F2816" s="24" t="s">
        <v>125</v>
      </c>
    </row>
    <row r="2817" spans="1:6" ht="16" customHeight="1" x14ac:dyDescent="0.45">
      <c r="A2817" s="19" t="s">
        <v>5750</v>
      </c>
      <c r="B2817" s="20" t="s">
        <v>5751</v>
      </c>
      <c r="C2817" s="21">
        <v>42450</v>
      </c>
      <c r="D2817" s="22"/>
      <c r="E2817" s="23">
        <v>-1.389999985694885E-2</v>
      </c>
      <c r="F2817" s="24" t="s">
        <v>128</v>
      </c>
    </row>
    <row r="2818" spans="1:6" ht="16" customHeight="1" x14ac:dyDescent="0.45">
      <c r="A2818" s="19" t="s">
        <v>5752</v>
      </c>
      <c r="B2818" s="20" t="s">
        <v>5753</v>
      </c>
      <c r="C2818" s="21">
        <v>14760</v>
      </c>
      <c r="D2818" s="22"/>
      <c r="E2818" s="23">
        <v>2.7000001072883611E-3</v>
      </c>
      <c r="F2818" s="24" t="s">
        <v>128</v>
      </c>
    </row>
    <row r="2819" spans="1:6" ht="16" customHeight="1" x14ac:dyDescent="0.45">
      <c r="A2819" s="19" t="s">
        <v>5754</v>
      </c>
      <c r="B2819" s="20" t="s">
        <v>5755</v>
      </c>
      <c r="C2819" s="21">
        <v>549000</v>
      </c>
      <c r="D2819" s="22"/>
      <c r="E2819" s="23">
        <v>1.8600000143051149E-2</v>
      </c>
      <c r="F2819" s="24" t="s">
        <v>128</v>
      </c>
    </row>
    <row r="2820" spans="1:6" ht="16" customHeight="1" x14ac:dyDescent="0.45">
      <c r="A2820" s="19" t="s">
        <v>5756</v>
      </c>
      <c r="B2820" s="20" t="s">
        <v>5757</v>
      </c>
      <c r="C2820" s="21">
        <v>252000</v>
      </c>
      <c r="D2820" s="22"/>
      <c r="E2820" s="23">
        <v>0.01</v>
      </c>
      <c r="F2820" s="24" t="s">
        <v>128</v>
      </c>
    </row>
    <row r="2821" spans="1:6" ht="16" customHeight="1" x14ac:dyDescent="0.45">
      <c r="A2821" s="19" t="s">
        <v>5758</v>
      </c>
      <c r="B2821" s="20" t="s">
        <v>5759</v>
      </c>
      <c r="C2821" s="21">
        <v>243500</v>
      </c>
      <c r="D2821" s="22"/>
      <c r="E2821" s="23">
        <v>1.039999961853027E-2</v>
      </c>
      <c r="F2821" s="24" t="s">
        <v>128</v>
      </c>
    </row>
    <row r="2822" spans="1:6" ht="16" customHeight="1" x14ac:dyDescent="0.45">
      <c r="A2822" s="19" t="s">
        <v>5760</v>
      </c>
      <c r="B2822" s="20" t="s">
        <v>5761</v>
      </c>
      <c r="C2822" s="21">
        <v>253000</v>
      </c>
      <c r="D2822" s="22"/>
      <c r="E2822" s="23">
        <v>1.6100000143051151E-2</v>
      </c>
      <c r="F2822" s="24" t="s">
        <v>128</v>
      </c>
    </row>
    <row r="2823" spans="1:6" ht="16" customHeight="1" x14ac:dyDescent="0.45">
      <c r="A2823" s="19" t="s">
        <v>5762</v>
      </c>
      <c r="B2823" s="20" t="s">
        <v>5763</v>
      </c>
      <c r="C2823" s="21">
        <v>12900</v>
      </c>
      <c r="D2823" s="22"/>
      <c r="E2823" s="23">
        <v>0.10729999542236331</v>
      </c>
      <c r="F2823" s="24" t="s">
        <v>128</v>
      </c>
    </row>
    <row r="2824" spans="1:6" ht="16" customHeight="1" x14ac:dyDescent="0.45">
      <c r="A2824" s="19" t="s">
        <v>5764</v>
      </c>
      <c r="B2824" s="20" t="s">
        <v>5765</v>
      </c>
      <c r="C2824" s="21">
        <v>29450</v>
      </c>
      <c r="D2824" s="22"/>
      <c r="E2824" s="23">
        <v>-2.1600000858306889E-2</v>
      </c>
      <c r="F2824" s="24" t="s">
        <v>128</v>
      </c>
    </row>
    <row r="2825" spans="1:6" ht="16" customHeight="1" x14ac:dyDescent="0.45">
      <c r="A2825" s="19" t="s">
        <v>5766</v>
      </c>
      <c r="B2825" s="20" t="s">
        <v>5767</v>
      </c>
      <c r="C2825" s="21">
        <v>13950</v>
      </c>
      <c r="D2825" s="22"/>
      <c r="E2825" s="23">
        <v>-1.6900000572204591E-2</v>
      </c>
      <c r="F2825" s="24" t="s">
        <v>128</v>
      </c>
    </row>
    <row r="2826" spans="1:6" ht="16" customHeight="1" x14ac:dyDescent="0.45">
      <c r="A2826" s="19" t="s">
        <v>5768</v>
      </c>
      <c r="B2826" s="20" t="s">
        <v>5769</v>
      </c>
      <c r="C2826" s="21">
        <v>3250</v>
      </c>
      <c r="D2826" s="22"/>
      <c r="E2826" s="23">
        <v>-2.4000000953674321E-2</v>
      </c>
      <c r="F2826" s="24" t="s">
        <v>128</v>
      </c>
    </row>
    <row r="2827" spans="1:6" ht="16" customHeight="1" x14ac:dyDescent="0.45">
      <c r="A2827" s="19" t="s">
        <v>5770</v>
      </c>
      <c r="B2827" s="20" t="s">
        <v>5771</v>
      </c>
      <c r="C2827" s="21">
        <v>31150</v>
      </c>
      <c r="D2827" s="22"/>
      <c r="E2827" s="23">
        <v>-3.1999999284744261E-3</v>
      </c>
      <c r="F2827" s="24" t="s">
        <v>128</v>
      </c>
    </row>
    <row r="2828" spans="1:6" ht="16" customHeight="1" x14ac:dyDescent="0.45">
      <c r="A2828" s="19" t="s">
        <v>5772</v>
      </c>
      <c r="B2828" s="20" t="s">
        <v>5773</v>
      </c>
      <c r="C2828" s="21">
        <v>86200</v>
      </c>
      <c r="D2828" s="22"/>
      <c r="E2828" s="23">
        <v>8.199999928474427E-3</v>
      </c>
      <c r="F2828" s="24" t="s">
        <v>128</v>
      </c>
    </row>
    <row r="2829" spans="1:6" ht="16" customHeight="1" x14ac:dyDescent="0.45">
      <c r="A2829" s="19" t="s">
        <v>5774</v>
      </c>
      <c r="B2829" s="20" t="s">
        <v>5775</v>
      </c>
      <c r="C2829" s="21">
        <v>19990</v>
      </c>
      <c r="D2829" s="22"/>
      <c r="E2829" s="23">
        <v>-5.5000001192092897E-3</v>
      </c>
      <c r="F2829" s="24" t="s">
        <v>125</v>
      </c>
    </row>
    <row r="2830" spans="1:6" ht="16" customHeight="1" x14ac:dyDescent="0.45">
      <c r="A2830" s="19" t="s">
        <v>5776</v>
      </c>
      <c r="B2830" s="20" t="s">
        <v>5777</v>
      </c>
      <c r="C2830" s="21">
        <v>3905</v>
      </c>
      <c r="D2830" s="22"/>
      <c r="E2830" s="23">
        <v>0</v>
      </c>
      <c r="F2830" s="24" t="s">
        <v>125</v>
      </c>
    </row>
    <row r="2831" spans="1:6" ht="16" customHeight="1" x14ac:dyDescent="0.45">
      <c r="A2831" s="19" t="s">
        <v>5778</v>
      </c>
      <c r="B2831" s="20" t="s">
        <v>5779</v>
      </c>
      <c r="C2831" s="21">
        <v>435</v>
      </c>
      <c r="D2831" s="22"/>
      <c r="E2831" s="23">
        <v>0</v>
      </c>
      <c r="F2831" s="24" t="s">
        <v>125</v>
      </c>
    </row>
    <row r="2832" spans="1:6" ht="16" customHeight="1" x14ac:dyDescent="0.45">
      <c r="A2832" s="19" t="s">
        <v>5780</v>
      </c>
      <c r="B2832" s="20" t="s">
        <v>5781</v>
      </c>
      <c r="C2832" s="21">
        <v>932</v>
      </c>
      <c r="D2832" s="22"/>
      <c r="E2832" s="23">
        <v>-2.9200000762939451E-2</v>
      </c>
      <c r="F2832" s="24" t="s">
        <v>125</v>
      </c>
    </row>
    <row r="2833" spans="1:6" ht="16" customHeight="1" x14ac:dyDescent="0.45">
      <c r="A2833" s="19" t="s">
        <v>5782</v>
      </c>
      <c r="B2833" s="20" t="s">
        <v>5783</v>
      </c>
      <c r="C2833" s="21">
        <v>921</v>
      </c>
      <c r="D2833" s="22"/>
      <c r="E2833" s="23">
        <v>-3.559999942779541E-2</v>
      </c>
      <c r="F2833" s="24" t="s">
        <v>128</v>
      </c>
    </row>
    <row r="2834" spans="1:6" ht="16" customHeight="1" x14ac:dyDescent="0.45">
      <c r="A2834" s="19" t="s">
        <v>5784</v>
      </c>
      <c r="B2834" s="20" t="s">
        <v>5785</v>
      </c>
      <c r="C2834" s="21">
        <v>6970</v>
      </c>
      <c r="D2834" s="22"/>
      <c r="E2834" s="23">
        <v>-3.9900000095367427E-2</v>
      </c>
      <c r="F2834" s="24" t="s">
        <v>128</v>
      </c>
    </row>
    <row r="2835" spans="1:6" ht="16" customHeight="1" x14ac:dyDescent="0.45">
      <c r="A2835" s="19" t="s">
        <v>5786</v>
      </c>
      <c r="B2835" s="20" t="s">
        <v>5787</v>
      </c>
      <c r="C2835" s="21">
        <v>7650</v>
      </c>
      <c r="D2835" s="22"/>
      <c r="E2835" s="23">
        <v>-2.420000076293945E-2</v>
      </c>
      <c r="F2835" s="24" t="s">
        <v>128</v>
      </c>
    </row>
    <row r="2836" spans="1:6" ht="16" customHeight="1" x14ac:dyDescent="0.45">
      <c r="A2836" s="19" t="s">
        <v>5788</v>
      </c>
      <c r="B2836" s="20" t="s">
        <v>5789</v>
      </c>
      <c r="C2836" s="21">
        <v>64500</v>
      </c>
      <c r="D2836" s="22"/>
      <c r="E2836" s="23">
        <v>-4.6000000834465031E-3</v>
      </c>
      <c r="F2836" s="24" t="s">
        <v>128</v>
      </c>
    </row>
    <row r="2837" spans="1:6" ht="16" customHeight="1" x14ac:dyDescent="0.45">
      <c r="A2837" s="19" t="s">
        <v>5790</v>
      </c>
      <c r="B2837" s="20" t="s">
        <v>5791</v>
      </c>
      <c r="C2837" s="21">
        <v>39750</v>
      </c>
      <c r="D2837" s="22"/>
      <c r="E2837" s="23">
        <v>-5.0000000000000001E-3</v>
      </c>
      <c r="F2837" s="24" t="s">
        <v>128</v>
      </c>
    </row>
    <row r="2838" spans="1:6" ht="16" customHeight="1" x14ac:dyDescent="0.45">
      <c r="A2838" s="19" t="s">
        <v>5792</v>
      </c>
      <c r="B2838" s="20" t="s">
        <v>5793</v>
      </c>
      <c r="C2838" s="21">
        <v>2115</v>
      </c>
      <c r="D2838" s="22"/>
      <c r="E2838" s="23">
        <v>-0.06</v>
      </c>
      <c r="F2838" s="24" t="s">
        <v>125</v>
      </c>
    </row>
    <row r="2839" spans="1:6" ht="16" customHeight="1" x14ac:dyDescent="0.45">
      <c r="A2839" s="19" t="s">
        <v>5794</v>
      </c>
      <c r="B2839" s="20" t="s">
        <v>5795</v>
      </c>
      <c r="C2839" s="21">
        <v>9750</v>
      </c>
      <c r="D2839" s="22"/>
      <c r="E2839" s="23">
        <v>1.350000023841858E-2</v>
      </c>
      <c r="F2839" s="24" t="s">
        <v>125</v>
      </c>
    </row>
    <row r="2840" spans="1:6" ht="16" customHeight="1" x14ac:dyDescent="0.45">
      <c r="A2840" s="19" t="s">
        <v>5796</v>
      </c>
      <c r="B2840" s="20" t="s">
        <v>5797</v>
      </c>
      <c r="C2840" s="21">
        <v>3485</v>
      </c>
      <c r="D2840" s="22"/>
      <c r="E2840" s="23">
        <v>-2.1099998950958251E-2</v>
      </c>
      <c r="F2840" s="24" t="s">
        <v>128</v>
      </c>
    </row>
    <row r="2841" spans="1:6" ht="16" customHeight="1" x14ac:dyDescent="0.45">
      <c r="A2841" s="19" t="s">
        <v>5798</v>
      </c>
      <c r="B2841" s="20" t="s">
        <v>5799</v>
      </c>
      <c r="C2841" s="21">
        <v>4710</v>
      </c>
      <c r="D2841" s="22"/>
      <c r="E2841" s="23">
        <v>-3.3800001144409182E-2</v>
      </c>
      <c r="F2841" s="24" t="s">
        <v>128</v>
      </c>
    </row>
    <row r="2842" spans="1:6" ht="16" customHeight="1" x14ac:dyDescent="0.45">
      <c r="A2842" s="19" t="s">
        <v>5800</v>
      </c>
      <c r="B2842" s="20" t="s">
        <v>5801</v>
      </c>
      <c r="C2842" s="21">
        <v>3405</v>
      </c>
      <c r="D2842" s="22"/>
      <c r="E2842" s="23">
        <v>-3.130000114440918E-2</v>
      </c>
      <c r="F2842" s="24" t="s">
        <v>128</v>
      </c>
    </row>
    <row r="2843" spans="1:6" ht="16" customHeight="1" x14ac:dyDescent="0.45">
      <c r="A2843" s="19" t="s">
        <v>5802</v>
      </c>
      <c r="B2843" s="20" t="s">
        <v>5803</v>
      </c>
      <c r="C2843" s="21">
        <v>3315</v>
      </c>
      <c r="D2843" s="22"/>
      <c r="E2843" s="23">
        <v>-1.4900000095367429E-2</v>
      </c>
      <c r="F2843" s="24" t="s">
        <v>128</v>
      </c>
    </row>
    <row r="2844" spans="1:6" ht="16" customHeight="1" x14ac:dyDescent="0.45">
      <c r="A2844" s="19" t="s">
        <v>5804</v>
      </c>
      <c r="B2844" s="20" t="s">
        <v>5805</v>
      </c>
      <c r="C2844" s="21">
        <v>12270</v>
      </c>
      <c r="D2844" s="22"/>
      <c r="E2844" s="23">
        <v>-1.2899999618530269E-2</v>
      </c>
      <c r="F2844" s="24" t="s">
        <v>128</v>
      </c>
    </row>
    <row r="2845" spans="1:6" ht="16" customHeight="1" x14ac:dyDescent="0.45">
      <c r="A2845" s="19" t="s">
        <v>5806</v>
      </c>
      <c r="B2845" s="20" t="s">
        <v>5807</v>
      </c>
      <c r="C2845" s="21">
        <v>1603</v>
      </c>
      <c r="D2845" s="22"/>
      <c r="E2845" s="23">
        <v>2.2300000190734859E-2</v>
      </c>
      <c r="F2845" s="24" t="s">
        <v>125</v>
      </c>
    </row>
    <row r="2846" spans="1:6" ht="16" customHeight="1" x14ac:dyDescent="0.45">
      <c r="A2846" s="19" t="s">
        <v>5808</v>
      </c>
      <c r="B2846" s="20" t="s">
        <v>5809</v>
      </c>
      <c r="C2846" s="21">
        <v>1518</v>
      </c>
      <c r="D2846" s="22"/>
      <c r="E2846" s="23">
        <v>-5.070000171661377E-2</v>
      </c>
      <c r="F2846" s="24" t="s">
        <v>128</v>
      </c>
    </row>
    <row r="2847" spans="1:6" ht="16" customHeight="1" x14ac:dyDescent="0.45">
      <c r="A2847" s="19" t="s">
        <v>5810</v>
      </c>
      <c r="B2847" s="20" t="s">
        <v>5811</v>
      </c>
      <c r="C2847" s="21">
        <v>6980</v>
      </c>
      <c r="D2847" s="22"/>
      <c r="E2847" s="23">
        <v>3.2500000000000001E-2</v>
      </c>
      <c r="F2847" s="24" t="s">
        <v>125</v>
      </c>
    </row>
    <row r="2848" spans="1:6" ht="16" customHeight="1" x14ac:dyDescent="0.45">
      <c r="A2848" s="19" t="s">
        <v>5812</v>
      </c>
      <c r="B2848" s="20" t="s">
        <v>5813</v>
      </c>
      <c r="C2848" s="21">
        <v>8400</v>
      </c>
      <c r="D2848" s="22"/>
      <c r="E2848" s="23">
        <v>-6.9800000190734859E-2</v>
      </c>
      <c r="F2848" s="24" t="s">
        <v>125</v>
      </c>
    </row>
    <row r="2849" spans="1:6" ht="16" customHeight="1" x14ac:dyDescent="0.45">
      <c r="A2849" s="19" t="s">
        <v>5814</v>
      </c>
      <c r="B2849" s="20" t="s">
        <v>5815</v>
      </c>
      <c r="C2849" s="21">
        <v>4605</v>
      </c>
      <c r="D2849" s="22"/>
      <c r="E2849" s="23">
        <v>-2.5399999618530279E-2</v>
      </c>
      <c r="F2849" s="24" t="s">
        <v>128</v>
      </c>
    </row>
    <row r="2850" spans="1:6" ht="16" customHeight="1" x14ac:dyDescent="0.45">
      <c r="A2850" s="19" t="s">
        <v>5816</v>
      </c>
      <c r="B2850" s="20" t="s">
        <v>5817</v>
      </c>
      <c r="C2850" s="21">
        <v>37800</v>
      </c>
      <c r="D2850" s="22"/>
      <c r="E2850" s="23">
        <v>-2.700000047683716E-2</v>
      </c>
      <c r="F2850" s="24" t="s">
        <v>128</v>
      </c>
    </row>
    <row r="2851" spans="1:6" ht="16" customHeight="1" x14ac:dyDescent="0.45">
      <c r="A2851" s="19" t="s">
        <v>5818</v>
      </c>
      <c r="B2851" s="20" t="s">
        <v>5819</v>
      </c>
      <c r="C2851" s="21">
        <v>11610</v>
      </c>
      <c r="D2851" s="22"/>
      <c r="E2851" s="23">
        <v>-2.6800000667572019E-2</v>
      </c>
      <c r="F2851" s="24" t="s">
        <v>128</v>
      </c>
    </row>
    <row r="2852" spans="1:6" ht="16" customHeight="1" x14ac:dyDescent="0.45">
      <c r="A2852" s="19" t="s">
        <v>5820</v>
      </c>
      <c r="B2852" s="20" t="s">
        <v>5821</v>
      </c>
      <c r="C2852" s="21">
        <v>6230</v>
      </c>
      <c r="D2852" s="22"/>
      <c r="E2852" s="23">
        <v>-1.2699999809265139E-2</v>
      </c>
      <c r="F2852" s="24" t="s">
        <v>128</v>
      </c>
    </row>
    <row r="2853" spans="1:6" ht="16" customHeight="1" x14ac:dyDescent="0.45">
      <c r="A2853" s="19" t="s">
        <v>5822</v>
      </c>
      <c r="B2853" s="20" t="s">
        <v>5823</v>
      </c>
      <c r="C2853" s="21">
        <v>253000</v>
      </c>
      <c r="D2853" s="22"/>
      <c r="E2853" s="23">
        <v>0.1447999954223633</v>
      </c>
      <c r="F2853" s="24" t="s">
        <v>128</v>
      </c>
    </row>
    <row r="2854" spans="1:6" ht="16" customHeight="1" x14ac:dyDescent="0.45">
      <c r="A2854" s="19" t="s">
        <v>5824</v>
      </c>
      <c r="B2854" s="20" t="s">
        <v>5825</v>
      </c>
      <c r="C2854" s="21">
        <v>12820</v>
      </c>
      <c r="D2854" s="22"/>
      <c r="E2854" s="23">
        <v>-1.379999995231628E-2</v>
      </c>
      <c r="F2854" s="24" t="s">
        <v>128</v>
      </c>
    </row>
    <row r="2855" spans="1:6" ht="16" customHeight="1" x14ac:dyDescent="0.45">
      <c r="A2855" s="19" t="s">
        <v>5826</v>
      </c>
      <c r="B2855" s="20" t="s">
        <v>5827</v>
      </c>
      <c r="C2855" s="21">
        <v>6600</v>
      </c>
      <c r="D2855" s="22"/>
      <c r="E2855" s="23">
        <v>-2.6500000953674319E-2</v>
      </c>
      <c r="F2855" s="24" t="s">
        <v>125</v>
      </c>
    </row>
    <row r="2856" spans="1:6" ht="16" customHeight="1" x14ac:dyDescent="0.45">
      <c r="A2856" s="19" t="s">
        <v>5828</v>
      </c>
      <c r="B2856" s="20" t="s">
        <v>5829</v>
      </c>
      <c r="C2856" s="21">
        <v>4577000</v>
      </c>
      <c r="D2856" s="22"/>
      <c r="E2856" s="23">
        <v>8.2500000000000004E-2</v>
      </c>
      <c r="F2856" s="24" t="s">
        <v>128</v>
      </c>
    </row>
    <row r="2857" spans="1:6" ht="16" customHeight="1" x14ac:dyDescent="0.45">
      <c r="A2857" s="19" t="s">
        <v>5830</v>
      </c>
      <c r="B2857" s="20" t="s">
        <v>5831</v>
      </c>
      <c r="C2857" s="21">
        <v>512000</v>
      </c>
      <c r="D2857" s="22"/>
      <c r="E2857" s="23">
        <v>0</v>
      </c>
      <c r="F2857" s="24" t="s">
        <v>128</v>
      </c>
    </row>
    <row r="2858" spans="1:6" ht="16" customHeight="1" x14ac:dyDescent="0.45">
      <c r="A2858" s="19" t="s">
        <v>5832</v>
      </c>
      <c r="B2858" s="20" t="s">
        <v>5833</v>
      </c>
      <c r="C2858" s="21">
        <v>38900</v>
      </c>
      <c r="D2858" s="22"/>
      <c r="E2858" s="23">
        <v>0</v>
      </c>
      <c r="F2858" s="24" t="s">
        <v>128</v>
      </c>
    </row>
    <row r="2859" spans="1:6" ht="16" customHeight="1" x14ac:dyDescent="0.45">
      <c r="A2859" s="19" t="s">
        <v>5834</v>
      </c>
      <c r="B2859" s="20" t="s">
        <v>5835</v>
      </c>
      <c r="C2859" s="21">
        <v>14170</v>
      </c>
      <c r="D2859" s="22"/>
      <c r="E2859" s="23">
        <v>2.8000000119209291E-3</v>
      </c>
      <c r="F2859" s="24" t="s">
        <v>128</v>
      </c>
    </row>
    <row r="2860" spans="1:6" ht="16" customHeight="1" x14ac:dyDescent="0.45">
      <c r="A2860" s="19" t="s">
        <v>5836</v>
      </c>
      <c r="B2860" s="20" t="s">
        <v>5837</v>
      </c>
      <c r="C2860" s="21">
        <v>4185</v>
      </c>
      <c r="D2860" s="22"/>
      <c r="E2860" s="23">
        <v>-7.0999997854232794E-3</v>
      </c>
      <c r="F2860" s="24" t="s">
        <v>125</v>
      </c>
    </row>
    <row r="2861" spans="1:6" ht="16" customHeight="1" x14ac:dyDescent="0.45">
      <c r="A2861" s="19" t="s">
        <v>5838</v>
      </c>
      <c r="B2861" s="20" t="s">
        <v>5839</v>
      </c>
      <c r="C2861" s="21">
        <v>8840</v>
      </c>
      <c r="D2861" s="22"/>
      <c r="E2861" s="23">
        <v>-2.0999999046325681E-2</v>
      </c>
      <c r="F2861" s="24" t="s">
        <v>128</v>
      </c>
    </row>
    <row r="2862" spans="1:6" ht="16" customHeight="1" x14ac:dyDescent="0.45">
      <c r="A2862" s="19" t="s">
        <v>5840</v>
      </c>
      <c r="B2862" s="20" t="s">
        <v>5841</v>
      </c>
      <c r="C2862" s="21">
        <v>3340</v>
      </c>
      <c r="D2862" s="22"/>
      <c r="E2862" s="23">
        <v>1.8300000429153439E-2</v>
      </c>
      <c r="F2862" s="24" t="s">
        <v>125</v>
      </c>
    </row>
    <row r="2863" spans="1:6" ht="16" customHeight="1" x14ac:dyDescent="0.45">
      <c r="A2863" s="19" t="s">
        <v>5842</v>
      </c>
      <c r="B2863" s="20" t="s">
        <v>5843</v>
      </c>
      <c r="C2863" s="21">
        <v>12380</v>
      </c>
      <c r="D2863" s="22"/>
      <c r="E2863" s="23">
        <v>-1.039999961853027E-2</v>
      </c>
      <c r="F2863" s="24" t="s">
        <v>125</v>
      </c>
    </row>
    <row r="2864" spans="1:6" ht="16" customHeight="1" x14ac:dyDescent="0.45">
      <c r="A2864" s="19" t="s">
        <v>5844</v>
      </c>
      <c r="B2864" s="20" t="s">
        <v>5845</v>
      </c>
      <c r="C2864" s="21">
        <v>525</v>
      </c>
      <c r="D2864" s="22"/>
      <c r="E2864" s="23">
        <v>0</v>
      </c>
      <c r="F2864" s="24" t="s">
        <v>125</v>
      </c>
    </row>
    <row r="2865" spans="1:6" ht="16" customHeight="1" x14ac:dyDescent="0.45">
      <c r="A2865" s="19" t="s">
        <v>5846</v>
      </c>
      <c r="B2865" s="20" t="s">
        <v>5847</v>
      </c>
      <c r="C2865" s="21">
        <v>801</v>
      </c>
      <c r="D2865" s="22"/>
      <c r="E2865" s="23">
        <v>0</v>
      </c>
      <c r="F2865" s="24" t="s">
        <v>125</v>
      </c>
    </row>
    <row r="2866" spans="1:6" ht="16" customHeight="1" x14ac:dyDescent="0.45">
      <c r="A2866" s="19" t="s">
        <v>5848</v>
      </c>
      <c r="B2866" s="20" t="s">
        <v>5849</v>
      </c>
      <c r="C2866" s="21">
        <v>7630</v>
      </c>
      <c r="D2866" s="22"/>
      <c r="E2866" s="23">
        <v>-0.1289999961853027</v>
      </c>
      <c r="F2866" s="24" t="s">
        <v>125</v>
      </c>
    </row>
    <row r="2867" spans="1:6" ht="16" customHeight="1" x14ac:dyDescent="0.45">
      <c r="A2867" s="19" t="s">
        <v>5850</v>
      </c>
      <c r="B2867" s="20" t="s">
        <v>5851</v>
      </c>
      <c r="C2867" s="21">
        <v>8790</v>
      </c>
      <c r="D2867" s="22"/>
      <c r="E2867" s="23">
        <v>-0.121899995803833</v>
      </c>
      <c r="F2867" s="24" t="s">
        <v>125</v>
      </c>
    </row>
    <row r="2868" spans="1:6" ht="16" customHeight="1" x14ac:dyDescent="0.45">
      <c r="A2868" s="19" t="s">
        <v>5852</v>
      </c>
      <c r="B2868" s="20" t="s">
        <v>5853</v>
      </c>
      <c r="C2868" s="21">
        <v>3810</v>
      </c>
      <c r="D2868" s="22"/>
      <c r="E2868" s="23">
        <v>-1.6799999475479121E-2</v>
      </c>
      <c r="F2868" s="24" t="s">
        <v>125</v>
      </c>
    </row>
    <row r="2869" spans="1:6" ht="16" customHeight="1" x14ac:dyDescent="0.45">
      <c r="A2869" s="19" t="s">
        <v>5854</v>
      </c>
      <c r="B2869" s="20" t="s">
        <v>5855</v>
      </c>
      <c r="C2869" s="21">
        <v>34850</v>
      </c>
      <c r="D2869" s="22"/>
      <c r="E2869" s="23">
        <v>-2.2400000095367429E-2</v>
      </c>
      <c r="F2869" s="24" t="s">
        <v>125</v>
      </c>
    </row>
    <row r="2870" spans="1:6" ht="16" customHeight="1" x14ac:dyDescent="0.45">
      <c r="A2870" s="19" t="s">
        <v>5856</v>
      </c>
      <c r="B2870" s="20" t="s">
        <v>5857</v>
      </c>
      <c r="C2870" s="21">
        <v>3325</v>
      </c>
      <c r="D2870" s="22"/>
      <c r="E2870" s="23">
        <v>-1.7699999809265139E-2</v>
      </c>
      <c r="F2870" s="24" t="s">
        <v>128</v>
      </c>
    </row>
    <row r="2871" spans="1:6" ht="16" customHeight="1" x14ac:dyDescent="0.45">
      <c r="A2871" s="19" t="s">
        <v>5858</v>
      </c>
      <c r="B2871" s="20" t="s">
        <v>5859</v>
      </c>
      <c r="C2871" s="21">
        <v>7590</v>
      </c>
      <c r="D2871" s="22"/>
      <c r="E2871" s="23">
        <v>-1.6799999475479121E-2</v>
      </c>
      <c r="F2871" s="24" t="s">
        <v>125</v>
      </c>
    </row>
    <row r="2872" spans="1:6" ht="16" customHeight="1" x14ac:dyDescent="0.45">
      <c r="A2872" s="19" t="s">
        <v>5860</v>
      </c>
      <c r="B2872" s="20" t="s">
        <v>5861</v>
      </c>
      <c r="C2872" s="21">
        <v>6560</v>
      </c>
      <c r="D2872" s="22"/>
      <c r="E2872" s="23">
        <v>-1.200000047683716E-2</v>
      </c>
      <c r="F2872" s="24" t="s">
        <v>128</v>
      </c>
    </row>
    <row r="2873" spans="1:6" ht="16" customHeight="1" x14ac:dyDescent="0.45">
      <c r="A2873" s="19" t="s">
        <v>5862</v>
      </c>
      <c r="B2873" s="20" t="s">
        <v>5863</v>
      </c>
      <c r="C2873" s="21">
        <v>3885</v>
      </c>
      <c r="D2873" s="22"/>
      <c r="E2873" s="23">
        <v>1.299999952316284E-3</v>
      </c>
      <c r="F2873" s="24" t="s">
        <v>125</v>
      </c>
    </row>
    <row r="2874" spans="1:6" ht="16" customHeight="1" x14ac:dyDescent="0.45">
      <c r="A2874" s="19" t="s">
        <v>5864</v>
      </c>
      <c r="B2874" s="20" t="s">
        <v>5865</v>
      </c>
      <c r="C2874" s="21">
        <v>27700</v>
      </c>
      <c r="D2874" s="22"/>
      <c r="E2874" s="23">
        <v>4.730000019073486E-2</v>
      </c>
      <c r="F2874" s="24" t="s">
        <v>125</v>
      </c>
    </row>
    <row r="2875" spans="1:6" ht="16" customHeight="1" x14ac:dyDescent="0.45">
      <c r="A2875" s="19" t="s">
        <v>5866</v>
      </c>
      <c r="B2875" s="20" t="s">
        <v>5867</v>
      </c>
      <c r="C2875" s="21">
        <v>58000</v>
      </c>
      <c r="D2875" s="22"/>
      <c r="E2875" s="23">
        <v>-6.4499998092651362E-2</v>
      </c>
      <c r="F2875" s="24" t="s">
        <v>125</v>
      </c>
    </row>
    <row r="2876" spans="1:6" ht="16" customHeight="1" x14ac:dyDescent="0.45">
      <c r="A2876" s="19" t="s">
        <v>5868</v>
      </c>
      <c r="B2876" s="20" t="s">
        <v>5869</v>
      </c>
      <c r="C2876" s="21">
        <v>256000</v>
      </c>
      <c r="D2876" s="22"/>
      <c r="E2876" s="23">
        <v>-2.0999999046325681E-2</v>
      </c>
      <c r="F2876" s="24" t="s">
        <v>125</v>
      </c>
    </row>
    <row r="2877" spans="1:6" ht="16" customHeight="1" x14ac:dyDescent="0.45">
      <c r="A2877" s="19" t="s">
        <v>5870</v>
      </c>
      <c r="B2877" s="20" t="s">
        <v>5871</v>
      </c>
      <c r="C2877" s="21">
        <v>16020</v>
      </c>
      <c r="D2877" s="22"/>
      <c r="E2877" s="23">
        <v>-5.1500000953674317E-2</v>
      </c>
      <c r="F2877" s="24" t="s">
        <v>125</v>
      </c>
    </row>
    <row r="2878" spans="1:6" ht="16" customHeight="1" x14ac:dyDescent="0.45">
      <c r="A2878" s="19" t="s">
        <v>5872</v>
      </c>
      <c r="B2878" s="20" t="s">
        <v>5873</v>
      </c>
      <c r="C2878" s="21">
        <v>5770</v>
      </c>
      <c r="D2878" s="22"/>
      <c r="E2878" s="23">
        <v>-3.1900000572204587E-2</v>
      </c>
      <c r="F2878" s="24" t="s">
        <v>125</v>
      </c>
    </row>
    <row r="2879" spans="1:6" ht="16" customHeight="1" x14ac:dyDescent="0.45">
      <c r="A2879" s="19" t="s">
        <v>5874</v>
      </c>
      <c r="B2879" s="20" t="s">
        <v>5875</v>
      </c>
      <c r="C2879" s="21">
        <v>1565</v>
      </c>
      <c r="D2879" s="22"/>
      <c r="E2879" s="23">
        <v>-3.2799999713897708E-2</v>
      </c>
      <c r="F2879" s="24" t="s">
        <v>125</v>
      </c>
    </row>
    <row r="2880" spans="1:6" ht="16" customHeight="1" x14ac:dyDescent="0.45">
      <c r="A2880" s="19" t="s">
        <v>5876</v>
      </c>
      <c r="B2880" s="20" t="s">
        <v>5877</v>
      </c>
      <c r="C2880" s="21">
        <v>4560</v>
      </c>
      <c r="D2880" s="22"/>
      <c r="E2880" s="23">
        <v>2.0099999904632571E-2</v>
      </c>
      <c r="F2880" s="24" t="s">
        <v>128</v>
      </c>
    </row>
    <row r="2881" spans="1:6" ht="16" customHeight="1" x14ac:dyDescent="0.45">
      <c r="A2881" s="19" t="s">
        <v>5878</v>
      </c>
      <c r="B2881" s="20" t="s">
        <v>5879</v>
      </c>
      <c r="C2881" s="21">
        <v>7010</v>
      </c>
      <c r="D2881" s="22"/>
      <c r="E2881" s="23">
        <v>-2.369999885559082E-2</v>
      </c>
      <c r="F2881" s="24" t="s">
        <v>128</v>
      </c>
    </row>
    <row r="2882" spans="1:6" ht="16" customHeight="1" x14ac:dyDescent="0.45">
      <c r="A2882" s="19" t="s">
        <v>5880</v>
      </c>
      <c r="B2882" s="20" t="s">
        <v>5881</v>
      </c>
      <c r="C2882" s="21">
        <v>2800</v>
      </c>
      <c r="D2882" s="22"/>
      <c r="E2882" s="23">
        <v>-2.77999997138977E-2</v>
      </c>
      <c r="F2882" s="24" t="s">
        <v>128</v>
      </c>
    </row>
    <row r="2883" spans="1:6" ht="16" customHeight="1" x14ac:dyDescent="0.45">
      <c r="A2883" s="19" t="s">
        <v>5882</v>
      </c>
      <c r="B2883" s="20" t="s">
        <v>5883</v>
      </c>
      <c r="C2883" s="21">
        <v>5710</v>
      </c>
      <c r="D2883" s="22"/>
      <c r="E2883" s="23">
        <v>-3.0599999427795409E-2</v>
      </c>
      <c r="F2883" s="24" t="s">
        <v>125</v>
      </c>
    </row>
    <row r="2884" spans="1:6" ht="16" customHeight="1" x14ac:dyDescent="0.45">
      <c r="A2884" s="19" t="s">
        <v>5884</v>
      </c>
      <c r="B2884" s="20" t="s">
        <v>5885</v>
      </c>
      <c r="C2884" s="21">
        <v>3445</v>
      </c>
      <c r="D2884" s="22"/>
      <c r="E2884" s="23">
        <v>-1.4299999475479131E-2</v>
      </c>
      <c r="F2884" s="24" t="s">
        <v>125</v>
      </c>
    </row>
  </sheetData>
  <autoFilter ref="A3:F3" xr:uid="{00000000-0009-0000-0000-000006000000}"/>
  <mergeCells count="1">
    <mergeCell ref="A1:F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거래내역</vt:lpstr>
      <vt:lpstr>배당금</vt:lpstr>
      <vt:lpstr>참고</vt:lpstr>
      <vt:lpstr>투자현황</vt:lpstr>
      <vt:lpstr>투자아이디어</vt:lpstr>
      <vt:lpstr>매도모니터링</vt:lpstr>
      <vt:lpstr>KRX종목마스터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 정</cp:lastModifiedBy>
  <dcterms:created xsi:type="dcterms:W3CDTF">2026-05-06T04:27:58Z</dcterms:created>
  <dcterms:modified xsi:type="dcterms:W3CDTF">2026-06-03T09:29:31Z</dcterms:modified>
</cp:coreProperties>
</file>