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리서치 보고서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금 시세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'리서치 보고서'!$A$1:$L$1</definedName>
    <definedName name="_xlnm._FilterDatabase" localSheetId="2" hidden="1">'금 시세'!$A$1:$K$1</definedName>
    <definedName name="_xlnm._FilterDatabase" localSheetId="3" hidden="1">'미국 RSI'!$A$1:$L$1</definedName>
    <definedName name="_xlnm._FilterDatabase" localSheetId="4" hidden="1">'한국 RSI'!$A$1:$Y$1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444444"/>
      <sz val="9"/>
    </font>
    <font>
      <name val="맑은 고딕"/>
      <b val="1"/>
      <sz val="10"/>
    </font>
    <font>
      <name val="맑은 고딕"/>
      <color rgb="000563C1"/>
      <sz val="10"/>
      <u val="single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3F00"/>
        <bgColor rgb="007B3F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CCFFCC"/>
      </patternFill>
    </fill>
    <fill>
      <patternFill patternType="solid">
        <fgColor rgb="00FFE4B5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FFD700"/>
      </patternFill>
    </fill>
    <fill>
      <patternFill patternType="solid">
        <fgColor rgb="00FFE97F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1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1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10" fontId="4" fillId="1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stock.naver.com/research/company/94250" TargetMode="External" Id="rId1"/><Relationship Type="http://schemas.openxmlformats.org/officeDocument/2006/relationships/hyperlink" Target="https://m.stock.naver.com/research/company/94249" TargetMode="External" Id="rId2"/><Relationship Type="http://schemas.openxmlformats.org/officeDocument/2006/relationships/hyperlink" Target="https://m.stock.naver.com/research/company/94248" TargetMode="External" Id="rId3"/><Relationship Type="http://schemas.openxmlformats.org/officeDocument/2006/relationships/hyperlink" Target="https://m.stock.naver.com/research/company/94247" TargetMode="External" Id="rId4"/><Relationship Type="http://schemas.openxmlformats.org/officeDocument/2006/relationships/hyperlink" Target="https://m.stock.naver.com/research/company/94246" TargetMode="External" Id="rId5"/><Relationship Type="http://schemas.openxmlformats.org/officeDocument/2006/relationships/hyperlink" Target="https://m.stock.naver.com/research/company/94245" TargetMode="External" Id="rId6"/><Relationship Type="http://schemas.openxmlformats.org/officeDocument/2006/relationships/hyperlink" Target="https://m.stock.naver.com/research/company/94244" TargetMode="External" Id="rId7"/><Relationship Type="http://schemas.openxmlformats.org/officeDocument/2006/relationships/hyperlink" Target="https://m.stock.naver.com/research/company/94243" TargetMode="External" Id="rId8"/><Relationship Type="http://schemas.openxmlformats.org/officeDocument/2006/relationships/hyperlink" Target="https://m.stock.naver.com/research/company/94242" TargetMode="External" Id="rId9"/><Relationship Type="http://schemas.openxmlformats.org/officeDocument/2006/relationships/hyperlink" Target="https://m.stock.naver.com/research/company/94241" TargetMode="External" Id="rId10"/><Relationship Type="http://schemas.openxmlformats.org/officeDocument/2006/relationships/hyperlink" Target="https://m.stock.naver.com/research/company/94240" TargetMode="External" Id="rId11"/><Relationship Type="http://schemas.openxmlformats.org/officeDocument/2006/relationships/hyperlink" Target="https://m.stock.naver.com/research/company/94239" TargetMode="External" Id="rId12"/><Relationship Type="http://schemas.openxmlformats.org/officeDocument/2006/relationships/hyperlink" Target="https://m.stock.naver.com/research/company/94238" TargetMode="External" Id="rId13"/><Relationship Type="http://schemas.openxmlformats.org/officeDocument/2006/relationships/hyperlink" Target="https://m.stock.naver.com/research/company/94237" TargetMode="External" Id="rId14"/><Relationship Type="http://schemas.openxmlformats.org/officeDocument/2006/relationships/hyperlink" Target="https://m.stock.naver.com/research/company/94236" TargetMode="External" Id="rId15"/><Relationship Type="http://schemas.openxmlformats.org/officeDocument/2006/relationships/hyperlink" Target="https://m.stock.naver.com/research/company/94235" TargetMode="External" Id="rId16"/><Relationship Type="http://schemas.openxmlformats.org/officeDocument/2006/relationships/hyperlink" Target="https://m.stock.naver.com/research/company/94234" TargetMode="External" Id="rId17"/><Relationship Type="http://schemas.openxmlformats.org/officeDocument/2006/relationships/hyperlink" Target="https://m.stock.naver.com/research/company/94233" TargetMode="External" Id="rId18"/><Relationship Type="http://schemas.openxmlformats.org/officeDocument/2006/relationships/hyperlink" Target="https://m.stock.naver.com/research/company/94232" TargetMode="External" Id="rId19"/><Relationship Type="http://schemas.openxmlformats.org/officeDocument/2006/relationships/hyperlink" Target="https://m.stock.naver.com/research/company/94231" TargetMode="External" Id="rId20"/><Relationship Type="http://schemas.openxmlformats.org/officeDocument/2006/relationships/hyperlink" Target="https://m.stock.naver.com/research/company/94230" TargetMode="External" Id="rId21"/><Relationship Type="http://schemas.openxmlformats.org/officeDocument/2006/relationships/hyperlink" Target="https://m.stock.naver.com/research/company/94229" TargetMode="External" Id="rId22"/><Relationship Type="http://schemas.openxmlformats.org/officeDocument/2006/relationships/hyperlink" Target="https://m.stock.naver.com/research/company/94228" TargetMode="External" Id="rId23"/><Relationship Type="http://schemas.openxmlformats.org/officeDocument/2006/relationships/hyperlink" Target="https://m.stock.naver.com/research/company/94227" TargetMode="External" Id="rId24"/><Relationship Type="http://schemas.openxmlformats.org/officeDocument/2006/relationships/hyperlink" Target="https://m.stock.naver.com/research/company/94226" TargetMode="External" Id="rId25"/><Relationship Type="http://schemas.openxmlformats.org/officeDocument/2006/relationships/hyperlink" Target="https://m.stock.naver.com/research/company/94225" TargetMode="External" Id="rId26"/><Relationship Type="http://schemas.openxmlformats.org/officeDocument/2006/relationships/hyperlink" Target="https://m.stock.naver.com/research/company/94224" TargetMode="External" Id="rId27"/><Relationship Type="http://schemas.openxmlformats.org/officeDocument/2006/relationships/hyperlink" Target="https://m.stock.naver.com/research/company/94223" TargetMode="External" Id="rId28"/><Relationship Type="http://schemas.openxmlformats.org/officeDocument/2006/relationships/hyperlink" Target="https://m.stock.naver.com/research/company/94222" TargetMode="External" Id="rId29"/><Relationship Type="http://schemas.openxmlformats.org/officeDocument/2006/relationships/hyperlink" Target="https://m.stock.naver.com/research/company/94221" TargetMode="External" Id="rId30"/><Relationship Type="http://schemas.openxmlformats.org/officeDocument/2006/relationships/hyperlink" Target="https://m.stock.naver.com/research/company/94220" TargetMode="External" Id="rId31"/><Relationship Type="http://schemas.openxmlformats.org/officeDocument/2006/relationships/hyperlink" Target="https://m.stock.naver.com/research/company/94219" TargetMode="External" Id="rId32"/><Relationship Type="http://schemas.openxmlformats.org/officeDocument/2006/relationships/hyperlink" Target="https://m.stock.naver.com/research/company/94218" TargetMode="External" Id="rId33"/><Relationship Type="http://schemas.openxmlformats.org/officeDocument/2006/relationships/hyperlink" Target="https://m.stock.naver.com/research/company/94217" TargetMode="External" Id="rId34"/><Relationship Type="http://schemas.openxmlformats.org/officeDocument/2006/relationships/hyperlink" Target="https://m.stock.naver.com/research/company/94216" TargetMode="External" Id="rId35"/><Relationship Type="http://schemas.openxmlformats.org/officeDocument/2006/relationships/hyperlink" Target="https://m.stock.naver.com/research/company/94215" TargetMode="External" Id="rId36"/><Relationship Type="http://schemas.openxmlformats.org/officeDocument/2006/relationships/hyperlink" Target="https://m.stock.naver.com/research/company/94214" TargetMode="External" Id="rId37"/><Relationship Type="http://schemas.openxmlformats.org/officeDocument/2006/relationships/hyperlink" Target="https://m.stock.naver.com/research/company/94213" TargetMode="External" Id="rId38"/><Relationship Type="http://schemas.openxmlformats.org/officeDocument/2006/relationships/hyperlink" Target="https://m.stock.naver.com/research/company/94212" TargetMode="External" Id="rId39"/><Relationship Type="http://schemas.openxmlformats.org/officeDocument/2006/relationships/hyperlink" Target="https://m.stock.naver.com/research/company/94211" TargetMode="External" Id="rId40"/><Relationship Type="http://schemas.openxmlformats.org/officeDocument/2006/relationships/hyperlink" Target="https://m.stock.naver.com/research/company/94210" TargetMode="External" Id="rId41"/><Relationship Type="http://schemas.openxmlformats.org/officeDocument/2006/relationships/hyperlink" Target="https://m.stock.naver.com/research/company/94209" TargetMode="External" Id="rId42"/><Relationship Type="http://schemas.openxmlformats.org/officeDocument/2006/relationships/hyperlink" Target="https://m.stock.naver.com/research/company/94208" TargetMode="External" Id="rId43"/><Relationship Type="http://schemas.openxmlformats.org/officeDocument/2006/relationships/hyperlink" Target="https://m.stock.naver.com/research/company/94207" TargetMode="External" Id="rId44"/><Relationship Type="http://schemas.openxmlformats.org/officeDocument/2006/relationships/hyperlink" Target="https://m.stock.naver.com/research/company/94206" TargetMode="External" Id="rId45"/><Relationship Type="http://schemas.openxmlformats.org/officeDocument/2006/relationships/hyperlink" Target="https://m.stock.naver.com/research/company/94205" TargetMode="External" Id="rId46"/><Relationship Type="http://schemas.openxmlformats.org/officeDocument/2006/relationships/hyperlink" Target="https://m.stock.naver.com/research/company/94204" TargetMode="External" Id="rId47"/><Relationship Type="http://schemas.openxmlformats.org/officeDocument/2006/relationships/hyperlink" Target="https://m.stock.naver.com/research/company/94203" TargetMode="External" Id="rId48"/><Relationship Type="http://schemas.openxmlformats.org/officeDocument/2006/relationships/hyperlink" Target="https://m.stock.naver.com/research/company/94202" TargetMode="External" Id="rId49"/><Relationship Type="http://schemas.openxmlformats.org/officeDocument/2006/relationships/hyperlink" Target="https://m.stock.naver.com/research/company/94201" TargetMode="External" Id="rId50"/><Relationship Type="http://schemas.openxmlformats.org/officeDocument/2006/relationships/hyperlink" Target="https://m.stock.naver.com/research/company/94200" TargetMode="External" Id="rId51"/><Relationship Type="http://schemas.openxmlformats.org/officeDocument/2006/relationships/hyperlink" Target="https://m.stock.naver.com/research/company/94199" TargetMode="External" Id="rId52"/><Relationship Type="http://schemas.openxmlformats.org/officeDocument/2006/relationships/hyperlink" Target="https://m.stock.naver.com/research/company/94198" TargetMode="External" Id="rId53"/><Relationship Type="http://schemas.openxmlformats.org/officeDocument/2006/relationships/hyperlink" Target="https://m.stock.naver.com/research/company/94197" TargetMode="External" Id="rId54"/><Relationship Type="http://schemas.openxmlformats.org/officeDocument/2006/relationships/hyperlink" Target="https://m.stock.naver.com/research/company/94196" TargetMode="External" Id="rId55"/><Relationship Type="http://schemas.openxmlformats.org/officeDocument/2006/relationships/hyperlink" Target="https://m.stock.naver.com/research/company/94195" TargetMode="External" Id="rId56"/><Relationship Type="http://schemas.openxmlformats.org/officeDocument/2006/relationships/hyperlink" Target="https://m.stock.naver.com/research/company/94194" TargetMode="External" Id="rId57"/><Relationship Type="http://schemas.openxmlformats.org/officeDocument/2006/relationships/hyperlink" Target="https://m.stock.naver.com/research/company/94193" TargetMode="External" Id="rId58"/><Relationship Type="http://schemas.openxmlformats.org/officeDocument/2006/relationships/hyperlink" Target="https://m.stock.naver.com/research/company/94192" TargetMode="External" Id="rId59"/><Relationship Type="http://schemas.openxmlformats.org/officeDocument/2006/relationships/hyperlink" Target="https://m.stock.naver.com/research/company/94191" TargetMode="External" Id="rId60"/><Relationship Type="http://schemas.openxmlformats.org/officeDocument/2006/relationships/hyperlink" Target="https://m.stock.naver.com/research/company/94190" TargetMode="External" Id="rId61"/><Relationship Type="http://schemas.openxmlformats.org/officeDocument/2006/relationships/hyperlink" Target="https://m.stock.naver.com/research/company/94189" TargetMode="External" Id="rId62"/><Relationship Type="http://schemas.openxmlformats.org/officeDocument/2006/relationships/hyperlink" Target="https://m.stock.naver.com/research/company/94188" TargetMode="External" Id="rId63"/><Relationship Type="http://schemas.openxmlformats.org/officeDocument/2006/relationships/hyperlink" Target="https://m.stock.naver.com/research/company/94187" TargetMode="External" Id="rId64"/><Relationship Type="http://schemas.openxmlformats.org/officeDocument/2006/relationships/hyperlink" Target="https://m.stock.naver.com/research/company/94186" TargetMode="External" Id="rId65"/><Relationship Type="http://schemas.openxmlformats.org/officeDocument/2006/relationships/hyperlink" Target="https://m.stock.naver.com/research/company/94185" TargetMode="External" Id="rId66"/><Relationship Type="http://schemas.openxmlformats.org/officeDocument/2006/relationships/hyperlink" Target="https://m.stock.naver.com/research/company/94184" TargetMode="External" Id="rId67"/><Relationship Type="http://schemas.openxmlformats.org/officeDocument/2006/relationships/hyperlink" Target="https://m.stock.naver.com/research/company/94183" TargetMode="External" Id="rId68"/><Relationship Type="http://schemas.openxmlformats.org/officeDocument/2006/relationships/hyperlink" Target="https://m.stock.naver.com/research/company/94182" TargetMode="External" Id="rId69"/><Relationship Type="http://schemas.openxmlformats.org/officeDocument/2006/relationships/hyperlink" Target="https://m.stock.naver.com/research/company/94181" TargetMode="External" Id="rId70"/><Relationship Type="http://schemas.openxmlformats.org/officeDocument/2006/relationships/hyperlink" Target="https://m.stock.naver.com/research/company/94180" TargetMode="External" Id="rId71"/><Relationship Type="http://schemas.openxmlformats.org/officeDocument/2006/relationships/hyperlink" Target="https://m.stock.naver.com/research/company/94179" TargetMode="External" Id="rId72"/><Relationship Type="http://schemas.openxmlformats.org/officeDocument/2006/relationships/hyperlink" Target="https://m.stock.naver.com/research/company/94178" TargetMode="External" Id="rId73"/><Relationship Type="http://schemas.openxmlformats.org/officeDocument/2006/relationships/hyperlink" Target="https://m.stock.naver.com/research/company/94177" TargetMode="External" Id="rId74"/><Relationship Type="http://schemas.openxmlformats.org/officeDocument/2006/relationships/hyperlink" Target="https://m.stock.naver.com/research/company/94176" TargetMode="External" Id="rId75"/><Relationship Type="http://schemas.openxmlformats.org/officeDocument/2006/relationships/hyperlink" Target="https://m.stock.naver.com/research/company/94175" TargetMode="External" Id="rId76"/><Relationship Type="http://schemas.openxmlformats.org/officeDocument/2006/relationships/hyperlink" Target="https://m.stock.naver.com/research/company/94174" TargetMode="External" Id="rId77"/><Relationship Type="http://schemas.openxmlformats.org/officeDocument/2006/relationships/hyperlink" Target="https://m.stock.naver.com/research/company/94173" TargetMode="External" Id="rId78"/><Relationship Type="http://schemas.openxmlformats.org/officeDocument/2006/relationships/hyperlink" Target="https://m.stock.naver.com/research/company/94172" TargetMode="External" Id="rId79"/><Relationship Type="http://schemas.openxmlformats.org/officeDocument/2006/relationships/hyperlink" Target="https://m.stock.naver.com/research/company/94171" TargetMode="External" Id="rId80"/><Relationship Type="http://schemas.openxmlformats.org/officeDocument/2006/relationships/hyperlink" Target="https://m.stock.naver.com/research/company/94170" TargetMode="External" Id="rId81"/><Relationship Type="http://schemas.openxmlformats.org/officeDocument/2006/relationships/hyperlink" Target="https://m.stock.naver.com/research/company/94169" TargetMode="External" Id="rId82"/><Relationship Type="http://schemas.openxmlformats.org/officeDocument/2006/relationships/hyperlink" Target="https://m.stock.naver.com/research/company/94168" TargetMode="External" Id="rId83"/><Relationship Type="http://schemas.openxmlformats.org/officeDocument/2006/relationships/hyperlink" Target="https://m.stock.naver.com/research/company/94167" TargetMode="External" Id="rId84"/><Relationship Type="http://schemas.openxmlformats.org/officeDocument/2006/relationships/hyperlink" Target="https://m.stock.naver.com/research/company/94166" TargetMode="External" Id="rId85"/><Relationship Type="http://schemas.openxmlformats.org/officeDocument/2006/relationships/hyperlink" Target="https://m.stock.naver.com/research/company/94165" TargetMode="External" Id="rId86"/><Relationship Type="http://schemas.openxmlformats.org/officeDocument/2006/relationships/hyperlink" Target="https://m.stock.naver.com/research/company/94164" TargetMode="External" Id="rId87"/><Relationship Type="http://schemas.openxmlformats.org/officeDocument/2006/relationships/hyperlink" Target="https://m.stock.naver.com/research/company/94163" TargetMode="External" Id="rId88"/><Relationship Type="http://schemas.openxmlformats.org/officeDocument/2006/relationships/hyperlink" Target="https://m.stock.naver.com/research/company/94162" TargetMode="External" Id="rId89"/><Relationship Type="http://schemas.openxmlformats.org/officeDocument/2006/relationships/hyperlink" Target="https://m.stock.naver.com/research/company/94161" TargetMode="External" Id="rId90"/><Relationship Type="http://schemas.openxmlformats.org/officeDocument/2006/relationships/hyperlink" Target="https://m.stock.naver.com/research/company/94160" TargetMode="External" Id="rId91"/><Relationship Type="http://schemas.openxmlformats.org/officeDocument/2006/relationships/hyperlink" Target="https://m.stock.naver.com/research/company/94159" TargetMode="External" Id="rId92"/><Relationship Type="http://schemas.openxmlformats.org/officeDocument/2006/relationships/hyperlink" Target="https://m.stock.naver.com/research/company/94158" TargetMode="External" Id="rId93"/><Relationship Type="http://schemas.openxmlformats.org/officeDocument/2006/relationships/hyperlink" Target="https://m.stock.naver.com/research/company/94157" TargetMode="External" Id="rId94"/><Relationship Type="http://schemas.openxmlformats.org/officeDocument/2006/relationships/hyperlink" Target="https://m.stock.naver.com/research/company/94156" TargetMode="External" Id="rId95"/><Relationship Type="http://schemas.openxmlformats.org/officeDocument/2006/relationships/hyperlink" Target="https://m.stock.naver.com/research/company/94155" TargetMode="External" Id="rId96"/><Relationship Type="http://schemas.openxmlformats.org/officeDocument/2006/relationships/hyperlink" Target="https://m.stock.naver.com/research/company/94154" TargetMode="External" Id="rId97"/><Relationship Type="http://schemas.openxmlformats.org/officeDocument/2006/relationships/hyperlink" Target="https://m.stock.naver.com/research/company/94153" TargetMode="External" Id="rId98"/><Relationship Type="http://schemas.openxmlformats.org/officeDocument/2006/relationships/hyperlink" Target="https://m.stock.naver.com/research/company/94152" TargetMode="External" Id="rId99"/><Relationship Type="http://schemas.openxmlformats.org/officeDocument/2006/relationships/hyperlink" Target="https://m.stock.naver.com/research/company/94151" TargetMode="External" Id="rId100"/><Relationship Type="http://schemas.openxmlformats.org/officeDocument/2006/relationships/hyperlink" Target="https://m.stock.naver.com/research/company/94150" TargetMode="External" Id="rId101"/><Relationship Type="http://schemas.openxmlformats.org/officeDocument/2006/relationships/hyperlink" Target="https://m.stock.naver.com/research/company/94149" TargetMode="External" Id="rId102"/><Relationship Type="http://schemas.openxmlformats.org/officeDocument/2006/relationships/hyperlink" Target="https://m.stock.naver.com/research/company/94148" TargetMode="External" Id="rId103"/><Relationship Type="http://schemas.openxmlformats.org/officeDocument/2006/relationships/hyperlink" Target="https://m.stock.naver.com/research/company/94147" TargetMode="External" Id="rId104"/><Relationship Type="http://schemas.openxmlformats.org/officeDocument/2006/relationships/hyperlink" Target="https://m.stock.naver.com/research/company/94146" TargetMode="External" Id="rId105"/><Relationship Type="http://schemas.openxmlformats.org/officeDocument/2006/relationships/hyperlink" Target="https://m.stock.naver.com/research/company/94145" TargetMode="External" Id="rId106"/><Relationship Type="http://schemas.openxmlformats.org/officeDocument/2006/relationships/hyperlink" Target="https://m.stock.naver.com/research/company/94144" TargetMode="External" Id="rId107"/><Relationship Type="http://schemas.openxmlformats.org/officeDocument/2006/relationships/hyperlink" Target="https://m.stock.naver.com/research/company/94143" TargetMode="External" Id="rId108"/><Relationship Type="http://schemas.openxmlformats.org/officeDocument/2006/relationships/hyperlink" Target="https://m.stock.naver.com/research/company/94142" TargetMode="External" Id="rId109"/><Relationship Type="http://schemas.openxmlformats.org/officeDocument/2006/relationships/hyperlink" Target="https://m.stock.naver.com/research/company/94141" TargetMode="External" Id="rId110"/><Relationship Type="http://schemas.openxmlformats.org/officeDocument/2006/relationships/hyperlink" Target="https://m.stock.naver.com/research/company/94140" TargetMode="External" Id="rId111"/><Relationship Type="http://schemas.openxmlformats.org/officeDocument/2006/relationships/hyperlink" Target="https://m.stock.naver.com/research/company/94139" TargetMode="External" Id="rId112"/><Relationship Type="http://schemas.openxmlformats.org/officeDocument/2006/relationships/hyperlink" Target="https://m.stock.naver.com/research/company/94138" TargetMode="External" Id="rId113"/><Relationship Type="http://schemas.openxmlformats.org/officeDocument/2006/relationships/hyperlink" Target="https://m.stock.naver.com/research/company/94137" TargetMode="External" Id="rId114"/><Relationship Type="http://schemas.openxmlformats.org/officeDocument/2006/relationships/hyperlink" Target="https://m.stock.naver.com/research/company/94136" TargetMode="External" Id="rId115"/><Relationship Type="http://schemas.openxmlformats.org/officeDocument/2006/relationships/hyperlink" Target="https://m.stock.naver.com/research/company/94135" TargetMode="External" Id="rId116"/><Relationship Type="http://schemas.openxmlformats.org/officeDocument/2006/relationships/hyperlink" Target="https://m.stock.naver.com/research/company/94134" TargetMode="External" Id="rId117"/><Relationship Type="http://schemas.openxmlformats.org/officeDocument/2006/relationships/hyperlink" Target="https://m.stock.naver.com/research/company/94133" TargetMode="External" Id="rId118"/><Relationship Type="http://schemas.openxmlformats.org/officeDocument/2006/relationships/hyperlink" Target="https://m.stock.naver.com/research/company/94132" TargetMode="External" Id="rId119"/><Relationship Type="http://schemas.openxmlformats.org/officeDocument/2006/relationships/hyperlink" Target="https://m.stock.naver.com/research/company/94131" TargetMode="External" Id="rId120"/><Relationship Type="http://schemas.openxmlformats.org/officeDocument/2006/relationships/hyperlink" Target="https://m.stock.naver.com/research/company/94130" TargetMode="External" Id="rId121"/><Relationship Type="http://schemas.openxmlformats.org/officeDocument/2006/relationships/hyperlink" Target="https://m.stock.naver.com/research/company/94129" TargetMode="External" Id="rId122"/><Relationship Type="http://schemas.openxmlformats.org/officeDocument/2006/relationships/hyperlink" Target="https://m.stock.naver.com/research/company/94128" TargetMode="External" Id="rId123"/><Relationship Type="http://schemas.openxmlformats.org/officeDocument/2006/relationships/hyperlink" Target="https://m.stock.naver.com/research/company/94127" TargetMode="External" Id="rId124"/><Relationship Type="http://schemas.openxmlformats.org/officeDocument/2006/relationships/hyperlink" Target="https://m.stock.naver.com/research/company/94126" TargetMode="External" Id="rId125"/><Relationship Type="http://schemas.openxmlformats.org/officeDocument/2006/relationships/hyperlink" Target="https://m.stock.naver.com/research/company/94125" TargetMode="External" Id="rId126"/><Relationship Type="http://schemas.openxmlformats.org/officeDocument/2006/relationships/hyperlink" Target="https://m.stock.naver.com/research/company/94124" TargetMode="External" Id="rId127"/><Relationship Type="http://schemas.openxmlformats.org/officeDocument/2006/relationships/hyperlink" Target="https://m.stock.naver.com/research/company/94123" TargetMode="External" Id="rId128"/><Relationship Type="http://schemas.openxmlformats.org/officeDocument/2006/relationships/hyperlink" Target="https://m.stock.naver.com/research/company/94122" TargetMode="External" Id="rId129"/><Relationship Type="http://schemas.openxmlformats.org/officeDocument/2006/relationships/hyperlink" Target="https://m.stock.naver.com/research/company/94121" TargetMode="External" Id="rId130"/><Relationship Type="http://schemas.openxmlformats.org/officeDocument/2006/relationships/hyperlink" Target="https://m.stock.naver.com/research/company/94120" TargetMode="External" Id="rId131"/><Relationship Type="http://schemas.openxmlformats.org/officeDocument/2006/relationships/hyperlink" Target="https://m.stock.naver.com/research/company/94119" TargetMode="External" Id="rId132"/><Relationship Type="http://schemas.openxmlformats.org/officeDocument/2006/relationships/hyperlink" Target="https://m.stock.naver.com/research/company/94118" TargetMode="External" Id="rId133"/><Relationship Type="http://schemas.openxmlformats.org/officeDocument/2006/relationships/hyperlink" Target="https://m.stock.naver.com/research/company/94117" TargetMode="External" Id="rId134"/><Relationship Type="http://schemas.openxmlformats.org/officeDocument/2006/relationships/hyperlink" Target="https://m.stock.naver.com/research/company/94116" TargetMode="External" Id="rId135"/><Relationship Type="http://schemas.openxmlformats.org/officeDocument/2006/relationships/hyperlink" Target="https://m.stock.naver.com/research/company/94115" TargetMode="External" Id="rId136"/><Relationship Type="http://schemas.openxmlformats.org/officeDocument/2006/relationships/hyperlink" Target="https://m.stock.naver.com/research/company/94114" TargetMode="External" Id="rId137"/><Relationship Type="http://schemas.openxmlformats.org/officeDocument/2006/relationships/hyperlink" Target="https://m.stock.naver.com/research/company/94113" TargetMode="External" Id="rId138"/><Relationship Type="http://schemas.openxmlformats.org/officeDocument/2006/relationships/hyperlink" Target="https://m.stock.naver.com/research/company/94112" TargetMode="External" Id="rId139"/><Relationship Type="http://schemas.openxmlformats.org/officeDocument/2006/relationships/hyperlink" Target="https://m.stock.naver.com/research/company/94111" TargetMode="External" Id="rId140"/><Relationship Type="http://schemas.openxmlformats.org/officeDocument/2006/relationships/hyperlink" Target="https://m.stock.naver.com/research/company/94110" TargetMode="External" Id="rId141"/><Relationship Type="http://schemas.openxmlformats.org/officeDocument/2006/relationships/hyperlink" Target="https://m.stock.naver.com/research/company/94109" TargetMode="External" Id="rId142"/><Relationship Type="http://schemas.openxmlformats.org/officeDocument/2006/relationships/hyperlink" Target="https://m.stock.naver.com/research/company/94108" TargetMode="External" Id="rId143"/><Relationship Type="http://schemas.openxmlformats.org/officeDocument/2006/relationships/hyperlink" Target="https://m.stock.naver.com/research/company/94107" TargetMode="External" Id="rId144"/><Relationship Type="http://schemas.openxmlformats.org/officeDocument/2006/relationships/hyperlink" Target="https://m.stock.naver.com/research/company/94106" TargetMode="External" Id="rId145"/><Relationship Type="http://schemas.openxmlformats.org/officeDocument/2006/relationships/hyperlink" Target="https://m.stock.naver.com/research/company/94105" TargetMode="External" Id="rId146"/><Relationship Type="http://schemas.openxmlformats.org/officeDocument/2006/relationships/hyperlink" Target="https://m.stock.naver.com/research/company/94104" TargetMode="External" Id="rId147"/><Relationship Type="http://schemas.openxmlformats.org/officeDocument/2006/relationships/hyperlink" Target="https://m.stock.naver.com/research/company/94103" TargetMode="External" Id="rId148"/><Relationship Type="http://schemas.openxmlformats.org/officeDocument/2006/relationships/hyperlink" Target="https://m.stock.naver.com/research/company/94102" TargetMode="External" Id="rId149"/><Relationship Type="http://schemas.openxmlformats.org/officeDocument/2006/relationships/hyperlink" Target="https://m.stock.naver.com/research/company/94101" TargetMode="External" Id="rId150"/><Relationship Type="http://schemas.openxmlformats.org/officeDocument/2006/relationships/hyperlink" Target="https://m.stock.naver.com/research/company/94100" TargetMode="External" Id="rId151"/><Relationship Type="http://schemas.openxmlformats.org/officeDocument/2006/relationships/hyperlink" Target="https://m.stock.naver.com/research/company/94099" TargetMode="External" Id="rId152"/><Relationship Type="http://schemas.openxmlformats.org/officeDocument/2006/relationships/hyperlink" Target="https://m.stock.naver.com/research/company/94098" TargetMode="External" Id="rId153"/><Relationship Type="http://schemas.openxmlformats.org/officeDocument/2006/relationships/hyperlink" Target="https://m.stock.naver.com/research/company/94097" TargetMode="External" Id="rId154"/><Relationship Type="http://schemas.openxmlformats.org/officeDocument/2006/relationships/hyperlink" Target="https://m.stock.naver.com/research/company/94096" TargetMode="External" Id="rId155"/><Relationship Type="http://schemas.openxmlformats.org/officeDocument/2006/relationships/hyperlink" Target="https://m.stock.naver.com/research/company/94095" TargetMode="External" Id="rId156"/><Relationship Type="http://schemas.openxmlformats.org/officeDocument/2006/relationships/hyperlink" Target="https://m.stock.naver.com/research/company/94094" TargetMode="External" Id="rId157"/><Relationship Type="http://schemas.openxmlformats.org/officeDocument/2006/relationships/hyperlink" Target="https://m.stock.naver.com/research/company/94093" TargetMode="External" Id="rId158"/><Relationship Type="http://schemas.openxmlformats.org/officeDocument/2006/relationships/hyperlink" Target="https://m.stock.naver.com/research/company/94092" TargetMode="External" Id="rId159"/><Relationship Type="http://schemas.openxmlformats.org/officeDocument/2006/relationships/hyperlink" Target="https://m.stock.naver.com/research/company/94091" TargetMode="External" Id="rId160"/><Relationship Type="http://schemas.openxmlformats.org/officeDocument/2006/relationships/hyperlink" Target="https://m.stock.naver.com/research/company/94090" TargetMode="External" Id="rId161"/><Relationship Type="http://schemas.openxmlformats.org/officeDocument/2006/relationships/hyperlink" Target="https://m.stock.naver.com/research/company/94089" TargetMode="External" Id="rId162"/><Relationship Type="http://schemas.openxmlformats.org/officeDocument/2006/relationships/hyperlink" Target="https://m.stock.naver.com/research/company/94088" TargetMode="External" Id="rId163"/><Relationship Type="http://schemas.openxmlformats.org/officeDocument/2006/relationships/hyperlink" Target="https://m.stock.naver.com/research/company/94087" TargetMode="External" Id="rId164"/><Relationship Type="http://schemas.openxmlformats.org/officeDocument/2006/relationships/hyperlink" Target="https://m.stock.naver.com/research/company/94086" TargetMode="External" Id="rId165"/><Relationship Type="http://schemas.openxmlformats.org/officeDocument/2006/relationships/hyperlink" Target="https://m.stock.naver.com/research/company/94085" TargetMode="External" Id="rId166"/><Relationship Type="http://schemas.openxmlformats.org/officeDocument/2006/relationships/hyperlink" Target="https://m.stock.naver.com/research/company/94084" TargetMode="External" Id="rId167"/><Relationship Type="http://schemas.openxmlformats.org/officeDocument/2006/relationships/hyperlink" Target="https://m.stock.naver.com/research/company/94083" TargetMode="External" Id="rId168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1" t="inlineStr">
        <is>
          <t>작성일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증권사</t>
        </is>
      </c>
      <c r="E1" s="1" t="inlineStr">
        <is>
          <t>투자의견</t>
        </is>
      </c>
      <c r="F1" s="1" t="inlineStr">
        <is>
          <t>목표주가</t>
        </is>
      </c>
      <c r="G1" s="1" t="inlineStr">
        <is>
          <t>발간 시점 종가</t>
        </is>
      </c>
      <c r="H1" s="1" t="inlineStr">
        <is>
          <t>제목</t>
        </is>
      </c>
      <c r="I1" s="1" t="inlineStr">
        <is>
          <t>링크</t>
        </is>
      </c>
      <c r="J1" s="1" t="inlineStr">
        <is>
          <t>PDF</t>
        </is>
      </c>
      <c r="K1" s="1" t="inlineStr">
        <is>
          <t>ID</t>
        </is>
      </c>
      <c r="L1" s="1" t="inlineStr">
        <is>
          <t>괴리율</t>
        </is>
      </c>
    </row>
    <row r="2">
      <c r="A2" s="15" t="inlineStr">
        <is>
          <t>2026-07-16</t>
        </is>
      </c>
      <c r="B2" s="15" t="inlineStr">
        <is>
          <t>294870</t>
        </is>
      </c>
      <c r="C2" s="36" t="inlineStr">
        <is>
          <t>IPARK현대산업개발</t>
        </is>
      </c>
      <c r="D2" s="36" t="inlineStr">
        <is>
          <t>한화투자증권</t>
        </is>
      </c>
      <c r="E2" s="15" t="inlineStr">
        <is>
          <t>Buy</t>
        </is>
      </c>
      <c r="F2" s="37" t="n">
        <v>32000</v>
      </c>
      <c r="G2" s="37" t="n">
        <v>17210</v>
      </c>
      <c r="H2" s="36" t="inlineStr">
        <is>
          <t>너무 싸다고, 이제는 말할 수 있다</t>
        </is>
      </c>
      <c r="I2" s="28" t="inlineStr">
        <is>
          <t>보기</t>
        </is>
      </c>
      <c r="J2" s="28">
        <f>HYPERLINK("https://stock.pstatic.net/stock-research/company/16/20260716_company_166344000.pdf","PDF")</f>
        <v/>
      </c>
      <c r="K2" s="15" t="inlineStr">
        <is>
          <t>94250</t>
        </is>
      </c>
      <c r="L2" s="29" t="n">
        <v>0.8593840790238234</v>
      </c>
    </row>
    <row r="3">
      <c r="A3" s="15" t="inlineStr">
        <is>
          <t>2026-07-16</t>
        </is>
      </c>
      <c r="B3" s="15" t="inlineStr">
        <is>
          <t>000720</t>
        </is>
      </c>
      <c r="C3" s="36" t="inlineStr">
        <is>
          <t>현대건설</t>
        </is>
      </c>
      <c r="D3" s="36" t="inlineStr">
        <is>
          <t>신한투자증권</t>
        </is>
      </c>
      <c r="E3" s="15" t="inlineStr">
        <is>
          <t>매수</t>
        </is>
      </c>
      <c r="F3" s="37" t="n">
        <v>170000</v>
      </c>
      <c r="G3" s="37" t="n">
        <v>101400</v>
      </c>
      <c r="H3" s="36" t="inlineStr">
        <is>
          <t>현대건설; 변한 것은 주가 뿐</t>
        </is>
      </c>
      <c r="I3" s="28" t="inlineStr">
        <is>
          <t>보기</t>
        </is>
      </c>
      <c r="J3" s="28">
        <f>HYPERLINK("https://stock.pstatic.net/stock-research/company/21/20260716_company_531699000.pdf","PDF")</f>
        <v/>
      </c>
      <c r="K3" s="15" t="inlineStr">
        <is>
          <t>94249</t>
        </is>
      </c>
      <c r="L3" s="29" t="n">
        <v>0.6765285996055227</v>
      </c>
    </row>
    <row r="4">
      <c r="A4" s="15" t="inlineStr">
        <is>
          <t>2026-07-16</t>
        </is>
      </c>
      <c r="B4" s="15" t="inlineStr">
        <is>
          <t>103590</t>
        </is>
      </c>
      <c r="C4" s="36" t="inlineStr">
        <is>
          <t>일진전기</t>
        </is>
      </c>
      <c r="D4" s="36" t="inlineStr">
        <is>
          <t>미래에셋증권</t>
        </is>
      </c>
      <c r="E4" s="15" t="inlineStr">
        <is>
          <t>매수</t>
        </is>
      </c>
      <c r="F4" s="37" t="n">
        <v>95000</v>
      </c>
      <c r="G4" s="37" t="n">
        <v>62500</v>
      </c>
      <c r="H4" s="36" t="inlineStr">
        <is>
          <t>변압기와 전선, 그 누구와 비교해도 저평가</t>
        </is>
      </c>
      <c r="I4" s="28" t="inlineStr">
        <is>
          <t>보기</t>
        </is>
      </c>
      <c r="J4" s="28">
        <f>HYPERLINK("https://stock.pstatic.net/stock-research/company/56/20260716_company_508548000.pdf","PDF")</f>
        <v/>
      </c>
      <c r="K4" s="15" t="inlineStr">
        <is>
          <t>94248</t>
        </is>
      </c>
      <c r="L4" s="29" t="n">
        <v>0.52</v>
      </c>
    </row>
    <row r="5">
      <c r="A5" s="15" t="inlineStr">
        <is>
          <t>2026-07-16</t>
        </is>
      </c>
      <c r="B5" s="15" t="inlineStr">
        <is>
          <t>062040</t>
        </is>
      </c>
      <c r="C5" s="36" t="inlineStr">
        <is>
          <t>산일전기</t>
        </is>
      </c>
      <c r="D5" s="36" t="inlineStr">
        <is>
          <t>미래에셋증권</t>
        </is>
      </c>
      <c r="E5" s="15" t="inlineStr">
        <is>
          <t>매수</t>
        </is>
      </c>
      <c r="F5" s="37" t="n">
        <v>250000</v>
      </c>
      <c r="G5" s="37" t="n">
        <v>168600</v>
      </c>
      <c r="H5" s="36" t="inlineStr">
        <is>
          <t>증설을 수익성에 싸서 드셔보세요</t>
        </is>
      </c>
      <c r="I5" s="28" t="inlineStr">
        <is>
          <t>보기</t>
        </is>
      </c>
      <c r="J5" s="28">
        <f>HYPERLINK("https://stock.pstatic.net/stock-research/company/56/20260716_company_751949000.pdf","PDF")</f>
        <v/>
      </c>
      <c r="K5" s="15" t="inlineStr">
        <is>
          <t>94247</t>
        </is>
      </c>
      <c r="L5" s="29" t="n">
        <v>0.4827995255041518</v>
      </c>
    </row>
    <row r="6">
      <c r="A6" s="15" t="inlineStr">
        <is>
          <t>2026-07-16</t>
        </is>
      </c>
      <c r="B6" s="15" t="inlineStr">
        <is>
          <t>001440</t>
        </is>
      </c>
      <c r="C6" s="36" t="inlineStr">
        <is>
          <t>대한전선</t>
        </is>
      </c>
      <c r="D6" s="36" t="inlineStr">
        <is>
          <t>미래에셋증권</t>
        </is>
      </c>
      <c r="E6" s="15" t="inlineStr">
        <is>
          <t>매수</t>
        </is>
      </c>
      <c r="F6" s="37" t="n">
        <v>35000</v>
      </c>
      <c r="G6" s="37" t="n">
        <v>28000</v>
      </c>
      <c r="H6" s="36" t="inlineStr">
        <is>
          <t>전력 인프라의 최전선</t>
        </is>
      </c>
      <c r="I6" s="28" t="inlineStr">
        <is>
          <t>보기</t>
        </is>
      </c>
      <c r="J6" s="28">
        <f>HYPERLINK("https://stock.pstatic.net/stock-research/company/56/20260716_company_778325000.pdf","PDF")</f>
        <v/>
      </c>
      <c r="K6" s="15" t="inlineStr">
        <is>
          <t>94246</t>
        </is>
      </c>
      <c r="L6" s="29" t="n">
        <v>0.25</v>
      </c>
    </row>
    <row r="7">
      <c r="A7" s="15" t="inlineStr">
        <is>
          <t>2026-07-16</t>
        </is>
      </c>
      <c r="B7" s="15" t="inlineStr">
        <is>
          <t>267260</t>
        </is>
      </c>
      <c r="C7" s="36" t="inlineStr">
        <is>
          <t>HD현대일렉트릭</t>
        </is>
      </c>
      <c r="D7" s="36" t="inlineStr">
        <is>
          <t>미래에셋증권</t>
        </is>
      </c>
      <c r="E7" s="15" t="inlineStr">
        <is>
          <t>매수</t>
        </is>
      </c>
      <c r="F7" s="37" t="n">
        <v>1300000</v>
      </c>
      <c r="G7" s="37" t="n">
        <v>797000</v>
      </c>
      <c r="H7" s="36" t="inlineStr">
        <is>
          <t>내가 쉬었던 건 추진력을 얻기 위함이었다</t>
        </is>
      </c>
      <c r="I7" s="28" t="inlineStr">
        <is>
          <t>보기</t>
        </is>
      </c>
      <c r="J7" s="28">
        <f>HYPERLINK("https://stock.pstatic.net/stock-research/company/56/20260716_company_690765000.pdf","PDF")</f>
        <v/>
      </c>
      <c r="K7" s="15" t="inlineStr">
        <is>
          <t>94245</t>
        </is>
      </c>
      <c r="L7" s="29" t="n">
        <v>0.6311166875784191</v>
      </c>
    </row>
    <row r="8">
      <c r="A8" s="15" t="inlineStr">
        <is>
          <t>2026-07-16</t>
        </is>
      </c>
      <c r="B8" s="15" t="inlineStr">
        <is>
          <t>010120</t>
        </is>
      </c>
      <c r="C8" s="36" t="inlineStr">
        <is>
          <t>LS ELECTRIC</t>
        </is>
      </c>
      <c r="D8" s="36" t="inlineStr">
        <is>
          <t>미래에셋증권</t>
        </is>
      </c>
      <c r="E8" s="15" t="inlineStr">
        <is>
          <t>매수</t>
        </is>
      </c>
      <c r="F8" s="37" t="n">
        <v>230000</v>
      </c>
      <c r="G8" s="37" t="n">
        <v>187700</v>
      </c>
      <c r="H8" s="36" t="inlineStr">
        <is>
          <t>마진 확대 여력 충분</t>
        </is>
      </c>
      <c r="I8" s="28" t="inlineStr">
        <is>
          <t>보기</t>
        </is>
      </c>
      <c r="J8" s="28">
        <f>HYPERLINK("https://stock.pstatic.net/stock-research/company/56/20260716_company_795788000.pdf","PDF")</f>
        <v/>
      </c>
      <c r="K8" s="15" t="inlineStr">
        <is>
          <t>94244</t>
        </is>
      </c>
      <c r="L8" s="29" t="n">
        <v>0.2253596164091635</v>
      </c>
    </row>
    <row r="9">
      <c r="A9" s="15" t="inlineStr">
        <is>
          <t>2026-07-16</t>
        </is>
      </c>
      <c r="B9" s="15" t="inlineStr">
        <is>
          <t>298040</t>
        </is>
      </c>
      <c r="C9" s="36" t="inlineStr">
        <is>
          <t>효성중공업</t>
        </is>
      </c>
      <c r="D9" s="36" t="inlineStr">
        <is>
          <t>미래에셋증권</t>
        </is>
      </c>
      <c r="E9" s="15" t="inlineStr">
        <is>
          <t>매수</t>
        </is>
      </c>
      <c r="F9" s="37" t="n">
        <v>5000000</v>
      </c>
      <c r="G9" s="37" t="n">
        <v>2677000</v>
      </c>
      <c r="H9" s="36" t="inlineStr">
        <is>
          <t>Made in USA, Sold in USA</t>
        </is>
      </c>
      <c r="I9" s="28" t="inlineStr">
        <is>
          <t>보기</t>
        </is>
      </c>
      <c r="J9" s="28">
        <f>HYPERLINK("https://stock.pstatic.net/stock-research/company/56/20260716_company_13402000.pdf","PDF")</f>
        <v/>
      </c>
      <c r="K9" s="15" t="inlineStr">
        <is>
          <t>94243</t>
        </is>
      </c>
      <c r="L9" s="29" t="n">
        <v>0.8677624206200971</v>
      </c>
    </row>
    <row r="10">
      <c r="A10" s="15" t="inlineStr">
        <is>
          <t>2026-07-16</t>
        </is>
      </c>
      <c r="B10" s="15" t="inlineStr">
        <is>
          <t>214450</t>
        </is>
      </c>
      <c r="C10" s="36" t="inlineStr">
        <is>
          <t>파마리서치</t>
        </is>
      </c>
      <c r="D10" s="36" t="inlineStr">
        <is>
          <t>교보증권</t>
        </is>
      </c>
      <c r="E10" s="15" t="inlineStr">
        <is>
          <t>Buy</t>
        </is>
      </c>
      <c r="F10" s="37" t="n">
        <v>530000</v>
      </c>
      <c r="G10" s="37" t="n">
        <v>327500</v>
      </c>
      <c r="H10" s="36" t="inlineStr">
        <is>
          <t>2Q26 Preview; 저희 잘하고 있어요</t>
        </is>
      </c>
      <c r="I10" s="28" t="inlineStr">
        <is>
          <t>보기</t>
        </is>
      </c>
      <c r="J10" s="28">
        <f>HYPERLINK("https://stock.pstatic.net/stock-research/company/62/20260716_company_928124000.pdf","PDF")</f>
        <v/>
      </c>
      <c r="K10" s="15" t="inlineStr">
        <is>
          <t>94242</t>
        </is>
      </c>
      <c r="L10" s="29" t="n">
        <v>0.6183206106870229</v>
      </c>
    </row>
    <row r="11">
      <c r="A11" s="15" t="inlineStr">
        <is>
          <t>2026-07-16</t>
        </is>
      </c>
      <c r="B11" s="15" t="inlineStr">
        <is>
          <t>230240</t>
        </is>
      </c>
      <c r="C11" s="36" t="inlineStr">
        <is>
          <t>에치에프알</t>
        </is>
      </c>
      <c r="D11" s="36" t="inlineStr">
        <is>
          <t>하나증권</t>
        </is>
      </c>
      <c r="E11" s="15" t="inlineStr">
        <is>
          <t>Buy</t>
        </is>
      </c>
      <c r="F11" s="37" t="n">
        <v>50000</v>
      </c>
      <c r="G11" s="37" t="n">
        <v>17520</v>
      </c>
      <c r="H11" s="36" t="inlineStr">
        <is>
          <t>AI RAN이 HFR의 위상을 송두리째 바꿀 것 입니다</t>
        </is>
      </c>
      <c r="I11" s="28" t="inlineStr">
        <is>
          <t>보기</t>
        </is>
      </c>
      <c r="J11" s="28">
        <f>HYPERLINK("https://stock.pstatic.net/stock-research/company/57/20260716_company_457667000.pdf","PDF")</f>
        <v/>
      </c>
      <c r="K11" s="15" t="inlineStr">
        <is>
          <t>94241</t>
        </is>
      </c>
      <c r="L11" s="29" t="n">
        <v>1.853881278538813</v>
      </c>
    </row>
    <row r="12">
      <c r="A12" s="15" t="inlineStr">
        <is>
          <t>2026-07-16</t>
        </is>
      </c>
      <c r="B12" s="15" t="inlineStr">
        <is>
          <t>096770</t>
        </is>
      </c>
      <c r="C12" s="36" t="inlineStr">
        <is>
          <t>SK이노베이션</t>
        </is>
      </c>
      <c r="D12" s="36" t="inlineStr">
        <is>
          <t>하나증권</t>
        </is>
      </c>
      <c r="E12" s="15" t="inlineStr">
        <is>
          <t>Buy</t>
        </is>
      </c>
      <c r="F12" s="37" t="n">
        <v>200000</v>
      </c>
      <c r="G12" s="37" t="n">
        <v>117000</v>
      </c>
      <c r="H12" s="36" t="inlineStr">
        <is>
          <t>이제는 사야 할 시점(+ TerraPower 탐방기)</t>
        </is>
      </c>
      <c r="I12" s="28" t="inlineStr">
        <is>
          <t>보기</t>
        </is>
      </c>
      <c r="J12" s="28">
        <f>HYPERLINK("https://stock.pstatic.net/stock-research/company/57/20260716_company_750726000.pdf","PDF")</f>
        <v/>
      </c>
      <c r="K12" s="15" t="inlineStr">
        <is>
          <t>94240</t>
        </is>
      </c>
      <c r="L12" s="29" t="n">
        <v>0.7094017094017094</v>
      </c>
    </row>
    <row r="13">
      <c r="A13" s="15" t="inlineStr">
        <is>
          <t>2026-07-16</t>
        </is>
      </c>
      <c r="B13" s="15" t="inlineStr">
        <is>
          <t>086450</t>
        </is>
      </c>
      <c r="C13" s="36" t="inlineStr">
        <is>
          <t>동국제약</t>
        </is>
      </c>
      <c r="D13" s="36" t="inlineStr">
        <is>
          <t>하나증권</t>
        </is>
      </c>
      <c r="E13" s="15" t="inlineStr">
        <is>
          <t>없음</t>
        </is>
      </c>
      <c r="F13" s="36" t="n"/>
      <c r="G13" s="37" t="n">
        <v>19060</v>
      </c>
      <c r="H13" s="36" t="inlineStr">
        <is>
          <t>해외 산업 탄력을 받다</t>
        </is>
      </c>
      <c r="I13" s="28" t="inlineStr">
        <is>
          <t>보기</t>
        </is>
      </c>
      <c r="J13" s="28">
        <f>HYPERLINK("https://stock.pstatic.net/stock-research/company/57/20260716_company_474842000.pdf","PDF")</f>
        <v/>
      </c>
      <c r="K13" s="15" t="inlineStr">
        <is>
          <t>94239</t>
        </is>
      </c>
      <c r="L13" s="15" t="n"/>
    </row>
    <row r="14">
      <c r="A14" s="15" t="inlineStr">
        <is>
          <t>2026-07-16</t>
        </is>
      </c>
      <c r="B14" s="15" t="inlineStr">
        <is>
          <t>047050</t>
        </is>
      </c>
      <c r="C14" s="36" t="inlineStr">
        <is>
          <t>포스코인터내셔널</t>
        </is>
      </c>
      <c r="D14" s="36" t="inlineStr">
        <is>
          <t>유안타증권</t>
        </is>
      </c>
      <c r="E14" s="15" t="inlineStr">
        <is>
          <t>Buy</t>
        </is>
      </c>
      <c r="F14" s="37" t="n">
        <v>112000</v>
      </c>
      <c r="G14" s="37" t="n">
        <v>51400</v>
      </c>
      <c r="H14" s="36" t="inlineStr">
        <is>
          <t>또 서프라이즈인데, 주가는 너무 싸다</t>
        </is>
      </c>
      <c r="I14" s="28" t="inlineStr">
        <is>
          <t>보기</t>
        </is>
      </c>
      <c r="J14" s="28">
        <f>HYPERLINK("https://stock.pstatic.net/stock-research/company/18/20260716_company_334588000.pdf","PDF")</f>
        <v/>
      </c>
      <c r="K14" s="15" t="inlineStr">
        <is>
          <t>94238</t>
        </is>
      </c>
      <c r="L14" s="29" t="n">
        <v>1.178988326848249</v>
      </c>
    </row>
    <row r="15">
      <c r="A15" s="15" t="inlineStr">
        <is>
          <t>2026-07-16</t>
        </is>
      </c>
      <c r="B15" s="15" t="inlineStr">
        <is>
          <t>000720</t>
        </is>
      </c>
      <c r="C15" s="36" t="inlineStr">
        <is>
          <t>현대건설</t>
        </is>
      </c>
      <c r="D15" s="36" t="inlineStr">
        <is>
          <t>미래에셋증권</t>
        </is>
      </c>
      <c r="E15" s="15" t="inlineStr">
        <is>
          <t>매수</t>
        </is>
      </c>
      <c r="F15" s="37" t="n">
        <v>175000</v>
      </c>
      <c r="G15" s="37" t="n">
        <v>101400</v>
      </c>
      <c r="H15" s="36" t="inlineStr">
        <is>
          <t>2분기 호실적, 해외 원전의 첫 결실을 기다리며</t>
        </is>
      </c>
      <c r="I15" s="28" t="inlineStr">
        <is>
          <t>보기</t>
        </is>
      </c>
      <c r="J15" s="28">
        <f>HYPERLINK("https://stock.pstatic.net/stock-research/company/56/20260716_company_337398000.pdf","PDF")</f>
        <v/>
      </c>
      <c r="K15" s="15" t="inlineStr">
        <is>
          <t>94237</t>
        </is>
      </c>
      <c r="L15" s="29" t="n">
        <v>0.7258382642998028</v>
      </c>
    </row>
    <row r="16">
      <c r="A16" s="15" t="inlineStr">
        <is>
          <t>2026-07-16</t>
        </is>
      </c>
      <c r="B16" s="15" t="inlineStr">
        <is>
          <t>000810</t>
        </is>
      </c>
      <c r="C16" s="36" t="inlineStr">
        <is>
          <t>삼성화재</t>
        </is>
      </c>
      <c r="D16" s="36" t="inlineStr">
        <is>
          <t>대신증권</t>
        </is>
      </c>
      <c r="E16" s="15" t="inlineStr">
        <is>
          <t>Buy</t>
        </is>
      </c>
      <c r="F16" s="37" t="n">
        <v>870000</v>
      </c>
      <c r="G16" s="37" t="n">
        <v>661000</v>
      </c>
      <c r="H16" s="36" t="inlineStr">
        <is>
          <t>대장이 돌아왔다</t>
        </is>
      </c>
      <c r="I16" s="28" t="inlineStr">
        <is>
          <t>보기</t>
        </is>
      </c>
      <c r="J16" s="28">
        <f>HYPERLINK("https://stock.pstatic.net/stock-research/company/15/20260716_company_918845000.pdf","PDF")</f>
        <v/>
      </c>
      <c r="K16" s="15" t="inlineStr">
        <is>
          <t>94236</t>
        </is>
      </c>
      <c r="L16" s="29" t="n">
        <v>0.3161875945537065</v>
      </c>
    </row>
    <row r="17">
      <c r="A17" s="15" t="inlineStr">
        <is>
          <t>2026-07-16</t>
        </is>
      </c>
      <c r="B17" s="15" t="inlineStr">
        <is>
          <t>440110</t>
        </is>
      </c>
      <c r="C17" s="36" t="inlineStr">
        <is>
          <t>파두</t>
        </is>
      </c>
      <c r="D17" s="36" t="inlineStr">
        <is>
          <t>신한투자증권</t>
        </is>
      </c>
      <c r="E17" s="15" t="inlineStr">
        <is>
          <t>없음</t>
        </is>
      </c>
      <c r="F17" s="37" t="n">
        <v>130000</v>
      </c>
      <c r="G17" s="37" t="n">
        <v>79900</v>
      </c>
      <c r="H17" s="36" t="inlineStr">
        <is>
          <t>의심을 거둘 때</t>
        </is>
      </c>
      <c r="I17" s="28" t="inlineStr">
        <is>
          <t>보기</t>
        </is>
      </c>
      <c r="J17" s="28">
        <f>HYPERLINK("https://stock.pstatic.net/stock-research/company/21/20260716_company_644309000.pdf","PDF")</f>
        <v/>
      </c>
      <c r="K17" s="15" t="inlineStr">
        <is>
          <t>94235</t>
        </is>
      </c>
      <c r="L17" s="29" t="n">
        <v>0.6270337922403004</v>
      </c>
    </row>
    <row r="18">
      <c r="A18" s="15" t="inlineStr">
        <is>
          <t>2026-07-16</t>
        </is>
      </c>
      <c r="B18" s="15" t="inlineStr">
        <is>
          <t>214450</t>
        </is>
      </c>
      <c r="C18" s="36" t="inlineStr">
        <is>
          <t>파마리서치</t>
        </is>
      </c>
      <c r="D18" s="36" t="inlineStr">
        <is>
          <t>신한투자증권</t>
        </is>
      </c>
      <c r="E18" s="15" t="inlineStr">
        <is>
          <t>매수</t>
        </is>
      </c>
      <c r="F18" s="37" t="n">
        <v>430000</v>
      </c>
      <c r="G18" s="37" t="n">
        <v>327500</v>
      </c>
      <c r="H18" s="36" t="inlineStr">
        <is>
          <t>역대 최대 실적 갱신</t>
        </is>
      </c>
      <c r="I18" s="28" t="inlineStr">
        <is>
          <t>보기</t>
        </is>
      </c>
      <c r="J18" s="28">
        <f>HYPERLINK("https://stock.pstatic.net/stock-research/company/21/20260716_company_21027000.pdf","PDF")</f>
        <v/>
      </c>
      <c r="K18" s="15" t="inlineStr">
        <is>
          <t>94234</t>
        </is>
      </c>
      <c r="L18" s="29" t="n">
        <v>0.3129770992366412</v>
      </c>
    </row>
    <row r="19">
      <c r="A19" s="15" t="inlineStr">
        <is>
          <t>2026-07-16</t>
        </is>
      </c>
      <c r="B19" s="15" t="inlineStr">
        <is>
          <t>083450</t>
        </is>
      </c>
      <c r="C19" s="36" t="inlineStr">
        <is>
          <t>GST</t>
        </is>
      </c>
      <c r="D19" s="36" t="inlineStr">
        <is>
          <t>신한투자증권</t>
        </is>
      </c>
      <c r="E19" s="15" t="inlineStr">
        <is>
          <t>없음</t>
        </is>
      </c>
      <c r="F19" s="36" t="n"/>
      <c r="G19" s="37" t="n">
        <v>48350</v>
      </c>
      <c r="H19" s="36" t="inlineStr">
        <is>
          <t>사상 최대 실적의 초입</t>
        </is>
      </c>
      <c r="I19" s="28" t="inlineStr">
        <is>
          <t>보기</t>
        </is>
      </c>
      <c r="J19" s="28">
        <f>HYPERLINK("https://stock.pstatic.net/stock-research/company/21/20260716_company_345842000.pdf","PDF")</f>
        <v/>
      </c>
      <c r="K19" s="15" t="inlineStr">
        <is>
          <t>94233</t>
        </is>
      </c>
      <c r="L19" s="15" t="n"/>
    </row>
    <row r="20">
      <c r="A20" s="15" t="inlineStr">
        <is>
          <t>2026-07-16</t>
        </is>
      </c>
      <c r="B20" s="15" t="inlineStr">
        <is>
          <t>294870</t>
        </is>
      </c>
      <c r="C20" s="36" t="inlineStr">
        <is>
          <t>IPARK현대산업개발</t>
        </is>
      </c>
      <c r="D20" s="36" t="inlineStr">
        <is>
          <t>신한투자증권</t>
        </is>
      </c>
      <c r="E20" s="15" t="inlineStr">
        <is>
          <t>매수</t>
        </is>
      </c>
      <c r="F20" s="37" t="n">
        <v>29000</v>
      </c>
      <c r="G20" s="37" t="n">
        <v>17210</v>
      </c>
      <c r="H20" s="36" t="inlineStr">
        <is>
          <t>차별적 실적 성장은 시작</t>
        </is>
      </c>
      <c r="I20" s="28" t="inlineStr">
        <is>
          <t>보기</t>
        </is>
      </c>
      <c r="J20" s="28">
        <f>HYPERLINK("https://stock.pstatic.net/stock-research/company/21/20260716_company_558189000.pdf","PDF")</f>
        <v/>
      </c>
      <c r="K20" s="15" t="inlineStr">
        <is>
          <t>94232</t>
        </is>
      </c>
      <c r="L20" s="29" t="n">
        <v>0.6850668216153399</v>
      </c>
    </row>
    <row r="21">
      <c r="A21" s="15" t="inlineStr">
        <is>
          <t>2026-07-16</t>
        </is>
      </c>
      <c r="B21" s="15" t="inlineStr">
        <is>
          <t>015760</t>
        </is>
      </c>
      <c r="C21" s="36" t="inlineStr">
        <is>
          <t>한국전력</t>
        </is>
      </c>
      <c r="D21" s="36" t="inlineStr">
        <is>
          <t>신한투자증권</t>
        </is>
      </c>
      <c r="E21" s="15" t="inlineStr">
        <is>
          <t>매수</t>
        </is>
      </c>
      <c r="F21" s="37" t="n">
        <v>45000</v>
      </c>
      <c r="G21" s="37" t="n">
        <v>33900</v>
      </c>
      <c r="H21" s="36" t="inlineStr">
        <is>
          <t>하반기 실적 부담보다 이후 변화에 주목</t>
        </is>
      </c>
      <c r="I21" s="28" t="inlineStr">
        <is>
          <t>보기</t>
        </is>
      </c>
      <c r="J21" s="28">
        <f>HYPERLINK("https://stock.pstatic.net/stock-research/company/21/20260716_company_568178000.pdf","PDF")</f>
        <v/>
      </c>
      <c r="K21" s="15" t="inlineStr">
        <is>
          <t>94231</t>
        </is>
      </c>
      <c r="L21" s="29" t="n">
        <v>0.3274336283185841</v>
      </c>
    </row>
    <row r="22">
      <c r="A22" s="15" t="inlineStr">
        <is>
          <t>2026-07-16</t>
        </is>
      </c>
      <c r="B22" s="15" t="inlineStr">
        <is>
          <t>035250</t>
        </is>
      </c>
      <c r="C22" s="36" t="inlineStr">
        <is>
          <t>강원랜드</t>
        </is>
      </c>
      <c r="D22" s="36" t="inlineStr">
        <is>
          <t>신한투자증권</t>
        </is>
      </c>
      <c r="E22" s="15" t="inlineStr">
        <is>
          <t>매수</t>
        </is>
      </c>
      <c r="F22" s="37" t="n">
        <v>19000</v>
      </c>
      <c r="G22" s="37" t="n">
        <v>14300</v>
      </c>
      <c r="H22" s="36" t="inlineStr">
        <is>
          <t>수요 부진 vs. 적은 비용 부담</t>
        </is>
      </c>
      <c r="I22" s="28" t="inlineStr">
        <is>
          <t>보기</t>
        </is>
      </c>
      <c r="J22" s="28">
        <f>HYPERLINK("https://stock.pstatic.net/stock-research/company/21/20260716_company_449810000.pdf","PDF")</f>
        <v/>
      </c>
      <c r="K22" s="15" t="inlineStr">
        <is>
          <t>94230</t>
        </is>
      </c>
      <c r="L22" s="29" t="n">
        <v>0.3286713286713286</v>
      </c>
    </row>
    <row r="23">
      <c r="A23" s="15" t="inlineStr">
        <is>
          <t>2026-07-16</t>
        </is>
      </c>
      <c r="B23" s="15" t="inlineStr">
        <is>
          <t>192820</t>
        </is>
      </c>
      <c r="C23" s="36" t="inlineStr">
        <is>
          <t>코스맥스</t>
        </is>
      </c>
      <c r="D23" s="36" t="inlineStr">
        <is>
          <t>신한투자증권</t>
        </is>
      </c>
      <c r="E23" s="15" t="inlineStr">
        <is>
          <t>매수</t>
        </is>
      </c>
      <c r="F23" s="37" t="n">
        <v>240000</v>
      </c>
      <c r="G23" s="37" t="n">
        <v>179800</v>
      </c>
      <c r="H23" s="36" t="inlineStr">
        <is>
          <t>악재 모두 반영, 시간이 약</t>
        </is>
      </c>
      <c r="I23" s="28" t="inlineStr">
        <is>
          <t>보기</t>
        </is>
      </c>
      <c r="J23" s="28">
        <f>HYPERLINK("https://stock.pstatic.net/stock-research/company/21/20260716_company_183222000.pdf","PDF")</f>
        <v/>
      </c>
      <c r="K23" s="15" t="inlineStr">
        <is>
          <t>94229</t>
        </is>
      </c>
      <c r="L23" s="29" t="n">
        <v>0.3348164627363737</v>
      </c>
    </row>
    <row r="24">
      <c r="A24" s="15" t="inlineStr">
        <is>
          <t>2026-07-16</t>
        </is>
      </c>
      <c r="B24" s="15" t="inlineStr">
        <is>
          <t>001430</t>
        </is>
      </c>
      <c r="C24" s="36" t="inlineStr">
        <is>
          <t>세아베스틸지주</t>
        </is>
      </c>
      <c r="D24" s="36" t="inlineStr">
        <is>
          <t>신한투자증권</t>
        </is>
      </c>
      <c r="E24" s="15" t="inlineStr">
        <is>
          <t>매수</t>
        </is>
      </c>
      <c r="F24" s="37" t="n">
        <v>60000</v>
      </c>
      <c r="G24" s="37" t="n">
        <v>33350</v>
      </c>
      <c r="H24" s="36" t="inlineStr">
        <is>
          <t>다시 시작하는 마음으로</t>
        </is>
      </c>
      <c r="I24" s="28" t="inlineStr">
        <is>
          <t>보기</t>
        </is>
      </c>
      <c r="J24" s="28">
        <f>HYPERLINK("https://stock.pstatic.net/stock-research/company/21/20260716_company_668636000.pdf","PDF")</f>
        <v/>
      </c>
      <c r="K24" s="15" t="inlineStr">
        <is>
          <t>94228</t>
        </is>
      </c>
      <c r="L24" s="29" t="n">
        <v>0.7991004497751124</v>
      </c>
    </row>
    <row r="25">
      <c r="A25" s="15" t="inlineStr">
        <is>
          <t>2026-07-16</t>
        </is>
      </c>
      <c r="B25" s="15" t="inlineStr">
        <is>
          <t>064350</t>
        </is>
      </c>
      <c r="C25" s="36" t="inlineStr">
        <is>
          <t>현대로템</t>
        </is>
      </c>
      <c r="D25" s="36" t="inlineStr">
        <is>
          <t>키움증권</t>
        </is>
      </c>
      <c r="E25" s="15" t="inlineStr">
        <is>
          <t>Buy</t>
        </is>
      </c>
      <c r="F25" s="37" t="n">
        <v>340000</v>
      </c>
      <c r="G25" s="37" t="n">
        <v>167700</v>
      </c>
      <c r="H25" s="36" t="inlineStr">
        <is>
          <t>수주 불확실성은 점차 해소될 것</t>
        </is>
      </c>
      <c r="I25" s="28" t="inlineStr">
        <is>
          <t>보기</t>
        </is>
      </c>
      <c r="J25" s="28">
        <f>HYPERLINK("https://stock.pstatic.net/stock-research/company/39/20260716_company_383169000.pdf","PDF")</f>
        <v/>
      </c>
      <c r="K25" s="15" t="inlineStr">
        <is>
          <t>94227</t>
        </is>
      </c>
      <c r="L25" s="29" t="n">
        <v>1.027429934406679</v>
      </c>
    </row>
    <row r="26">
      <c r="A26" s="15" t="inlineStr">
        <is>
          <t>2026-07-16</t>
        </is>
      </c>
      <c r="B26" s="15" t="inlineStr">
        <is>
          <t>128940</t>
        </is>
      </c>
      <c r="C26" s="36" t="inlineStr">
        <is>
          <t>한미약품</t>
        </is>
      </c>
      <c r="D26" s="36" t="inlineStr">
        <is>
          <t>IBK투자증권</t>
        </is>
      </c>
      <c r="E26" s="15" t="inlineStr">
        <is>
          <t>매수</t>
        </is>
      </c>
      <c r="F26" s="37" t="n">
        <v>530000</v>
      </c>
      <c r="G26" s="37" t="n">
        <v>384500</v>
      </c>
      <c r="H26" s="36" t="inlineStr">
        <is>
          <t>R&amp;D 성과가 이끄는 실적 성장</t>
        </is>
      </c>
      <c r="I26" s="28" t="inlineStr">
        <is>
          <t>보기</t>
        </is>
      </c>
      <c r="J26" s="28">
        <f>HYPERLINK("https://stock.pstatic.net/stock-research/company/40/20260716_company_19867000.pdf","PDF")</f>
        <v/>
      </c>
      <c r="K26" s="15" t="inlineStr">
        <is>
          <t>94226</t>
        </is>
      </c>
      <c r="L26" s="29" t="n">
        <v>0.3784135240572172</v>
      </c>
    </row>
    <row r="27">
      <c r="A27" s="15" t="inlineStr">
        <is>
          <t>2026-07-16</t>
        </is>
      </c>
      <c r="B27" s="15" t="inlineStr">
        <is>
          <t>298040</t>
        </is>
      </c>
      <c r="C27" s="36" t="inlineStr">
        <is>
          <t>효성중공업</t>
        </is>
      </c>
      <c r="D27" s="36" t="inlineStr">
        <is>
          <t>SK증권</t>
        </is>
      </c>
      <c r="E27" s="15" t="inlineStr">
        <is>
          <t>매수</t>
        </is>
      </c>
      <c r="F27" s="37" t="n">
        <v>4000000</v>
      </c>
      <c r="G27" s="37" t="n">
        <v>2677000</v>
      </c>
      <c r="H27" s="36" t="inlineStr">
        <is>
          <t>미국 현지 생산능력 부각</t>
        </is>
      </c>
      <c r="I27" s="28" t="inlineStr">
        <is>
          <t>보기</t>
        </is>
      </c>
      <c r="J27" s="28">
        <f>HYPERLINK("https://stock.pstatic.net/stock-research/company/64/20260716_company_837747000.pdf","PDF")</f>
        <v/>
      </c>
      <c r="K27" s="15" t="inlineStr">
        <is>
          <t>94225</t>
        </is>
      </c>
      <c r="L27" s="29" t="n">
        <v>0.4942099364960777</v>
      </c>
    </row>
    <row r="28">
      <c r="A28" s="15" t="inlineStr">
        <is>
          <t>2026-07-16</t>
        </is>
      </c>
      <c r="B28" s="15" t="inlineStr">
        <is>
          <t>009150</t>
        </is>
      </c>
      <c r="C28" s="36" t="inlineStr">
        <is>
          <t>삼성전기</t>
        </is>
      </c>
      <c r="D28" s="36" t="inlineStr">
        <is>
          <t>IBK투자증권</t>
        </is>
      </c>
      <c r="E28" s="15" t="inlineStr">
        <is>
          <t>Buy</t>
        </is>
      </c>
      <c r="F28" s="36" t="n"/>
      <c r="G28" s="37" t="n">
        <v>1413000</v>
      </c>
      <c r="H28" s="36" t="inlineStr">
        <is>
          <t>이 와중에도 외국인이 계속 사는 이유</t>
        </is>
      </c>
      <c r="I28" s="28" t="inlineStr">
        <is>
          <t>보기</t>
        </is>
      </c>
      <c r="J28" s="28">
        <f>HYPERLINK("https://stock.pstatic.net/stock-research/company/40/20260716_company_281952000.pdf","PDF")</f>
        <v/>
      </c>
      <c r="K28" s="15" t="inlineStr">
        <is>
          <t>94224</t>
        </is>
      </c>
      <c r="L28" s="15" t="n"/>
    </row>
    <row r="29">
      <c r="A29" s="15" t="inlineStr">
        <is>
          <t>2026-07-16</t>
        </is>
      </c>
      <c r="B29" s="15" t="inlineStr">
        <is>
          <t>185750</t>
        </is>
      </c>
      <c r="C29" s="36" t="inlineStr">
        <is>
          <t>종근당</t>
        </is>
      </c>
      <c r="D29" s="36" t="inlineStr">
        <is>
          <t>키움증권</t>
        </is>
      </c>
      <c r="E29" s="15" t="inlineStr">
        <is>
          <t>OutPerform</t>
        </is>
      </c>
      <c r="F29" s="37" t="n">
        <v>80000</v>
      </c>
      <c r="G29" s="37" t="n">
        <v>67900</v>
      </c>
      <c r="H29" s="36" t="inlineStr">
        <is>
          <t>실적보다 중요한 것은 성장동력 확보</t>
        </is>
      </c>
      <c r="I29" s="28" t="inlineStr">
        <is>
          <t>보기</t>
        </is>
      </c>
      <c r="J29" s="28">
        <f>HYPERLINK("https://stock.pstatic.net/stock-research/company/39/20260716_company_354768000.pdf","PDF")</f>
        <v/>
      </c>
      <c r="K29" s="15" t="inlineStr">
        <is>
          <t>94223</t>
        </is>
      </c>
      <c r="L29" s="29" t="n">
        <v>0.1782032400589102</v>
      </c>
    </row>
    <row r="30">
      <c r="A30" s="15" t="inlineStr">
        <is>
          <t>2026-07-16</t>
        </is>
      </c>
      <c r="B30" s="15" t="inlineStr">
        <is>
          <t>144960</t>
        </is>
      </c>
      <c r="C30" s="36" t="inlineStr">
        <is>
          <t>뉴파워프라즈마</t>
        </is>
      </c>
      <c r="D30" s="36" t="inlineStr">
        <is>
          <t>키움증권</t>
        </is>
      </c>
      <c r="E30" s="15" t="inlineStr">
        <is>
          <t>없음</t>
        </is>
      </c>
      <c r="F30" s="36" t="n"/>
      <c r="G30" s="37" t="n">
        <v>10330</v>
      </c>
      <c r="H30" s="36" t="inlineStr">
        <is>
          <t>든든한 실적 성장으로 기업가치 재평가 전망</t>
        </is>
      </c>
      <c r="I30" s="28" t="inlineStr">
        <is>
          <t>보기</t>
        </is>
      </c>
      <c r="J30" s="28">
        <f>HYPERLINK("https://stock.pstatic.net/stock-research/company/39/20260716_company_781516000.pdf","PDF")</f>
        <v/>
      </c>
      <c r="K30" s="15" t="inlineStr">
        <is>
          <t>94222</t>
        </is>
      </c>
      <c r="L30" s="15" t="n"/>
    </row>
    <row r="31">
      <c r="A31" s="15" t="inlineStr">
        <is>
          <t>2026-07-16</t>
        </is>
      </c>
      <c r="B31" s="15" t="inlineStr">
        <is>
          <t>214450</t>
        </is>
      </c>
      <c r="C31" s="36" t="inlineStr">
        <is>
          <t>파마리서치</t>
        </is>
      </c>
      <c r="D31" s="36" t="inlineStr">
        <is>
          <t>키움증권</t>
        </is>
      </c>
      <c r="E31" s="15" t="inlineStr">
        <is>
          <t>Buy</t>
        </is>
      </c>
      <c r="F31" s="37" t="n">
        <v>510000</v>
      </c>
      <c r="G31" s="37" t="n">
        <v>327500</v>
      </c>
      <c r="H31" s="36" t="inlineStr">
        <is>
          <t>안녕하세요파마립니다잘부탁드립니다</t>
        </is>
      </c>
      <c r="I31" s="28" t="inlineStr">
        <is>
          <t>보기</t>
        </is>
      </c>
      <c r="J31" s="28">
        <f>HYPERLINK("https://stock.pstatic.net/stock-research/company/39/20260716_company_877302000.pdf","PDF")</f>
        <v/>
      </c>
      <c r="K31" s="15" t="inlineStr">
        <is>
          <t>94221</t>
        </is>
      </c>
      <c r="L31" s="29" t="n">
        <v>0.5572519083969466</v>
      </c>
    </row>
    <row r="32">
      <c r="A32" s="15" t="inlineStr">
        <is>
          <t>2026-07-16</t>
        </is>
      </c>
      <c r="B32" s="15" t="inlineStr">
        <is>
          <t>214150</t>
        </is>
      </c>
      <c r="C32" s="36" t="inlineStr">
        <is>
          <t>클래시스</t>
        </is>
      </c>
      <c r="D32" s="36" t="inlineStr">
        <is>
          <t>키움증권</t>
        </is>
      </c>
      <c r="E32" s="15" t="inlineStr">
        <is>
          <t>Buy</t>
        </is>
      </c>
      <c r="F32" s="37" t="n">
        <v>58000</v>
      </c>
      <c r="G32" s="37" t="n">
        <v>45550</v>
      </c>
      <c r="H32" s="36" t="inlineStr">
        <is>
          <t>신규 대표집행임원 선임, 방학 숙제할 시간</t>
        </is>
      </c>
      <c r="I32" s="28" t="inlineStr">
        <is>
          <t>보기</t>
        </is>
      </c>
      <c r="J32" s="28">
        <f>HYPERLINK("https://stock.pstatic.net/stock-research/company/39/20260716_company_300078000.pdf","PDF")</f>
        <v/>
      </c>
      <c r="K32" s="15" t="inlineStr">
        <is>
          <t>94220</t>
        </is>
      </c>
      <c r="L32" s="29" t="n">
        <v>0.2733260153677278</v>
      </c>
    </row>
    <row r="33">
      <c r="A33" s="15" t="inlineStr">
        <is>
          <t>2026-07-16</t>
        </is>
      </c>
      <c r="B33" s="15" t="inlineStr">
        <is>
          <t>234300</t>
        </is>
      </c>
      <c r="C33" s="36" t="inlineStr">
        <is>
          <t>에스트래픽</t>
        </is>
      </c>
      <c r="D33" s="36" t="inlineStr">
        <is>
          <t>한국IR협의회</t>
        </is>
      </c>
      <c r="E33" s="15" t="inlineStr">
        <is>
          <t>없음</t>
        </is>
      </c>
      <c r="F33" s="36" t="n"/>
      <c r="G33" s="36" t="n"/>
      <c r="H33" s="36" t="inlineStr">
        <is>
          <t>미국에서 증명한 기술력, 뉴욕 MTA 발주 임박</t>
        </is>
      </c>
      <c r="I33" s="28" t="inlineStr">
        <is>
          <t>보기</t>
        </is>
      </c>
      <c r="J33" s="28">
        <f>HYPERLINK("https://stock.pstatic.net/stock-research/company/74/20260716_company_10964000.pdf","PDF")</f>
        <v/>
      </c>
      <c r="K33" s="15" t="inlineStr">
        <is>
          <t>94219</t>
        </is>
      </c>
      <c r="L33" s="15" t="n"/>
    </row>
    <row r="34">
      <c r="A34" s="15" t="inlineStr">
        <is>
          <t>2026-07-16</t>
        </is>
      </c>
      <c r="B34" s="15" t="inlineStr">
        <is>
          <t>005440</t>
        </is>
      </c>
      <c r="C34" s="36" t="inlineStr">
        <is>
          <t>현대지에프홀딩스</t>
        </is>
      </c>
      <c r="D34" s="36" t="inlineStr">
        <is>
          <t>IBK투자증권</t>
        </is>
      </c>
      <c r="E34" s="15" t="inlineStr">
        <is>
          <t>매수</t>
        </is>
      </c>
      <c r="F34" s="37" t="n">
        <v>19000</v>
      </c>
      <c r="G34" s="37" t="n">
        <v>13660</v>
      </c>
      <c r="H34" s="36" t="inlineStr">
        <is>
          <t>주주와의 동행</t>
        </is>
      </c>
      <c r="I34" s="28" t="inlineStr">
        <is>
          <t>보기</t>
        </is>
      </c>
      <c r="J34" s="28">
        <f>HYPERLINK("https://stock.pstatic.net/stock-research/company/40/20260716_company_713277000.pdf","PDF")</f>
        <v/>
      </c>
      <c r="K34" s="15" t="inlineStr">
        <is>
          <t>94218</t>
        </is>
      </c>
      <c r="L34" s="29" t="n">
        <v>0.3909224011713031</v>
      </c>
    </row>
    <row r="35">
      <c r="A35" s="15" t="inlineStr">
        <is>
          <t>2026-07-15</t>
        </is>
      </c>
      <c r="B35" s="15" t="inlineStr">
        <is>
          <t>011210</t>
        </is>
      </c>
      <c r="C35" s="36" t="inlineStr">
        <is>
          <t>현대위아</t>
        </is>
      </c>
      <c r="D35" s="36" t="inlineStr">
        <is>
          <t>한화투자증권</t>
        </is>
      </c>
      <c r="E35" s="15" t="inlineStr">
        <is>
          <t>Buy</t>
        </is>
      </c>
      <c r="F35" s="37" t="n">
        <v>100000</v>
      </c>
      <c r="G35" s="37" t="n">
        <v>57600</v>
      </c>
      <c r="H35" s="36" t="inlineStr">
        <is>
          <t>단기 기대치는 하향, 증익 기대감은 유지</t>
        </is>
      </c>
      <c r="I35" s="28" t="inlineStr">
        <is>
          <t>보기</t>
        </is>
      </c>
      <c r="J35" s="28">
        <f>HYPERLINK("https://stock.pstatic.net/stock-research/company/16/20260715_company_914334000.pdf","PDF")</f>
        <v/>
      </c>
      <c r="K35" s="15" t="inlineStr">
        <is>
          <t>94217</t>
        </is>
      </c>
      <c r="L35" s="29" t="n">
        <v>0.7361111111111112</v>
      </c>
    </row>
    <row r="36">
      <c r="A36" s="15" t="inlineStr">
        <is>
          <t>2026-07-15</t>
        </is>
      </c>
      <c r="B36" s="15" t="inlineStr">
        <is>
          <t>021240</t>
        </is>
      </c>
      <c r="C36" s="36" t="inlineStr">
        <is>
          <t>코웨이</t>
        </is>
      </c>
      <c r="D36" s="36" t="inlineStr">
        <is>
          <t>한화투자증권</t>
        </is>
      </c>
      <c r="E36" s="15" t="inlineStr">
        <is>
          <t>Buy</t>
        </is>
      </c>
      <c r="F36" s="37" t="n">
        <v>150000</v>
      </c>
      <c r="G36" s="37" t="n">
        <v>94200</v>
      </c>
      <c r="H36" s="36" t="inlineStr">
        <is>
          <t>2Q26 Preview : 렌탈계정 순증 사상 최대치 경신</t>
        </is>
      </c>
      <c r="I36" s="28" t="inlineStr">
        <is>
          <t>보기</t>
        </is>
      </c>
      <c r="J36" s="28">
        <f>HYPERLINK("https://stock.pstatic.net/stock-research/company/16/20260715_company_220313000.pdf","PDF")</f>
        <v/>
      </c>
      <c r="K36" s="15" t="inlineStr">
        <is>
          <t>94216</t>
        </is>
      </c>
      <c r="L36" s="29" t="n">
        <v>0.5923566878980892</v>
      </c>
    </row>
    <row r="37">
      <c r="A37" s="15" t="inlineStr">
        <is>
          <t>2026-07-15</t>
        </is>
      </c>
      <c r="B37" s="15" t="inlineStr">
        <is>
          <t>088350</t>
        </is>
      </c>
      <c r="C37" s="36" t="inlineStr">
        <is>
          <t>한화생명</t>
        </is>
      </c>
      <c r="D37" s="36" t="inlineStr">
        <is>
          <t>한화투자증권</t>
        </is>
      </c>
      <c r="E37" s="15" t="inlineStr">
        <is>
          <t>Buy</t>
        </is>
      </c>
      <c r="F37" s="37" t="n">
        <v>6100</v>
      </c>
      <c r="G37" s="37" t="n">
        <v>4355</v>
      </c>
      <c r="H37" s="36" t="inlineStr">
        <is>
          <t>자산 평가익에 의한 상반기 서프라이즈</t>
        </is>
      </c>
      <c r="I37" s="28" t="inlineStr">
        <is>
          <t>보기</t>
        </is>
      </c>
      <c r="J37" s="28">
        <f>HYPERLINK("https://stock.pstatic.net/stock-research/company/16/20260715_company_902841000.pdf","PDF")</f>
        <v/>
      </c>
      <c r="K37" s="15" t="inlineStr">
        <is>
          <t>94215</t>
        </is>
      </c>
      <c r="L37" s="29" t="n">
        <v>0.4006888633754305</v>
      </c>
    </row>
    <row r="38">
      <c r="A38" s="15" t="inlineStr">
        <is>
          <t>2026-07-15</t>
        </is>
      </c>
      <c r="B38" s="15" t="inlineStr">
        <is>
          <t>375500</t>
        </is>
      </c>
      <c r="C38" s="36" t="inlineStr">
        <is>
          <t>DL이앤씨</t>
        </is>
      </c>
      <c r="D38" s="36" t="inlineStr">
        <is>
          <t>교보증권</t>
        </is>
      </c>
      <c r="E38" s="15" t="inlineStr">
        <is>
          <t>Buy</t>
        </is>
      </c>
      <c r="F38" s="37" t="n">
        <v>73000</v>
      </c>
      <c r="G38" s="37" t="n">
        <v>59500</v>
      </c>
      <c r="H38" s="36" t="inlineStr">
        <is>
          <t>2Q26 Preview: 건축주택과 SMR 기대</t>
        </is>
      </c>
      <c r="I38" s="28" t="inlineStr">
        <is>
          <t>보기</t>
        </is>
      </c>
      <c r="J38" s="28">
        <f>HYPERLINK("https://stock.pstatic.net/stock-research/company/62/20260715_company_983511000.pdf","PDF")</f>
        <v/>
      </c>
      <c r="K38" s="15" t="inlineStr">
        <is>
          <t>94214</t>
        </is>
      </c>
      <c r="L38" s="29" t="n">
        <v>0.226890756302521</v>
      </c>
    </row>
    <row r="39">
      <c r="A39" s="15" t="inlineStr">
        <is>
          <t>2026-07-15</t>
        </is>
      </c>
      <c r="B39" s="15" t="inlineStr">
        <is>
          <t>073490</t>
        </is>
      </c>
      <c r="C39" s="36" t="inlineStr">
        <is>
          <t>LIG아큐버</t>
        </is>
      </c>
      <c r="D39" s="36" t="inlineStr">
        <is>
          <t>하나증권</t>
        </is>
      </c>
      <c r="E39" s="15" t="inlineStr">
        <is>
          <t>Buy</t>
        </is>
      </c>
      <c r="F39" s="37" t="n">
        <v>80000</v>
      </c>
      <c r="G39" s="37" t="n">
        <v>23900</v>
      </c>
      <c r="H39" s="36" t="inlineStr">
        <is>
          <t>실적은 이미 개선 중, 재료도 곧 나올 것</t>
        </is>
      </c>
      <c r="I39" s="28" t="inlineStr">
        <is>
          <t>보기</t>
        </is>
      </c>
      <c r="J39" s="28">
        <f>HYPERLINK("https://stock.pstatic.net/stock-research/company/57/20260715_company_360241000.pdf","PDF")</f>
        <v/>
      </c>
      <c r="K39" s="15" t="inlineStr">
        <is>
          <t>94213</t>
        </is>
      </c>
      <c r="L39" s="29" t="n">
        <v>2.347280334728033</v>
      </c>
    </row>
    <row r="40">
      <c r="A40" s="15" t="inlineStr">
        <is>
          <t>2026-07-15</t>
        </is>
      </c>
      <c r="B40" s="15" t="inlineStr">
        <is>
          <t>456010</t>
        </is>
      </c>
      <c r="C40" s="36" t="inlineStr">
        <is>
          <t>아이씨티케이</t>
        </is>
      </c>
      <c r="D40" s="36" t="inlineStr">
        <is>
          <t>하나증권</t>
        </is>
      </c>
      <c r="E40" s="15" t="inlineStr">
        <is>
          <t>Buy</t>
        </is>
      </c>
      <c r="F40" s="37" t="n">
        <v>60000</v>
      </c>
      <c r="G40" s="37" t="n">
        <v>15200</v>
      </c>
      <c r="H40" s="36" t="inlineStr">
        <is>
          <t>ICTK가 자타공인 양자산업 주도업체가 되었습니다</t>
        </is>
      </c>
      <c r="I40" s="28" t="inlineStr">
        <is>
          <t>보기</t>
        </is>
      </c>
      <c r="J40" s="28">
        <f>HYPERLINK("https://stock.pstatic.net/stock-research/company/57/20260715_company_56406000.pdf","PDF")</f>
        <v/>
      </c>
      <c r="K40" s="15" t="inlineStr">
        <is>
          <t>94212</t>
        </is>
      </c>
      <c r="L40" s="29" t="n">
        <v>2.947368421052631</v>
      </c>
    </row>
    <row r="41">
      <c r="A41" s="15" t="inlineStr">
        <is>
          <t>2026-07-15</t>
        </is>
      </c>
      <c r="B41" s="15" t="inlineStr">
        <is>
          <t>196170</t>
        </is>
      </c>
      <c r="C41" s="36" t="inlineStr">
        <is>
          <t>알테오젠</t>
        </is>
      </c>
      <c r="D41" s="36" t="inlineStr">
        <is>
          <t>하나증권</t>
        </is>
      </c>
      <c r="E41" s="15" t="inlineStr">
        <is>
          <t>Buy</t>
        </is>
      </c>
      <c r="F41" s="37" t="n">
        <v>580000</v>
      </c>
      <c r="G41" s="37" t="n">
        <v>279500</v>
      </c>
      <c r="H41" s="36" t="inlineStr">
        <is>
          <t>시밀러가 아닌 ALT-B4를 쓴 이유가 있지 않겠습니까</t>
        </is>
      </c>
      <c r="I41" s="28" t="inlineStr">
        <is>
          <t>보기</t>
        </is>
      </c>
      <c r="J41" s="28">
        <f>HYPERLINK("https://stock.pstatic.net/stock-research/company/57/20260715_company_596763000.pdf","PDF")</f>
        <v/>
      </c>
      <c r="K41" s="15" t="inlineStr">
        <is>
          <t>94211</t>
        </is>
      </c>
      <c r="L41" s="29" t="n">
        <v>1.075134168157424</v>
      </c>
    </row>
    <row r="42">
      <c r="A42" s="15" t="inlineStr">
        <is>
          <t>2026-07-15</t>
        </is>
      </c>
      <c r="B42" s="15" t="inlineStr">
        <is>
          <t>007340</t>
        </is>
      </c>
      <c r="C42" s="36" t="inlineStr">
        <is>
          <t>DN오토모티브</t>
        </is>
      </c>
      <c r="D42" s="36" t="inlineStr">
        <is>
          <t>하나증권</t>
        </is>
      </c>
      <c r="E42" s="15" t="inlineStr">
        <is>
          <t>Buy</t>
        </is>
      </c>
      <c r="F42" s="37" t="n">
        <v>60000</v>
      </c>
      <c r="G42" s="37" t="n">
        <v>36700</v>
      </c>
      <c r="H42" s="36" t="inlineStr">
        <is>
          <t>공작기계 호조로 2분기 기대치 상회 전망</t>
        </is>
      </c>
      <c r="I42" s="28" t="inlineStr">
        <is>
          <t>보기</t>
        </is>
      </c>
      <c r="J42" s="28">
        <f>HYPERLINK("https://stock.pstatic.net/stock-research/company/57/20260715_company_614289000.pdf","PDF")</f>
        <v/>
      </c>
      <c r="K42" s="15" t="inlineStr">
        <is>
          <t>94210</t>
        </is>
      </c>
      <c r="L42" s="29" t="n">
        <v>0.6348773841961853</v>
      </c>
    </row>
    <row r="43">
      <c r="A43" s="15" t="inlineStr">
        <is>
          <t>2026-07-15</t>
        </is>
      </c>
      <c r="B43" s="15" t="inlineStr">
        <is>
          <t>204320</t>
        </is>
      </c>
      <c r="C43" s="36" t="inlineStr">
        <is>
          <t>HL만도</t>
        </is>
      </c>
      <c r="D43" s="36" t="inlineStr">
        <is>
          <t>하나증권</t>
        </is>
      </c>
      <c r="E43" s="15" t="inlineStr">
        <is>
          <t>Buy</t>
        </is>
      </c>
      <c r="F43" s="37" t="n">
        <v>69000</v>
      </c>
      <c r="G43" s="37" t="n">
        <v>44850</v>
      </c>
      <c r="H43" s="36" t="inlineStr">
        <is>
          <t>자동차만으로도 저평가, 로봇 액추에이터는 플러스 알파</t>
        </is>
      </c>
      <c r="I43" s="28" t="inlineStr">
        <is>
          <t>보기</t>
        </is>
      </c>
      <c r="J43" s="28">
        <f>HYPERLINK("https://stock.pstatic.net/stock-research/company/57/20260715_company_219087000.pdf","PDF")</f>
        <v/>
      </c>
      <c r="K43" s="15" t="inlineStr">
        <is>
          <t>94209</t>
        </is>
      </c>
      <c r="L43" s="29" t="n">
        <v>0.5384615384615384</v>
      </c>
    </row>
    <row r="44">
      <c r="A44" s="15" t="inlineStr">
        <is>
          <t>2026-07-15</t>
        </is>
      </c>
      <c r="B44" s="15" t="inlineStr">
        <is>
          <t>306200</t>
        </is>
      </c>
      <c r="C44" s="36" t="inlineStr">
        <is>
          <t>세아제강</t>
        </is>
      </c>
      <c r="D44" s="36" t="inlineStr">
        <is>
          <t>하나증권</t>
        </is>
      </c>
      <c r="E44" s="15" t="inlineStr">
        <is>
          <t>Buy</t>
        </is>
      </c>
      <c r="F44" s="37" t="n">
        <v>200000</v>
      </c>
      <c r="G44" s="37" t="n">
        <v>118500</v>
      </c>
      <c r="H44" s="36" t="inlineStr">
        <is>
          <t>2Q26 영업실적 개선 기대</t>
        </is>
      </c>
      <c r="I44" s="28" t="inlineStr">
        <is>
          <t>보기</t>
        </is>
      </c>
      <c r="J44" s="28">
        <f>HYPERLINK("https://stock.pstatic.net/stock-research/company/57/20260715_company_388787000.pdf","PDF")</f>
        <v/>
      </c>
      <c r="K44" s="15" t="inlineStr">
        <is>
          <t>94208</t>
        </is>
      </c>
      <c r="L44" s="29" t="n">
        <v>0.6877637130801688</v>
      </c>
    </row>
    <row r="45">
      <c r="A45" s="15" t="inlineStr">
        <is>
          <t>2026-07-15</t>
        </is>
      </c>
      <c r="B45" s="15" t="inlineStr">
        <is>
          <t>460860</t>
        </is>
      </c>
      <c r="C45" s="36" t="inlineStr">
        <is>
          <t>동국제강</t>
        </is>
      </c>
      <c r="D45" s="36" t="inlineStr">
        <is>
          <t>하나증권</t>
        </is>
      </c>
      <c r="E45" s="15" t="inlineStr">
        <is>
          <t>Buy</t>
        </is>
      </c>
      <c r="F45" s="37" t="n">
        <v>14000</v>
      </c>
      <c r="G45" s="37" t="n">
        <v>8280</v>
      </c>
      <c r="H45" s="36" t="inlineStr">
        <is>
          <t>2Q26 기대이상의 영업실적 전망</t>
        </is>
      </c>
      <c r="I45" s="28" t="inlineStr">
        <is>
          <t>보기</t>
        </is>
      </c>
      <c r="J45" s="28">
        <f>HYPERLINK("https://stock.pstatic.net/stock-research/company/57/20260715_company_117112000.pdf","PDF")</f>
        <v/>
      </c>
      <c r="K45" s="15" t="inlineStr">
        <is>
          <t>94207</t>
        </is>
      </c>
      <c r="L45" s="29" t="n">
        <v>0.6908212560386473</v>
      </c>
    </row>
    <row r="46">
      <c r="A46" s="15" t="inlineStr">
        <is>
          <t>2026-07-15</t>
        </is>
      </c>
      <c r="B46" s="15" t="inlineStr">
        <is>
          <t>033780</t>
        </is>
      </c>
      <c r="C46" s="36" t="inlineStr">
        <is>
          <t>KT&amp;G</t>
        </is>
      </c>
      <c r="D46" s="36" t="inlineStr">
        <is>
          <t>하나증권</t>
        </is>
      </c>
      <c r="E46" s="15" t="inlineStr">
        <is>
          <t>Buy</t>
        </is>
      </c>
      <c r="F46" s="37" t="n">
        <v>210000</v>
      </c>
      <c r="G46" s="37" t="n">
        <v>171000</v>
      </c>
      <c r="H46" s="36" t="inlineStr">
        <is>
          <t>2Q26 Pre: 담배를 불렀던 증시 변동성</t>
        </is>
      </c>
      <c r="I46" s="28" t="inlineStr">
        <is>
          <t>보기</t>
        </is>
      </c>
      <c r="J46" s="28">
        <f>HYPERLINK("https://stock.pstatic.net/stock-research/company/57/20260715_company_215331000.pdf","PDF")</f>
        <v/>
      </c>
      <c r="K46" s="15" t="inlineStr">
        <is>
          <t>94206</t>
        </is>
      </c>
      <c r="L46" s="29" t="n">
        <v>0.2280701754385965</v>
      </c>
    </row>
    <row r="47">
      <c r="A47" s="15" t="inlineStr">
        <is>
          <t>2026-07-15</t>
        </is>
      </c>
      <c r="B47" s="15" t="inlineStr">
        <is>
          <t>003490</t>
        </is>
      </c>
      <c r="C47" s="36" t="inlineStr">
        <is>
          <t>대한항공</t>
        </is>
      </c>
      <c r="D47" s="36" t="inlineStr">
        <is>
          <t>유안타증권</t>
        </is>
      </c>
      <c r="E47" s="15" t="inlineStr">
        <is>
          <t>Buy</t>
        </is>
      </c>
      <c r="F47" s="37" t="n">
        <v>38000</v>
      </c>
      <c r="G47" s="37" t="n">
        <v>26500</v>
      </c>
      <c r="H47" s="36" t="inlineStr">
        <is>
          <t>매크로 불확실성 속에서 확인된 방어력</t>
        </is>
      </c>
      <c r="I47" s="28" t="inlineStr">
        <is>
          <t>보기</t>
        </is>
      </c>
      <c r="J47" s="28">
        <f>HYPERLINK("https://stock.pstatic.net/stock-research/company/18/20260715_company_254622000.pdf","PDF")</f>
        <v/>
      </c>
      <c r="K47" s="15" t="inlineStr">
        <is>
          <t>94205</t>
        </is>
      </c>
      <c r="L47" s="29" t="n">
        <v>0.4339622641509434</v>
      </c>
    </row>
    <row r="48">
      <c r="A48" s="15" t="inlineStr">
        <is>
          <t>2026-07-15</t>
        </is>
      </c>
      <c r="B48" s="15" t="inlineStr">
        <is>
          <t>375500</t>
        </is>
      </c>
      <c r="C48" s="36" t="inlineStr">
        <is>
          <t>DL이앤씨</t>
        </is>
      </c>
      <c r="D48" s="36" t="inlineStr">
        <is>
          <t>유진투자증권</t>
        </is>
      </c>
      <c r="E48" s="15" t="inlineStr">
        <is>
          <t>Buy</t>
        </is>
      </c>
      <c r="F48" s="37" t="n">
        <v>121000</v>
      </c>
      <c r="G48" s="37" t="n">
        <v>59500</v>
      </c>
      <c r="H48" s="36" t="inlineStr">
        <is>
          <t>컨센서스 상회 전망, 무르익어 가는 SMR</t>
        </is>
      </c>
      <c r="I48" s="28" t="inlineStr">
        <is>
          <t>보기</t>
        </is>
      </c>
      <c r="J48" s="28">
        <f>HYPERLINK("https://stock.pstatic.net/stock-research/company/63/20260715_company_111602000.pdf","PDF")</f>
        <v/>
      </c>
      <c r="K48" s="15" t="inlineStr">
        <is>
          <t>94204</t>
        </is>
      </c>
      <c r="L48" s="29" t="n">
        <v>1.033613445378151</v>
      </c>
    </row>
    <row r="49">
      <c r="A49" s="15" t="inlineStr">
        <is>
          <t>2026-07-15</t>
        </is>
      </c>
      <c r="B49" s="15" t="inlineStr">
        <is>
          <t>494120</t>
        </is>
      </c>
      <c r="C49" s="36" t="inlineStr">
        <is>
          <t>큐리오시스</t>
        </is>
      </c>
      <c r="D49" s="36" t="inlineStr">
        <is>
          <t>미래에셋증권</t>
        </is>
      </c>
      <c r="E49" s="15" t="inlineStr">
        <is>
          <t>없음</t>
        </is>
      </c>
      <c r="F49" s="36" t="n"/>
      <c r="G49" s="37" t="n">
        <v>25550</v>
      </c>
      <c r="H49" s="36" t="inlineStr">
        <is>
          <t>머크와 추가 ODM 발표하며 플랫폼 경쟁력 입증</t>
        </is>
      </c>
      <c r="I49" s="28" t="inlineStr">
        <is>
          <t>보기</t>
        </is>
      </c>
      <c r="J49" s="28">
        <f>HYPERLINK("https://stock.pstatic.net/stock-research/company/56/20260715_company_580010000.pdf","PDF")</f>
        <v/>
      </c>
      <c r="K49" s="15" t="inlineStr">
        <is>
          <t>94203</t>
        </is>
      </c>
      <c r="L49" s="15" t="n"/>
    </row>
    <row r="50">
      <c r="A50" s="15" t="inlineStr">
        <is>
          <t>2026-07-15</t>
        </is>
      </c>
      <c r="B50" s="15" t="inlineStr">
        <is>
          <t>146320</t>
        </is>
      </c>
      <c r="C50" s="36" t="inlineStr">
        <is>
          <t>비씨엔씨</t>
        </is>
      </c>
      <c r="D50" s="36" t="inlineStr">
        <is>
          <t>신한투자증권</t>
        </is>
      </c>
      <c r="E50" s="15" t="inlineStr">
        <is>
          <t>Buy</t>
        </is>
      </c>
      <c r="F50" s="37" t="n">
        <v>15000</v>
      </c>
      <c r="G50" s="37" t="n">
        <v>10380</v>
      </c>
      <c r="H50" s="36" t="inlineStr">
        <is>
          <t>실적 체력 확인 구간</t>
        </is>
      </c>
      <c r="I50" s="28" t="inlineStr">
        <is>
          <t>보기</t>
        </is>
      </c>
      <c r="J50" s="28">
        <f>HYPERLINK("https://stock.pstatic.net/stock-research/company/21/20260715_company_618735000.pdf","PDF")</f>
        <v/>
      </c>
      <c r="K50" s="15" t="inlineStr">
        <is>
          <t>94202</t>
        </is>
      </c>
      <c r="L50" s="29" t="n">
        <v>0.4450867052023121</v>
      </c>
    </row>
    <row r="51">
      <c r="A51" s="15" t="inlineStr">
        <is>
          <t>2026-07-15</t>
        </is>
      </c>
      <c r="B51" s="15" t="inlineStr">
        <is>
          <t>002350</t>
        </is>
      </c>
      <c r="C51" s="36" t="inlineStr">
        <is>
          <t>넥센타이어</t>
        </is>
      </c>
      <c r="D51" s="36" t="inlineStr">
        <is>
          <t>신한투자증권</t>
        </is>
      </c>
      <c r="E51" s="15" t="inlineStr">
        <is>
          <t>매수</t>
        </is>
      </c>
      <c r="F51" s="37" t="n">
        <v>10000</v>
      </c>
      <c r="G51" s="37" t="n">
        <v>6720</v>
      </c>
      <c r="H51" s="36" t="inlineStr">
        <is>
          <t>아직은 노면이 거칠다</t>
        </is>
      </c>
      <c r="I51" s="28" t="inlineStr">
        <is>
          <t>보기</t>
        </is>
      </c>
      <c r="J51" s="28">
        <f>HYPERLINK("https://stock.pstatic.net/stock-research/company/21/20260715_company_6960000.pdf","PDF")</f>
        <v/>
      </c>
      <c r="K51" s="15" t="inlineStr">
        <is>
          <t>94201</t>
        </is>
      </c>
      <c r="L51" s="29" t="n">
        <v>0.4880952380952381</v>
      </c>
    </row>
    <row r="52">
      <c r="A52" s="15" t="inlineStr">
        <is>
          <t>2026-07-15</t>
        </is>
      </c>
      <c r="B52" s="15" t="inlineStr">
        <is>
          <t>003490</t>
        </is>
      </c>
      <c r="C52" s="36" t="inlineStr">
        <is>
          <t>대한항공</t>
        </is>
      </c>
      <c r="D52" s="36" t="inlineStr">
        <is>
          <t>신한투자증권</t>
        </is>
      </c>
      <c r="E52" s="15" t="inlineStr">
        <is>
          <t>매수</t>
        </is>
      </c>
      <c r="F52" s="37" t="n">
        <v>38000</v>
      </c>
      <c r="G52" s="37" t="n">
        <v>26500</v>
      </c>
      <c r="H52" s="36" t="inlineStr">
        <is>
          <t>여행은 안 가도 반도체는 날라야지</t>
        </is>
      </c>
      <c r="I52" s="28" t="inlineStr">
        <is>
          <t>보기</t>
        </is>
      </c>
      <c r="J52" s="28">
        <f>HYPERLINK("https://stock.pstatic.net/stock-research/company/21/20260715_company_344684000.pdf","PDF")</f>
        <v/>
      </c>
      <c r="K52" s="15" t="inlineStr">
        <is>
          <t>94200</t>
        </is>
      </c>
      <c r="L52" s="29" t="n">
        <v>0.4339622641509434</v>
      </c>
    </row>
    <row r="53">
      <c r="A53" s="15" t="inlineStr">
        <is>
          <t>2026-07-15</t>
        </is>
      </c>
      <c r="B53" s="15" t="inlineStr">
        <is>
          <t>122870</t>
        </is>
      </c>
      <c r="C53" s="36" t="inlineStr">
        <is>
          <t>와이지엔터테인먼트</t>
        </is>
      </c>
      <c r="D53" s="36" t="inlineStr">
        <is>
          <t>유진투자증권</t>
        </is>
      </c>
      <c r="E53" s="15" t="inlineStr">
        <is>
          <t>Buy</t>
        </is>
      </c>
      <c r="F53" s="37" t="n">
        <v>63000</v>
      </c>
      <c r="G53" s="37" t="n">
        <v>40500</v>
      </c>
      <c r="H53" s="36" t="inlineStr">
        <is>
          <t>Big! Bang!</t>
        </is>
      </c>
      <c r="I53" s="28" t="inlineStr">
        <is>
          <t>보기</t>
        </is>
      </c>
      <c r="J53" s="28">
        <f>HYPERLINK("https://stock.pstatic.net/stock-research/company/63/20260715_company_357367000.pdf","PDF")</f>
        <v/>
      </c>
      <c r="K53" s="15" t="inlineStr">
        <is>
          <t>94199</t>
        </is>
      </c>
      <c r="L53" s="29" t="n">
        <v>0.5555555555555556</v>
      </c>
    </row>
    <row r="54">
      <c r="A54" s="15" t="inlineStr">
        <is>
          <t>2026-07-15</t>
        </is>
      </c>
      <c r="B54" s="15" t="inlineStr">
        <is>
          <t>028670</t>
        </is>
      </c>
      <c r="C54" s="36" t="inlineStr">
        <is>
          <t>팬오션</t>
        </is>
      </c>
      <c r="D54" s="36" t="inlineStr">
        <is>
          <t>신한투자증권</t>
        </is>
      </c>
      <c r="E54" s="15" t="inlineStr">
        <is>
          <t>매수</t>
        </is>
      </c>
      <c r="F54" s="37" t="n">
        <v>7500</v>
      </c>
      <c r="G54" s="37" t="n">
        <v>5110</v>
      </c>
      <c r="H54" s="36" t="inlineStr">
        <is>
          <t>순항 중, 미래 대비도 척척</t>
        </is>
      </c>
      <c r="I54" s="28" t="inlineStr">
        <is>
          <t>보기</t>
        </is>
      </c>
      <c r="J54" s="28">
        <f>HYPERLINK("https://stock.pstatic.net/stock-research/company/21/20260715_company_495024000.pdf","PDF")</f>
        <v/>
      </c>
      <c r="K54" s="15" t="inlineStr">
        <is>
          <t>94198</t>
        </is>
      </c>
      <c r="L54" s="29" t="n">
        <v>0.4677103718199608</v>
      </c>
    </row>
    <row r="55">
      <c r="A55" s="15" t="inlineStr">
        <is>
          <t>2026-07-15</t>
        </is>
      </c>
      <c r="B55" s="15" t="inlineStr">
        <is>
          <t>006360</t>
        </is>
      </c>
      <c r="C55" s="36" t="inlineStr">
        <is>
          <t>GS건설</t>
        </is>
      </c>
      <c r="D55" s="36" t="inlineStr">
        <is>
          <t>유진투자증권</t>
        </is>
      </c>
      <c r="E55" s="15" t="inlineStr">
        <is>
          <t>Buy</t>
        </is>
      </c>
      <c r="F55" s="37" t="n">
        <v>46000</v>
      </c>
      <c r="G55" s="37" t="n">
        <v>28000</v>
      </c>
      <c r="H55" s="36" t="inlineStr">
        <is>
          <t>데이터센터 전주기 경쟁력</t>
        </is>
      </c>
      <c r="I55" s="28" t="inlineStr">
        <is>
          <t>보기</t>
        </is>
      </c>
      <c r="J55" s="28">
        <f>HYPERLINK("https://stock.pstatic.net/stock-research/company/63/20260715_company_455062000.pdf","PDF")</f>
        <v/>
      </c>
      <c r="K55" s="15" t="inlineStr">
        <is>
          <t>94197</t>
        </is>
      </c>
      <c r="L55" s="29" t="n">
        <v>0.6428571428571429</v>
      </c>
    </row>
    <row r="56">
      <c r="A56" s="15" t="inlineStr">
        <is>
          <t>2026-07-15</t>
        </is>
      </c>
      <c r="B56" s="15" t="inlineStr">
        <is>
          <t>073240</t>
        </is>
      </c>
      <c r="C56" s="36" t="inlineStr">
        <is>
          <t>금호타이어</t>
        </is>
      </c>
      <c r="D56" s="36" t="inlineStr">
        <is>
          <t>신한투자증권</t>
        </is>
      </c>
      <c r="E56" s="15" t="inlineStr">
        <is>
          <t>매수</t>
        </is>
      </c>
      <c r="F56" s="37" t="n">
        <v>8500</v>
      </c>
      <c r="G56" s="37" t="n">
        <v>6540</v>
      </c>
      <c r="H56" s="36" t="inlineStr">
        <is>
          <t>Q 회복, 자산가치, 배당 재개, 증설. What else?</t>
        </is>
      </c>
      <c r="I56" s="28" t="inlineStr">
        <is>
          <t>보기</t>
        </is>
      </c>
      <c r="J56" s="28">
        <f>HYPERLINK("https://stock.pstatic.net/stock-research/company/21/20260715_company_476205000.pdf","PDF")</f>
        <v/>
      </c>
      <c r="K56" s="15" t="inlineStr">
        <is>
          <t>94196</t>
        </is>
      </c>
      <c r="L56" s="29" t="n">
        <v>0.2996941896024465</v>
      </c>
    </row>
    <row r="57">
      <c r="A57" s="15" t="inlineStr">
        <is>
          <t>2026-07-15</t>
        </is>
      </c>
      <c r="B57" s="15" t="inlineStr">
        <is>
          <t>003490</t>
        </is>
      </c>
      <c r="C57" s="36" t="inlineStr">
        <is>
          <t>대한항공</t>
        </is>
      </c>
      <c r="D57" s="36" t="inlineStr">
        <is>
          <t>iM증권</t>
        </is>
      </c>
      <c r="E57" s="15" t="inlineStr">
        <is>
          <t>Buy</t>
        </is>
      </c>
      <c r="F57" s="37" t="n">
        <v>40000</v>
      </c>
      <c r="G57" s="37" t="n">
        <v>26500</v>
      </c>
      <c r="H57" s="36" t="inlineStr">
        <is>
          <t>2Q 실적 서프라이즈, 3Q도 호실적 예고</t>
        </is>
      </c>
      <c r="I57" s="28" t="inlineStr">
        <is>
          <t>보기</t>
        </is>
      </c>
      <c r="J57" s="28">
        <f>HYPERLINK("https://stock.pstatic.net/stock-research/company/61/20260715_company_694610000.pdf","PDF")</f>
        <v/>
      </c>
      <c r="K57" s="15" t="inlineStr">
        <is>
          <t>94195</t>
        </is>
      </c>
      <c r="L57" s="29" t="n">
        <v>0.5094339622641509</v>
      </c>
    </row>
    <row r="58">
      <c r="A58" s="15" t="inlineStr">
        <is>
          <t>2026-07-15</t>
        </is>
      </c>
      <c r="B58" s="15" t="inlineStr">
        <is>
          <t>237690</t>
        </is>
      </c>
      <c r="C58" s="36" t="inlineStr">
        <is>
          <t>에스티팜</t>
        </is>
      </c>
      <c r="D58" s="36" t="inlineStr">
        <is>
          <t>IBK투자증권</t>
        </is>
      </c>
      <c r="E58" s="15" t="inlineStr">
        <is>
          <t>매수</t>
        </is>
      </c>
      <c r="F58" s="37" t="n">
        <v>200000</v>
      </c>
      <c r="G58" s="37" t="n">
        <v>128100</v>
      </c>
      <c r="H58" s="36" t="inlineStr">
        <is>
          <t>HIV 치료제 후보물질 항바이러스 효과 확인</t>
        </is>
      </c>
      <c r="I58" s="28" t="inlineStr">
        <is>
          <t>보기</t>
        </is>
      </c>
      <c r="J58" s="28">
        <f>HYPERLINK("https://stock.pstatic.net/stock-research/company/40/20260715_company_286935000.pdf","PDF")</f>
        <v/>
      </c>
      <c r="K58" s="15" t="inlineStr">
        <is>
          <t>94194</t>
        </is>
      </c>
      <c r="L58" s="29" t="n">
        <v>0.5612802498048399</v>
      </c>
    </row>
    <row r="59">
      <c r="A59" s="15" t="inlineStr">
        <is>
          <t>2026-07-15</t>
        </is>
      </c>
      <c r="B59" s="15" t="inlineStr">
        <is>
          <t>035900</t>
        </is>
      </c>
      <c r="C59" s="36" t="inlineStr">
        <is>
          <t>JYP Ent.</t>
        </is>
      </c>
      <c r="D59" s="36" t="inlineStr">
        <is>
          <t>유진투자증권</t>
        </is>
      </c>
      <c r="E59" s="15" t="inlineStr">
        <is>
          <t>Buy</t>
        </is>
      </c>
      <c r="F59" s="37" t="n">
        <v>78000</v>
      </c>
      <c r="G59" s="37" t="n">
        <v>47750</v>
      </c>
      <c r="H59" s="36" t="inlineStr">
        <is>
          <t>스테이 화력을 보여줘</t>
        </is>
      </c>
      <c r="I59" s="28" t="inlineStr">
        <is>
          <t>보기</t>
        </is>
      </c>
      <c r="J59" s="28">
        <f>HYPERLINK("https://stock.pstatic.net/stock-research/company/63/20260715_company_242510000.pdf","PDF")</f>
        <v/>
      </c>
      <c r="K59" s="15" t="inlineStr">
        <is>
          <t>94193</t>
        </is>
      </c>
      <c r="L59" s="29" t="n">
        <v>0.6335078534031413</v>
      </c>
    </row>
    <row r="60">
      <c r="A60" s="15" t="inlineStr">
        <is>
          <t>2026-07-15</t>
        </is>
      </c>
      <c r="B60" s="15" t="inlineStr">
        <is>
          <t>064350</t>
        </is>
      </c>
      <c r="C60" s="36" t="inlineStr">
        <is>
          <t>현대로템</t>
        </is>
      </c>
      <c r="D60" s="36" t="inlineStr">
        <is>
          <t>SK증권</t>
        </is>
      </c>
      <c r="E60" s="15" t="inlineStr">
        <is>
          <t>매수</t>
        </is>
      </c>
      <c r="F60" s="37" t="n">
        <v>310000</v>
      </c>
      <c r="G60" s="37" t="n">
        <v>165400</v>
      </c>
      <c r="H60" s="36" t="inlineStr">
        <is>
          <t>점진적으로 가시화될 수주&amp;해소될 우려</t>
        </is>
      </c>
      <c r="I60" s="28" t="inlineStr">
        <is>
          <t>보기</t>
        </is>
      </c>
      <c r="J60" s="28">
        <f>HYPERLINK("https://stock.pstatic.net/stock-research/company/64/20260715_company_934258000.pdf","PDF")</f>
        <v/>
      </c>
      <c r="K60" s="15" t="inlineStr">
        <is>
          <t>94192</t>
        </is>
      </c>
      <c r="L60" s="29" t="n">
        <v>0.8742442563482467</v>
      </c>
    </row>
    <row r="61">
      <c r="A61" s="15" t="inlineStr">
        <is>
          <t>2026-07-15</t>
        </is>
      </c>
      <c r="B61" s="15" t="inlineStr">
        <is>
          <t>041510</t>
        </is>
      </c>
      <c r="C61" s="36" t="inlineStr">
        <is>
          <t>에스엠</t>
        </is>
      </c>
      <c r="D61" s="36" t="inlineStr">
        <is>
          <t>유진투자증권</t>
        </is>
      </c>
      <c r="E61" s="15" t="inlineStr">
        <is>
          <t>Buy</t>
        </is>
      </c>
      <c r="F61" s="37" t="n">
        <v>110000</v>
      </c>
      <c r="G61" s="37" t="n">
        <v>72300</v>
      </c>
      <c r="H61" s="36" t="inlineStr">
        <is>
          <t>아시아 프린스에서 북미 프린세스까지</t>
        </is>
      </c>
      <c r="I61" s="28" t="inlineStr">
        <is>
          <t>보기</t>
        </is>
      </c>
      <c r="J61" s="28">
        <f>HYPERLINK("https://stock.pstatic.net/stock-research/company/63/20260715_company_678802000.pdf","PDF")</f>
        <v/>
      </c>
      <c r="K61" s="15" t="inlineStr">
        <is>
          <t>94191</t>
        </is>
      </c>
      <c r="L61" s="29" t="n">
        <v>0.5214384508990318</v>
      </c>
    </row>
    <row r="62">
      <c r="A62" s="15" t="inlineStr">
        <is>
          <t>2026-07-15</t>
        </is>
      </c>
      <c r="B62" s="15" t="inlineStr">
        <is>
          <t>017670</t>
        </is>
      </c>
      <c r="C62" s="36" t="inlineStr">
        <is>
          <t>SK텔레콤</t>
        </is>
      </c>
      <c r="D62" s="36" t="inlineStr">
        <is>
          <t>미래에셋증권</t>
        </is>
      </c>
      <c r="E62" s="15" t="inlineStr">
        <is>
          <t>Buy</t>
        </is>
      </c>
      <c r="F62" s="37" t="n">
        <v>120000</v>
      </c>
      <c r="G62" s="37" t="n">
        <v>83900</v>
      </c>
      <c r="H62" s="36" t="inlineStr">
        <is>
          <t>2Q26 호실적과 엄중한 AIDC 캐파 상향 조정</t>
        </is>
      </c>
      <c r="I62" s="28" t="inlineStr">
        <is>
          <t>보기</t>
        </is>
      </c>
      <c r="J62" s="28">
        <f>HYPERLINK("https://stock.pstatic.net/stock-research/company/56/20260715_company_878297000.pdf","PDF")</f>
        <v/>
      </c>
      <c r="K62" s="15" t="inlineStr">
        <is>
          <t>94190</t>
        </is>
      </c>
      <c r="L62" s="29" t="n">
        <v>0.4302741358760429</v>
      </c>
    </row>
    <row r="63">
      <c r="A63" s="15" t="inlineStr">
        <is>
          <t>2026-07-15</t>
        </is>
      </c>
      <c r="B63" s="15" t="inlineStr">
        <is>
          <t>006800</t>
        </is>
      </c>
      <c r="C63" s="36" t="inlineStr">
        <is>
          <t>미래에셋증권</t>
        </is>
      </c>
      <c r="D63" s="36" t="inlineStr">
        <is>
          <t>SK증권</t>
        </is>
      </c>
      <c r="E63" s="15" t="inlineStr">
        <is>
          <t>매수</t>
        </is>
      </c>
      <c r="F63" s="37" t="n">
        <v>51000</v>
      </c>
      <c r="G63" s="37" t="n">
        <v>38750</v>
      </c>
      <c r="H63" s="36" t="inlineStr">
        <is>
          <t>2Q26 Preview: 예견된 스페이스X 대규모 평가이익</t>
        </is>
      </c>
      <c r="I63" s="28" t="inlineStr">
        <is>
          <t>보기</t>
        </is>
      </c>
      <c r="J63" s="28">
        <f>HYPERLINK("https://stock.pstatic.net/stock-research/company/64/20260715_company_94309000.pdf","PDF")</f>
        <v/>
      </c>
      <c r="K63" s="15" t="inlineStr">
        <is>
          <t>94189</t>
        </is>
      </c>
      <c r="L63" s="29" t="n">
        <v>0.3161290322580645</v>
      </c>
    </row>
    <row r="64">
      <c r="A64" s="15" t="inlineStr">
        <is>
          <t>2026-07-15</t>
        </is>
      </c>
      <c r="B64" s="15" t="inlineStr">
        <is>
          <t>028050</t>
        </is>
      </c>
      <c r="C64" s="36" t="inlineStr">
        <is>
          <t>삼성E&amp;A</t>
        </is>
      </c>
      <c r="D64" s="36" t="inlineStr">
        <is>
          <t>유진투자증권</t>
        </is>
      </c>
      <c r="E64" s="15" t="inlineStr">
        <is>
          <t>Buy</t>
        </is>
      </c>
      <c r="F64" s="37" t="n">
        <v>68000</v>
      </c>
      <c r="G64" s="37" t="n">
        <v>40150</v>
      </c>
      <c r="H64" s="36" t="inlineStr">
        <is>
          <t>반도체 특수 본격화</t>
        </is>
      </c>
      <c r="I64" s="28" t="inlineStr">
        <is>
          <t>보기</t>
        </is>
      </c>
      <c r="J64" s="28">
        <f>HYPERLINK("https://stock.pstatic.net/stock-research/company/63/20260715_company_192687000.pdf","PDF")</f>
        <v/>
      </c>
      <c r="K64" s="15" t="inlineStr">
        <is>
          <t>94188</t>
        </is>
      </c>
      <c r="L64" s="29" t="n">
        <v>0.6936488169364882</v>
      </c>
    </row>
    <row r="65">
      <c r="A65" s="15" t="inlineStr">
        <is>
          <t>2026-07-15</t>
        </is>
      </c>
      <c r="B65" s="15" t="inlineStr">
        <is>
          <t>204320</t>
        </is>
      </c>
      <c r="C65" s="36" t="inlineStr">
        <is>
          <t>HL만도</t>
        </is>
      </c>
      <c r="D65" s="36" t="inlineStr">
        <is>
          <t>키움증권</t>
        </is>
      </c>
      <c r="E65" s="15" t="inlineStr">
        <is>
          <t>MarketPerform</t>
        </is>
      </c>
      <c r="F65" s="37" t="n">
        <v>49000</v>
      </c>
      <c r="G65" s="37" t="n">
        <v>44850</v>
      </c>
      <c r="H65" s="36" t="inlineStr">
        <is>
          <t>밸류 하향 안정화 국면, 중립 투자의견 유지</t>
        </is>
      </c>
      <c r="I65" s="28" t="inlineStr">
        <is>
          <t>보기</t>
        </is>
      </c>
      <c r="J65" s="28">
        <f>HYPERLINK("https://stock.pstatic.net/stock-research/company/39/20260715_company_323578000.pdf","PDF")</f>
        <v/>
      </c>
      <c r="K65" s="15" t="inlineStr">
        <is>
          <t>94187</t>
        </is>
      </c>
      <c r="L65" s="29" t="n">
        <v>0.09253065774804906</v>
      </c>
    </row>
    <row r="66">
      <c r="A66" s="15" t="inlineStr">
        <is>
          <t>2026-07-15</t>
        </is>
      </c>
      <c r="B66" s="15" t="inlineStr">
        <is>
          <t>009540</t>
        </is>
      </c>
      <c r="C66" s="36" t="inlineStr">
        <is>
          <t>HD한국조선해양</t>
        </is>
      </c>
      <c r="D66" s="36" t="inlineStr">
        <is>
          <t>키움증권</t>
        </is>
      </c>
      <c r="E66" s="15" t="inlineStr">
        <is>
          <t>Buy</t>
        </is>
      </c>
      <c r="F66" s="37" t="n">
        <v>600000</v>
      </c>
      <c r="G66" s="37" t="n">
        <v>327000</v>
      </c>
      <c r="H66" s="36" t="inlineStr">
        <is>
          <t>해외 사업 성과 확인까지 시간이 필요</t>
        </is>
      </c>
      <c r="I66" s="28" t="inlineStr">
        <is>
          <t>보기</t>
        </is>
      </c>
      <c r="J66" s="28">
        <f>HYPERLINK("https://stock.pstatic.net/stock-research/company/39/20260715_company_11090000.pdf","PDF")</f>
        <v/>
      </c>
      <c r="K66" s="15" t="inlineStr">
        <is>
          <t>94186</t>
        </is>
      </c>
      <c r="L66" s="29" t="n">
        <v>0.8348623853211009</v>
      </c>
    </row>
    <row r="67">
      <c r="A67" s="15" t="inlineStr">
        <is>
          <t>2026-07-15</t>
        </is>
      </c>
      <c r="B67" s="15" t="inlineStr">
        <is>
          <t>329180</t>
        </is>
      </c>
      <c r="C67" s="36" t="inlineStr">
        <is>
          <t>HD현대중공업</t>
        </is>
      </c>
      <c r="D67" s="36" t="inlineStr">
        <is>
          <t>키움증권</t>
        </is>
      </c>
      <c r="E67" s="15" t="inlineStr">
        <is>
          <t>Buy</t>
        </is>
      </c>
      <c r="F67" s="37" t="n">
        <v>880000</v>
      </c>
      <c r="G67" s="37" t="n">
        <v>466000</v>
      </c>
      <c r="H67" s="36" t="inlineStr">
        <is>
          <t>여전히 강한 성장 동력을 보유</t>
        </is>
      </c>
      <c r="I67" s="28" t="inlineStr">
        <is>
          <t>보기</t>
        </is>
      </c>
      <c r="J67" s="28">
        <f>HYPERLINK("https://stock.pstatic.net/stock-research/company/39/20260715_company_92055000.pdf","PDF")</f>
        <v/>
      </c>
      <c r="K67" s="15" t="inlineStr">
        <is>
          <t>94185</t>
        </is>
      </c>
      <c r="L67" s="29" t="n">
        <v>0.8884120171673819</v>
      </c>
    </row>
    <row r="68">
      <c r="A68" s="15" t="inlineStr">
        <is>
          <t>2026-07-15</t>
        </is>
      </c>
      <c r="B68" s="15" t="inlineStr">
        <is>
          <t>375500</t>
        </is>
      </c>
      <c r="C68" s="36" t="inlineStr">
        <is>
          <t>DL이앤씨</t>
        </is>
      </c>
      <c r="D68" s="36" t="inlineStr">
        <is>
          <t>IBK투자증권</t>
        </is>
      </c>
      <c r="E68" s="15" t="inlineStr">
        <is>
          <t>Buy</t>
        </is>
      </c>
      <c r="F68" s="37" t="n">
        <v>107000</v>
      </c>
      <c r="G68" s="37" t="n">
        <v>59500</v>
      </c>
      <c r="H68" s="36" t="inlineStr">
        <is>
          <t>2Q26 Preview: 플랜트 수주가 필요</t>
        </is>
      </c>
      <c r="I68" s="28" t="inlineStr">
        <is>
          <t>보기</t>
        </is>
      </c>
      <c r="J68" s="28">
        <f>HYPERLINK("https://stock.pstatic.net/stock-research/company/40/20260715_company_484998000.pdf","PDF")</f>
        <v/>
      </c>
      <c r="K68" s="15" t="inlineStr">
        <is>
          <t>94184</t>
        </is>
      </c>
      <c r="L68" s="29" t="n">
        <v>0.7983193277310925</v>
      </c>
    </row>
    <row r="69">
      <c r="A69" s="15" t="inlineStr">
        <is>
          <t>2026-07-15</t>
        </is>
      </c>
      <c r="B69" s="15" t="inlineStr">
        <is>
          <t>010140</t>
        </is>
      </c>
      <c r="C69" s="36" t="inlineStr">
        <is>
          <t>삼성중공업</t>
        </is>
      </c>
      <c r="D69" s="36" t="inlineStr">
        <is>
          <t>키움증권</t>
        </is>
      </c>
      <c r="E69" s="15" t="inlineStr">
        <is>
          <t>Buy</t>
        </is>
      </c>
      <c r="F69" s="37" t="n">
        <v>42000</v>
      </c>
      <c r="G69" s="37" t="n">
        <v>21250</v>
      </c>
      <c r="H69" s="36" t="inlineStr">
        <is>
          <t>탄탄한 본업에 더해지는 신성장 모멘텀</t>
        </is>
      </c>
      <c r="I69" s="28" t="inlineStr">
        <is>
          <t>보기</t>
        </is>
      </c>
      <c r="J69" s="28">
        <f>HYPERLINK("https://stock.pstatic.net/stock-research/company/39/20260715_company_752605000.pdf","PDF")</f>
        <v/>
      </c>
      <c r="K69" s="15" t="inlineStr">
        <is>
          <t>94183</t>
        </is>
      </c>
      <c r="L69" s="29" t="n">
        <v>0.9764705882352941</v>
      </c>
    </row>
    <row r="70">
      <c r="A70" s="15" t="inlineStr">
        <is>
          <t>2026-07-15</t>
        </is>
      </c>
      <c r="B70" s="15" t="inlineStr">
        <is>
          <t>042660</t>
        </is>
      </c>
      <c r="C70" s="36" t="inlineStr">
        <is>
          <t>한화오션</t>
        </is>
      </c>
      <c r="D70" s="36" t="inlineStr">
        <is>
          <t>키움증권</t>
        </is>
      </c>
      <c r="E70" s="15" t="inlineStr">
        <is>
          <t>Buy</t>
        </is>
      </c>
      <c r="F70" s="37" t="n">
        <v>144000</v>
      </c>
      <c r="G70" s="37" t="n">
        <v>76800</v>
      </c>
      <c r="H70" s="36" t="inlineStr">
        <is>
          <t>도전하다 보면 성과는 따라올 것</t>
        </is>
      </c>
      <c r="I70" s="28" t="inlineStr">
        <is>
          <t>보기</t>
        </is>
      </c>
      <c r="J70" s="28">
        <f>HYPERLINK("https://stock.pstatic.net/stock-research/company/39/20260715_company_588555000.pdf","PDF")</f>
        <v/>
      </c>
      <c r="K70" s="15" t="inlineStr">
        <is>
          <t>94182</t>
        </is>
      </c>
      <c r="L70" s="29" t="n">
        <v>0.875</v>
      </c>
    </row>
    <row r="71">
      <c r="A71" s="15" t="inlineStr">
        <is>
          <t>2026-07-15</t>
        </is>
      </c>
      <c r="B71" s="15" t="inlineStr">
        <is>
          <t>047040</t>
        </is>
      </c>
      <c r="C71" s="36" t="inlineStr">
        <is>
          <t>대우건설</t>
        </is>
      </c>
      <c r="D71" s="36" t="inlineStr">
        <is>
          <t>IBK투자증권</t>
        </is>
      </c>
      <c r="E71" s="15" t="inlineStr">
        <is>
          <t>매수</t>
        </is>
      </c>
      <c r="F71" s="37" t="n">
        <v>31000</v>
      </c>
      <c r="G71" s="37" t="n">
        <v>16010</v>
      </c>
      <c r="H71" s="36" t="inlineStr">
        <is>
          <t>2Q26 Preview: 예상보다 빠른 주택 마진 개선</t>
        </is>
      </c>
      <c r="I71" s="28" t="inlineStr">
        <is>
          <t>보기</t>
        </is>
      </c>
      <c r="J71" s="28">
        <f>HYPERLINK("https://stock.pstatic.net/stock-research/company/40/20260715_company_655494000.pdf","PDF")</f>
        <v/>
      </c>
      <c r="K71" s="15" t="inlineStr">
        <is>
          <t>94181</t>
        </is>
      </c>
      <c r="L71" s="29" t="n">
        <v>0.9362898188632105</v>
      </c>
    </row>
    <row r="72">
      <c r="A72" s="15" t="inlineStr">
        <is>
          <t>2026-07-15</t>
        </is>
      </c>
      <c r="B72" s="15" t="inlineStr">
        <is>
          <t>017670</t>
        </is>
      </c>
      <c r="C72" s="36" t="inlineStr">
        <is>
          <t>SK텔레콤</t>
        </is>
      </c>
      <c r="D72" s="36" t="inlineStr">
        <is>
          <t>SK증권</t>
        </is>
      </c>
      <c r="E72" s="15" t="inlineStr">
        <is>
          <t>매수</t>
        </is>
      </c>
      <c r="F72" s="37" t="n">
        <v>110000</v>
      </c>
      <c r="G72" s="37" t="n">
        <v>83900</v>
      </c>
      <c r="H72" s="36" t="inlineStr">
        <is>
          <t>이변없는 실적안정감</t>
        </is>
      </c>
      <c r="I72" s="28" t="inlineStr">
        <is>
          <t>보기</t>
        </is>
      </c>
      <c r="J72" s="28">
        <f>HYPERLINK("https://stock.pstatic.net/stock-research/company/64/20260715_company_132528000.pdf","PDF")</f>
        <v/>
      </c>
      <c r="K72" s="15" t="inlineStr">
        <is>
          <t>94180</t>
        </is>
      </c>
      <c r="L72" s="29" t="n">
        <v>0.3110846245530393</v>
      </c>
    </row>
    <row r="73">
      <c r="A73" s="15" t="inlineStr">
        <is>
          <t>2026-07-15</t>
        </is>
      </c>
      <c r="B73" s="15" t="inlineStr">
        <is>
          <t>229640</t>
        </is>
      </c>
      <c r="C73" s="36" t="inlineStr">
        <is>
          <t>LS에코에너지</t>
        </is>
      </c>
      <c r="D73" s="36" t="inlineStr">
        <is>
          <t>키움증권</t>
        </is>
      </c>
      <c r="E73" s="15" t="inlineStr">
        <is>
          <t>Buy</t>
        </is>
      </c>
      <c r="F73" s="37" t="n">
        <v>57000</v>
      </c>
      <c r="G73" s="37" t="n">
        <v>43600</v>
      </c>
      <c r="H73" s="36" t="inlineStr">
        <is>
          <t>다시 찾아온 기회</t>
        </is>
      </c>
      <c r="I73" s="28" t="inlineStr">
        <is>
          <t>보기</t>
        </is>
      </c>
      <c r="J73" s="28">
        <f>HYPERLINK("https://stock.pstatic.net/stock-research/company/39/20260715_company_393209000.pdf","PDF")</f>
        <v/>
      </c>
      <c r="K73" s="15" t="inlineStr">
        <is>
          <t>94179</t>
        </is>
      </c>
      <c r="L73" s="29" t="n">
        <v>0.3073394495412844</v>
      </c>
    </row>
    <row r="74">
      <c r="A74" s="15" t="inlineStr">
        <is>
          <t>2026-07-15</t>
        </is>
      </c>
      <c r="B74" s="15" t="inlineStr">
        <is>
          <t>122870</t>
        </is>
      </c>
      <c r="C74" s="36" t="inlineStr">
        <is>
          <t>와이지엔터테인먼트</t>
        </is>
      </c>
      <c r="D74" s="36" t="inlineStr">
        <is>
          <t>한국IR협의회</t>
        </is>
      </c>
      <c r="E74" s="15" t="inlineStr">
        <is>
          <t>없음</t>
        </is>
      </c>
      <c r="F74" s="36" t="n"/>
      <c r="G74" s="36" t="n"/>
      <c r="H74" s="36" t="inlineStr">
        <is>
          <t>저연차 IP 성장과 MD 수익화 확대</t>
        </is>
      </c>
      <c r="I74" s="28" t="inlineStr">
        <is>
          <t>보기</t>
        </is>
      </c>
      <c r="J74" s="28">
        <f>HYPERLINK("https://stock.pstatic.net/stock-research/company/74/20260715_company_768300000.pdf","PDF")</f>
        <v/>
      </c>
      <c r="K74" s="15" t="inlineStr">
        <is>
          <t>94178</t>
        </is>
      </c>
      <c r="L74" s="15" t="n"/>
    </row>
    <row r="75">
      <c r="A75" s="15" t="inlineStr">
        <is>
          <t>2026-07-15</t>
        </is>
      </c>
      <c r="B75" s="15" t="inlineStr">
        <is>
          <t>264660</t>
        </is>
      </c>
      <c r="C75" s="36" t="inlineStr">
        <is>
          <t>씨앤지하이테크</t>
        </is>
      </c>
      <c r="D75" s="36" t="inlineStr">
        <is>
          <t>한국IR협의회</t>
        </is>
      </c>
      <c r="E75" s="15" t="inlineStr">
        <is>
          <t>없음</t>
        </is>
      </c>
      <c r="F75" s="36" t="n"/>
      <c r="G75" s="36" t="n"/>
      <c r="H75" s="36" t="inlineStr">
        <is>
          <t>2027년 성장을 준비하는 숨 고르기</t>
        </is>
      </c>
      <c r="I75" s="28" t="inlineStr">
        <is>
          <t>보기</t>
        </is>
      </c>
      <c r="J75" s="28">
        <f>HYPERLINK("https://stock.pstatic.net/stock-research/company/74/20260715_company_462001000.pdf","PDF")</f>
        <v/>
      </c>
      <c r="K75" s="15" t="inlineStr">
        <is>
          <t>94177</t>
        </is>
      </c>
      <c r="L75" s="15" t="n"/>
    </row>
    <row r="76">
      <c r="A76" s="15" t="inlineStr">
        <is>
          <t>2026-07-15</t>
        </is>
      </c>
      <c r="B76" s="15" t="inlineStr">
        <is>
          <t>003490</t>
        </is>
      </c>
      <c r="C76" s="36" t="inlineStr">
        <is>
          <t>대한항공</t>
        </is>
      </c>
      <c r="D76" s="36" t="inlineStr">
        <is>
          <t>미래에셋증권</t>
        </is>
      </c>
      <c r="E76" s="15" t="inlineStr">
        <is>
          <t>매수</t>
        </is>
      </c>
      <c r="F76" s="37" t="n">
        <v>33000</v>
      </c>
      <c r="G76" s="37" t="n">
        <v>26500</v>
      </c>
      <c r="H76" s="36" t="inlineStr">
        <is>
          <t>개선된 펀더멘털, 커지는 기대감</t>
        </is>
      </c>
      <c r="I76" s="28" t="inlineStr">
        <is>
          <t>보기</t>
        </is>
      </c>
      <c r="J76" s="28">
        <f>HYPERLINK("https://stock.pstatic.net/stock-research/company/56/20260715_company_969098000.pdf","PDF")</f>
        <v/>
      </c>
      <c r="K76" s="15" t="inlineStr">
        <is>
          <t>94176</t>
        </is>
      </c>
      <c r="L76" s="29" t="n">
        <v>0.2452830188679245</v>
      </c>
    </row>
    <row r="77">
      <c r="A77" s="15" t="inlineStr">
        <is>
          <t>2026-07-14</t>
        </is>
      </c>
      <c r="B77" s="15" t="inlineStr">
        <is>
          <t>078340</t>
        </is>
      </c>
      <c r="C77" s="36" t="inlineStr">
        <is>
          <t>컴투스</t>
        </is>
      </c>
      <c r="D77" s="36" t="inlineStr">
        <is>
          <t>한화투자증권</t>
        </is>
      </c>
      <c r="E77" s="15" t="inlineStr">
        <is>
          <t>Buy</t>
        </is>
      </c>
      <c r="F77" s="37" t="n">
        <v>45000</v>
      </c>
      <c r="G77" s="37" t="n">
        <v>25950</v>
      </c>
      <c r="H77" s="36" t="inlineStr">
        <is>
          <t>3분기 대형 IP 대기 중</t>
        </is>
      </c>
      <c r="I77" s="28" t="inlineStr">
        <is>
          <t>보기</t>
        </is>
      </c>
      <c r="J77" s="28">
        <f>HYPERLINK("https://stock.pstatic.net/stock-research/company/16/20260714_company_996030000.pdf","PDF")</f>
        <v/>
      </c>
      <c r="K77" s="15" t="inlineStr">
        <is>
          <t>94175</t>
        </is>
      </c>
      <c r="L77" s="29" t="n">
        <v>0.7341040462427746</v>
      </c>
    </row>
    <row r="78">
      <c r="A78" s="15" t="inlineStr">
        <is>
          <t>2026-07-14</t>
        </is>
      </c>
      <c r="B78" s="15" t="inlineStr">
        <is>
          <t>004020</t>
        </is>
      </c>
      <c r="C78" s="36" t="inlineStr">
        <is>
          <t>현대제철</t>
        </is>
      </c>
      <c r="D78" s="36" t="inlineStr">
        <is>
          <t>한화투자증권</t>
        </is>
      </c>
      <c r="E78" s="15" t="inlineStr">
        <is>
          <t>Buy</t>
        </is>
      </c>
      <c r="F78" s="37" t="n">
        <v>43000</v>
      </c>
      <c r="G78" s="37" t="n">
        <v>26900</v>
      </c>
      <c r="H78" s="36" t="inlineStr">
        <is>
          <t>2Q26 Preview: 기대는 낮추고, 방향은 유지</t>
        </is>
      </c>
      <c r="I78" s="28" t="inlineStr">
        <is>
          <t>보기</t>
        </is>
      </c>
      <c r="J78" s="28">
        <f>HYPERLINK("https://stock.pstatic.net/stock-research/company/16/20260714_company_663233000.pdf","PDF")</f>
        <v/>
      </c>
      <c r="K78" s="15" t="inlineStr">
        <is>
          <t>94174</t>
        </is>
      </c>
      <c r="L78" s="29" t="n">
        <v>0.5985130111524164</v>
      </c>
    </row>
    <row r="79">
      <c r="A79" s="15" t="inlineStr">
        <is>
          <t>2026-07-14</t>
        </is>
      </c>
      <c r="B79" s="15" t="inlineStr">
        <is>
          <t>006360</t>
        </is>
      </c>
      <c r="C79" s="36" t="inlineStr">
        <is>
          <t>GS건설</t>
        </is>
      </c>
      <c r="D79" s="36" t="inlineStr">
        <is>
          <t>교보증권</t>
        </is>
      </c>
      <c r="E79" s="15" t="inlineStr">
        <is>
          <t>Buy</t>
        </is>
      </c>
      <c r="F79" s="37" t="n">
        <v>34000</v>
      </c>
      <c r="G79" s="37" t="n">
        <v>29450</v>
      </c>
      <c r="H79" s="36" t="inlineStr">
        <is>
          <t>2Q26 Preview: 순항중인 건축주택 수주</t>
        </is>
      </c>
      <c r="I79" s="28" t="inlineStr">
        <is>
          <t>보기</t>
        </is>
      </c>
      <c r="J79" s="28">
        <f>HYPERLINK("https://stock.pstatic.net/stock-research/company/62/20260714_company_186251000.pdf","PDF")</f>
        <v/>
      </c>
      <c r="K79" s="15" t="inlineStr">
        <is>
          <t>94173</t>
        </is>
      </c>
      <c r="L79" s="29" t="n">
        <v>0.1544991511035654</v>
      </c>
    </row>
    <row r="80">
      <c r="A80" s="15" t="inlineStr">
        <is>
          <t>2026-07-14</t>
        </is>
      </c>
      <c r="B80" s="15" t="inlineStr">
        <is>
          <t>066570</t>
        </is>
      </c>
      <c r="C80" s="36" t="inlineStr">
        <is>
          <t>LG전자</t>
        </is>
      </c>
      <c r="D80" s="36" t="inlineStr">
        <is>
          <t>교보증권</t>
        </is>
      </c>
      <c r="E80" s="15" t="inlineStr">
        <is>
          <t>Buy</t>
        </is>
      </c>
      <c r="F80" s="37" t="n">
        <v>350000</v>
      </c>
      <c r="G80" s="37" t="n">
        <v>185600</v>
      </c>
      <c r="H80" s="36" t="inlineStr">
        <is>
          <t>엔비디아와의 AI동맹 확대</t>
        </is>
      </c>
      <c r="I80" s="28" t="inlineStr">
        <is>
          <t>보기</t>
        </is>
      </c>
      <c r="J80" s="28">
        <f>HYPERLINK("https://stock.pstatic.net/stock-research/company/62/20260714_company_433925000.pdf","PDF")</f>
        <v/>
      </c>
      <c r="K80" s="15" t="inlineStr">
        <is>
          <t>94172</t>
        </is>
      </c>
      <c r="L80" s="29" t="n">
        <v>0.8857758620689655</v>
      </c>
    </row>
    <row r="81">
      <c r="A81" s="15" t="inlineStr">
        <is>
          <t>2026-07-14</t>
        </is>
      </c>
      <c r="B81" s="15" t="inlineStr">
        <is>
          <t>035720</t>
        </is>
      </c>
      <c r="C81" s="36" t="inlineStr">
        <is>
          <t>카카오</t>
        </is>
      </c>
      <c r="D81" s="36" t="inlineStr">
        <is>
          <t>교보증권</t>
        </is>
      </c>
      <c r="E81" s="15" t="inlineStr">
        <is>
          <t>Buy</t>
        </is>
      </c>
      <c r="F81" s="37" t="n">
        <v>57000</v>
      </c>
      <c r="G81" s="37" t="n">
        <v>34750</v>
      </c>
      <c r="H81" s="36" t="inlineStr">
        <is>
          <t>카나나 서비스의 가능성 증명 필요</t>
        </is>
      </c>
      <c r="I81" s="28" t="inlineStr">
        <is>
          <t>보기</t>
        </is>
      </c>
      <c r="J81" s="28">
        <f>HYPERLINK("https://stock.pstatic.net/stock-research/company/62/20260714_company_583744000.pdf","PDF")</f>
        <v/>
      </c>
      <c r="K81" s="15" t="inlineStr">
        <is>
          <t>94171</t>
        </is>
      </c>
      <c r="L81" s="29" t="n">
        <v>0.6402877697841727</v>
      </c>
    </row>
    <row r="82">
      <c r="A82" s="15" t="inlineStr">
        <is>
          <t>2026-07-14</t>
        </is>
      </c>
      <c r="B82" s="15" t="inlineStr">
        <is>
          <t>251270</t>
        </is>
      </c>
      <c r="C82" s="36" t="inlineStr">
        <is>
          <t>넷마블</t>
        </is>
      </c>
      <c r="D82" s="36" t="inlineStr">
        <is>
          <t>교보증권</t>
        </is>
      </c>
      <c r="E82" s="15" t="inlineStr">
        <is>
          <t>Buy</t>
        </is>
      </c>
      <c r="F82" s="37" t="n">
        <v>61000</v>
      </c>
      <c r="G82" s="37" t="n">
        <v>38150</v>
      </c>
      <c r="H82" s="36" t="inlineStr">
        <is>
          <t>낮아진 눈높이에서 아직은 제한된 시야</t>
        </is>
      </c>
      <c r="I82" s="28" t="inlineStr">
        <is>
          <t>보기</t>
        </is>
      </c>
      <c r="J82" s="28">
        <f>HYPERLINK("https://stock.pstatic.net/stock-research/company/62/20260714_company_818062000.pdf","PDF")</f>
        <v/>
      </c>
      <c r="K82" s="15" t="inlineStr">
        <is>
          <t>94170</t>
        </is>
      </c>
      <c r="L82" s="29" t="n">
        <v>0.598951507208388</v>
      </c>
    </row>
    <row r="83">
      <c r="A83" s="15" t="inlineStr">
        <is>
          <t>2026-07-14</t>
        </is>
      </c>
      <c r="B83" s="15" t="inlineStr">
        <is>
          <t>011780</t>
        </is>
      </c>
      <c r="C83" s="36" t="inlineStr">
        <is>
          <t>금호석유화학</t>
        </is>
      </c>
      <c r="D83" s="36" t="inlineStr">
        <is>
          <t>하나증권</t>
        </is>
      </c>
      <c r="E83" s="15" t="inlineStr">
        <is>
          <t>Buy</t>
        </is>
      </c>
      <c r="F83" s="37" t="n">
        <v>180000</v>
      </c>
      <c r="G83" s="37" t="n">
        <v>117400</v>
      </c>
      <c r="H83" s="36" t="inlineStr">
        <is>
          <t>2026년 이익 증가율 YoY +91% vs. 주가는 제자리</t>
        </is>
      </c>
      <c r="I83" s="28" t="inlineStr">
        <is>
          <t>보기</t>
        </is>
      </c>
      <c r="J83" s="28">
        <f>HYPERLINK("https://stock.pstatic.net/stock-research/company/57/20260714_company_205717000.pdf","PDF")</f>
        <v/>
      </c>
      <c r="K83" s="15" t="inlineStr">
        <is>
          <t>94169</t>
        </is>
      </c>
      <c r="L83" s="29" t="n">
        <v>0.5332197614991482</v>
      </c>
    </row>
    <row r="84">
      <c r="A84" s="15" t="inlineStr">
        <is>
          <t>2026-07-14</t>
        </is>
      </c>
      <c r="B84" s="15" t="inlineStr">
        <is>
          <t>003490</t>
        </is>
      </c>
      <c r="C84" s="36" t="inlineStr">
        <is>
          <t>대한항공</t>
        </is>
      </c>
      <c r="D84" s="36" t="inlineStr">
        <is>
          <t>하나증권</t>
        </is>
      </c>
      <c r="E84" s="15" t="inlineStr">
        <is>
          <t>Buy</t>
        </is>
      </c>
      <c r="F84" s="37" t="n">
        <v>41000</v>
      </c>
      <c r="G84" s="37" t="n">
        <v>25850</v>
      </c>
      <c r="H84" s="36" t="inlineStr">
        <is>
          <t>2Q26 Re: 유류비가 두배인데 영업이익 서프라이즈</t>
        </is>
      </c>
      <c r="I84" s="28" t="inlineStr">
        <is>
          <t>보기</t>
        </is>
      </c>
      <c r="J84" s="28">
        <f>HYPERLINK("https://stock.pstatic.net/stock-research/company/57/20260714_company_414597000.pdf","PDF")</f>
        <v/>
      </c>
      <c r="K84" s="15" t="inlineStr">
        <is>
          <t>94168</t>
        </is>
      </c>
      <c r="L84" s="29" t="n">
        <v>0.586073500967118</v>
      </c>
    </row>
    <row r="85">
      <c r="A85" s="15" t="inlineStr">
        <is>
          <t>2026-07-14</t>
        </is>
      </c>
      <c r="B85" s="15" t="inlineStr">
        <is>
          <t>078520</t>
        </is>
      </c>
      <c r="C85" s="36" t="inlineStr">
        <is>
          <t>에이블씨엔씨</t>
        </is>
      </c>
      <c r="D85" s="36" t="inlineStr">
        <is>
          <t>하나증권</t>
        </is>
      </c>
      <c r="E85" s="15" t="inlineStr">
        <is>
          <t>없음</t>
        </is>
      </c>
      <c r="F85" s="36" t="n"/>
      <c r="G85" s="37" t="n">
        <v>9870</v>
      </c>
      <c r="H85" s="36" t="inlineStr">
        <is>
          <t>글로벌 모멘텀 본격화</t>
        </is>
      </c>
      <c r="I85" s="28" t="inlineStr">
        <is>
          <t>보기</t>
        </is>
      </c>
      <c r="J85" s="28">
        <f>HYPERLINK("https://stock.pstatic.net/stock-research/company/57/20260714_company_417732000.pdf","PDF")</f>
        <v/>
      </c>
      <c r="K85" s="15" t="inlineStr">
        <is>
          <t>94167</t>
        </is>
      </c>
      <c r="L85" s="15" t="n"/>
    </row>
    <row r="86">
      <c r="A86" s="15" t="inlineStr">
        <is>
          <t>2026-07-14</t>
        </is>
      </c>
      <c r="B86" s="15" t="inlineStr">
        <is>
          <t>015760</t>
        </is>
      </c>
      <c r="C86" s="36" t="inlineStr">
        <is>
          <t>한국전력</t>
        </is>
      </c>
      <c r="D86" s="36" t="inlineStr">
        <is>
          <t>하나증권</t>
        </is>
      </c>
      <c r="E86" s="15" t="inlineStr">
        <is>
          <t>Buy</t>
        </is>
      </c>
      <c r="F86" s="37" t="n">
        <v>45000</v>
      </c>
      <c r="G86" s="37" t="n">
        <v>34250</v>
      </c>
      <c r="H86" s="36" t="inlineStr">
        <is>
          <t>정책 방향이 바뀐다</t>
        </is>
      </c>
      <c r="I86" s="28" t="inlineStr">
        <is>
          <t>보기</t>
        </is>
      </c>
      <c r="J86" s="28">
        <f>HYPERLINK("https://stock.pstatic.net/stock-research/company/57/20260714_company_364077000.pdf","PDF")</f>
        <v/>
      </c>
      <c r="K86" s="15" t="inlineStr">
        <is>
          <t>94166</t>
        </is>
      </c>
      <c r="L86" s="29" t="n">
        <v>0.3138686131386861</v>
      </c>
    </row>
    <row r="87">
      <c r="A87" s="15" t="inlineStr">
        <is>
          <t>2026-07-14</t>
        </is>
      </c>
      <c r="B87" s="15" t="inlineStr">
        <is>
          <t>030200</t>
        </is>
      </c>
      <c r="C87" s="36" t="inlineStr">
        <is>
          <t>KT</t>
        </is>
      </c>
      <c r="D87" s="36" t="inlineStr">
        <is>
          <t>하나증권</t>
        </is>
      </c>
      <c r="E87" s="15" t="inlineStr">
        <is>
          <t>Buy</t>
        </is>
      </c>
      <c r="F87" s="37" t="n">
        <v>76000</v>
      </c>
      <c r="G87" s="37" t="n">
        <v>52700</v>
      </c>
      <c r="H87" s="36" t="inlineStr">
        <is>
          <t>2Q 프리뷰 - 배당 증가 기대감 낮아질 전망</t>
        </is>
      </c>
      <c r="I87" s="28" t="inlineStr">
        <is>
          <t>보기</t>
        </is>
      </c>
      <c r="J87" s="28">
        <f>HYPERLINK("https://stock.pstatic.net/stock-research/company/57/20260714_company_121818000.pdf","PDF")</f>
        <v/>
      </c>
      <c r="K87" s="15" t="inlineStr">
        <is>
          <t>94165</t>
        </is>
      </c>
      <c r="L87" s="29" t="n">
        <v>0.4421252371916509</v>
      </c>
    </row>
    <row r="88">
      <c r="A88" s="15" t="inlineStr">
        <is>
          <t>2026-07-14</t>
        </is>
      </c>
      <c r="B88" s="15" t="inlineStr">
        <is>
          <t>012330</t>
        </is>
      </c>
      <c r="C88" s="36" t="inlineStr">
        <is>
          <t>현대모비스</t>
        </is>
      </c>
      <c r="D88" s="36" t="inlineStr">
        <is>
          <t>하나증권</t>
        </is>
      </c>
      <c r="E88" s="15" t="inlineStr">
        <is>
          <t>Buy</t>
        </is>
      </c>
      <c r="F88" s="37" t="n">
        <v>770000</v>
      </c>
      <c r="G88" s="37" t="n">
        <v>487500</v>
      </c>
      <c r="H88" s="36" t="inlineStr">
        <is>
          <t>2분기 프리뷰: 부합 전망. 로봇 부품도 일정대로 진행</t>
        </is>
      </c>
      <c r="I88" s="28" t="inlineStr">
        <is>
          <t>보기</t>
        </is>
      </c>
      <c r="J88" s="28">
        <f>HYPERLINK("https://stock.pstatic.net/stock-research/company/57/20260714_company_399412000.pdf","PDF")</f>
        <v/>
      </c>
      <c r="K88" s="15" t="inlineStr">
        <is>
          <t>94164</t>
        </is>
      </c>
      <c r="L88" s="29" t="n">
        <v>0.5794871794871795</v>
      </c>
    </row>
    <row r="89">
      <c r="A89" s="15" t="inlineStr">
        <is>
          <t>2026-07-14</t>
        </is>
      </c>
      <c r="B89" s="15" t="inlineStr">
        <is>
          <t>010120</t>
        </is>
      </c>
      <c r="C89" s="36" t="inlineStr">
        <is>
          <t>LS ELECTRIC</t>
        </is>
      </c>
      <c r="D89" s="36" t="inlineStr">
        <is>
          <t>유안타증권</t>
        </is>
      </c>
      <c r="E89" s="15" t="inlineStr">
        <is>
          <t>Buy</t>
        </is>
      </c>
      <c r="F89" s="37" t="n">
        <v>300000</v>
      </c>
      <c r="G89" s="37" t="n">
        <v>184500</v>
      </c>
      <c r="H89" s="36" t="inlineStr">
        <is>
          <t>수주 모멘텀 가속, 이익 레벨 상향</t>
        </is>
      </c>
      <c r="I89" s="28" t="inlineStr">
        <is>
          <t>보기</t>
        </is>
      </c>
      <c r="J89" s="28">
        <f>HYPERLINK("https://stock.pstatic.net/stock-research/company/18/20260714_company_986944000.pdf","PDF")</f>
        <v/>
      </c>
      <c r="K89" s="15" t="inlineStr">
        <is>
          <t>94163</t>
        </is>
      </c>
      <c r="L89" s="29" t="n">
        <v>0.6260162601626016</v>
      </c>
    </row>
    <row r="90">
      <c r="A90" s="15" t="inlineStr">
        <is>
          <t>2026-07-14</t>
        </is>
      </c>
      <c r="B90" s="15" t="inlineStr">
        <is>
          <t>298040</t>
        </is>
      </c>
      <c r="C90" s="36" t="inlineStr">
        <is>
          <t>효성중공업</t>
        </is>
      </c>
      <c r="D90" s="36" t="inlineStr">
        <is>
          <t>유안타증권</t>
        </is>
      </c>
      <c r="E90" s="15" t="inlineStr">
        <is>
          <t>Buy</t>
        </is>
      </c>
      <c r="F90" s="37" t="n">
        <v>5000000</v>
      </c>
      <c r="G90" s="37" t="n">
        <v>2666000</v>
      </c>
      <c r="H90" s="36" t="inlineStr">
        <is>
          <t>과도한 주가 조정, 확인되는 이익 체력</t>
        </is>
      </c>
      <c r="I90" s="28" t="inlineStr">
        <is>
          <t>보기</t>
        </is>
      </c>
      <c r="J90" s="28">
        <f>HYPERLINK("https://stock.pstatic.net/stock-research/company/18/20260714_company_267181000.pdf","PDF")</f>
        <v/>
      </c>
      <c r="K90" s="15" t="inlineStr">
        <is>
          <t>94162</t>
        </is>
      </c>
      <c r="L90" s="29" t="n">
        <v>0.8754688672168042</v>
      </c>
    </row>
    <row r="91">
      <c r="A91" s="15" t="inlineStr">
        <is>
          <t>2026-07-14</t>
        </is>
      </c>
      <c r="B91" s="15" t="inlineStr">
        <is>
          <t>267260</t>
        </is>
      </c>
      <c r="C91" s="36" t="inlineStr">
        <is>
          <t>HD현대일렉트릭</t>
        </is>
      </c>
      <c r="D91" s="36" t="inlineStr">
        <is>
          <t>유안타증권</t>
        </is>
      </c>
      <c r="E91" s="15" t="inlineStr">
        <is>
          <t>Buy</t>
        </is>
      </c>
      <c r="F91" s="37" t="n">
        <v>1450000</v>
      </c>
      <c r="G91" s="37" t="n">
        <v>788000</v>
      </c>
      <c r="H91" s="36" t="inlineStr">
        <is>
          <t>성장 축 확장, 실적 가시성 유효</t>
        </is>
      </c>
      <c r="I91" s="28" t="inlineStr">
        <is>
          <t>보기</t>
        </is>
      </c>
      <c r="J91" s="28">
        <f>HYPERLINK("https://stock.pstatic.net/stock-research/company/18/20260714_company_28737000.pdf","PDF")</f>
        <v/>
      </c>
      <c r="K91" s="15" t="inlineStr">
        <is>
          <t>94161</t>
        </is>
      </c>
      <c r="L91" s="29" t="n">
        <v>0.8401015228426396</v>
      </c>
    </row>
    <row r="92">
      <c r="A92" s="15" t="inlineStr">
        <is>
          <t>2026-07-14</t>
        </is>
      </c>
      <c r="B92" s="15" t="inlineStr">
        <is>
          <t>062040</t>
        </is>
      </c>
      <c r="C92" s="36" t="inlineStr">
        <is>
          <t>산일전기</t>
        </is>
      </c>
      <c r="D92" s="36" t="inlineStr">
        <is>
          <t>유안타증권</t>
        </is>
      </c>
      <c r="E92" s="15" t="inlineStr">
        <is>
          <t>Buy</t>
        </is>
      </c>
      <c r="F92" s="37" t="n">
        <v>360000</v>
      </c>
      <c r="G92" s="37" t="n">
        <v>169800</v>
      </c>
      <c r="H92" s="36" t="inlineStr">
        <is>
          <t>낮아진 주가, 변하지 않은 성장성</t>
        </is>
      </c>
      <c r="I92" s="28" t="inlineStr">
        <is>
          <t>보기</t>
        </is>
      </c>
      <c r="J92" s="28">
        <f>HYPERLINK("https://stock.pstatic.net/stock-research/company/18/20260714_company_368428000.pdf","PDF")</f>
        <v/>
      </c>
      <c r="K92" s="15" t="inlineStr">
        <is>
          <t>94160</t>
        </is>
      </c>
      <c r="L92" s="29" t="n">
        <v>1.120141342756184</v>
      </c>
    </row>
    <row r="93">
      <c r="A93" s="15" t="inlineStr">
        <is>
          <t>2026-07-14</t>
        </is>
      </c>
      <c r="B93" s="15" t="inlineStr">
        <is>
          <t>103590</t>
        </is>
      </c>
      <c r="C93" s="36" t="inlineStr">
        <is>
          <t>일진전기</t>
        </is>
      </c>
      <c r="D93" s="36" t="inlineStr">
        <is>
          <t>유안타증권</t>
        </is>
      </c>
      <c r="E93" s="15" t="inlineStr">
        <is>
          <t>Buy</t>
        </is>
      </c>
      <c r="F93" s="37" t="n">
        <v>125000</v>
      </c>
      <c r="G93" s="37" t="n">
        <v>61000</v>
      </c>
      <c r="H93" s="36" t="inlineStr">
        <is>
          <t>이익 구조는 견조, 눈높이는 조정</t>
        </is>
      </c>
      <c r="I93" s="28" t="inlineStr">
        <is>
          <t>보기</t>
        </is>
      </c>
      <c r="J93" s="28">
        <f>HYPERLINK("https://stock.pstatic.net/stock-research/company/18/20260714_company_937033000.pdf","PDF")</f>
        <v/>
      </c>
      <c r="K93" s="15" t="inlineStr">
        <is>
          <t>94159</t>
        </is>
      </c>
      <c r="L93" s="29" t="n">
        <v>1.049180327868853</v>
      </c>
    </row>
    <row r="94">
      <c r="A94" s="15" t="inlineStr">
        <is>
          <t>2026-07-14</t>
        </is>
      </c>
      <c r="B94" s="15" t="inlineStr">
        <is>
          <t>001440</t>
        </is>
      </c>
      <c r="C94" s="36" t="inlineStr">
        <is>
          <t>대한전선</t>
        </is>
      </c>
      <c r="D94" s="36" t="inlineStr">
        <is>
          <t>유안타증권</t>
        </is>
      </c>
      <c r="E94" s="15" t="inlineStr">
        <is>
          <t>Buy</t>
        </is>
      </c>
      <c r="F94" s="37" t="n">
        <v>60000</v>
      </c>
      <c r="G94" s="37" t="n">
        <v>28300</v>
      </c>
      <c r="H94" s="36" t="inlineStr">
        <is>
          <t>단기 부담은 완화, 해저·HVDC 레퍼런스 확대</t>
        </is>
      </c>
      <c r="I94" s="28" t="inlineStr">
        <is>
          <t>보기</t>
        </is>
      </c>
      <c r="J94" s="28">
        <f>HYPERLINK("https://stock.pstatic.net/stock-research/company/18/20260714_company_315734000.pdf","PDF")</f>
        <v/>
      </c>
      <c r="K94" s="15" t="inlineStr">
        <is>
          <t>94158</t>
        </is>
      </c>
      <c r="L94" s="29" t="n">
        <v>1.120141342756184</v>
      </c>
    </row>
    <row r="95">
      <c r="A95" s="15" t="inlineStr">
        <is>
          <t>2026-07-14</t>
        </is>
      </c>
      <c r="B95" s="15" t="inlineStr">
        <is>
          <t>064350</t>
        </is>
      </c>
      <c r="C95" s="36" t="inlineStr">
        <is>
          <t>현대로템</t>
        </is>
      </c>
      <c r="D95" s="36" t="inlineStr">
        <is>
          <t>대신증권</t>
        </is>
      </c>
      <c r="E95" s="15" t="inlineStr">
        <is>
          <t>Buy</t>
        </is>
      </c>
      <c r="F95" s="37" t="n">
        <v>280000</v>
      </c>
      <c r="G95" s="37" t="n">
        <v>178900</v>
      </c>
      <c r="H95" s="36" t="inlineStr">
        <is>
          <t>2Q26 Preview: 컨센서스 하회 전망</t>
        </is>
      </c>
      <c r="I95" s="28" t="inlineStr">
        <is>
          <t>보기</t>
        </is>
      </c>
      <c r="J95" s="28">
        <f>HYPERLINK("https://stock.pstatic.net/stock-research/company/15/20260714_company_807014000.pdf","PDF")</f>
        <v/>
      </c>
      <c r="K95" s="15" t="inlineStr">
        <is>
          <t>94157</t>
        </is>
      </c>
      <c r="L95" s="29" t="n">
        <v>0.5651201788708776</v>
      </c>
    </row>
    <row r="96">
      <c r="A96" s="15" t="inlineStr">
        <is>
          <t>2026-07-14</t>
        </is>
      </c>
      <c r="B96" s="15" t="inlineStr">
        <is>
          <t>030000</t>
        </is>
      </c>
      <c r="C96" s="36" t="inlineStr">
        <is>
          <t>제일기획</t>
        </is>
      </c>
      <c r="D96" s="36" t="inlineStr">
        <is>
          <t>대신증권</t>
        </is>
      </c>
      <c r="E96" s="15" t="inlineStr">
        <is>
          <t>Buy</t>
        </is>
      </c>
      <c r="F96" s="37" t="n">
        <v>27000</v>
      </c>
      <c r="G96" s="37" t="n">
        <v>18760</v>
      </c>
      <c r="H96" s="36" t="inlineStr">
        <is>
          <t>캡티브 부담, 비계열은 양호</t>
        </is>
      </c>
      <c r="I96" s="28" t="inlineStr">
        <is>
          <t>보기</t>
        </is>
      </c>
      <c r="J96" s="28">
        <f>HYPERLINK("https://stock.pstatic.net/stock-research/company/15/20260714_company_198317000.pdf","PDF")</f>
        <v/>
      </c>
      <c r="K96" s="15" t="inlineStr">
        <is>
          <t>94156</t>
        </is>
      </c>
      <c r="L96" s="29" t="n">
        <v>0.4392324093816631</v>
      </c>
    </row>
    <row r="97">
      <c r="A97" s="15" t="inlineStr">
        <is>
          <t>2026-07-14</t>
        </is>
      </c>
      <c r="B97" s="15" t="inlineStr">
        <is>
          <t>214320</t>
        </is>
      </c>
      <c r="C97" s="36" t="inlineStr">
        <is>
          <t>이노션</t>
        </is>
      </c>
      <c r="D97" s="36" t="inlineStr">
        <is>
          <t>대신증권</t>
        </is>
      </c>
      <c r="E97" s="15" t="inlineStr">
        <is>
          <t>Buy</t>
        </is>
      </c>
      <c r="F97" s="37" t="n">
        <v>27000</v>
      </c>
      <c r="G97" s="37" t="n">
        <v>18420</v>
      </c>
      <c r="H97" s="36" t="inlineStr">
        <is>
          <t>월드컵은 끝, 실적은 시작</t>
        </is>
      </c>
      <c r="I97" s="28" t="inlineStr">
        <is>
          <t>보기</t>
        </is>
      </c>
      <c r="J97" s="28">
        <f>HYPERLINK("https://stock.pstatic.net/stock-research/company/15/20260714_company_740028000.pdf","PDF")</f>
        <v/>
      </c>
      <c r="K97" s="15" t="inlineStr">
        <is>
          <t>94155</t>
        </is>
      </c>
      <c r="L97" s="29" t="n">
        <v>0.4657980456026058</v>
      </c>
    </row>
    <row r="98">
      <c r="A98" s="15" t="inlineStr">
        <is>
          <t>2026-07-14</t>
        </is>
      </c>
      <c r="B98" s="15" t="inlineStr">
        <is>
          <t>089860</t>
        </is>
      </c>
      <c r="C98" s="36" t="inlineStr">
        <is>
          <t>롯데렌탈</t>
        </is>
      </c>
      <c r="D98" s="36" t="inlineStr">
        <is>
          <t>대신증권</t>
        </is>
      </c>
      <c r="E98" s="15" t="inlineStr">
        <is>
          <t>Buy</t>
        </is>
      </c>
      <c r="F98" s="37" t="n">
        <v>46000</v>
      </c>
      <c r="G98" s="37" t="n">
        <v>34200</v>
      </c>
      <c r="H98" s="36" t="inlineStr">
        <is>
          <t>매력적인 포트폴리오,저평가 그래서 관심이 높다!</t>
        </is>
      </c>
      <c r="I98" s="28" t="inlineStr">
        <is>
          <t>보기</t>
        </is>
      </c>
      <c r="J98" s="28">
        <f>HYPERLINK("https://stock.pstatic.net/stock-research/company/15/20260714_company_275709000.pdf","PDF")</f>
        <v/>
      </c>
      <c r="K98" s="15" t="inlineStr">
        <is>
          <t>94154</t>
        </is>
      </c>
      <c r="L98" s="29" t="n">
        <v>0.3450292397660819</v>
      </c>
    </row>
    <row r="99">
      <c r="A99" s="15" t="inlineStr">
        <is>
          <t>2026-07-14</t>
        </is>
      </c>
      <c r="B99" s="15" t="inlineStr">
        <is>
          <t>004020</t>
        </is>
      </c>
      <c r="C99" s="36" t="inlineStr">
        <is>
          <t>현대제철</t>
        </is>
      </c>
      <c r="D99" s="36" t="inlineStr">
        <is>
          <t>미래에셋증권</t>
        </is>
      </c>
      <c r="E99" s="15" t="inlineStr">
        <is>
          <t>매수</t>
        </is>
      </c>
      <c r="F99" s="37" t="n">
        <v>47000</v>
      </c>
      <c r="G99" s="37" t="n">
        <v>26800</v>
      </c>
      <c r="H99" s="36" t="inlineStr">
        <is>
          <t>상저하고의 실적 흐름, 신수요 가시성 확대 기대</t>
        </is>
      </c>
      <c r="I99" s="28" t="inlineStr">
        <is>
          <t>보기</t>
        </is>
      </c>
      <c r="J99" s="28">
        <f>HYPERLINK("https://stock.pstatic.net/stock-research/company/56/20260714_company_14420000.pdf","PDF")</f>
        <v/>
      </c>
      <c r="K99" s="15" t="inlineStr">
        <is>
          <t>94153</t>
        </is>
      </c>
      <c r="L99" s="29" t="n">
        <v>0.753731343283582</v>
      </c>
    </row>
    <row r="100">
      <c r="A100" s="15" t="inlineStr">
        <is>
          <t>2026-07-14</t>
        </is>
      </c>
      <c r="B100" s="15" t="inlineStr">
        <is>
          <t>318060</t>
        </is>
      </c>
      <c r="C100" s="36" t="inlineStr">
        <is>
          <t>그래피</t>
        </is>
      </c>
      <c r="D100" s="36" t="inlineStr">
        <is>
          <t>미래에셋증권</t>
        </is>
      </c>
      <c r="E100" s="15" t="inlineStr">
        <is>
          <t>없음</t>
        </is>
      </c>
      <c r="F100" s="36" t="n"/>
      <c r="G100" s="37" t="n">
        <v>17330</v>
      </c>
      <c r="H100" s="36" t="inlineStr">
        <is>
          <t>레이 인수자금 용도로 추정되는 자금조달 결정</t>
        </is>
      </c>
      <c r="I100" s="28" t="inlineStr">
        <is>
          <t>보기</t>
        </is>
      </c>
      <c r="J100" s="28">
        <f>HYPERLINK("https://stock.pstatic.net/stock-research/company/56/20260714_company_729566000.pdf","PDF")</f>
        <v/>
      </c>
      <c r="K100" s="15" t="inlineStr">
        <is>
          <t>94152</t>
        </is>
      </c>
      <c r="L100" s="15" t="n"/>
    </row>
    <row r="101">
      <c r="A101" s="15" t="inlineStr">
        <is>
          <t>2026-07-14</t>
        </is>
      </c>
      <c r="B101" s="15" t="inlineStr">
        <is>
          <t>161890</t>
        </is>
      </c>
      <c r="C101" s="36" t="inlineStr">
        <is>
          <t>한국콜마</t>
        </is>
      </c>
      <c r="D101" s="36" t="inlineStr">
        <is>
          <t>SK증권</t>
        </is>
      </c>
      <c r="E101" s="15" t="inlineStr">
        <is>
          <t>매수</t>
        </is>
      </c>
      <c r="F101" s="37" t="n">
        <v>140000</v>
      </c>
      <c r="G101" s="37" t="n">
        <v>115800</v>
      </c>
      <c r="H101" s="36" t="inlineStr">
        <is>
          <t>국내 법인 호실적 예상</t>
        </is>
      </c>
      <c r="I101" s="28" t="inlineStr">
        <is>
          <t>보기</t>
        </is>
      </c>
      <c r="J101" s="28">
        <f>HYPERLINK("https://stock.pstatic.net/stock-research/company/64/20260714_company_939877000.pdf","PDF")</f>
        <v/>
      </c>
      <c r="K101" s="15" t="inlineStr">
        <is>
          <t>94151</t>
        </is>
      </c>
      <c r="L101" s="29" t="n">
        <v>0.2089810017271157</v>
      </c>
    </row>
    <row r="102">
      <c r="A102" s="15" t="inlineStr">
        <is>
          <t>2026-07-14</t>
        </is>
      </c>
      <c r="B102" s="15" t="inlineStr">
        <is>
          <t>352820</t>
        </is>
      </c>
      <c r="C102" s="36" t="inlineStr">
        <is>
          <t>하이브</t>
        </is>
      </c>
      <c r="D102" s="36" t="inlineStr">
        <is>
          <t>유진투자증권</t>
        </is>
      </c>
      <c r="E102" s="15" t="inlineStr">
        <is>
          <t>Buy</t>
        </is>
      </c>
      <c r="F102" s="37" t="n">
        <v>340000</v>
      </c>
      <c r="G102" s="37" t="n">
        <v>213000</v>
      </c>
      <c r="H102" s="36" t="inlineStr">
        <is>
          <t>팔랑귀 팔랑귀 할 만큼 좋은 실적</t>
        </is>
      </c>
      <c r="I102" s="28" t="inlineStr">
        <is>
          <t>보기</t>
        </is>
      </c>
      <c r="J102" s="28">
        <f>HYPERLINK("https://stock.pstatic.net/stock-research/company/63/20260714_company_108409000.pdf","PDF")</f>
        <v/>
      </c>
      <c r="K102" s="15" t="inlineStr">
        <is>
          <t>94150</t>
        </is>
      </c>
      <c r="L102" s="29" t="n">
        <v>0.596244131455399</v>
      </c>
    </row>
    <row r="103">
      <c r="A103" s="15" t="inlineStr">
        <is>
          <t>2026-07-14</t>
        </is>
      </c>
      <c r="B103" s="15" t="inlineStr">
        <is>
          <t>329180</t>
        </is>
      </c>
      <c r="C103" s="36" t="inlineStr">
        <is>
          <t>HD현대중공업</t>
        </is>
      </c>
      <c r="D103" s="36" t="inlineStr">
        <is>
          <t>SK증권</t>
        </is>
      </c>
      <c r="E103" s="15" t="inlineStr">
        <is>
          <t>매수</t>
        </is>
      </c>
      <c r="F103" s="37" t="n">
        <v>970000</v>
      </c>
      <c r="G103" s="37" t="n">
        <v>487500</v>
      </c>
      <c r="H103" s="36" t="inlineStr">
        <is>
          <t>엔진 캐파 증설해 주실 거죠?</t>
        </is>
      </c>
      <c r="I103" s="28" t="inlineStr">
        <is>
          <t>보기</t>
        </is>
      </c>
      <c r="J103" s="28">
        <f>HYPERLINK("https://stock.pstatic.net/stock-research/company/64/20260714_company_672381000.pdf","PDF")</f>
        <v/>
      </c>
      <c r="K103" s="15" t="inlineStr">
        <is>
          <t>94149</t>
        </is>
      </c>
      <c r="L103" s="29" t="n">
        <v>0.9897435897435898</v>
      </c>
    </row>
    <row r="104">
      <c r="A104" s="15" t="inlineStr">
        <is>
          <t>2026-07-14</t>
        </is>
      </c>
      <c r="B104" s="15" t="inlineStr">
        <is>
          <t>383220</t>
        </is>
      </c>
      <c r="C104" s="36" t="inlineStr">
        <is>
          <t>F&amp;F</t>
        </is>
      </c>
      <c r="D104" s="36" t="inlineStr">
        <is>
          <t>유진투자증권</t>
        </is>
      </c>
      <c r="E104" s="15" t="inlineStr">
        <is>
          <t>Buy</t>
        </is>
      </c>
      <c r="F104" s="37" t="n">
        <v>100000</v>
      </c>
      <c r="G104" s="37" t="n">
        <v>79900</v>
      </c>
      <c r="H104" s="36" t="inlineStr">
        <is>
          <t>2Q26 Preview: 내수, 외국인, 위안화</t>
        </is>
      </c>
      <c r="I104" s="28" t="inlineStr">
        <is>
          <t>보기</t>
        </is>
      </c>
      <c r="J104" s="28">
        <f>HYPERLINK("https://stock.pstatic.net/stock-research/company/63/20260714_company_893759000.pdf","PDF")</f>
        <v/>
      </c>
      <c r="K104" s="15" t="inlineStr">
        <is>
          <t>94148</t>
        </is>
      </c>
      <c r="L104" s="29" t="n">
        <v>0.2515644555694618</v>
      </c>
    </row>
    <row r="105">
      <c r="A105" s="15" t="inlineStr">
        <is>
          <t>2026-07-14</t>
        </is>
      </c>
      <c r="B105" s="15" t="inlineStr">
        <is>
          <t>127120</t>
        </is>
      </c>
      <c r="C105" s="36" t="inlineStr">
        <is>
          <t>제이에스링크</t>
        </is>
      </c>
      <c r="D105" s="36" t="inlineStr">
        <is>
          <t>SK증권</t>
        </is>
      </c>
      <c r="E105" s="15" t="inlineStr">
        <is>
          <t>없음</t>
        </is>
      </c>
      <c r="F105" s="36" t="n"/>
      <c r="G105" s="37" t="n">
        <v>36950</v>
      </c>
      <c r="H105" s="36" t="inlineStr">
        <is>
          <t>높아지는 중희토류 가치</t>
        </is>
      </c>
      <c r="I105" s="28" t="inlineStr">
        <is>
          <t>보기</t>
        </is>
      </c>
      <c r="J105" s="28">
        <f>HYPERLINK("https://stock.pstatic.net/stock-research/company/64/20260714_company_612016000.pdf","PDF")</f>
        <v/>
      </c>
      <c r="K105" s="15" t="inlineStr">
        <is>
          <t>94147</t>
        </is>
      </c>
      <c r="L105" s="15" t="n"/>
    </row>
    <row r="106">
      <c r="A106" s="15" t="inlineStr">
        <is>
          <t>2026-07-14</t>
        </is>
      </c>
      <c r="B106" s="15" t="inlineStr">
        <is>
          <t>278470</t>
        </is>
      </c>
      <c r="C106" s="36" t="inlineStr">
        <is>
          <t>에이피알</t>
        </is>
      </c>
      <c r="D106" s="36" t="inlineStr">
        <is>
          <t>유진투자증권</t>
        </is>
      </c>
      <c r="E106" s="15" t="inlineStr">
        <is>
          <t>Buy</t>
        </is>
      </c>
      <c r="F106" s="37" t="n">
        <v>510000</v>
      </c>
      <c r="G106" s="37" t="n">
        <v>380000</v>
      </c>
      <c r="H106" s="36" t="inlineStr">
        <is>
          <t>2Q26 Preview: A++</t>
        </is>
      </c>
      <c r="I106" s="28" t="inlineStr">
        <is>
          <t>보기</t>
        </is>
      </c>
      <c r="J106" s="28">
        <f>HYPERLINK("https://stock.pstatic.net/stock-research/company/63/20260714_company_627109000.pdf","PDF")</f>
        <v/>
      </c>
      <c r="K106" s="15" t="inlineStr">
        <is>
          <t>94146</t>
        </is>
      </c>
      <c r="L106" s="29" t="n">
        <v>0.3421052631578947</v>
      </c>
    </row>
    <row r="107">
      <c r="A107" s="15" t="inlineStr">
        <is>
          <t>2026-07-14</t>
        </is>
      </c>
      <c r="B107" s="15" t="inlineStr">
        <is>
          <t>096770</t>
        </is>
      </c>
      <c r="C107" s="36" t="inlineStr">
        <is>
          <t>SK이노베이션</t>
        </is>
      </c>
      <c r="D107" s="36" t="inlineStr">
        <is>
          <t>iM증권</t>
        </is>
      </c>
      <c r="E107" s="15" t="inlineStr">
        <is>
          <t>Buy</t>
        </is>
      </c>
      <c r="F107" s="37" t="n">
        <v>190000</v>
      </c>
      <c r="G107" s="37" t="n">
        <v>110200</v>
      </c>
      <c r="H107" s="36" t="inlineStr">
        <is>
          <t>정유/윤활유 호조에 E&amp;S 이익 체력도 레벨업</t>
        </is>
      </c>
      <c r="I107" s="28" t="inlineStr">
        <is>
          <t>보기</t>
        </is>
      </c>
      <c r="J107" s="28">
        <f>HYPERLINK("https://stock.pstatic.net/stock-research/company/61/20260714_company_563840000.pdf","PDF")</f>
        <v/>
      </c>
      <c r="K107" s="15" t="inlineStr">
        <is>
          <t>94145</t>
        </is>
      </c>
      <c r="L107" s="29" t="n">
        <v>0.7241379310344828</v>
      </c>
    </row>
    <row r="108">
      <c r="A108" s="15" t="inlineStr">
        <is>
          <t>2026-07-14</t>
        </is>
      </c>
      <c r="B108" s="15" t="inlineStr">
        <is>
          <t>071050</t>
        </is>
      </c>
      <c r="C108" s="36" t="inlineStr">
        <is>
          <t>한국금융지주</t>
        </is>
      </c>
      <c r="D108" s="36" t="inlineStr">
        <is>
          <t>SK증권</t>
        </is>
      </c>
      <c r="E108" s="15" t="inlineStr">
        <is>
          <t>매수</t>
        </is>
      </c>
      <c r="F108" s="37" t="n">
        <v>410000</v>
      </c>
      <c r="G108" s="37" t="n">
        <v>237000</v>
      </c>
      <c r="H108" s="36" t="inlineStr">
        <is>
          <t>2Q26 Preview: 연간 이익 3조원, 너무 저평가 아닌가?</t>
        </is>
      </c>
      <c r="I108" s="28" t="inlineStr">
        <is>
          <t>보기</t>
        </is>
      </c>
      <c r="J108" s="28">
        <f>HYPERLINK("https://stock.pstatic.net/stock-research/company/64/20260714_company_883371000.pdf","PDF")</f>
        <v/>
      </c>
      <c r="K108" s="15" t="inlineStr">
        <is>
          <t>94144</t>
        </is>
      </c>
      <c r="L108" s="29" t="n">
        <v>0.729957805907173</v>
      </c>
    </row>
    <row r="109">
      <c r="A109" s="15" t="inlineStr">
        <is>
          <t>2026-07-14</t>
        </is>
      </c>
      <c r="B109" s="15" t="inlineStr">
        <is>
          <t>000660</t>
        </is>
      </c>
      <c r="C109" s="36" t="inlineStr">
        <is>
          <t>SK하이닉스</t>
        </is>
      </c>
      <c r="D109" s="36" t="inlineStr">
        <is>
          <t>미래에셋증권</t>
        </is>
      </c>
      <c r="E109" s="15" t="inlineStr">
        <is>
          <t>매수</t>
        </is>
      </c>
      <c r="F109" s="37" t="n">
        <v>4200000</v>
      </c>
      <c r="G109" s="37" t="n">
        <v>1845000</v>
      </c>
      <c r="H109" s="36" t="inlineStr">
        <is>
          <t>시선을 약간만 아래로</t>
        </is>
      </c>
      <c r="I109" s="28" t="inlineStr">
        <is>
          <t>보기</t>
        </is>
      </c>
      <c r="J109" s="28">
        <f>HYPERLINK("https://stock.pstatic.net/stock-research/company/56/20260714_company_93205000.pdf","PDF")</f>
        <v/>
      </c>
      <c r="K109" s="15" t="inlineStr">
        <is>
          <t>94143</t>
        </is>
      </c>
      <c r="L109" s="29" t="n">
        <v>1.276422764227642</v>
      </c>
    </row>
    <row r="110">
      <c r="A110" s="15" t="inlineStr">
        <is>
          <t>2026-07-14</t>
        </is>
      </c>
      <c r="B110" s="15" t="inlineStr">
        <is>
          <t>016360</t>
        </is>
      </c>
      <c r="C110" s="36" t="inlineStr">
        <is>
          <t>삼성증권</t>
        </is>
      </c>
      <c r="D110" s="36" t="inlineStr">
        <is>
          <t>SK증권</t>
        </is>
      </c>
      <c r="E110" s="15" t="inlineStr">
        <is>
          <t>매수</t>
        </is>
      </c>
      <c r="F110" s="37" t="n">
        <v>170000</v>
      </c>
      <c r="G110" s="37" t="n">
        <v>108800</v>
      </c>
      <c r="H110" s="36" t="inlineStr">
        <is>
          <t>2Q26 Preview: 높아진 거래대금, 실적도 레벨업</t>
        </is>
      </c>
      <c r="I110" s="28" t="inlineStr">
        <is>
          <t>보기</t>
        </is>
      </c>
      <c r="J110" s="28">
        <f>HYPERLINK("https://stock.pstatic.net/stock-research/company/64/20260714_company_621655000.pdf","PDF")</f>
        <v/>
      </c>
      <c r="K110" s="15" t="inlineStr">
        <is>
          <t>94142</t>
        </is>
      </c>
      <c r="L110" s="29" t="n">
        <v>0.5625</v>
      </c>
    </row>
    <row r="111">
      <c r="A111" s="15" t="inlineStr">
        <is>
          <t>2026-07-14</t>
        </is>
      </c>
      <c r="B111" s="15" t="inlineStr">
        <is>
          <t>290650</t>
        </is>
      </c>
      <c r="C111" s="36" t="inlineStr">
        <is>
          <t>엘앤씨바이오</t>
        </is>
      </c>
      <c r="D111" s="36" t="inlineStr">
        <is>
          <t>신한투자증권</t>
        </is>
      </c>
      <c r="E111" s="15" t="inlineStr">
        <is>
          <t>없음</t>
        </is>
      </c>
      <c r="F111" s="36" t="n"/>
      <c r="G111" s="37" t="n">
        <v>69500</v>
      </c>
      <c r="H111" s="36" t="inlineStr">
        <is>
          <t>가늠할 수 없는 산업 확장성</t>
        </is>
      </c>
      <c r="I111" s="28" t="inlineStr">
        <is>
          <t>보기</t>
        </is>
      </c>
      <c r="J111" s="28">
        <f>HYPERLINK("https://stock.pstatic.net/stock-research/company/21/20260714_company_325512000.pdf","PDF")</f>
        <v/>
      </c>
      <c r="K111" s="15" t="inlineStr">
        <is>
          <t>94141</t>
        </is>
      </c>
      <c r="L111" s="15" t="n"/>
    </row>
    <row r="112">
      <c r="A112" s="15" t="inlineStr">
        <is>
          <t>2026-07-14</t>
        </is>
      </c>
      <c r="B112" s="15" t="inlineStr">
        <is>
          <t>336260</t>
        </is>
      </c>
      <c r="C112" s="36" t="inlineStr">
        <is>
          <t>두산퓨얼셀</t>
        </is>
      </c>
      <c r="D112" s="36" t="inlineStr">
        <is>
          <t>유진투자증권</t>
        </is>
      </c>
      <c r="E112" s="15" t="inlineStr">
        <is>
          <t>Buy</t>
        </is>
      </c>
      <c r="F112" s="37" t="n">
        <v>80000</v>
      </c>
      <c r="G112" s="37" t="n">
        <v>44800</v>
      </c>
      <c r="H112" s="36" t="inlineStr">
        <is>
          <t>미국 데이터센터 전력 공급 업체로 재평가될 것</t>
        </is>
      </c>
      <c r="I112" s="28" t="inlineStr">
        <is>
          <t>보기</t>
        </is>
      </c>
      <c r="J112" s="28">
        <f>HYPERLINK("https://stock.pstatic.net/stock-research/company/63/20260714_company_497975000.pdf","PDF")</f>
        <v/>
      </c>
      <c r="K112" s="15" t="inlineStr">
        <is>
          <t>94140</t>
        </is>
      </c>
      <c r="L112" s="29" t="n">
        <v>0.7857142857142857</v>
      </c>
    </row>
    <row r="113">
      <c r="A113" s="15" t="inlineStr">
        <is>
          <t>2026-07-14</t>
        </is>
      </c>
      <c r="B113" s="15" t="inlineStr">
        <is>
          <t>039130</t>
        </is>
      </c>
      <c r="C113" s="36" t="inlineStr">
        <is>
          <t>하나투어</t>
        </is>
      </c>
      <c r="D113" s="36" t="inlineStr">
        <is>
          <t>신한투자증권</t>
        </is>
      </c>
      <c r="E113" s="15" t="inlineStr">
        <is>
          <t>매수</t>
        </is>
      </c>
      <c r="F113" s="37" t="n">
        <v>46000</v>
      </c>
      <c r="G113" s="37" t="n">
        <v>31400</v>
      </c>
      <c r="H113" s="36" t="inlineStr">
        <is>
          <t>비우호적인 영업 환경</t>
        </is>
      </c>
      <c r="I113" s="28" t="inlineStr">
        <is>
          <t>보기</t>
        </is>
      </c>
      <c r="J113" s="28">
        <f>HYPERLINK("https://stock.pstatic.net/stock-research/company/21/20260714_company_971966000.pdf","PDF")</f>
        <v/>
      </c>
      <c r="K113" s="15" t="inlineStr">
        <is>
          <t>94139</t>
        </is>
      </c>
      <c r="L113" s="29" t="n">
        <v>0.464968152866242</v>
      </c>
    </row>
    <row r="114">
      <c r="A114" s="15" t="inlineStr">
        <is>
          <t>2026-07-14</t>
        </is>
      </c>
      <c r="B114" s="15" t="inlineStr">
        <is>
          <t>047040</t>
        </is>
      </c>
      <c r="C114" s="36" t="inlineStr">
        <is>
          <t>대우건설</t>
        </is>
      </c>
      <c r="D114" s="36" t="inlineStr">
        <is>
          <t>신한투자증권</t>
        </is>
      </c>
      <c r="E114" s="15" t="inlineStr">
        <is>
          <t>중립</t>
        </is>
      </c>
      <c r="F114" s="36" t="n"/>
      <c r="G114" s="37" t="n">
        <v>16010</v>
      </c>
      <c r="H114" s="36" t="inlineStr">
        <is>
          <t>2개분기 연속 기대 이상의 수익성</t>
        </is>
      </c>
      <c r="I114" s="28" t="inlineStr">
        <is>
          <t>보기</t>
        </is>
      </c>
      <c r="J114" s="28">
        <f>HYPERLINK("https://stock.pstatic.net/stock-research/company/21/20260714_company_77388000.pdf","PDF")</f>
        <v/>
      </c>
      <c r="K114" s="15" t="inlineStr">
        <is>
          <t>94138</t>
        </is>
      </c>
      <c r="L114" s="15" t="n"/>
    </row>
    <row r="115">
      <c r="A115" s="15" t="inlineStr">
        <is>
          <t>2026-07-14</t>
        </is>
      </c>
      <c r="B115" s="15" t="inlineStr">
        <is>
          <t>194480</t>
        </is>
      </c>
      <c r="C115" s="36" t="inlineStr">
        <is>
          <t>데브시스터즈</t>
        </is>
      </c>
      <c r="D115" s="36" t="inlineStr">
        <is>
          <t>신한투자증권</t>
        </is>
      </c>
      <c r="E115" s="15" t="inlineStr">
        <is>
          <t>중립</t>
        </is>
      </c>
      <c r="F115" s="36" t="n"/>
      <c r="G115" s="37" t="n">
        <v>17600</v>
      </c>
      <c r="H115" s="36" t="inlineStr">
        <is>
          <t>무너진 실적과 신뢰</t>
        </is>
      </c>
      <c r="I115" s="28" t="inlineStr">
        <is>
          <t>보기</t>
        </is>
      </c>
      <c r="J115" s="28">
        <f>HYPERLINK("https://stock.pstatic.net/stock-research/company/21/20260714_company_882142000.pdf","PDF")</f>
        <v/>
      </c>
      <c r="K115" s="15" t="inlineStr">
        <is>
          <t>94137</t>
        </is>
      </c>
      <c r="L115" s="15" t="n"/>
    </row>
    <row r="116">
      <c r="A116" s="15" t="inlineStr">
        <is>
          <t>2026-07-14</t>
        </is>
      </c>
      <c r="B116" s="15" t="inlineStr">
        <is>
          <t>192080</t>
        </is>
      </c>
      <c r="C116" s="36" t="inlineStr">
        <is>
          <t>더블유게임즈</t>
        </is>
      </c>
      <c r="D116" s="36" t="inlineStr">
        <is>
          <t>신한투자증권</t>
        </is>
      </c>
      <c r="E116" s="15" t="inlineStr">
        <is>
          <t>매수</t>
        </is>
      </c>
      <c r="F116" s="37" t="n">
        <v>100000</v>
      </c>
      <c r="G116" s="37" t="n">
        <v>61100</v>
      </c>
      <c r="H116" s="36" t="inlineStr">
        <is>
          <t>신사업 비중 확대 지속</t>
        </is>
      </c>
      <c r="I116" s="28" t="inlineStr">
        <is>
          <t>보기</t>
        </is>
      </c>
      <c r="J116" s="28">
        <f>HYPERLINK("https://stock.pstatic.net/stock-research/company/21/20260714_company_536388000.pdf","PDF")</f>
        <v/>
      </c>
      <c r="K116" s="15" t="inlineStr">
        <is>
          <t>94136</t>
        </is>
      </c>
      <c r="L116" s="29" t="n">
        <v>0.6366612111292962</v>
      </c>
    </row>
    <row r="117">
      <c r="A117" s="15" t="inlineStr">
        <is>
          <t>2026-07-14</t>
        </is>
      </c>
      <c r="B117" s="15" t="inlineStr">
        <is>
          <t>067160</t>
        </is>
      </c>
      <c r="C117" s="36" t="inlineStr">
        <is>
          <t>SOOP</t>
        </is>
      </c>
      <c r="D117" s="36" t="inlineStr">
        <is>
          <t>신한투자증권</t>
        </is>
      </c>
      <c r="E117" s="15" t="inlineStr">
        <is>
          <t>매수</t>
        </is>
      </c>
      <c r="F117" s="37" t="n">
        <v>70000</v>
      </c>
      <c r="G117" s="37" t="n">
        <v>47950</v>
      </c>
      <c r="H117" s="36" t="inlineStr">
        <is>
          <t>후원 매출 반등, 신규 콘텐츠 발굴이 숙제</t>
        </is>
      </c>
      <c r="I117" s="28" t="inlineStr">
        <is>
          <t>보기</t>
        </is>
      </c>
      <c r="J117" s="28">
        <f>HYPERLINK("https://stock.pstatic.net/stock-research/company/21/20260714_company_396906000.pdf","PDF")</f>
        <v/>
      </c>
      <c r="K117" s="15" t="inlineStr">
        <is>
          <t>94135</t>
        </is>
      </c>
      <c r="L117" s="29" t="n">
        <v>0.4598540145985401</v>
      </c>
    </row>
    <row r="118">
      <c r="A118" s="15" t="inlineStr">
        <is>
          <t>2026-07-14</t>
        </is>
      </c>
      <c r="B118" s="15" t="inlineStr">
        <is>
          <t>375500</t>
        </is>
      </c>
      <c r="C118" s="36" t="inlineStr">
        <is>
          <t>DL이앤씨</t>
        </is>
      </c>
      <c r="D118" s="36" t="inlineStr">
        <is>
          <t>키움증권</t>
        </is>
      </c>
      <c r="E118" s="15" t="inlineStr">
        <is>
          <t>Buy</t>
        </is>
      </c>
      <c r="F118" s="37" t="n">
        <v>120000</v>
      </c>
      <c r="G118" s="37" t="n">
        <v>60300</v>
      </c>
      <c r="H118" s="36" t="inlineStr">
        <is>
          <t>기우를 떨쳐내면 보이는 높은 주가 업사이드</t>
        </is>
      </c>
      <c r="I118" s="28" t="inlineStr">
        <is>
          <t>보기</t>
        </is>
      </c>
      <c r="J118" s="28">
        <f>HYPERLINK("https://stock.pstatic.net/stock-research/company/39/20260714_company_114563000.pdf","PDF")</f>
        <v/>
      </c>
      <c r="K118" s="15" t="inlineStr">
        <is>
          <t>94134</t>
        </is>
      </c>
      <c r="L118" s="29" t="n">
        <v>0.9900497512437811</v>
      </c>
    </row>
    <row r="119">
      <c r="A119" s="15" t="inlineStr">
        <is>
          <t>2026-07-14</t>
        </is>
      </c>
      <c r="B119" s="15" t="inlineStr">
        <is>
          <t>047040</t>
        </is>
      </c>
      <c r="C119" s="36" t="inlineStr">
        <is>
          <t>대우건설</t>
        </is>
      </c>
      <c r="D119" s="36" t="inlineStr">
        <is>
          <t>키움증권</t>
        </is>
      </c>
      <c r="E119" s="15" t="inlineStr">
        <is>
          <t>Buy</t>
        </is>
      </c>
      <c r="F119" s="37" t="n">
        <v>23000</v>
      </c>
      <c r="G119" s="37" t="n">
        <v>16010</v>
      </c>
      <c r="H119" s="36" t="inlineStr">
        <is>
          <t>실적 컨센서스 상회 전망, AI 인프라 확대 수혜</t>
        </is>
      </c>
      <c r="I119" s="28" t="inlineStr">
        <is>
          <t>보기</t>
        </is>
      </c>
      <c r="J119" s="28">
        <f>HYPERLINK("https://stock.pstatic.net/stock-research/company/39/20260714_company_199385000.pdf","PDF")</f>
        <v/>
      </c>
      <c r="K119" s="15" t="inlineStr">
        <is>
          <t>94133</t>
        </is>
      </c>
      <c r="L119" s="29" t="n">
        <v>0.4366021236727046</v>
      </c>
    </row>
    <row r="120">
      <c r="A120" s="15" t="inlineStr">
        <is>
          <t>2026-07-14</t>
        </is>
      </c>
      <c r="B120" s="15" t="inlineStr">
        <is>
          <t>010950</t>
        </is>
      </c>
      <c r="C120" s="36" t="inlineStr">
        <is>
          <t>S-Oil</t>
        </is>
      </c>
      <c r="D120" s="36" t="inlineStr">
        <is>
          <t>iM증권</t>
        </is>
      </c>
      <c r="E120" s="15" t="inlineStr">
        <is>
          <t>Buy</t>
        </is>
      </c>
      <c r="F120" s="37" t="n">
        <v>170000</v>
      </c>
      <c r="G120" s="37" t="n">
        <v>139500</v>
      </c>
      <c r="H120" s="36" t="inlineStr">
        <is>
          <t>16~18년도 과거의 영광을 다시 마주할 시기</t>
        </is>
      </c>
      <c r="I120" s="28" t="inlineStr">
        <is>
          <t>보기</t>
        </is>
      </c>
      <c r="J120" s="28">
        <f>HYPERLINK("https://stock.pstatic.net/stock-research/company/61/20260714_company_425039000.pdf","PDF")</f>
        <v/>
      </c>
      <c r="K120" s="15" t="inlineStr">
        <is>
          <t>94132</t>
        </is>
      </c>
      <c r="L120" s="29" t="n">
        <v>0.2186379928315412</v>
      </c>
    </row>
    <row r="121">
      <c r="A121" s="15" t="inlineStr">
        <is>
          <t>2026-07-14</t>
        </is>
      </c>
      <c r="B121" s="15" t="inlineStr">
        <is>
          <t>000810</t>
        </is>
      </c>
      <c r="C121" s="36" t="inlineStr">
        <is>
          <t>삼성화재</t>
        </is>
      </c>
      <c r="D121" s="36" t="inlineStr">
        <is>
          <t>iM증권</t>
        </is>
      </c>
      <c r="E121" s="15" t="inlineStr">
        <is>
          <t>Buy</t>
        </is>
      </c>
      <c r="F121" s="37" t="n">
        <v>740000</v>
      </c>
      <c r="G121" s="37" t="n">
        <v>639000</v>
      </c>
      <c r="H121" s="36" t="inlineStr">
        <is>
          <t>전자 지분가치 반영에 대한 고민</t>
        </is>
      </c>
      <c r="I121" s="28" t="inlineStr">
        <is>
          <t>보기</t>
        </is>
      </c>
      <c r="J121" s="28">
        <f>HYPERLINK("https://stock.pstatic.net/stock-research/company/61/20260714_company_735737000.pdf","PDF")</f>
        <v/>
      </c>
      <c r="K121" s="15" t="inlineStr">
        <is>
          <t>94131</t>
        </is>
      </c>
      <c r="L121" s="29" t="n">
        <v>0.1580594679186229</v>
      </c>
    </row>
    <row r="122">
      <c r="A122" s="15" t="inlineStr">
        <is>
          <t>2026-07-14</t>
        </is>
      </c>
      <c r="B122" s="15" t="inlineStr">
        <is>
          <t>032830</t>
        </is>
      </c>
      <c r="C122" s="36" t="inlineStr">
        <is>
          <t>삼성생명</t>
        </is>
      </c>
      <c r="D122" s="36" t="inlineStr">
        <is>
          <t>iM증권</t>
        </is>
      </c>
      <c r="E122" s="15" t="inlineStr">
        <is>
          <t>Buy</t>
        </is>
      </c>
      <c r="F122" s="37" t="n">
        <v>380000</v>
      </c>
      <c r="G122" s="37" t="n">
        <v>326000</v>
      </c>
      <c r="H122" s="36" t="inlineStr">
        <is>
          <t>본업보다는 전자 지분과 계열사가 핵심</t>
        </is>
      </c>
      <c r="I122" s="28" t="inlineStr">
        <is>
          <t>보기</t>
        </is>
      </c>
      <c r="J122" s="28">
        <f>HYPERLINK("https://stock.pstatic.net/stock-research/company/61/20260714_company_200940000.pdf","PDF")</f>
        <v/>
      </c>
      <c r="K122" s="15" t="inlineStr">
        <is>
          <t>94130</t>
        </is>
      </c>
      <c r="L122" s="29" t="n">
        <v>0.1656441717791411</v>
      </c>
    </row>
    <row r="123">
      <c r="A123" s="15" t="inlineStr">
        <is>
          <t>2026-07-14</t>
        </is>
      </c>
      <c r="B123" s="15" t="inlineStr">
        <is>
          <t>112290</t>
        </is>
      </c>
      <c r="C123" s="36" t="inlineStr">
        <is>
          <t>와이씨켐</t>
        </is>
      </c>
      <c r="D123" s="36" t="inlineStr">
        <is>
          <t>키움증권</t>
        </is>
      </c>
      <c r="E123" s="15" t="inlineStr">
        <is>
          <t>없음</t>
        </is>
      </c>
      <c r="F123" s="36" t="n"/>
      <c r="G123" s="37" t="n">
        <v>9720</v>
      </c>
      <c r="H123" s="36" t="inlineStr">
        <is>
          <t>턴어라운드를 넘어</t>
        </is>
      </c>
      <c r="I123" s="28" t="inlineStr">
        <is>
          <t>보기</t>
        </is>
      </c>
      <c r="J123" s="28">
        <f>HYPERLINK("https://stock.pstatic.net/stock-research/company/39/20260714_company_438187000.pdf","PDF")</f>
        <v/>
      </c>
      <c r="K123" s="15" t="inlineStr">
        <is>
          <t>94129</t>
        </is>
      </c>
      <c r="L123" s="15" t="n"/>
    </row>
    <row r="124">
      <c r="A124" s="15" t="inlineStr">
        <is>
          <t>2026-07-14</t>
        </is>
      </c>
      <c r="B124" s="15" t="inlineStr">
        <is>
          <t>462870</t>
        </is>
      </c>
      <c r="C124" s="36" t="inlineStr">
        <is>
          <t>시프트업</t>
        </is>
      </c>
      <c r="D124" s="36" t="inlineStr">
        <is>
          <t>키움증권</t>
        </is>
      </c>
      <c r="E124" s="15" t="inlineStr">
        <is>
          <t>Buy</t>
        </is>
      </c>
      <c r="F124" s="37" t="n">
        <v>65000</v>
      </c>
      <c r="G124" s="37" t="n">
        <v>34150</v>
      </c>
      <c r="H124" s="36" t="inlineStr">
        <is>
          <t>신작 공개를 통한 레벨업</t>
        </is>
      </c>
      <c r="I124" s="28" t="inlineStr">
        <is>
          <t>보기</t>
        </is>
      </c>
      <c r="J124" s="28">
        <f>HYPERLINK("https://stock.pstatic.net/stock-research/company/39/20260714_company_635786000.pdf","PDF")</f>
        <v/>
      </c>
      <c r="K124" s="15" t="inlineStr">
        <is>
          <t>94128</t>
        </is>
      </c>
      <c r="L124" s="29" t="n">
        <v>0.9033674963396779</v>
      </c>
    </row>
    <row r="125">
      <c r="A125" s="15" t="inlineStr">
        <is>
          <t>2026-07-14</t>
        </is>
      </c>
      <c r="B125" s="15" t="inlineStr">
        <is>
          <t>012330</t>
        </is>
      </c>
      <c r="C125" s="36" t="inlineStr">
        <is>
          <t>현대모비스</t>
        </is>
      </c>
      <c r="D125" s="36" t="inlineStr">
        <is>
          <t>키움증권</t>
        </is>
      </c>
      <c r="E125" s="15" t="inlineStr">
        <is>
          <t>Buy</t>
        </is>
      </c>
      <c r="F125" s="37" t="n">
        <v>700000</v>
      </c>
      <c r="G125" s="37" t="n">
        <v>487500</v>
      </c>
      <c r="H125" s="36" t="inlineStr">
        <is>
          <t>2분기는 기대 이상, 하반기는 리스크 확대 우려</t>
        </is>
      </c>
      <c r="I125" s="28" t="inlineStr">
        <is>
          <t>보기</t>
        </is>
      </c>
      <c r="J125" s="28">
        <f>HYPERLINK("https://stock.pstatic.net/stock-research/company/39/20260714_company_800769000.pdf","PDF")</f>
        <v/>
      </c>
      <c r="K125" s="15" t="inlineStr">
        <is>
          <t>94127</t>
        </is>
      </c>
      <c r="L125" s="29" t="n">
        <v>0.4358974358974359</v>
      </c>
    </row>
    <row r="126">
      <c r="A126" s="15" t="inlineStr">
        <is>
          <t>2026-07-14</t>
        </is>
      </c>
      <c r="B126" s="15" t="inlineStr">
        <is>
          <t>069080</t>
        </is>
      </c>
      <c r="C126" s="36" t="inlineStr">
        <is>
          <t>웹젠</t>
        </is>
      </c>
      <c r="D126" s="36" t="inlineStr">
        <is>
          <t>한국IR협의회</t>
        </is>
      </c>
      <c r="E126" s="15" t="inlineStr">
        <is>
          <t>없음</t>
        </is>
      </c>
      <c r="F126" s="36" t="n"/>
      <c r="G126" s="36" t="n"/>
      <c r="H126" s="36" t="inlineStr">
        <is>
          <t>주주환원에 진심인 게임사</t>
        </is>
      </c>
      <c r="I126" s="28" t="inlineStr">
        <is>
          <t>보기</t>
        </is>
      </c>
      <c r="J126" s="28">
        <f>HYPERLINK("https://stock.pstatic.net/stock-research/company/74/20260714_company_881198000.pdf","PDF")</f>
        <v/>
      </c>
      <c r="K126" s="15" t="inlineStr">
        <is>
          <t>94126</t>
        </is>
      </c>
      <c r="L126" s="15" t="n"/>
    </row>
    <row r="127">
      <c r="A127" s="15" t="inlineStr">
        <is>
          <t>2026-07-14</t>
        </is>
      </c>
      <c r="B127" s="15" t="inlineStr">
        <is>
          <t>012330</t>
        </is>
      </c>
      <c r="C127" s="36" t="inlineStr">
        <is>
          <t>현대모비스</t>
        </is>
      </c>
      <c r="D127" s="36" t="inlineStr">
        <is>
          <t>미래에셋증권</t>
        </is>
      </c>
      <c r="E127" s="15" t="inlineStr">
        <is>
          <t>매수</t>
        </is>
      </c>
      <c r="F127" s="37" t="n">
        <v>920000</v>
      </c>
      <c r="G127" s="37" t="n">
        <v>488000</v>
      </c>
      <c r="H127" s="36" t="inlineStr">
        <is>
          <t>2Q26 프리뷰: 호실적 이후에는 다시 로봇</t>
        </is>
      </c>
      <c r="I127" s="28" t="inlineStr">
        <is>
          <t>보기</t>
        </is>
      </c>
      <c r="J127" s="28">
        <f>HYPERLINK("https://stock.pstatic.net/stock-research/company/56/20260714_company_159102000.pdf","PDF")</f>
        <v/>
      </c>
      <c r="K127" s="15" t="inlineStr">
        <is>
          <t>94125</t>
        </is>
      </c>
      <c r="L127" s="29" t="n">
        <v>0.8852459016393442</v>
      </c>
    </row>
    <row r="128">
      <c r="A128" s="15" t="inlineStr">
        <is>
          <t>2026-07-14</t>
        </is>
      </c>
      <c r="B128" s="15" t="inlineStr">
        <is>
          <t>000270</t>
        </is>
      </c>
      <c r="C128" s="36" t="inlineStr">
        <is>
          <t>기아</t>
        </is>
      </c>
      <c r="D128" s="36" t="inlineStr">
        <is>
          <t>미래에셋증권</t>
        </is>
      </c>
      <c r="E128" s="15" t="inlineStr">
        <is>
          <t>매수</t>
        </is>
      </c>
      <c r="F128" s="37" t="n">
        <v>240000</v>
      </c>
      <c r="G128" s="37" t="n">
        <v>147500</v>
      </c>
      <c r="H128" s="36" t="inlineStr">
        <is>
          <t>2Q26 프리뷰: 양호한 실적, 뛰어난 xEV 경쟁력</t>
        </is>
      </c>
      <c r="I128" s="28" t="inlineStr">
        <is>
          <t>보기</t>
        </is>
      </c>
      <c r="J128" s="28">
        <f>HYPERLINK("https://stock.pstatic.net/stock-research/company/56/20260714_company_32193000.pdf","PDF")</f>
        <v/>
      </c>
      <c r="K128" s="15" t="inlineStr">
        <is>
          <t>94124</t>
        </is>
      </c>
      <c r="L128" s="29" t="n">
        <v>0.6271186440677966</v>
      </c>
    </row>
    <row r="129">
      <c r="A129" s="15" t="inlineStr">
        <is>
          <t>2026-07-13</t>
        </is>
      </c>
      <c r="B129" s="15" t="inlineStr">
        <is>
          <t>035760</t>
        </is>
      </c>
      <c r="C129" s="36" t="inlineStr">
        <is>
          <t>CJ ENM</t>
        </is>
      </c>
      <c r="D129" s="36" t="inlineStr">
        <is>
          <t>한화투자증권</t>
        </is>
      </c>
      <c r="E129" s="15" t="inlineStr">
        <is>
          <t>Buy</t>
        </is>
      </c>
      <c r="F129" s="37" t="n">
        <v>60000</v>
      </c>
      <c r="G129" s="37" t="n">
        <v>34050</v>
      </c>
      <c r="H129" s="36" t="inlineStr">
        <is>
          <t>티빙 손익 개선세 긍정적이지만 분기 이익 안정성 기대</t>
        </is>
      </c>
      <c r="I129" s="28" t="inlineStr">
        <is>
          <t>보기</t>
        </is>
      </c>
      <c r="J129" s="28">
        <f>HYPERLINK("https://stock.pstatic.net/stock-research/company/16/20260713_company_811164000.pdf","PDF")</f>
        <v/>
      </c>
      <c r="K129" s="15" t="inlineStr">
        <is>
          <t>94123</t>
        </is>
      </c>
      <c r="L129" s="29" t="n">
        <v>0.762114537444934</v>
      </c>
    </row>
    <row r="130">
      <c r="A130" s="15" t="inlineStr">
        <is>
          <t>2026-07-13</t>
        </is>
      </c>
      <c r="B130" s="15" t="inlineStr">
        <is>
          <t>195940</t>
        </is>
      </c>
      <c r="C130" s="36" t="inlineStr">
        <is>
          <t>HK이노엔</t>
        </is>
      </c>
      <c r="D130" s="36" t="inlineStr">
        <is>
          <t>DS투자증권</t>
        </is>
      </c>
      <c r="E130" s="15" t="inlineStr">
        <is>
          <t>매수</t>
        </is>
      </c>
      <c r="F130" s="37" t="n">
        <v>61000</v>
      </c>
      <c r="G130" s="37" t="n">
        <v>40800</v>
      </c>
      <c r="H130" s="36" t="inlineStr">
        <is>
          <t>2Q26 Pre: 해외 모멘텀 가시화 기대</t>
        </is>
      </c>
      <c r="I130" s="28" t="inlineStr">
        <is>
          <t>보기</t>
        </is>
      </c>
      <c r="J130" s="28">
        <f>HYPERLINK("https://stock.pstatic.net/stock-research/company/66/20260713_company_264904000.pdf","PDF")</f>
        <v/>
      </c>
      <c r="K130" s="15" t="inlineStr">
        <is>
          <t>94122</t>
        </is>
      </c>
      <c r="L130" s="29" t="n">
        <v>0.4950980392156863</v>
      </c>
    </row>
    <row r="131">
      <c r="A131" s="15" t="inlineStr">
        <is>
          <t>2026-07-13</t>
        </is>
      </c>
      <c r="B131" s="15" t="inlineStr">
        <is>
          <t>128940</t>
        </is>
      </c>
      <c r="C131" s="36" t="inlineStr">
        <is>
          <t>한미약품</t>
        </is>
      </c>
      <c r="D131" s="36" t="inlineStr">
        <is>
          <t>교보증권</t>
        </is>
      </c>
      <c r="E131" s="15" t="inlineStr">
        <is>
          <t>Buy</t>
        </is>
      </c>
      <c r="F131" s="37" t="n">
        <v>700000</v>
      </c>
      <c r="G131" s="37" t="n">
        <v>389000</v>
      </c>
      <c r="H131" s="36" t="inlineStr">
        <is>
          <t>2Q26 Preveiw; 소네페글루타이드 계약금으로 컨센 상회</t>
        </is>
      </c>
      <c r="I131" s="28" t="inlineStr">
        <is>
          <t>보기</t>
        </is>
      </c>
      <c r="J131" s="28">
        <f>HYPERLINK("https://stock.pstatic.net/stock-research/company/62/20260713_company_382017000.pdf","PDF")</f>
        <v/>
      </c>
      <c r="K131" s="15" t="inlineStr">
        <is>
          <t>94121</t>
        </is>
      </c>
      <c r="L131" s="29" t="n">
        <v>0.7994858611825193</v>
      </c>
    </row>
    <row r="132">
      <c r="A132" s="15" t="inlineStr">
        <is>
          <t>2026-07-13</t>
        </is>
      </c>
      <c r="B132" s="15" t="inlineStr">
        <is>
          <t>004370</t>
        </is>
      </c>
      <c r="C132" s="36" t="inlineStr">
        <is>
          <t>농심</t>
        </is>
      </c>
      <c r="D132" s="36" t="inlineStr">
        <is>
          <t>교보증권</t>
        </is>
      </c>
      <c r="E132" s="15" t="inlineStr">
        <is>
          <t>Buy</t>
        </is>
      </c>
      <c r="F132" s="37" t="n">
        <v>570000</v>
      </c>
      <c r="G132" s="37" t="n">
        <v>356000</v>
      </c>
      <c r="H132" s="36" t="inlineStr">
        <is>
          <t>예상 대비 선방 중</t>
        </is>
      </c>
      <c r="I132" s="28" t="inlineStr">
        <is>
          <t>보기</t>
        </is>
      </c>
      <c r="J132" s="28">
        <f>HYPERLINK("https://stock.pstatic.net/stock-research/company/62/20260713_company_773611000.pdf","PDF")</f>
        <v/>
      </c>
      <c r="K132" s="15" t="inlineStr">
        <is>
          <t>94120</t>
        </is>
      </c>
      <c r="L132" s="29" t="n">
        <v>0.601123595505618</v>
      </c>
    </row>
    <row r="133">
      <c r="A133" s="15" t="inlineStr">
        <is>
          <t>2026-07-13</t>
        </is>
      </c>
      <c r="B133" s="15" t="inlineStr">
        <is>
          <t>010060</t>
        </is>
      </c>
      <c r="C133" s="36" t="inlineStr">
        <is>
          <t>OCI홀딩스</t>
        </is>
      </c>
      <c r="D133" s="36" t="inlineStr">
        <is>
          <t>하나증권</t>
        </is>
      </c>
      <c r="E133" s="15" t="inlineStr">
        <is>
          <t>Buy</t>
        </is>
      </c>
      <c r="F133" s="37" t="n">
        <v>550000</v>
      </c>
      <c r="G133" s="37" t="n">
        <v>197800</v>
      </c>
      <c r="H133" s="36" t="inlineStr">
        <is>
          <t>판가 상향과 중장기 성장 방향성 명확. 저가 매수 기회</t>
        </is>
      </c>
      <c r="I133" s="28" t="inlineStr">
        <is>
          <t>보기</t>
        </is>
      </c>
      <c r="J133" s="28">
        <f>HYPERLINK("https://stock.pstatic.net/stock-research/company/57/20260713_company_521116000.pdf","PDF")</f>
        <v/>
      </c>
      <c r="K133" s="15" t="inlineStr">
        <is>
          <t>94119</t>
        </is>
      </c>
      <c r="L133" s="29" t="n">
        <v>1.780586450960566</v>
      </c>
    </row>
    <row r="134">
      <c r="A134" s="15" t="inlineStr">
        <is>
          <t>2026-07-13</t>
        </is>
      </c>
      <c r="B134" s="15" t="inlineStr">
        <is>
          <t>237690</t>
        </is>
      </c>
      <c r="C134" s="36" t="inlineStr">
        <is>
          <t>에스티팜</t>
        </is>
      </c>
      <c r="D134" s="36" t="inlineStr">
        <is>
          <t>하나증권</t>
        </is>
      </c>
      <c r="E134" s="15" t="inlineStr">
        <is>
          <t>Buy</t>
        </is>
      </c>
      <c r="F134" s="37" t="n">
        <v>210000</v>
      </c>
      <c r="G134" s="37" t="n">
        <v>123600</v>
      </c>
      <c r="H134" s="36" t="inlineStr">
        <is>
          <t>기대를 넘어 쭉쭉 올라가는 실적 (2Q26 Pre)</t>
        </is>
      </c>
      <c r="I134" s="28" t="inlineStr">
        <is>
          <t>보기</t>
        </is>
      </c>
      <c r="J134" s="28">
        <f>HYPERLINK("https://stock.pstatic.net/stock-research/company/57/20260713_company_506574000.pdf","PDF")</f>
        <v/>
      </c>
      <c r="K134" s="15" t="inlineStr">
        <is>
          <t>94118</t>
        </is>
      </c>
      <c r="L134" s="29" t="n">
        <v>0.6990291262135923</v>
      </c>
    </row>
    <row r="135">
      <c r="A135" s="15" t="inlineStr">
        <is>
          <t>2026-07-13</t>
        </is>
      </c>
      <c r="B135" s="15" t="inlineStr">
        <is>
          <t>139130</t>
        </is>
      </c>
      <c r="C135" s="36" t="inlineStr">
        <is>
          <t>iM금융지주</t>
        </is>
      </c>
      <c r="D135" s="36" t="inlineStr">
        <is>
          <t>하나증권</t>
        </is>
      </c>
      <c r="E135" s="15" t="inlineStr">
        <is>
          <t>Buy</t>
        </is>
      </c>
      <c r="F135" s="37" t="n">
        <v>24500</v>
      </c>
      <c r="G135" s="37" t="n">
        <v>17850</v>
      </c>
      <c r="H135" s="36" t="inlineStr">
        <is>
          <t>아쉬울 2분기 실적. 자사주 확대와 외국인 수급은 긍정적</t>
        </is>
      </c>
      <c r="I135" s="28" t="inlineStr">
        <is>
          <t>보기</t>
        </is>
      </c>
      <c r="J135" s="28">
        <f>HYPERLINK("https://stock.pstatic.net/stock-research/company/57/20260713_company_575187000.pdf","PDF")</f>
        <v/>
      </c>
      <c r="K135" s="15" t="inlineStr">
        <is>
          <t>94117</t>
        </is>
      </c>
      <c r="L135" s="29" t="n">
        <v>0.3725490196078431</v>
      </c>
    </row>
    <row r="136">
      <c r="A136" s="15" t="inlineStr">
        <is>
          <t>2026-07-13</t>
        </is>
      </c>
      <c r="B136" s="15" t="inlineStr">
        <is>
          <t>061090</t>
        </is>
      </c>
      <c r="C136" s="36" t="inlineStr">
        <is>
          <t>세나테크놀로지</t>
        </is>
      </c>
      <c r="D136" s="36" t="inlineStr">
        <is>
          <t>하나증권</t>
        </is>
      </c>
      <c r="E136" s="15" t="inlineStr">
        <is>
          <t>Buy</t>
        </is>
      </c>
      <c r="F136" s="37" t="n">
        <v>80000</v>
      </c>
      <c r="G136" s="37" t="n">
        <v>45550</v>
      </c>
      <c r="H136" s="36" t="inlineStr">
        <is>
          <t>피지컬 AI 정책 덕분에 하반기 주가 전망은 밝습니다</t>
        </is>
      </c>
      <c r="I136" s="28" t="inlineStr">
        <is>
          <t>보기</t>
        </is>
      </c>
      <c r="J136" s="28">
        <f>HYPERLINK("https://stock.pstatic.net/stock-research/company/57/20260713_company_131336000.pdf","PDF")</f>
        <v/>
      </c>
      <c r="K136" s="15" t="inlineStr">
        <is>
          <t>94116</t>
        </is>
      </c>
      <c r="L136" s="29" t="n">
        <v>0.7563117453347969</v>
      </c>
    </row>
    <row r="137">
      <c r="A137" s="15" t="inlineStr">
        <is>
          <t>2026-07-13</t>
        </is>
      </c>
      <c r="B137" s="15" t="inlineStr">
        <is>
          <t>356860</t>
        </is>
      </c>
      <c r="C137" s="36" t="inlineStr">
        <is>
          <t>티엘비</t>
        </is>
      </c>
      <c r="D137" s="36" t="inlineStr">
        <is>
          <t>키움증권</t>
        </is>
      </c>
      <c r="E137" s="15" t="inlineStr">
        <is>
          <t>Buy</t>
        </is>
      </c>
      <c r="F137" s="37" t="n">
        <v>120000</v>
      </c>
      <c r="G137" s="37" t="n">
        <v>75200</v>
      </c>
      <c r="H137" s="36" t="inlineStr">
        <is>
          <t>SoCAMM의 축복이 끝이 없다. 추정치 추가 상향</t>
        </is>
      </c>
      <c r="I137" s="28" t="inlineStr">
        <is>
          <t>보기</t>
        </is>
      </c>
      <c r="J137" s="28">
        <f>HYPERLINK("https://stock.pstatic.net/stock-research/company/39/20260713_company_833073000.pdf","PDF")</f>
        <v/>
      </c>
      <c r="K137" s="15" t="inlineStr">
        <is>
          <t>94115</t>
        </is>
      </c>
      <c r="L137" s="29" t="n">
        <v>0.5957446808510638</v>
      </c>
    </row>
    <row r="138">
      <c r="A138" s="15" t="inlineStr">
        <is>
          <t>2026-07-13</t>
        </is>
      </c>
      <c r="B138" s="15" t="inlineStr">
        <is>
          <t>086790</t>
        </is>
      </c>
      <c r="C138" s="36" t="inlineStr">
        <is>
          <t>하나금융지주</t>
        </is>
      </c>
      <c r="D138" s="36" t="inlineStr">
        <is>
          <t>유안타증권</t>
        </is>
      </c>
      <c r="E138" s="15" t="inlineStr">
        <is>
          <t>Buy</t>
        </is>
      </c>
      <c r="F138" s="37" t="n">
        <v>170000</v>
      </c>
      <c r="G138" s="37" t="n">
        <v>128500</v>
      </c>
      <c r="H138" s="36" t="inlineStr">
        <is>
          <t>충당금 우려 크지 않다</t>
        </is>
      </c>
      <c r="I138" s="28" t="inlineStr">
        <is>
          <t>보기</t>
        </is>
      </c>
      <c r="J138" s="28">
        <f>HYPERLINK("https://stock.pstatic.net/stock-research/company/18/20260713_company_96508000.pdf","PDF")</f>
        <v/>
      </c>
      <c r="K138" s="15" t="inlineStr">
        <is>
          <t>94114</t>
        </is>
      </c>
      <c r="L138" s="29" t="n">
        <v>0.3229571984435798</v>
      </c>
    </row>
    <row r="139">
      <c r="A139" s="15" t="inlineStr">
        <is>
          <t>2026-07-13</t>
        </is>
      </c>
      <c r="B139" s="15" t="inlineStr">
        <is>
          <t>138930</t>
        </is>
      </c>
      <c r="C139" s="36" t="inlineStr">
        <is>
          <t>BNK금융지주</t>
        </is>
      </c>
      <c r="D139" s="36" t="inlineStr">
        <is>
          <t>유안타증권</t>
        </is>
      </c>
      <c r="E139" s="15" t="inlineStr">
        <is>
          <t>Buy</t>
        </is>
      </c>
      <c r="F139" s="37" t="n">
        <v>24500</v>
      </c>
      <c r="G139" s="37" t="n">
        <v>17850</v>
      </c>
      <c r="H139" s="36" t="inlineStr">
        <is>
          <t>3분기에는 좋아진다</t>
        </is>
      </c>
      <c r="I139" s="28" t="inlineStr">
        <is>
          <t>보기</t>
        </is>
      </c>
      <c r="J139" s="28">
        <f>HYPERLINK("https://stock.pstatic.net/stock-research/company/18/20260713_company_350155000.pdf","PDF")</f>
        <v/>
      </c>
      <c r="K139" s="15" t="inlineStr">
        <is>
          <t>94113</t>
        </is>
      </c>
      <c r="L139" s="29" t="n">
        <v>0.3725490196078431</v>
      </c>
    </row>
    <row r="140">
      <c r="A140" s="15" t="inlineStr">
        <is>
          <t>2026-07-13</t>
        </is>
      </c>
      <c r="B140" s="15" t="inlineStr">
        <is>
          <t>055550</t>
        </is>
      </c>
      <c r="C140" s="36" t="inlineStr">
        <is>
          <t>신한지주</t>
        </is>
      </c>
      <c r="D140" s="36" t="inlineStr">
        <is>
          <t>유안타증권</t>
        </is>
      </c>
      <c r="E140" s="15" t="inlineStr">
        <is>
          <t>Buy</t>
        </is>
      </c>
      <c r="F140" s="37" t="n">
        <v>129000</v>
      </c>
      <c r="G140" s="37" t="n">
        <v>109200</v>
      </c>
      <c r="H140" s="36" t="inlineStr">
        <is>
          <t>실적과 주주환원 모두 양호</t>
        </is>
      </c>
      <c r="I140" s="28" t="inlineStr">
        <is>
          <t>보기</t>
        </is>
      </c>
      <c r="J140" s="28">
        <f>HYPERLINK("https://stock.pstatic.net/stock-research/company/18/20260713_company_139519000.pdf","PDF")</f>
        <v/>
      </c>
      <c r="K140" s="15" t="inlineStr">
        <is>
          <t>94112</t>
        </is>
      </c>
      <c r="L140" s="29" t="n">
        <v>0.1813186813186813</v>
      </c>
    </row>
    <row r="141">
      <c r="A141" s="15" t="inlineStr">
        <is>
          <t>2026-07-13</t>
        </is>
      </c>
      <c r="B141" s="15" t="inlineStr">
        <is>
          <t>443060</t>
        </is>
      </c>
      <c r="C141" s="36" t="inlineStr">
        <is>
          <t>HD현대마린솔루션</t>
        </is>
      </c>
      <c r="D141" s="36" t="inlineStr">
        <is>
          <t>유안타증권</t>
        </is>
      </c>
      <c r="E141" s="15" t="inlineStr">
        <is>
          <t>Buy</t>
        </is>
      </c>
      <c r="F141" s="37" t="n">
        <v>412000</v>
      </c>
      <c r="G141" s="37" t="n">
        <v>197200</v>
      </c>
      <c r="H141" s="36" t="inlineStr">
        <is>
          <t>2Q226 Pre: 보다 중요한 하반기 DC향 수주</t>
        </is>
      </c>
      <c r="I141" s="28" t="inlineStr">
        <is>
          <t>보기</t>
        </is>
      </c>
      <c r="J141" s="28">
        <f>HYPERLINK("https://stock.pstatic.net/stock-research/company/18/20260713_company_587801000.pdf","PDF")</f>
        <v/>
      </c>
      <c r="K141" s="15" t="inlineStr">
        <is>
          <t>94111</t>
        </is>
      </c>
      <c r="L141" s="29" t="n">
        <v>1.089249492900608</v>
      </c>
    </row>
    <row r="142">
      <c r="A142" s="15" t="inlineStr">
        <is>
          <t>2026-07-13</t>
        </is>
      </c>
      <c r="B142" s="15" t="inlineStr">
        <is>
          <t>010140</t>
        </is>
      </c>
      <c r="C142" s="36" t="inlineStr">
        <is>
          <t>삼성중공업</t>
        </is>
      </c>
      <c r="D142" s="36" t="inlineStr">
        <is>
          <t>유안타증권</t>
        </is>
      </c>
      <c r="E142" s="15" t="inlineStr">
        <is>
          <t>Buy</t>
        </is>
      </c>
      <c r="F142" s="37" t="n">
        <v>38000</v>
      </c>
      <c r="G142" s="37" t="n">
        <v>22350</v>
      </c>
      <c r="H142" s="36" t="inlineStr">
        <is>
          <t>2Q26 Pre: 보다 중요한 하반기 FDC</t>
        </is>
      </c>
      <c r="I142" s="28" t="inlineStr">
        <is>
          <t>보기</t>
        </is>
      </c>
      <c r="J142" s="28">
        <f>HYPERLINK("https://stock.pstatic.net/stock-research/company/18/20260713_company_355854000.pdf","PDF")</f>
        <v/>
      </c>
      <c r="K142" s="15" t="inlineStr">
        <is>
          <t>94110</t>
        </is>
      </c>
      <c r="L142" s="29" t="n">
        <v>0.7002237136465325</v>
      </c>
    </row>
    <row r="143">
      <c r="A143" s="15" t="inlineStr">
        <is>
          <t>2026-07-13</t>
        </is>
      </c>
      <c r="B143" s="15" t="inlineStr">
        <is>
          <t>061090</t>
        </is>
      </c>
      <c r="C143" s="36" t="inlineStr">
        <is>
          <t>세나테크놀로지</t>
        </is>
      </c>
      <c r="D143" s="36" t="inlineStr">
        <is>
          <t>유안타증권</t>
        </is>
      </c>
      <c r="E143" s="15" t="inlineStr">
        <is>
          <t>없음</t>
        </is>
      </c>
      <c r="F143" s="36" t="n"/>
      <c r="G143" s="37" t="n">
        <v>45550</v>
      </c>
      <c r="H143" s="36" t="inlineStr">
        <is>
          <t>세나테크놀로지의 실적은 쎄다</t>
        </is>
      </c>
      <c r="I143" s="28" t="inlineStr">
        <is>
          <t>보기</t>
        </is>
      </c>
      <c r="J143" s="28">
        <f>HYPERLINK("https://stock.pstatic.net/stock-research/company/18/20260713_company_575169000.pdf","PDF")</f>
        <v/>
      </c>
      <c r="K143" s="15" t="inlineStr">
        <is>
          <t>94109</t>
        </is>
      </c>
      <c r="L143" s="15" t="n"/>
    </row>
    <row r="144">
      <c r="A144" s="15" t="inlineStr">
        <is>
          <t>2026-07-13</t>
        </is>
      </c>
      <c r="B144" s="15" t="inlineStr">
        <is>
          <t>047040</t>
        </is>
      </c>
      <c r="C144" s="36" t="inlineStr">
        <is>
          <t>대우건설</t>
        </is>
      </c>
      <c r="D144" s="36" t="inlineStr">
        <is>
          <t>미래에셋증권</t>
        </is>
      </c>
      <c r="E144" s="15" t="inlineStr">
        <is>
          <t>매수</t>
        </is>
      </c>
      <c r="F144" s="37" t="n">
        <v>24000</v>
      </c>
      <c r="G144" s="37" t="n">
        <v>17450</v>
      </c>
      <c r="H144" s="36" t="inlineStr">
        <is>
          <t>실적, 모멘텀 반등 기대. 투자의견 '매수' 상향</t>
        </is>
      </c>
      <c r="I144" s="28" t="inlineStr">
        <is>
          <t>보기</t>
        </is>
      </c>
      <c r="J144" s="28">
        <f>HYPERLINK("https://stock.pstatic.net/stock-research/company/56/20260713_company_510383000.pdf","PDF")</f>
        <v/>
      </c>
      <c r="K144" s="15" t="inlineStr">
        <is>
          <t>94108</t>
        </is>
      </c>
      <c r="L144" s="29" t="n">
        <v>0.3753581661891118</v>
      </c>
    </row>
    <row r="145">
      <c r="A145" s="15" t="inlineStr">
        <is>
          <t>2026-07-13</t>
        </is>
      </c>
      <c r="B145" s="15" t="inlineStr">
        <is>
          <t>005490</t>
        </is>
      </c>
      <c r="C145" s="36" t="inlineStr">
        <is>
          <t>POSCO홀딩스</t>
        </is>
      </c>
      <c r="D145" s="36" t="inlineStr">
        <is>
          <t>미래에셋증권</t>
        </is>
      </c>
      <c r="E145" s="15" t="inlineStr">
        <is>
          <t>Buy</t>
        </is>
      </c>
      <c r="F145" s="37" t="n">
        <v>470000</v>
      </c>
      <c r="G145" s="37" t="n">
        <v>313500</v>
      </c>
      <c r="H145" s="36" t="inlineStr">
        <is>
          <t>실적 개선에 따른 저평가 해소 기대</t>
        </is>
      </c>
      <c r="I145" s="28" t="inlineStr">
        <is>
          <t>보기</t>
        </is>
      </c>
      <c r="J145" s="28">
        <f>HYPERLINK("https://stock.pstatic.net/stock-research/company/56/20260713_company_753862000.pdf","PDF")</f>
        <v/>
      </c>
      <c r="K145" s="15" t="inlineStr">
        <is>
          <t>94107</t>
        </is>
      </c>
      <c r="L145" s="29" t="n">
        <v>0.4992025518341308</v>
      </c>
    </row>
    <row r="146">
      <c r="A146" s="15" t="inlineStr">
        <is>
          <t>2026-07-13</t>
        </is>
      </c>
      <c r="B146" s="15" t="inlineStr">
        <is>
          <t>383220</t>
        </is>
      </c>
      <c r="C146" s="36" t="inlineStr">
        <is>
          <t>F&amp;F</t>
        </is>
      </c>
      <c r="D146" s="36" t="inlineStr">
        <is>
          <t>대신증권</t>
        </is>
      </c>
      <c r="E146" s="15" t="inlineStr">
        <is>
          <t>Buy</t>
        </is>
      </c>
      <c r="F146" s="37" t="n">
        <v>100000</v>
      </c>
      <c r="G146" s="37" t="n">
        <v>78500</v>
      </c>
      <c r="H146" s="36" t="inlineStr">
        <is>
          <t>내수 양호, 중국은 환율 효과로 성장</t>
        </is>
      </c>
      <c r="I146" s="28" t="inlineStr">
        <is>
          <t>보기</t>
        </is>
      </c>
      <c r="J146" s="28">
        <f>HYPERLINK("https://stock.pstatic.net/stock-research/company/15/20260713_company_732076000.pdf","PDF")</f>
        <v/>
      </c>
      <c r="K146" s="15" t="inlineStr">
        <is>
          <t>94106</t>
        </is>
      </c>
      <c r="L146" s="29" t="n">
        <v>0.2738853503184713</v>
      </c>
    </row>
    <row r="147">
      <c r="A147" s="15" t="inlineStr">
        <is>
          <t>2026-07-13</t>
        </is>
      </c>
      <c r="B147" s="15" t="inlineStr">
        <is>
          <t>032640</t>
        </is>
      </c>
      <c r="C147" s="36" t="inlineStr">
        <is>
          <t>LG유플러스</t>
        </is>
      </c>
      <c r="D147" s="36" t="inlineStr">
        <is>
          <t>대신증권</t>
        </is>
      </c>
      <c r="E147" s="15" t="inlineStr">
        <is>
          <t>Buy</t>
        </is>
      </c>
      <c r="F147" s="37" t="n">
        <v>20000</v>
      </c>
      <c r="G147" s="37" t="n">
        <v>14960</v>
      </c>
      <c r="H147" s="36" t="inlineStr">
        <is>
          <t>무선에 강점. DC는 다크호스</t>
        </is>
      </c>
      <c r="I147" s="28" t="inlineStr">
        <is>
          <t>보기</t>
        </is>
      </c>
      <c r="J147" s="28">
        <f>HYPERLINK("https://stock.pstatic.net/stock-research/company/15/20260713_company_158639000.pdf","PDF")</f>
        <v/>
      </c>
      <c r="K147" s="15" t="inlineStr">
        <is>
          <t>94105</t>
        </is>
      </c>
      <c r="L147" s="29" t="n">
        <v>0.3368983957219251</v>
      </c>
    </row>
    <row r="148">
      <c r="A148" s="15" t="inlineStr">
        <is>
          <t>2026-07-13</t>
        </is>
      </c>
      <c r="B148" s="15" t="inlineStr">
        <is>
          <t>017670</t>
        </is>
      </c>
      <c r="C148" s="36" t="inlineStr">
        <is>
          <t>SK텔레콤</t>
        </is>
      </c>
      <c r="D148" s="36" t="inlineStr">
        <is>
          <t>대신증권</t>
        </is>
      </c>
      <c r="E148" s="15" t="inlineStr">
        <is>
          <t>Buy</t>
        </is>
      </c>
      <c r="F148" s="37" t="n">
        <v>110000</v>
      </c>
      <c r="G148" s="37" t="n">
        <v>88700</v>
      </c>
      <c r="H148" s="36" t="inlineStr">
        <is>
          <t>빠른 회복에 성공</t>
        </is>
      </c>
      <c r="I148" s="28" t="inlineStr">
        <is>
          <t>보기</t>
        </is>
      </c>
      <c r="J148" s="28">
        <f>HYPERLINK("https://stock.pstatic.net/stock-research/company/15/20260713_company_536448000.pdf","PDF")</f>
        <v/>
      </c>
      <c r="K148" s="15" t="inlineStr">
        <is>
          <t>94104</t>
        </is>
      </c>
      <c r="L148" s="29" t="n">
        <v>0.2401352874859076</v>
      </c>
    </row>
    <row r="149">
      <c r="A149" s="15" t="inlineStr">
        <is>
          <t>2026-07-13</t>
        </is>
      </c>
      <c r="B149" s="15" t="inlineStr">
        <is>
          <t>402340</t>
        </is>
      </c>
      <c r="C149" s="36" t="inlineStr">
        <is>
          <t>SK스퀘어</t>
        </is>
      </c>
      <c r="D149" s="36" t="inlineStr">
        <is>
          <t>대신증권</t>
        </is>
      </c>
      <c r="E149" s="15" t="inlineStr">
        <is>
          <t>Buy</t>
        </is>
      </c>
      <c r="F149" s="37" t="n">
        <v>2100000</v>
      </c>
      <c r="G149" s="37" t="n">
        <v>1409000</v>
      </c>
      <c r="H149" s="36" t="inlineStr">
        <is>
          <t>프리미엄 확인하면 늦어!</t>
        </is>
      </c>
      <c r="I149" s="28" t="inlineStr">
        <is>
          <t>보기</t>
        </is>
      </c>
      <c r="J149" s="28">
        <f>HYPERLINK("https://stock.pstatic.net/stock-research/company/15/20260713_company_570717000.pdf","PDF")</f>
        <v/>
      </c>
      <c r="K149" s="15" t="inlineStr">
        <is>
          <t>94103</t>
        </is>
      </c>
      <c r="L149" s="29" t="n">
        <v>0.4904187366926899</v>
      </c>
    </row>
    <row r="150">
      <c r="A150" s="15" t="inlineStr">
        <is>
          <t>2026-07-13</t>
        </is>
      </c>
      <c r="B150" s="15" t="inlineStr">
        <is>
          <t>192820</t>
        </is>
      </c>
      <c r="C150" s="36" t="inlineStr">
        <is>
          <t>코스맥스</t>
        </is>
      </c>
      <c r="D150" s="36" t="inlineStr">
        <is>
          <t>유진투자증권</t>
        </is>
      </c>
      <c r="E150" s="15" t="inlineStr">
        <is>
          <t>Buy</t>
        </is>
      </c>
      <c r="F150" s="37" t="n">
        <v>250000</v>
      </c>
      <c r="G150" s="37" t="n">
        <v>172700</v>
      </c>
      <c r="H150" s="36" t="inlineStr">
        <is>
          <t>2Q26 Preview: 선 성수기와 미국 흑전 기대</t>
        </is>
      </c>
      <c r="I150" s="28" t="inlineStr">
        <is>
          <t>보기</t>
        </is>
      </c>
      <c r="J150" s="28">
        <f>HYPERLINK("https://stock.pstatic.net/stock-research/company/63/20260713_company_395667000.pdf","PDF")</f>
        <v/>
      </c>
      <c r="K150" s="15" t="inlineStr">
        <is>
          <t>94102</t>
        </is>
      </c>
      <c r="L150" s="29" t="n">
        <v>0.4475969889982629</v>
      </c>
    </row>
    <row r="151">
      <c r="A151" s="15" t="inlineStr">
        <is>
          <t>2026-07-13</t>
        </is>
      </c>
      <c r="B151" s="15" t="inlineStr">
        <is>
          <t>161890</t>
        </is>
      </c>
      <c r="C151" s="36" t="inlineStr">
        <is>
          <t>한국콜마</t>
        </is>
      </c>
      <c r="D151" s="36" t="inlineStr">
        <is>
          <t>유진투자증권</t>
        </is>
      </c>
      <c r="E151" s="15" t="inlineStr">
        <is>
          <t>Buy</t>
        </is>
      </c>
      <c r="F151" s="37" t="n">
        <v>135000</v>
      </c>
      <c r="G151" s="37" t="n">
        <v>106500</v>
      </c>
      <c r="H151" s="36" t="inlineStr">
        <is>
          <t>2Q26 Preview: 사상 최대 실적 갱신 기대</t>
        </is>
      </c>
      <c r="I151" s="28" t="inlineStr">
        <is>
          <t>보기</t>
        </is>
      </c>
      <c r="J151" s="28">
        <f>HYPERLINK("https://stock.pstatic.net/stock-research/company/63/20260713_company_214416000.pdf","PDF")</f>
        <v/>
      </c>
      <c r="K151" s="15" t="inlineStr">
        <is>
          <t>94101</t>
        </is>
      </c>
      <c r="L151" s="29" t="n">
        <v>0.2676056338028169</v>
      </c>
    </row>
    <row r="152">
      <c r="A152" s="15" t="inlineStr">
        <is>
          <t>2026-07-13</t>
        </is>
      </c>
      <c r="B152" s="15" t="inlineStr">
        <is>
          <t>095610</t>
        </is>
      </c>
      <c r="C152" s="36" t="inlineStr">
        <is>
          <t>테스</t>
        </is>
      </c>
      <c r="D152" s="36" t="inlineStr">
        <is>
          <t>SK증권</t>
        </is>
      </c>
      <c r="E152" s="15" t="inlineStr">
        <is>
          <t>매수</t>
        </is>
      </c>
      <c r="F152" s="37" t="n">
        <v>230000</v>
      </c>
      <c r="G152" s="37" t="n">
        <v>177700</v>
      </c>
      <c r="H152" s="36" t="inlineStr">
        <is>
          <t>장비 사이클의 시작은 수주 증가입니다</t>
        </is>
      </c>
      <c r="I152" s="28" t="inlineStr">
        <is>
          <t>보기</t>
        </is>
      </c>
      <c r="J152" s="28">
        <f>HYPERLINK("https://stock.pstatic.net/stock-research/company/64/20260713_company_788217000.pdf","PDF")</f>
        <v/>
      </c>
      <c r="K152" s="15" t="inlineStr">
        <is>
          <t>94100</t>
        </is>
      </c>
      <c r="L152" s="29" t="n">
        <v>0.2943162633652223</v>
      </c>
    </row>
    <row r="153">
      <c r="A153" s="15" t="inlineStr">
        <is>
          <t>2026-07-13</t>
        </is>
      </c>
      <c r="B153" s="15" t="inlineStr">
        <is>
          <t>178320</t>
        </is>
      </c>
      <c r="C153" s="36" t="inlineStr">
        <is>
          <t>서진시스템</t>
        </is>
      </c>
      <c r="D153" s="36" t="inlineStr">
        <is>
          <t>유진투자증권</t>
        </is>
      </c>
      <c r="E153" s="15" t="inlineStr">
        <is>
          <t>Buy</t>
        </is>
      </c>
      <c r="F153" s="37" t="n">
        <v>67500</v>
      </c>
      <c r="G153" s="37" t="n">
        <v>47350</v>
      </c>
      <c r="H153" s="36" t="inlineStr">
        <is>
          <t>그때 그 가격과 또 한 번의 기회</t>
        </is>
      </c>
      <c r="I153" s="28" t="inlineStr">
        <is>
          <t>보기</t>
        </is>
      </c>
      <c r="J153" s="28">
        <f>HYPERLINK("https://stock.pstatic.net/stock-research/company/63/20260713_company_828407000.pdf","PDF")</f>
        <v/>
      </c>
      <c r="K153" s="15" t="inlineStr">
        <is>
          <t>94099</t>
        </is>
      </c>
      <c r="L153" s="29" t="n">
        <v>0.4255543822597677</v>
      </c>
    </row>
    <row r="154">
      <c r="A154" s="15" t="inlineStr">
        <is>
          <t>2026-07-13</t>
        </is>
      </c>
      <c r="B154" s="15" t="inlineStr">
        <is>
          <t>240810</t>
        </is>
      </c>
      <c r="C154" s="36" t="inlineStr">
        <is>
          <t>원익IPS</t>
        </is>
      </c>
      <c r="D154" s="36" t="inlineStr">
        <is>
          <t>SK증권</t>
        </is>
      </c>
      <c r="E154" s="15" t="inlineStr">
        <is>
          <t>매수</t>
        </is>
      </c>
      <c r="F154" s="37" t="n">
        <v>190000</v>
      </c>
      <c r="G154" s="37" t="n">
        <v>125000</v>
      </c>
      <c r="H154" s="36" t="inlineStr">
        <is>
          <t>전공정의 상징</t>
        </is>
      </c>
      <c r="I154" s="28" t="inlineStr">
        <is>
          <t>보기</t>
        </is>
      </c>
      <c r="J154" s="28">
        <f>HYPERLINK("https://stock.pstatic.net/stock-research/company/64/20260713_company_519637000.pdf","PDF")</f>
        <v/>
      </c>
      <c r="K154" s="15" t="inlineStr">
        <is>
          <t>94098</t>
        </is>
      </c>
      <c r="L154" s="29" t="n">
        <v>0.52</v>
      </c>
    </row>
    <row r="155">
      <c r="A155" s="15" t="inlineStr">
        <is>
          <t>2026-07-13</t>
        </is>
      </c>
      <c r="B155" s="15" t="inlineStr">
        <is>
          <t>352820</t>
        </is>
      </c>
      <c r="C155" s="36" t="inlineStr">
        <is>
          <t>하이브</t>
        </is>
      </c>
      <c r="D155" s="36" t="inlineStr">
        <is>
          <t>SK증권</t>
        </is>
      </c>
      <c r="E155" s="15" t="inlineStr">
        <is>
          <t>매수</t>
        </is>
      </c>
      <c r="F155" s="37" t="n">
        <v>350000</v>
      </c>
      <c r="G155" s="37" t="n">
        <v>220500</v>
      </c>
      <c r="H155" s="36" t="inlineStr">
        <is>
          <t>높아진 실적 기대감, 높아질 주가</t>
        </is>
      </c>
      <c r="I155" s="28" t="inlineStr">
        <is>
          <t>보기</t>
        </is>
      </c>
      <c r="J155" s="28">
        <f>HYPERLINK("https://stock.pstatic.net/stock-research/company/64/20260713_company_225070000.pdf","PDF")</f>
        <v/>
      </c>
      <c r="K155" s="15" t="inlineStr">
        <is>
          <t>94097</t>
        </is>
      </c>
      <c r="L155" s="29" t="n">
        <v>0.5873015873015873</v>
      </c>
    </row>
    <row r="156">
      <c r="A156" s="15" t="inlineStr">
        <is>
          <t>2026-07-13</t>
        </is>
      </c>
      <c r="B156" s="15" t="inlineStr">
        <is>
          <t>028050</t>
        </is>
      </c>
      <c r="C156" s="36" t="inlineStr">
        <is>
          <t>삼성E&amp;A</t>
        </is>
      </c>
      <c r="D156" s="36" t="inlineStr">
        <is>
          <t>신한투자증권</t>
        </is>
      </c>
      <c r="E156" s="15" t="inlineStr">
        <is>
          <t>매수</t>
        </is>
      </c>
      <c r="F156" s="37" t="n">
        <v>64000</v>
      </c>
      <c r="G156" s="37" t="n">
        <v>44100</v>
      </c>
      <c r="H156" s="36" t="inlineStr">
        <is>
          <t>단기 실적, 중장기 전망 모두 긍정적</t>
        </is>
      </c>
      <c r="I156" s="28" t="inlineStr">
        <is>
          <t>보기</t>
        </is>
      </c>
      <c r="J156" s="28">
        <f>HYPERLINK("https://stock.pstatic.net/stock-research/company/21/20260713_company_696912000.pdf","PDF")</f>
        <v/>
      </c>
      <c r="K156" s="15" t="inlineStr">
        <is>
          <t>94096</t>
        </is>
      </c>
      <c r="L156" s="29" t="n">
        <v>0.4512471655328798</v>
      </c>
    </row>
    <row r="157">
      <c r="A157" s="15" t="inlineStr">
        <is>
          <t>2026-07-13</t>
        </is>
      </c>
      <c r="B157" s="15" t="inlineStr">
        <is>
          <t>271560</t>
        </is>
      </c>
      <c r="C157" s="36" t="inlineStr">
        <is>
          <t>오리온</t>
        </is>
      </c>
      <c r="D157" s="36" t="inlineStr">
        <is>
          <t>신한투자증권</t>
        </is>
      </c>
      <c r="E157" s="15" t="inlineStr">
        <is>
          <t>매수</t>
        </is>
      </c>
      <c r="F157" s="37" t="n">
        <v>160000</v>
      </c>
      <c r="G157" s="37" t="n">
        <v>137100</v>
      </c>
      <c r="H157" s="36" t="inlineStr">
        <is>
          <t>비수기에도 흔들림 없는 성장</t>
        </is>
      </c>
      <c r="I157" s="28" t="inlineStr">
        <is>
          <t>보기</t>
        </is>
      </c>
      <c r="J157" s="28">
        <f>HYPERLINK("https://stock.pstatic.net/stock-research/company/21/20260713_company_278131000.pdf","PDF")</f>
        <v/>
      </c>
      <c r="K157" s="15" t="inlineStr">
        <is>
          <t>94095</t>
        </is>
      </c>
      <c r="L157" s="29" t="n">
        <v>0.1670313639679066</v>
      </c>
    </row>
    <row r="158">
      <c r="A158" s="15" t="inlineStr">
        <is>
          <t>2026-07-13</t>
        </is>
      </c>
      <c r="B158" s="15" t="inlineStr">
        <is>
          <t>003230</t>
        </is>
      </c>
      <c r="C158" s="36" t="inlineStr">
        <is>
          <t>삼양식품</t>
        </is>
      </c>
      <c r="D158" s="36" t="inlineStr">
        <is>
          <t>신한투자증권</t>
        </is>
      </c>
      <c r="E158" s="15" t="inlineStr">
        <is>
          <t>매수</t>
        </is>
      </c>
      <c r="F158" s="37" t="n">
        <v>1750000</v>
      </c>
      <c r="G158" s="37" t="n">
        <v>1139000</v>
      </c>
      <c r="H158" s="36" t="inlineStr">
        <is>
          <t>숫자가 증명하는 경쟁력</t>
        </is>
      </c>
      <c r="I158" s="28" t="inlineStr">
        <is>
          <t>보기</t>
        </is>
      </c>
      <c r="J158" s="28">
        <f>HYPERLINK("https://stock.pstatic.net/stock-research/company/21/20260713_company_408996000.pdf","PDF")</f>
        <v/>
      </c>
      <c r="K158" s="15" t="inlineStr">
        <is>
          <t>94094</t>
        </is>
      </c>
      <c r="L158" s="29" t="n">
        <v>0.5364354697102721</v>
      </c>
    </row>
    <row r="159">
      <c r="A159" s="15" t="inlineStr">
        <is>
          <t>2026-07-13</t>
        </is>
      </c>
      <c r="B159" s="15" t="inlineStr">
        <is>
          <t>375500</t>
        </is>
      </c>
      <c r="C159" s="36" t="inlineStr">
        <is>
          <t>DL이앤씨</t>
        </is>
      </c>
      <c r="D159" s="36" t="inlineStr">
        <is>
          <t>신한투자증권</t>
        </is>
      </c>
      <c r="E159" s="15" t="inlineStr">
        <is>
          <t>매수</t>
        </is>
      </c>
      <c r="F159" s="37" t="n">
        <v>100000</v>
      </c>
      <c r="G159" s="37" t="n">
        <v>63300</v>
      </c>
      <c r="H159" s="36" t="inlineStr">
        <is>
          <t>수익성은 확보, 이제 외형을 챙길 시점</t>
        </is>
      </c>
      <c r="I159" s="28" t="inlineStr">
        <is>
          <t>보기</t>
        </is>
      </c>
      <c r="J159" s="28">
        <f>HYPERLINK("https://stock.pstatic.net/stock-research/company/21/20260713_company_359050000.pdf","PDF")</f>
        <v/>
      </c>
      <c r="K159" s="15" t="inlineStr">
        <is>
          <t>94093</t>
        </is>
      </c>
      <c r="L159" s="29" t="n">
        <v>0.5797788309636651</v>
      </c>
    </row>
    <row r="160">
      <c r="A160" s="15" t="inlineStr">
        <is>
          <t>2026-07-13</t>
        </is>
      </c>
      <c r="B160" s="15" t="inlineStr">
        <is>
          <t>006360</t>
        </is>
      </c>
      <c r="C160" s="36" t="inlineStr">
        <is>
          <t>GS건설</t>
        </is>
      </c>
      <c r="D160" s="36" t="inlineStr">
        <is>
          <t>신한투자증권</t>
        </is>
      </c>
      <c r="E160" s="15" t="inlineStr">
        <is>
          <t>매수</t>
        </is>
      </c>
      <c r="F160" s="37" t="n">
        <v>46000</v>
      </c>
      <c r="G160" s="37" t="n">
        <v>31850</v>
      </c>
      <c r="H160" s="36" t="inlineStr">
        <is>
          <t>실적은 상저하고, 26년 이후 실적은 상향</t>
        </is>
      </c>
      <c r="I160" s="28" t="inlineStr">
        <is>
          <t>보기</t>
        </is>
      </c>
      <c r="J160" s="28">
        <f>HYPERLINK("https://stock.pstatic.net/stock-research/company/21/20260713_company_153712000.pdf","PDF")</f>
        <v/>
      </c>
      <c r="K160" s="15" t="inlineStr">
        <is>
          <t>94092</t>
        </is>
      </c>
      <c r="L160" s="29" t="n">
        <v>0.4442700156985872</v>
      </c>
    </row>
    <row r="161">
      <c r="A161" s="15" t="inlineStr">
        <is>
          <t>2026-07-13</t>
        </is>
      </c>
      <c r="B161" s="15" t="inlineStr">
        <is>
          <t>010950</t>
        </is>
      </c>
      <c r="C161" s="36" t="inlineStr">
        <is>
          <t>S-Oil</t>
        </is>
      </c>
      <c r="D161" s="36" t="inlineStr">
        <is>
          <t>신한투자증권</t>
        </is>
      </c>
      <c r="E161" s="15" t="inlineStr">
        <is>
          <t>매수</t>
        </is>
      </c>
      <c r="F161" s="37" t="n">
        <v>180000</v>
      </c>
      <c r="G161" s="37" t="n">
        <v>132100</v>
      </c>
      <c r="H161" s="36" t="inlineStr">
        <is>
          <t>유가는 내려도, 정제마진은 강하다</t>
        </is>
      </c>
      <c r="I161" s="28" t="inlineStr">
        <is>
          <t>보기</t>
        </is>
      </c>
      <c r="J161" s="28">
        <f>HYPERLINK("https://stock.pstatic.net/stock-research/company/21/20260713_company_563027000.pdf","PDF")</f>
        <v/>
      </c>
      <c r="K161" s="15" t="inlineStr">
        <is>
          <t>94091</t>
        </is>
      </c>
      <c r="L161" s="29" t="n">
        <v>0.3626040878122634</v>
      </c>
    </row>
    <row r="162">
      <c r="A162" s="15" t="inlineStr">
        <is>
          <t>2026-07-13</t>
        </is>
      </c>
      <c r="B162" s="15" t="inlineStr">
        <is>
          <t>011210</t>
        </is>
      </c>
      <c r="C162" s="36" t="inlineStr">
        <is>
          <t>현대위아</t>
        </is>
      </c>
      <c r="D162" s="36" t="inlineStr">
        <is>
          <t>신한투자증권</t>
        </is>
      </c>
      <c r="E162" s="15" t="inlineStr">
        <is>
          <t>매수</t>
        </is>
      </c>
      <c r="F162" s="37" t="n">
        <v>97000</v>
      </c>
      <c r="G162" s="37" t="n">
        <v>61900</v>
      </c>
      <c r="H162" s="36" t="inlineStr">
        <is>
          <t>단기 실적은 감속, 전환 스토리는 가속</t>
        </is>
      </c>
      <c r="I162" s="28" t="inlineStr">
        <is>
          <t>보기</t>
        </is>
      </c>
      <c r="J162" s="28">
        <f>HYPERLINK("https://stock.pstatic.net/stock-research/company/21/20260713_company_478977000.pdf","PDF")</f>
        <v/>
      </c>
      <c r="K162" s="15" t="inlineStr">
        <is>
          <t>94090</t>
        </is>
      </c>
      <c r="L162" s="29" t="n">
        <v>0.5670436187399031</v>
      </c>
    </row>
    <row r="163">
      <c r="A163" s="15" t="inlineStr">
        <is>
          <t>2026-07-13</t>
        </is>
      </c>
      <c r="B163" s="15" t="inlineStr">
        <is>
          <t>010120</t>
        </is>
      </c>
      <c r="C163" s="36" t="inlineStr">
        <is>
          <t>LS ELECTRIC</t>
        </is>
      </c>
      <c r="D163" s="36" t="inlineStr">
        <is>
          <t>iM증권</t>
        </is>
      </c>
      <c r="E163" s="15" t="inlineStr">
        <is>
          <t>Buy</t>
        </is>
      </c>
      <c r="F163" s="37" t="n">
        <v>265000</v>
      </c>
      <c r="G163" s="37" t="n">
        <v>202500</v>
      </c>
      <c r="H163" s="36" t="inlineStr">
        <is>
          <t>AI 데이터센터 수주증가로 실적 개선 가속화</t>
        </is>
      </c>
      <c r="I163" s="28" t="inlineStr">
        <is>
          <t>보기</t>
        </is>
      </c>
      <c r="J163" s="28">
        <f>HYPERLINK("https://stock.pstatic.net/stock-research/company/61/20260713_company_209238000.pdf","PDF")</f>
        <v/>
      </c>
      <c r="K163" s="15" t="inlineStr">
        <is>
          <t>94089</t>
        </is>
      </c>
      <c r="L163" s="29" t="n">
        <v>0.308641975308642</v>
      </c>
    </row>
    <row r="164">
      <c r="A164" s="15" t="inlineStr">
        <is>
          <t>2026-07-13</t>
        </is>
      </c>
      <c r="B164" s="15" t="inlineStr">
        <is>
          <t>195940</t>
        </is>
      </c>
      <c r="C164" s="36" t="inlineStr">
        <is>
          <t>HK이노엔</t>
        </is>
      </c>
      <c r="D164" s="36" t="inlineStr">
        <is>
          <t>iM증권</t>
        </is>
      </c>
      <c r="E164" s="15" t="inlineStr">
        <is>
          <t>Buy</t>
        </is>
      </c>
      <c r="F164" s="37" t="n">
        <v>60000</v>
      </c>
      <c r="G164" s="37" t="n">
        <v>40800</v>
      </c>
      <c r="H164" s="36" t="inlineStr">
        <is>
          <t>잠잠하게 지나가는 시기</t>
        </is>
      </c>
      <c r="I164" s="28" t="inlineStr">
        <is>
          <t>보기</t>
        </is>
      </c>
      <c r="J164" s="28">
        <f>HYPERLINK("https://stock.pstatic.net/stock-research/company/61/20260713_company_80820000.pdf","PDF")</f>
        <v/>
      </c>
      <c r="K164" s="15" t="inlineStr">
        <is>
          <t>94088</t>
        </is>
      </c>
      <c r="L164" s="29" t="n">
        <v>0.4705882352941176</v>
      </c>
    </row>
    <row r="165">
      <c r="A165" s="15" t="inlineStr">
        <is>
          <t>2026-07-13</t>
        </is>
      </c>
      <c r="B165" s="15" t="inlineStr">
        <is>
          <t>005830</t>
        </is>
      </c>
      <c r="C165" s="36" t="inlineStr">
        <is>
          <t>DB손해보험</t>
        </is>
      </c>
      <c r="D165" s="36" t="inlineStr">
        <is>
          <t>iM증권</t>
        </is>
      </c>
      <c r="E165" s="15" t="inlineStr">
        <is>
          <t>Buy</t>
        </is>
      </c>
      <c r="F165" s="37" t="n">
        <v>220000</v>
      </c>
      <c r="G165" s="37" t="n">
        <v>155800</v>
      </c>
      <c r="H165" s="36" t="inlineStr">
        <is>
          <t>투자손익 중심의 호실적 예상</t>
        </is>
      </c>
      <c r="I165" s="28" t="inlineStr">
        <is>
          <t>보기</t>
        </is>
      </c>
      <c r="J165" s="28">
        <f>HYPERLINK("https://stock.pstatic.net/stock-research/company/61/20260713_company_238827000.pdf","PDF")</f>
        <v/>
      </c>
      <c r="K165" s="15" t="inlineStr">
        <is>
          <t>94087</t>
        </is>
      </c>
      <c r="L165" s="29" t="n">
        <v>0.4120667522464698</v>
      </c>
    </row>
    <row r="166">
      <c r="A166" s="15" t="inlineStr">
        <is>
          <t>2026-07-13</t>
        </is>
      </c>
      <c r="B166" s="15" t="inlineStr">
        <is>
          <t>010140</t>
        </is>
      </c>
      <c r="C166" s="36" t="inlineStr">
        <is>
          <t>삼성중공업</t>
        </is>
      </c>
      <c r="D166" s="36" t="inlineStr">
        <is>
          <t>SK증권</t>
        </is>
      </c>
      <c r="E166" s="15" t="inlineStr">
        <is>
          <t>매수</t>
        </is>
      </c>
      <c r="F166" s="37" t="n">
        <v>40000</v>
      </c>
      <c r="G166" s="37" t="n">
        <v>22350</v>
      </c>
      <c r="H166" s="36" t="inlineStr">
        <is>
          <t>아쉬운 실적을 잊게 해줄 FDC</t>
        </is>
      </c>
      <c r="I166" s="28" t="inlineStr">
        <is>
          <t>보기</t>
        </is>
      </c>
      <c r="J166" s="28">
        <f>HYPERLINK("https://stock.pstatic.net/stock-research/company/64/20260713_company_586868000.pdf","PDF")</f>
        <v/>
      </c>
      <c r="K166" s="15" t="inlineStr">
        <is>
          <t>94086</t>
        </is>
      </c>
      <c r="L166" s="29" t="n">
        <v>0.7897091722595079</v>
      </c>
    </row>
    <row r="167">
      <c r="A167" s="15" t="inlineStr">
        <is>
          <t>2026-07-13</t>
        </is>
      </c>
      <c r="B167" s="15" t="inlineStr">
        <is>
          <t>042660</t>
        </is>
      </c>
      <c r="C167" s="36" t="inlineStr">
        <is>
          <t>한화오션</t>
        </is>
      </c>
      <c r="D167" s="36" t="inlineStr">
        <is>
          <t>SK증권</t>
        </is>
      </c>
      <c r="E167" s="15" t="inlineStr">
        <is>
          <t>매수</t>
        </is>
      </c>
      <c r="F167" s="37" t="n">
        <v>134000</v>
      </c>
      <c r="G167" s="37" t="n">
        <v>81300</v>
      </c>
      <c r="H167" s="36" t="inlineStr">
        <is>
          <t>CPSP는 지난 일, 향후 사업에 집중</t>
        </is>
      </c>
      <c r="I167" s="28" t="inlineStr">
        <is>
          <t>보기</t>
        </is>
      </c>
      <c r="J167" s="28">
        <f>HYPERLINK("https://stock.pstatic.net/stock-research/company/64/20260713_company_582290000.pdf","PDF")</f>
        <v/>
      </c>
      <c r="K167" s="15" t="inlineStr">
        <is>
          <t>94085</t>
        </is>
      </c>
      <c r="L167" s="29" t="n">
        <v>0.6482164821648216</v>
      </c>
    </row>
    <row r="168">
      <c r="A168" s="15" t="inlineStr">
        <is>
          <t>2026-07-13</t>
        </is>
      </c>
      <c r="B168" s="15" t="inlineStr">
        <is>
          <t>071280</t>
        </is>
      </c>
      <c r="C168" s="36" t="inlineStr">
        <is>
          <t>로체시스템즈</t>
        </is>
      </c>
      <c r="D168" s="36" t="inlineStr">
        <is>
          <t>한국IR협의회</t>
        </is>
      </c>
      <c r="E168" s="15" t="inlineStr">
        <is>
          <t>없음</t>
        </is>
      </c>
      <c r="F168" s="36" t="n"/>
      <c r="G168" s="36" t="n"/>
      <c r="H168" s="36" t="inlineStr">
        <is>
          <t>반도체, 디스플레이 업황 수혜가 기대된다</t>
        </is>
      </c>
      <c r="I168" s="28" t="inlineStr">
        <is>
          <t>보기</t>
        </is>
      </c>
      <c r="J168" s="28">
        <f>HYPERLINK("https://stock.pstatic.net/stock-research/company/74/20260713_company_629975000.pdf","PDF")</f>
        <v/>
      </c>
      <c r="K168" s="15" t="inlineStr">
        <is>
          <t>94084</t>
        </is>
      </c>
      <c r="L168" s="15" t="n"/>
    </row>
    <row r="169">
      <c r="A169" s="15" t="inlineStr">
        <is>
          <t>2026-07-13</t>
        </is>
      </c>
      <c r="B169" s="15" t="inlineStr">
        <is>
          <t>051500</t>
        </is>
      </c>
      <c r="C169" s="36" t="inlineStr">
        <is>
          <t>CJ프레시웨이</t>
        </is>
      </c>
      <c r="D169" s="36" t="inlineStr">
        <is>
          <t>IBK투자증권</t>
        </is>
      </c>
      <c r="E169" s="15" t="inlineStr">
        <is>
          <t>매수</t>
        </is>
      </c>
      <c r="F169" s="37" t="n">
        <v>46000</v>
      </c>
      <c r="G169" s="37" t="n">
        <v>22650</v>
      </c>
      <c r="H169" s="36" t="inlineStr">
        <is>
          <t>온라인 생태계 구축 과정</t>
        </is>
      </c>
      <c r="I169" s="28" t="inlineStr">
        <is>
          <t>보기</t>
        </is>
      </c>
      <c r="J169" s="28">
        <f>HYPERLINK("https://stock.pstatic.net/stock-research/company/40/20260713_company_573281000.pdf","PDF")</f>
        <v/>
      </c>
      <c r="K169" s="15" t="inlineStr">
        <is>
          <t>94083</t>
        </is>
      </c>
      <c r="L169" s="29" t="n">
        <v>1.030905077262693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3" t="inlineStr">
        <is>
          <t>업종명</t>
        </is>
      </c>
      <c r="B1" s="3" t="inlineStr">
        <is>
          <t>대표종목1</t>
        </is>
      </c>
      <c r="C1" s="3" t="inlineStr">
        <is>
          <t>대표종목2</t>
        </is>
      </c>
      <c r="D1" s="3" t="inlineStr">
        <is>
          <t>대표종목3</t>
        </is>
      </c>
      <c r="E1" s="3" t="inlineStr">
        <is>
          <t>한국추종ETF</t>
        </is>
      </c>
      <c r="F1" s="3" t="inlineStr">
        <is>
          <t>대응미국섹터</t>
        </is>
      </c>
    </row>
    <row r="2" ht="18" customHeight="1">
      <c r="A2" s="4" t="inlineStr">
        <is>
          <t>음식료·담배</t>
        </is>
      </c>
      <c r="B2" s="4" t="inlineStr">
        <is>
          <t>KT&amp;G</t>
        </is>
      </c>
      <c r="C2" s="4" t="inlineStr">
        <is>
          <t>삼양식품</t>
        </is>
      </c>
      <c r="D2" s="4" t="inlineStr">
        <is>
          <t>한성기업</t>
        </is>
      </c>
      <c r="E2" s="4" t="inlineStr">
        <is>
          <t>TIGER 음식료&amp;생활용품(157450)</t>
        </is>
      </c>
      <c r="F2" s="4" t="inlineStr">
        <is>
          <t>XLP</t>
        </is>
      </c>
    </row>
    <row r="3" ht="18" customHeight="1">
      <c r="A3" s="4" t="inlineStr">
        <is>
          <t>섬유·의류</t>
        </is>
      </c>
      <c r="B3" s="4" t="inlineStr">
        <is>
          <t>F&amp;F</t>
        </is>
      </c>
      <c r="C3" s="4" t="inlineStr">
        <is>
          <t>LF</t>
        </is>
      </c>
      <c r="D3" s="4" t="inlineStr">
        <is>
          <t>우성머티리얼스</t>
        </is>
      </c>
      <c r="E3" s="4" t="inlineStr">
        <is>
          <t>-</t>
        </is>
      </c>
      <c r="F3" s="4" t="inlineStr">
        <is>
          <t>XLY</t>
        </is>
      </c>
    </row>
    <row r="4" ht="18" customHeight="1">
      <c r="A4" s="4" t="inlineStr">
        <is>
          <t>종이·목재</t>
        </is>
      </c>
      <c r="B4" s="4" t="inlineStr">
        <is>
          <t>신대양제지</t>
        </is>
      </c>
      <c r="C4" s="4" t="inlineStr">
        <is>
          <t>아세아제지</t>
        </is>
      </c>
      <c r="D4" s="4" t="inlineStr">
        <is>
          <t>블루산업개발</t>
        </is>
      </c>
      <c r="E4" s="4" t="inlineStr">
        <is>
          <t>-</t>
        </is>
      </c>
      <c r="F4" s="4" t="inlineStr">
        <is>
          <t>XLB</t>
        </is>
      </c>
    </row>
    <row r="5" ht="18" customHeight="1">
      <c r="A5" s="4" t="inlineStr">
        <is>
          <t>화학</t>
        </is>
      </c>
      <c r="B5" s="4" t="inlineStr">
        <is>
          <t>LG화학</t>
        </is>
      </c>
      <c r="C5" s="4" t="inlineStr">
        <is>
          <t>SK이노베이션</t>
        </is>
      </c>
      <c r="D5" s="4" t="inlineStr">
        <is>
          <t>금호타이어</t>
        </is>
      </c>
      <c r="E5" s="4" t="inlineStr">
        <is>
          <t>KODEX 에너지화학(117460)</t>
        </is>
      </c>
      <c r="F5" s="4" t="inlineStr">
        <is>
          <t>XLB</t>
        </is>
      </c>
    </row>
    <row r="6" ht="18" customHeight="1">
      <c r="A6" s="4" t="inlineStr">
        <is>
          <t>제약</t>
        </is>
      </c>
      <c r="B6" s="4" t="inlineStr">
        <is>
          <t>삼성바이오로직스</t>
        </is>
      </c>
      <c r="C6" s="4" t="inlineStr">
        <is>
          <t>셀트리온</t>
        </is>
      </c>
      <c r="D6" s="4" t="inlineStr">
        <is>
          <t>일양약품</t>
        </is>
      </c>
      <c r="E6" s="4" t="inlineStr">
        <is>
          <t>KODEX 바이오(244580)</t>
        </is>
      </c>
      <c r="F6" s="4" t="inlineStr">
        <is>
          <t>XLV</t>
        </is>
      </c>
    </row>
    <row r="7" ht="18" customHeight="1">
      <c r="A7" s="4" t="inlineStr">
        <is>
          <t>비금속</t>
        </is>
      </c>
      <c r="B7" s="4" t="inlineStr">
        <is>
          <t>한일시멘트</t>
        </is>
      </c>
      <c r="C7" s="4" t="inlineStr">
        <is>
          <t>아이에스동서</t>
        </is>
      </c>
      <c r="D7" s="4" t="inlineStr">
        <is>
          <t>성신양회</t>
        </is>
      </c>
      <c r="E7" s="4" t="inlineStr">
        <is>
          <t>-</t>
        </is>
      </c>
      <c r="F7" s="4" t="inlineStr">
        <is>
          <t>XLB</t>
        </is>
      </c>
    </row>
    <row r="8" ht="18" customHeight="1">
      <c r="A8" s="4" t="inlineStr">
        <is>
          <t>금속</t>
        </is>
      </c>
      <c r="B8" s="4" t="inlineStr">
        <is>
          <t>POSCO홀딩스</t>
        </is>
      </c>
      <c r="C8" s="4" t="inlineStr">
        <is>
          <t>고려아연</t>
        </is>
      </c>
      <c r="D8" s="4" t="inlineStr">
        <is>
          <t>다스코</t>
        </is>
      </c>
      <c r="E8" s="4" t="inlineStr">
        <is>
          <t>KODEX 철강(139230)</t>
        </is>
      </c>
      <c r="F8" s="4" t="inlineStr">
        <is>
          <t>XLB</t>
        </is>
      </c>
    </row>
    <row r="9" ht="18" customHeight="1">
      <c r="A9" s="4" t="inlineStr">
        <is>
          <t>기계·장비</t>
        </is>
      </c>
      <c r="B9" s="4" t="inlineStr">
        <is>
          <t>두산에너빌리티</t>
        </is>
      </c>
      <c r="C9" s="4" t="inlineStr">
        <is>
          <t>한미반도체</t>
        </is>
      </c>
      <c r="D9" s="4" t="inlineStr">
        <is>
          <t>화천기공</t>
        </is>
      </c>
      <c r="E9" s="4" t="inlineStr">
        <is>
          <t>-</t>
        </is>
      </c>
      <c r="F9" s="4" t="inlineStr">
        <is>
          <t>XLI</t>
        </is>
      </c>
    </row>
    <row r="10" ht="18" customHeight="1">
      <c r="A10" s="4" t="inlineStr">
        <is>
          <t>전기전자</t>
        </is>
      </c>
      <c r="B10" s="4" t="inlineStr">
        <is>
          <t>삼성전자</t>
        </is>
      </c>
      <c r="C10" s="4" t="inlineStr">
        <is>
          <t>SK하이닉스</t>
        </is>
      </c>
      <c r="D10" s="4" t="inlineStr">
        <is>
          <t>금호전기</t>
        </is>
      </c>
      <c r="E10" s="4" t="inlineStr">
        <is>
          <t>KODEX 반도체(091160)</t>
        </is>
      </c>
      <c r="F10" s="4" t="inlineStr">
        <is>
          <t>XLK</t>
        </is>
      </c>
    </row>
    <row r="11" ht="18" customHeight="1">
      <c r="A11" s="4" t="inlineStr">
        <is>
          <t>의료·정밀</t>
        </is>
      </c>
      <c r="B11" s="4" t="inlineStr">
        <is>
          <t>케이씨텍</t>
        </is>
      </c>
      <c r="C11" s="4" t="inlineStr">
        <is>
          <t>에스디바이오센서</t>
        </is>
      </c>
      <c r="D11" s="4" t="inlineStr">
        <is>
          <t>덴티움</t>
        </is>
      </c>
      <c r="E11" s="4" t="inlineStr">
        <is>
          <t>TIGER 헬스케어(143850)</t>
        </is>
      </c>
      <c r="F11" s="4" t="inlineStr">
        <is>
          <t>XLV</t>
        </is>
      </c>
    </row>
    <row r="12" ht="18" customHeight="1">
      <c r="A12" s="4" t="inlineStr">
        <is>
          <t>운송장비</t>
        </is>
      </c>
      <c r="B12" s="4" t="inlineStr">
        <is>
          <t>현대차</t>
        </is>
      </c>
      <c r="C12" s="4" t="inlineStr">
        <is>
          <t>기아</t>
        </is>
      </c>
      <c r="D12" s="4" t="inlineStr">
        <is>
          <t>금호에이치티</t>
        </is>
      </c>
      <c r="E12" s="4" t="inlineStr">
        <is>
          <t>KODEX 자동차(091180)</t>
        </is>
      </c>
      <c r="F12" s="4" t="inlineStr">
        <is>
          <t>XLI</t>
        </is>
      </c>
    </row>
    <row r="13" ht="18" customHeight="1">
      <c r="A13" s="4" t="inlineStr">
        <is>
          <t>유통</t>
        </is>
      </c>
      <c r="B13" s="4" t="inlineStr">
        <is>
          <t>삼성물산</t>
        </is>
      </c>
      <c r="C13" s="4" t="inlineStr">
        <is>
          <t>포스코인터내셔널</t>
        </is>
      </c>
      <c r="D13" s="4" t="inlineStr">
        <is>
          <t>모나미</t>
        </is>
      </c>
      <c r="E13" s="4" t="inlineStr">
        <is>
          <t>-</t>
        </is>
      </c>
      <c r="F13" s="4" t="inlineStr">
        <is>
          <t>XLY</t>
        </is>
      </c>
    </row>
    <row r="14" ht="18" customHeight="1">
      <c r="A14" s="4" t="inlineStr">
        <is>
          <t>전기·가스</t>
        </is>
      </c>
      <c r="B14" s="4" t="inlineStr">
        <is>
          <t>한국전력</t>
        </is>
      </c>
      <c r="C14" s="4" t="inlineStr">
        <is>
          <t>한국가스공사</t>
        </is>
      </c>
      <c r="D14" s="4" t="inlineStr">
        <is>
          <t>SGC에너지</t>
        </is>
      </c>
      <c r="E14" s="4" t="inlineStr">
        <is>
          <t>-</t>
        </is>
      </c>
      <c r="F14" s="4" t="inlineStr">
        <is>
          <t>XLU</t>
        </is>
      </c>
    </row>
    <row r="15" ht="18" customHeight="1">
      <c r="A15" s="4" t="inlineStr">
        <is>
          <t>건설</t>
        </is>
      </c>
      <c r="B15" s="4" t="inlineStr">
        <is>
          <t>현대건설</t>
        </is>
      </c>
      <c r="C15" s="4" t="inlineStr">
        <is>
          <t>대우건설</t>
        </is>
      </c>
      <c r="D15" s="4" t="inlineStr">
        <is>
          <t>금호건설</t>
        </is>
      </c>
      <c r="E15" s="4" t="inlineStr">
        <is>
          <t>KODEX 건설(104520)</t>
        </is>
      </c>
      <c r="F15" s="4" t="inlineStr">
        <is>
          <t>XLI</t>
        </is>
      </c>
    </row>
    <row r="16" ht="18" customHeight="1">
      <c r="A16" s="4" t="inlineStr">
        <is>
          <t>운송·창고</t>
        </is>
      </c>
      <c r="B16" s="4" t="inlineStr">
        <is>
          <t>HMM</t>
        </is>
      </c>
      <c r="C16" s="4" t="inlineStr">
        <is>
          <t>현대글로비스</t>
        </is>
      </c>
      <c r="D16" s="4" t="inlineStr">
        <is>
          <t>흥아해운</t>
        </is>
      </c>
      <c r="E16" s="4" t="inlineStr">
        <is>
          <t>-</t>
        </is>
      </c>
      <c r="F16" s="4" t="inlineStr">
        <is>
          <t>XLI</t>
        </is>
      </c>
    </row>
    <row r="17" ht="18" customHeight="1">
      <c r="A17" s="4" t="inlineStr">
        <is>
          <t>통신</t>
        </is>
      </c>
      <c r="B17" s="4" t="inlineStr">
        <is>
          <t>SK텔레콤</t>
        </is>
      </c>
      <c r="C17" s="4" t="inlineStr">
        <is>
          <t>KT</t>
        </is>
      </c>
      <c r="D17" s="4" t="inlineStr">
        <is>
          <t>LG유플러스</t>
        </is>
      </c>
      <c r="E17" s="4" t="inlineStr">
        <is>
          <t>-</t>
        </is>
      </c>
      <c r="F17" s="4" t="inlineStr">
        <is>
          <t>XLC</t>
        </is>
      </c>
    </row>
    <row r="18" ht="18" customHeight="1">
      <c r="A18" s="4" t="inlineStr">
        <is>
          <t>금융</t>
        </is>
      </c>
      <c r="B18" s="4" t="inlineStr">
        <is>
          <t>SK스퀘어</t>
        </is>
      </c>
      <c r="C18" s="4" t="inlineStr">
        <is>
          <t>삼성생명</t>
        </is>
      </c>
      <c r="D18" s="4" t="inlineStr">
        <is>
          <t>한국전자홀딩스</t>
        </is>
      </c>
      <c r="E18" s="4" t="inlineStr">
        <is>
          <t>KODEX 은행(091170)</t>
        </is>
      </c>
      <c r="F18" s="4" t="inlineStr">
        <is>
          <t>XLF</t>
        </is>
      </c>
    </row>
    <row r="19" ht="18" customHeight="1">
      <c r="A19" s="4" t="inlineStr">
        <is>
          <t>증권</t>
        </is>
      </c>
      <c r="B19" s="4" t="inlineStr">
        <is>
          <t>미래에셋증권</t>
        </is>
      </c>
      <c r="C19" s="4" t="inlineStr">
        <is>
          <t>NH투자증권</t>
        </is>
      </c>
      <c r="D19" s="4" t="inlineStr">
        <is>
          <t>유화증권</t>
        </is>
      </c>
      <c r="E19" s="4" t="inlineStr">
        <is>
          <t>TIGER 증권(266410)</t>
        </is>
      </c>
      <c r="F19" s="4" t="inlineStr">
        <is>
          <t>XLF</t>
        </is>
      </c>
    </row>
    <row r="20" ht="18" customHeight="1">
      <c r="A20" s="4" t="inlineStr">
        <is>
          <t>보험</t>
        </is>
      </c>
      <c r="B20" s="4" t="inlineStr">
        <is>
          <t>삼성생명</t>
        </is>
      </c>
      <c r="C20" s="4" t="inlineStr">
        <is>
          <t>삼성화재</t>
        </is>
      </c>
      <c r="D20" s="4" t="inlineStr">
        <is>
          <t>DB손해보험</t>
        </is>
      </c>
      <c r="E20" s="4" t="inlineStr">
        <is>
          <t>-</t>
        </is>
      </c>
      <c r="F20" s="4" t="inlineStr">
        <is>
          <t>XLF</t>
        </is>
      </c>
    </row>
    <row r="21" ht="18" customHeight="1">
      <c r="A21" s="4" t="inlineStr">
        <is>
          <t>일반서비스</t>
        </is>
      </c>
      <c r="B21" s="4" t="inlineStr">
        <is>
          <t>HD현대마린솔루션</t>
        </is>
      </c>
      <c r="C21" s="4" t="inlineStr">
        <is>
          <t>삼성E&amp;A</t>
        </is>
      </c>
      <c r="D21" s="4" t="inlineStr">
        <is>
          <t>롯데렌탈</t>
        </is>
      </c>
      <c r="E21" s="4" t="inlineStr">
        <is>
          <t>-</t>
        </is>
      </c>
      <c r="F21" s="4" t="inlineStr">
        <is>
          <t>XLI</t>
        </is>
      </c>
    </row>
    <row r="22" ht="18" customHeight="1">
      <c r="A22" s="4" t="inlineStr">
        <is>
          <t>제조</t>
        </is>
      </c>
      <c r="B22" s="4" t="inlineStr">
        <is>
          <t>삼성전자</t>
        </is>
      </c>
      <c r="C22" s="4" t="inlineStr">
        <is>
          <t>SK하이닉스</t>
        </is>
      </c>
      <c r="D22" s="4" t="inlineStr">
        <is>
          <t>금호에이치티</t>
        </is>
      </c>
      <c r="E22" s="4" t="inlineStr">
        <is>
          <t>-</t>
        </is>
      </c>
      <c r="F22" s="4" t="inlineStr">
        <is>
          <t>XLI</t>
        </is>
      </c>
    </row>
    <row r="23" ht="18" customHeight="1">
      <c r="A23" s="4" t="inlineStr">
        <is>
          <t>부동산</t>
        </is>
      </c>
      <c r="B23" s="4" t="inlineStr">
        <is>
          <t>SK리츠</t>
        </is>
      </c>
      <c r="C23" s="4" t="inlineStr">
        <is>
          <t>롯데리츠</t>
        </is>
      </c>
      <c r="D23" s="4" t="inlineStr">
        <is>
          <t>마스턴프리미어리츠</t>
        </is>
      </c>
      <c r="E23" s="4" t="inlineStr">
        <is>
          <t>TIGER 부동산인프라(329200)</t>
        </is>
      </c>
      <c r="F23" s="4" t="inlineStr">
        <is>
          <t>XLRE</t>
        </is>
      </c>
    </row>
    <row r="24" ht="18" customHeight="1">
      <c r="A24" s="4" t="inlineStr">
        <is>
          <t>IT서비스</t>
        </is>
      </c>
      <c r="B24" s="4" t="inlineStr">
        <is>
          <t>NAVER</t>
        </is>
      </c>
      <c r="C24" s="4" t="inlineStr">
        <is>
          <t>카카오</t>
        </is>
      </c>
      <c r="D24" s="4" t="inlineStr">
        <is>
          <t>키다리스튜디오</t>
        </is>
      </c>
      <c r="E24" s="4" t="inlineStr">
        <is>
          <t>-</t>
        </is>
      </c>
      <c r="F24" s="4" t="inlineStr">
        <is>
          <t>XLK</t>
        </is>
      </c>
    </row>
    <row r="25" ht="18" customHeight="1">
      <c r="A25" s="4" t="inlineStr">
        <is>
          <t>오락·문화</t>
        </is>
      </c>
      <c r="B25" s="4" t="inlineStr">
        <is>
          <t>하이브</t>
        </is>
      </c>
      <c r="C25" s="4" t="inlineStr">
        <is>
          <t>강원랜드</t>
        </is>
      </c>
      <c r="D25" s="4" t="inlineStr">
        <is>
          <t>하이브</t>
        </is>
      </c>
      <c r="E25" s="4" t="inlineStr">
        <is>
          <t>KODEX 미디어&amp;엔터(091230)</t>
        </is>
      </c>
      <c r="F25" s="4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2" t="inlineStr">
        <is>
          <t>날짜</t>
        </is>
      </c>
      <c r="B1" s="2" t="inlineStr">
        <is>
          <t>순금 매입(원/g)</t>
        </is>
      </c>
      <c r="C1" s="2" t="inlineStr">
        <is>
          <t>순금 매도(원/g)</t>
        </is>
      </c>
      <c r="D1" s="2" t="inlineStr">
        <is>
          <t>18K 매입(원/g)</t>
        </is>
      </c>
      <c r="E1" s="2" t="inlineStr">
        <is>
          <t>18K 매도(원/g)</t>
        </is>
      </c>
      <c r="F1" s="2" t="inlineStr">
        <is>
          <t>14K 매입(원/g)</t>
        </is>
      </c>
      <c r="G1" s="2" t="inlineStr">
        <is>
          <t>14K 매도(원/g)</t>
        </is>
      </c>
      <c r="H1" s="2" t="inlineStr">
        <is>
          <t>백금 매입(원/g)</t>
        </is>
      </c>
      <c r="I1" s="2" t="inlineStr">
        <is>
          <t>백금 매도(원/g)</t>
        </is>
      </c>
      <c r="J1" s="2" t="inlineStr">
        <is>
          <t>은 매입(원/g)</t>
        </is>
      </c>
      <c r="K1" s="2" t="inlineStr">
        <is>
          <t>은 매도(원/g)</t>
        </is>
      </c>
    </row>
    <row r="2">
      <c r="A2" s="15" t="inlineStr">
        <is>
          <t>2026-07-18</t>
        </is>
      </c>
      <c r="B2" s="37" t="n">
        <v>708000</v>
      </c>
      <c r="C2" s="37" t="n">
        <v>843000</v>
      </c>
      <c r="D2" s="37" t="n">
        <v>520400</v>
      </c>
      <c r="E2" s="37" t="n">
        <v>619605</v>
      </c>
      <c r="F2" s="37" t="n">
        <v>403600</v>
      </c>
      <c r="G2" s="37" t="n">
        <v>480510</v>
      </c>
      <c r="H2" s="37" t="n">
        <v>270000</v>
      </c>
      <c r="I2" s="37" t="n">
        <v>333000</v>
      </c>
      <c r="J2" s="37" t="n">
        <v>9360</v>
      </c>
      <c r="K2" s="37" t="n">
        <v>11030</v>
      </c>
    </row>
    <row r="3">
      <c r="A3" s="15" t="inlineStr">
        <is>
          <t>2026-07-17</t>
        </is>
      </c>
      <c r="B3" s="37" t="n">
        <v>700000</v>
      </c>
      <c r="C3" s="37" t="n">
        <v>834000</v>
      </c>
      <c r="D3" s="37" t="n">
        <v>514500</v>
      </c>
      <c r="E3" s="37" t="n">
        <v>612990</v>
      </c>
      <c r="F3" s="37" t="n">
        <v>399000</v>
      </c>
      <c r="G3" s="37" t="n">
        <v>475380</v>
      </c>
      <c r="H3" s="37" t="n">
        <v>267000</v>
      </c>
      <c r="I3" s="37" t="n">
        <v>330000</v>
      </c>
      <c r="J3" s="37" t="n">
        <v>9220</v>
      </c>
      <c r="K3" s="37" t="n">
        <v>10870</v>
      </c>
    </row>
    <row r="4">
      <c r="A4" s="15" t="inlineStr">
        <is>
          <t>2026-07-16</t>
        </is>
      </c>
      <c r="B4" s="37" t="n">
        <v>708000</v>
      </c>
      <c r="C4" s="37" t="n">
        <v>838000</v>
      </c>
      <c r="D4" s="37" t="n">
        <v>520400</v>
      </c>
      <c r="E4" s="37" t="n">
        <v>615930</v>
      </c>
      <c r="F4" s="37" t="n">
        <v>403600</v>
      </c>
      <c r="G4" s="37" t="n">
        <v>477660</v>
      </c>
      <c r="H4" s="37" t="n">
        <v>278000</v>
      </c>
      <c r="I4" s="37" t="n">
        <v>343000</v>
      </c>
      <c r="J4" s="37" t="n">
        <v>9470</v>
      </c>
      <c r="K4" s="37" t="n">
        <v>11150</v>
      </c>
    </row>
    <row r="5">
      <c r="A5" s="15" t="inlineStr">
        <is>
          <t>2026-07-15</t>
        </is>
      </c>
      <c r="B5" s="37" t="n">
        <v>714000</v>
      </c>
      <c r="C5" s="37" t="n">
        <v>846000</v>
      </c>
      <c r="D5" s="37" t="n">
        <v>524800</v>
      </c>
      <c r="E5" s="37" t="n">
        <v>621810</v>
      </c>
      <c r="F5" s="37" t="n">
        <v>407000</v>
      </c>
      <c r="G5" s="37" t="n">
        <v>482220</v>
      </c>
      <c r="H5" s="37" t="n">
        <v>277000</v>
      </c>
      <c r="I5" s="37" t="n">
        <v>341000</v>
      </c>
      <c r="J5" s="37" t="n">
        <v>9770</v>
      </c>
      <c r="K5" s="37" t="n">
        <v>11500</v>
      </c>
    </row>
    <row r="6">
      <c r="A6" s="15" t="inlineStr">
        <is>
          <t>2026-07-14</t>
        </is>
      </c>
      <c r="B6" s="37" t="n">
        <v>714000</v>
      </c>
      <c r="C6" s="37" t="n">
        <v>846000</v>
      </c>
      <c r="D6" s="37" t="n">
        <v>524800</v>
      </c>
      <c r="E6" s="37" t="n">
        <v>621810</v>
      </c>
      <c r="F6" s="37" t="n">
        <v>407000</v>
      </c>
      <c r="G6" s="37" t="n">
        <v>482220</v>
      </c>
      <c r="H6" s="37" t="n">
        <v>273000</v>
      </c>
      <c r="I6" s="37" t="n">
        <v>337000</v>
      </c>
      <c r="J6" s="37" t="n">
        <v>9760</v>
      </c>
      <c r="K6" s="37" t="n">
        <v>11550</v>
      </c>
    </row>
    <row r="7">
      <c r="A7" s="15" t="inlineStr">
        <is>
          <t>2026-07-13</t>
        </is>
      </c>
      <c r="B7" s="37" t="n">
        <v>724000</v>
      </c>
      <c r="C7" s="37" t="n">
        <v>860000</v>
      </c>
      <c r="D7" s="37" t="n">
        <v>532200</v>
      </c>
      <c r="E7" s="37" t="n">
        <v>632100</v>
      </c>
      <c r="F7" s="37" t="n">
        <v>412700</v>
      </c>
      <c r="G7" s="37" t="n">
        <v>490200</v>
      </c>
      <c r="H7" s="37" t="n">
        <v>276000</v>
      </c>
      <c r="I7" s="37" t="n">
        <v>340000</v>
      </c>
      <c r="J7" s="37" t="n">
        <v>9820</v>
      </c>
      <c r="K7" s="37" t="n">
        <v>11630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5" t="inlineStr">
        <is>
          <t>날짜</t>
        </is>
      </c>
      <c r="B1" s="5" t="inlineStr">
        <is>
          <t>기술(US)</t>
        </is>
      </c>
      <c r="C1" s="5" t="inlineStr">
        <is>
          <t>금융(US)</t>
        </is>
      </c>
      <c r="D1" s="5" t="inlineStr">
        <is>
          <t>헬스케어(US)</t>
        </is>
      </c>
      <c r="E1" s="5" t="inlineStr">
        <is>
          <t>에너지(US)</t>
        </is>
      </c>
      <c r="F1" s="5" t="inlineStr">
        <is>
          <t>소재(US)</t>
        </is>
      </c>
      <c r="G1" s="5" t="inlineStr">
        <is>
          <t>산업재(US)</t>
        </is>
      </c>
      <c r="H1" s="5" t="inlineStr">
        <is>
          <t>경기소비재(US)</t>
        </is>
      </c>
      <c r="I1" s="5" t="inlineStr">
        <is>
          <t>필수소비재(US)</t>
        </is>
      </c>
      <c r="J1" s="5" t="inlineStr">
        <is>
          <t>유틸리티(US)</t>
        </is>
      </c>
      <c r="K1" s="5" t="inlineStr">
        <is>
          <t>통신서비스(US)</t>
        </is>
      </c>
      <c r="L1" s="5" t="inlineStr">
        <is>
          <t>부동산(US)</t>
        </is>
      </c>
    </row>
    <row r="2" ht="15" customHeight="1">
      <c r="A2" s="13" t="n">
        <v>46220</v>
      </c>
      <c r="B2" s="7" t="n">
        <v>41.71</v>
      </c>
      <c r="C2" s="8" t="n">
        <v>64.43000000000001</v>
      </c>
      <c r="D2" s="7" t="n">
        <v>58.21</v>
      </c>
      <c r="E2" s="8" t="n">
        <v>61.89</v>
      </c>
      <c r="F2" s="7" t="n">
        <v>45.69</v>
      </c>
      <c r="G2" s="7" t="n">
        <v>50.13</v>
      </c>
      <c r="H2" s="7" t="n">
        <v>45.35</v>
      </c>
      <c r="I2" s="7" t="n">
        <v>55.48</v>
      </c>
      <c r="J2" s="7" t="n">
        <v>51.59</v>
      </c>
      <c r="K2" s="7" t="n">
        <v>48.45</v>
      </c>
      <c r="L2" s="7" t="n">
        <v>59.61</v>
      </c>
    </row>
    <row r="3" ht="15" customHeight="1">
      <c r="A3" s="13" t="n">
        <v>46219</v>
      </c>
    </row>
    <row r="4" ht="15" customHeight="1">
      <c r="A4" s="13" t="n">
        <v>46218</v>
      </c>
    </row>
    <row r="5" ht="15" customHeight="1">
      <c r="A5" s="13" t="n">
        <v>46217</v>
      </c>
    </row>
    <row r="6" ht="15" customHeight="1">
      <c r="A6" s="13" t="n">
        <v>46216</v>
      </c>
    </row>
    <row r="7" ht="15" customHeight="1">
      <c r="A7" s="13" t="n">
        <v>46213</v>
      </c>
      <c r="B7" s="7" t="n">
        <v>52.64</v>
      </c>
      <c r="C7" s="8" t="n">
        <v>65.77</v>
      </c>
      <c r="D7" s="8" t="n">
        <v>60.19</v>
      </c>
      <c r="E7" s="7" t="n">
        <v>49.39</v>
      </c>
      <c r="F7" s="7" t="n">
        <v>47.89</v>
      </c>
      <c r="G7" s="7" t="n">
        <v>54.59</v>
      </c>
      <c r="H7" s="7" t="n">
        <v>51.7</v>
      </c>
      <c r="I7" s="7" t="n">
        <v>50.42</v>
      </c>
      <c r="J7" s="7" t="n">
        <v>52.61</v>
      </c>
      <c r="K7" s="7" t="n">
        <v>54.34</v>
      </c>
      <c r="L7" s="7" t="n">
        <v>50.35</v>
      </c>
    </row>
    <row r="8" ht="15" customHeight="1">
      <c r="A8" s="13" t="n">
        <v>46212</v>
      </c>
      <c r="B8" s="7" t="n">
        <v>52.23</v>
      </c>
      <c r="C8" s="8" t="n">
        <v>64.76000000000001</v>
      </c>
      <c r="D8" s="8" t="n">
        <v>63.9</v>
      </c>
      <c r="E8" s="7" t="n">
        <v>47.89</v>
      </c>
      <c r="F8" s="7" t="n">
        <v>43.07</v>
      </c>
      <c r="G8" s="7" t="n">
        <v>53.11</v>
      </c>
      <c r="H8" s="7" t="n">
        <v>50.6</v>
      </c>
      <c r="I8" s="7" t="n">
        <v>46.03</v>
      </c>
      <c r="J8" s="7" t="n">
        <v>50.12</v>
      </c>
      <c r="K8" s="7" t="n">
        <v>50.37</v>
      </c>
      <c r="L8" s="7" t="n">
        <v>48.25</v>
      </c>
    </row>
    <row r="9" ht="15" customHeight="1">
      <c r="A9" s="13" t="n">
        <v>46211</v>
      </c>
      <c r="B9" s="7" t="n">
        <v>48.33</v>
      </c>
      <c r="C9" s="8" t="n">
        <v>61.2</v>
      </c>
      <c r="D9" s="8" t="n">
        <v>64.26000000000001</v>
      </c>
      <c r="E9" s="7" t="n">
        <v>52.2</v>
      </c>
      <c r="F9" s="7" t="n">
        <v>42.28</v>
      </c>
      <c r="G9" s="7" t="n">
        <v>51.86</v>
      </c>
      <c r="H9" s="7" t="n">
        <v>46.03</v>
      </c>
      <c r="I9" s="7" t="n">
        <v>51.51</v>
      </c>
      <c r="J9" s="7" t="n">
        <v>52.21</v>
      </c>
      <c r="K9" s="7" t="n">
        <v>46.34</v>
      </c>
      <c r="L9" s="7" t="n">
        <v>47.51</v>
      </c>
    </row>
    <row r="10" ht="15" customHeight="1">
      <c r="A10" s="13" t="n">
        <v>46210</v>
      </c>
      <c r="B10" s="7" t="n">
        <v>46.03</v>
      </c>
      <c r="C10" s="9" t="n">
        <v>74.44</v>
      </c>
      <c r="D10" s="9" t="n">
        <v>70.3</v>
      </c>
      <c r="E10" s="7" t="n">
        <v>46.72</v>
      </c>
      <c r="F10" s="7" t="n">
        <v>51.14</v>
      </c>
      <c r="G10" s="7" t="n">
        <v>55.76</v>
      </c>
      <c r="H10" s="7" t="n">
        <v>52.05</v>
      </c>
      <c r="I10" s="7" t="n">
        <v>53.86</v>
      </c>
      <c r="J10" s="7" t="n">
        <v>55.39</v>
      </c>
      <c r="K10" s="7" t="n">
        <v>52.19</v>
      </c>
      <c r="L10" s="7" t="n">
        <v>54.23</v>
      </c>
    </row>
    <row r="11" ht="15" customHeight="1">
      <c r="A11" s="13" t="n">
        <v>46209</v>
      </c>
      <c r="B11" s="7" t="n">
        <v>50.12</v>
      </c>
      <c r="C11" s="9" t="n">
        <v>75.70999999999999</v>
      </c>
      <c r="D11" s="8" t="n">
        <v>66.95999999999999</v>
      </c>
      <c r="E11" s="7" t="n">
        <v>36</v>
      </c>
      <c r="F11" s="7" t="n">
        <v>54.86</v>
      </c>
      <c r="G11" s="8" t="n">
        <v>62.87</v>
      </c>
      <c r="H11" s="7" t="n">
        <v>54</v>
      </c>
      <c r="I11" s="7" t="n">
        <v>50.46</v>
      </c>
      <c r="J11" s="7" t="n">
        <v>52.21</v>
      </c>
      <c r="K11" s="7" t="n">
        <v>49.09</v>
      </c>
      <c r="L11" s="7" t="n">
        <v>48.77</v>
      </c>
    </row>
    <row r="12" ht="15" customHeight="1">
      <c r="A12" s="13" t="n">
        <v>46206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5" customHeight="1">
      <c r="A13" s="13" t="n">
        <v>46205</v>
      </c>
      <c r="B13" s="7" t="n">
        <v>47.16</v>
      </c>
      <c r="C13" s="9" t="n">
        <v>73.27</v>
      </c>
      <c r="D13" s="9" t="n">
        <v>72.39</v>
      </c>
      <c r="E13" s="7" t="n">
        <v>36.41</v>
      </c>
      <c r="F13" s="7" t="n">
        <v>55.09</v>
      </c>
      <c r="G13" s="8" t="n">
        <v>60.44</v>
      </c>
      <c r="H13" s="7" t="n">
        <v>51.59</v>
      </c>
      <c r="I13" s="7" t="n">
        <v>54.85</v>
      </c>
      <c r="J13" s="7" t="n">
        <v>56.51</v>
      </c>
      <c r="K13" s="7" t="n">
        <v>46.67</v>
      </c>
      <c r="L13" s="7" t="n">
        <v>52.56</v>
      </c>
    </row>
    <row r="14" ht="15" customHeight="1">
      <c r="A14" s="13" t="n">
        <v>46204</v>
      </c>
      <c r="B14" s="7" t="n">
        <v>52</v>
      </c>
      <c r="C14" s="8" t="n">
        <v>68.52</v>
      </c>
      <c r="D14" s="8" t="n">
        <v>66.42</v>
      </c>
      <c r="E14" s="7" t="n">
        <v>33.23</v>
      </c>
      <c r="F14" s="7" t="n">
        <v>48.23</v>
      </c>
      <c r="G14" s="7" t="n">
        <v>59.62</v>
      </c>
      <c r="H14" s="7" t="n">
        <v>54.48</v>
      </c>
      <c r="I14" s="7" t="n">
        <v>46.67</v>
      </c>
      <c r="J14" s="7" t="n">
        <v>47.95</v>
      </c>
      <c r="K14" s="7" t="n">
        <v>47.15</v>
      </c>
      <c r="L14" s="7" t="n">
        <v>47.73</v>
      </c>
    </row>
    <row r="15" ht="15" customHeight="1">
      <c r="A15" s="13" t="n">
        <v>46203</v>
      </c>
      <c r="B15" s="7" t="n">
        <v>57.33</v>
      </c>
      <c r="C15" s="7" t="n">
        <v>59.13</v>
      </c>
      <c r="D15" s="8" t="n">
        <v>64.95</v>
      </c>
      <c r="E15" s="7" t="n">
        <v>34.39</v>
      </c>
      <c r="F15" s="7" t="n">
        <v>46.78</v>
      </c>
      <c r="G15" s="8" t="n">
        <v>63.78</v>
      </c>
      <c r="H15" s="7" t="n">
        <v>52.41</v>
      </c>
      <c r="I15" s="7" t="n">
        <v>45.42</v>
      </c>
      <c r="J15" s="7" t="n">
        <v>53.58</v>
      </c>
      <c r="K15" s="7" t="n">
        <v>35.78</v>
      </c>
      <c r="L15" s="7" t="n">
        <v>46.2</v>
      </c>
    </row>
    <row r="16" ht="15" customHeight="1">
      <c r="A16" s="13" t="n">
        <v>46202</v>
      </c>
      <c r="B16" s="7" t="n">
        <v>52.63</v>
      </c>
      <c r="C16" s="8" t="n">
        <v>60.71</v>
      </c>
      <c r="D16" s="9" t="n">
        <v>71.88</v>
      </c>
      <c r="E16" s="7" t="n">
        <v>36.25</v>
      </c>
      <c r="F16" s="7" t="n">
        <v>45.52</v>
      </c>
      <c r="G16" s="8" t="n">
        <v>60.39</v>
      </c>
      <c r="H16" s="7" t="n">
        <v>52.01</v>
      </c>
      <c r="I16" s="7" t="n">
        <v>51.79</v>
      </c>
      <c r="J16" s="8" t="n">
        <v>61.61</v>
      </c>
      <c r="K16" s="7" t="n">
        <v>37.96</v>
      </c>
      <c r="L16" s="7" t="n">
        <v>55.05</v>
      </c>
    </row>
    <row r="17" ht="15" customHeight="1">
      <c r="A17" s="13" t="n">
        <v>46199</v>
      </c>
      <c r="B17" s="7" t="n">
        <v>48.17</v>
      </c>
      <c r="C17" s="7" t="n">
        <v>59.33</v>
      </c>
      <c r="D17" s="9" t="n">
        <v>71.33</v>
      </c>
      <c r="E17" s="7" t="n">
        <v>37.28</v>
      </c>
      <c r="F17" s="7" t="n">
        <v>51.86</v>
      </c>
      <c r="G17" s="7" t="n">
        <v>58.08</v>
      </c>
      <c r="H17" s="7" t="n">
        <v>44.58</v>
      </c>
      <c r="I17" s="7" t="n">
        <v>53.62</v>
      </c>
      <c r="J17" s="8" t="n">
        <v>63.96</v>
      </c>
      <c r="K17" s="10" t="n">
        <v>28.85</v>
      </c>
      <c r="L17" s="7" t="n">
        <v>58.81</v>
      </c>
    </row>
    <row r="18" ht="15" customHeight="1">
      <c r="A18" s="13" t="n">
        <v>46198</v>
      </c>
      <c r="B18" s="7" t="n">
        <v>51.81</v>
      </c>
      <c r="C18" s="7" t="n">
        <v>58.24</v>
      </c>
      <c r="D18" s="8" t="n">
        <v>63.6</v>
      </c>
      <c r="E18" s="7" t="n">
        <v>38.26</v>
      </c>
      <c r="F18" s="7" t="n">
        <v>53.63</v>
      </c>
      <c r="G18" s="8" t="n">
        <v>64.61</v>
      </c>
      <c r="H18" s="7" t="n">
        <v>41.46</v>
      </c>
      <c r="I18" s="7" t="n">
        <v>49.91</v>
      </c>
      <c r="J18" s="8" t="n">
        <v>61.29</v>
      </c>
      <c r="K18" s="10" t="n">
        <v>25.25</v>
      </c>
      <c r="L18" s="7" t="n">
        <v>52.72</v>
      </c>
    </row>
    <row r="19" ht="15" customHeight="1">
      <c r="A19" s="13" t="n">
        <v>46197</v>
      </c>
      <c r="B19" s="7" t="n">
        <v>50.28</v>
      </c>
      <c r="C19" s="8" t="n">
        <v>61.69</v>
      </c>
      <c r="D19" s="7" t="n">
        <v>58.59</v>
      </c>
      <c r="E19" s="7" t="n">
        <v>34.98</v>
      </c>
      <c r="F19" s="7" t="n">
        <v>49.05</v>
      </c>
      <c r="G19" s="7" t="n">
        <v>58.86</v>
      </c>
      <c r="H19" s="7" t="n">
        <v>45.47</v>
      </c>
      <c r="I19" s="7" t="n">
        <v>52.44</v>
      </c>
      <c r="J19" s="7" t="n">
        <v>58.78</v>
      </c>
      <c r="K19" s="10" t="n">
        <v>27.3</v>
      </c>
      <c r="L19" s="7" t="n">
        <v>51.91</v>
      </c>
    </row>
    <row r="20" ht="15" customHeight="1">
      <c r="A20" s="13" t="n">
        <v>46196</v>
      </c>
      <c r="B20" s="7" t="n">
        <v>51.42</v>
      </c>
      <c r="C20" s="8" t="n">
        <v>63.76</v>
      </c>
      <c r="D20" s="7" t="n">
        <v>55.68</v>
      </c>
      <c r="E20" s="7" t="n">
        <v>38.2</v>
      </c>
      <c r="F20" s="7" t="n">
        <v>46.98</v>
      </c>
      <c r="G20" s="7" t="n">
        <v>55.31</v>
      </c>
      <c r="H20" s="7" t="n">
        <v>41.46</v>
      </c>
      <c r="I20" s="7" t="n">
        <v>48.98</v>
      </c>
      <c r="J20" s="7" t="n">
        <v>54.63</v>
      </c>
      <c r="K20" s="10" t="n">
        <v>28.96</v>
      </c>
      <c r="L20" s="7" t="n">
        <v>53.29</v>
      </c>
    </row>
    <row r="21" ht="15" customHeight="1">
      <c r="A21" s="13" t="n">
        <v>46195</v>
      </c>
      <c r="B21" s="8" t="n">
        <v>60.28</v>
      </c>
      <c r="C21" s="8" t="n">
        <v>62.44</v>
      </c>
      <c r="D21" s="7" t="n">
        <v>49.74</v>
      </c>
      <c r="E21" s="7" t="n">
        <v>35.73</v>
      </c>
      <c r="F21" s="7" t="n">
        <v>52.06</v>
      </c>
      <c r="G21" s="8" t="n">
        <v>64.47</v>
      </c>
      <c r="H21" s="7" t="n">
        <v>44.18</v>
      </c>
      <c r="I21" s="7" t="n">
        <v>40.35</v>
      </c>
      <c r="J21" s="7" t="n">
        <v>51.24</v>
      </c>
      <c r="K21" s="10" t="n">
        <v>26.63</v>
      </c>
      <c r="L21" s="7" t="n">
        <v>47.05</v>
      </c>
    </row>
    <row r="22" ht="15" customHeight="1">
      <c r="A22" s="13" t="n">
        <v>46192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15" customHeight="1">
      <c r="A23" s="13" t="n">
        <v>46191</v>
      </c>
      <c r="B23" s="7" t="n">
        <v>59.71</v>
      </c>
      <c r="C23" s="8" t="n">
        <v>61.5</v>
      </c>
      <c r="D23" s="7" t="n">
        <v>47.71</v>
      </c>
      <c r="E23" s="7" t="n">
        <v>33.95</v>
      </c>
      <c r="F23" s="7" t="n">
        <v>53.42</v>
      </c>
      <c r="G23" s="8" t="n">
        <v>63.09</v>
      </c>
      <c r="H23" s="7" t="n">
        <v>49.88</v>
      </c>
      <c r="I23" s="7" t="n">
        <v>45.55</v>
      </c>
      <c r="J23" s="7" t="n">
        <v>51.65</v>
      </c>
      <c r="K23" s="7" t="n">
        <v>32.97</v>
      </c>
      <c r="L23" s="7" t="n">
        <v>45.29</v>
      </c>
    </row>
    <row r="24" ht="15" customHeight="1">
      <c r="A24" s="13" t="n">
        <v>46190</v>
      </c>
      <c r="B24" s="7" t="n">
        <v>54.89</v>
      </c>
      <c r="C24" s="8" t="n">
        <v>67.28</v>
      </c>
      <c r="D24" s="7" t="n">
        <v>51.54</v>
      </c>
      <c r="E24" s="7" t="n">
        <v>36.89</v>
      </c>
      <c r="F24" s="7" t="n">
        <v>54.9</v>
      </c>
      <c r="G24" s="8" t="n">
        <v>61.01</v>
      </c>
      <c r="H24" s="7" t="n">
        <v>44.91</v>
      </c>
      <c r="I24" s="7" t="n">
        <v>47.48</v>
      </c>
      <c r="J24" s="7" t="n">
        <v>48.8</v>
      </c>
      <c r="K24" s="7" t="n">
        <v>31.51</v>
      </c>
      <c r="L24" s="7" t="n">
        <v>46.27</v>
      </c>
    </row>
    <row r="25" ht="15" customHeight="1">
      <c r="A25" s="13" t="n">
        <v>46189</v>
      </c>
      <c r="B25" s="7" t="n">
        <v>55.59</v>
      </c>
      <c r="C25" s="9" t="n">
        <v>71.16</v>
      </c>
      <c r="D25" s="7" t="n">
        <v>59.03</v>
      </c>
      <c r="E25" s="7" t="n">
        <v>39.32</v>
      </c>
      <c r="F25" s="8" t="n">
        <v>60.02</v>
      </c>
      <c r="G25" s="8" t="n">
        <v>61.63</v>
      </c>
      <c r="H25" s="7" t="n">
        <v>53.7</v>
      </c>
      <c r="I25" s="7" t="n">
        <v>59.16</v>
      </c>
      <c r="J25" s="7" t="n">
        <v>54.8</v>
      </c>
      <c r="K25" s="7" t="n">
        <v>42.17</v>
      </c>
      <c r="L25" s="7" t="n">
        <v>58.27</v>
      </c>
    </row>
    <row r="26" ht="15" customHeight="1">
      <c r="A26" s="13" t="n">
        <v>46188</v>
      </c>
      <c r="B26" s="8" t="n">
        <v>61.7</v>
      </c>
      <c r="C26" s="8" t="n">
        <v>66.42</v>
      </c>
      <c r="D26" s="7" t="n">
        <v>58.91</v>
      </c>
      <c r="E26" s="7" t="n">
        <v>39.99</v>
      </c>
      <c r="F26" s="7" t="n">
        <v>58.9</v>
      </c>
      <c r="G26" s="7" t="n">
        <v>59.87</v>
      </c>
      <c r="H26" s="7" t="n">
        <v>54.06</v>
      </c>
      <c r="I26" s="7" t="n">
        <v>58.62</v>
      </c>
      <c r="J26" s="7" t="n">
        <v>51.87</v>
      </c>
      <c r="K26" s="7" t="n">
        <v>41.4</v>
      </c>
      <c r="L26" s="7" t="n">
        <v>57.27</v>
      </c>
    </row>
    <row r="27" ht="15" customHeight="1">
      <c r="A27" s="13" t="n">
        <v>46185</v>
      </c>
      <c r="B27" s="7" t="n">
        <v>55.8</v>
      </c>
      <c r="C27" s="8" t="n">
        <v>64.94</v>
      </c>
      <c r="D27" s="8" t="n">
        <v>62.13</v>
      </c>
      <c r="E27" s="7" t="n">
        <v>48.02</v>
      </c>
      <c r="F27" s="7" t="n">
        <v>57.28</v>
      </c>
      <c r="G27" s="7" t="n">
        <v>55.87</v>
      </c>
      <c r="H27" s="7" t="n">
        <v>48.23</v>
      </c>
      <c r="I27" s="8" t="n">
        <v>60.95</v>
      </c>
      <c r="J27" s="7" t="n">
        <v>49.89</v>
      </c>
      <c r="K27" s="7" t="n">
        <v>38.24</v>
      </c>
      <c r="L27" s="8" t="n">
        <v>61.91</v>
      </c>
    </row>
    <row r="28" ht="15" customHeight="1">
      <c r="A28" s="13" t="n">
        <v>46184</v>
      </c>
      <c r="B28" s="7" t="n">
        <v>54.32</v>
      </c>
      <c r="C28" s="7" t="n">
        <v>59.48</v>
      </c>
      <c r="D28" s="8" t="n">
        <v>63.11</v>
      </c>
      <c r="E28" s="7" t="n">
        <v>45.85</v>
      </c>
      <c r="F28" s="7" t="n">
        <v>52.03</v>
      </c>
      <c r="G28" s="7" t="n">
        <v>54.11</v>
      </c>
      <c r="H28" s="7" t="n">
        <v>47.28</v>
      </c>
      <c r="I28" s="7" t="n">
        <v>58.47</v>
      </c>
      <c r="J28" s="7" t="n">
        <v>45.1</v>
      </c>
      <c r="K28" s="7" t="n">
        <v>39.98</v>
      </c>
      <c r="L28" s="7" t="n">
        <v>58.16</v>
      </c>
    </row>
    <row r="29" ht="15" customHeight="1">
      <c r="A29" s="13" t="n">
        <v>46183</v>
      </c>
      <c r="B29" s="7" t="n">
        <v>47.54</v>
      </c>
      <c r="C29" s="7" t="n">
        <v>56.04</v>
      </c>
      <c r="D29" s="8" t="n">
        <v>60.56</v>
      </c>
      <c r="E29" s="7" t="n">
        <v>51.04</v>
      </c>
      <c r="F29" s="7" t="n">
        <v>40.6</v>
      </c>
      <c r="G29" s="7" t="n">
        <v>42.89</v>
      </c>
      <c r="H29" s="7" t="n">
        <v>37.32</v>
      </c>
      <c r="I29" s="7" t="n">
        <v>59.88</v>
      </c>
      <c r="J29" s="7" t="n">
        <v>44.59</v>
      </c>
      <c r="K29" s="7" t="n">
        <v>33.32</v>
      </c>
      <c r="L29" s="7" t="n">
        <v>59.02</v>
      </c>
    </row>
    <row r="30" ht="15" customHeight="1">
      <c r="A30" s="13" t="n">
        <v>46182</v>
      </c>
      <c r="B30" s="7" t="n">
        <v>52.05</v>
      </c>
      <c r="C30" s="7" t="n">
        <v>58.77</v>
      </c>
      <c r="D30" s="8" t="n">
        <v>66.47</v>
      </c>
      <c r="E30" s="7" t="n">
        <v>46.78</v>
      </c>
      <c r="F30" s="7" t="n">
        <v>48.33</v>
      </c>
      <c r="G30" s="7" t="n">
        <v>56.86</v>
      </c>
      <c r="H30" s="7" t="n">
        <v>43.84</v>
      </c>
      <c r="I30" s="7" t="n">
        <v>53.25</v>
      </c>
      <c r="J30" s="7" t="n">
        <v>44.39</v>
      </c>
      <c r="K30" s="7" t="n">
        <v>34.84</v>
      </c>
      <c r="L30" s="7" t="n">
        <v>58.86</v>
      </c>
    </row>
    <row r="31" ht="15" customHeight="1">
      <c r="A31" s="13" t="n">
        <v>46181</v>
      </c>
      <c r="B31" s="7" t="n">
        <v>56.13</v>
      </c>
      <c r="C31" s="7" t="n">
        <v>54.37</v>
      </c>
      <c r="D31" s="8" t="n">
        <v>62.7</v>
      </c>
      <c r="E31" s="7" t="n">
        <v>51.32</v>
      </c>
      <c r="F31" s="7" t="n">
        <v>41.12</v>
      </c>
      <c r="G31" s="7" t="n">
        <v>52.05</v>
      </c>
      <c r="H31" s="7" t="n">
        <v>41.94</v>
      </c>
      <c r="I31" s="7" t="n">
        <v>47.25</v>
      </c>
      <c r="J31" s="7" t="n">
        <v>39.93</v>
      </c>
      <c r="K31" s="7" t="n">
        <v>32.47</v>
      </c>
      <c r="L31" s="7" t="n">
        <v>50.36</v>
      </c>
    </row>
    <row r="32" ht="15" customHeight="1">
      <c r="A32" s="13" t="n">
        <v>46178</v>
      </c>
      <c r="B32" s="7" t="n">
        <v>52.17</v>
      </c>
      <c r="C32" s="7" t="n">
        <v>58.26</v>
      </c>
      <c r="D32" s="8" t="n">
        <v>63.95</v>
      </c>
      <c r="E32" s="7" t="n">
        <v>48.03</v>
      </c>
      <c r="F32" s="7" t="n">
        <v>46.06</v>
      </c>
      <c r="G32" s="7" t="n">
        <v>53.6</v>
      </c>
      <c r="H32" s="7" t="n">
        <v>39.85</v>
      </c>
      <c r="I32" s="7" t="n">
        <v>49.36</v>
      </c>
      <c r="J32" s="7" t="n">
        <v>46.14</v>
      </c>
      <c r="K32" s="7" t="n">
        <v>34.19</v>
      </c>
      <c r="L32" s="7" t="n">
        <v>58.34</v>
      </c>
    </row>
    <row r="33" ht="15" customHeight="1">
      <c r="A33" s="13" t="n">
        <v>46177</v>
      </c>
      <c r="B33" s="9" t="n">
        <v>72.22</v>
      </c>
      <c r="C33" s="7" t="n">
        <v>57.31</v>
      </c>
      <c r="D33" s="8" t="n">
        <v>62.13</v>
      </c>
      <c r="E33" s="7" t="n">
        <v>53.52</v>
      </c>
      <c r="F33" s="7" t="n">
        <v>55.12</v>
      </c>
      <c r="G33" s="7" t="n">
        <v>59.53</v>
      </c>
      <c r="H33" s="7" t="n">
        <v>46.94</v>
      </c>
      <c r="I33" s="7" t="n">
        <v>39.91</v>
      </c>
      <c r="J33" s="7" t="n">
        <v>42</v>
      </c>
      <c r="K33" s="7" t="n">
        <v>38.94</v>
      </c>
      <c r="L33" s="7" t="n">
        <v>55.4</v>
      </c>
    </row>
    <row r="34" ht="15" customHeight="1">
      <c r="A34" s="13" t="n">
        <v>46176</v>
      </c>
      <c r="B34" s="9" t="n">
        <v>78.92</v>
      </c>
      <c r="C34" s="7" t="n">
        <v>42.9</v>
      </c>
      <c r="D34" s="7" t="n">
        <v>50.97</v>
      </c>
      <c r="E34" s="7" t="n">
        <v>53.34</v>
      </c>
      <c r="F34" s="7" t="n">
        <v>55.22</v>
      </c>
      <c r="G34" s="7" t="n">
        <v>54.56</v>
      </c>
      <c r="H34" s="7" t="n">
        <v>44.93</v>
      </c>
      <c r="I34" s="7" t="n">
        <v>40.52</v>
      </c>
      <c r="J34" s="7" t="n">
        <v>39.58</v>
      </c>
      <c r="K34" s="7" t="n">
        <v>32.73</v>
      </c>
      <c r="L34" s="7" t="n">
        <v>44.65</v>
      </c>
    </row>
    <row r="35" ht="15" customHeight="1">
      <c r="A35" s="13" t="n">
        <v>46175</v>
      </c>
      <c r="B35" s="9" t="n">
        <v>83.58</v>
      </c>
      <c r="C35" s="7" t="n">
        <v>49.89</v>
      </c>
      <c r="D35" s="7" t="n">
        <v>47.3</v>
      </c>
      <c r="E35" s="7" t="n">
        <v>49.89</v>
      </c>
      <c r="F35" s="7" t="n">
        <v>54.36</v>
      </c>
      <c r="G35" s="7" t="n">
        <v>54.97</v>
      </c>
      <c r="H35" s="7" t="n">
        <v>47.65</v>
      </c>
      <c r="I35" s="7" t="n">
        <v>38.13</v>
      </c>
      <c r="J35" s="7" t="n">
        <v>40.89</v>
      </c>
      <c r="K35" s="7" t="n">
        <v>37.91</v>
      </c>
      <c r="L35" s="7" t="n">
        <v>44.37</v>
      </c>
    </row>
    <row r="36" ht="15" customHeight="1">
      <c r="A36" s="13" t="n">
        <v>46174</v>
      </c>
      <c r="B36" s="9" t="n">
        <v>82.38</v>
      </c>
      <c r="C36" s="7" t="n">
        <v>49.51</v>
      </c>
      <c r="D36" s="7" t="n">
        <v>51.8</v>
      </c>
      <c r="E36" s="7" t="n">
        <v>46.68</v>
      </c>
      <c r="F36" s="7" t="n">
        <v>49.43</v>
      </c>
      <c r="G36" s="7" t="n">
        <v>50.49</v>
      </c>
      <c r="H36" s="7" t="n">
        <v>49.59</v>
      </c>
      <c r="I36" s="7" t="n">
        <v>39.01</v>
      </c>
      <c r="J36" s="7" t="n">
        <v>32.12</v>
      </c>
      <c r="K36" s="7" t="n">
        <v>47.48</v>
      </c>
      <c r="L36" s="7" t="n">
        <v>41.34</v>
      </c>
    </row>
    <row r="37" ht="15" customHeight="1">
      <c r="A37" s="13" t="n">
        <v>46171</v>
      </c>
      <c r="B37" s="9" t="n">
        <v>79.73</v>
      </c>
      <c r="C37" s="7" t="n">
        <v>51.35</v>
      </c>
      <c r="D37" s="7" t="n">
        <v>57.56</v>
      </c>
      <c r="E37" s="7" t="n">
        <v>41.33</v>
      </c>
      <c r="F37" s="7" t="n">
        <v>51.41</v>
      </c>
      <c r="G37" s="7" t="n">
        <v>52.47</v>
      </c>
      <c r="H37" s="7" t="n">
        <v>59.69</v>
      </c>
      <c r="I37" s="7" t="n">
        <v>43.07</v>
      </c>
      <c r="J37" s="7" t="n">
        <v>41.56</v>
      </c>
      <c r="K37" s="7" t="n">
        <v>47.92</v>
      </c>
      <c r="L37" s="7" t="n">
        <v>49.54</v>
      </c>
    </row>
    <row r="38" ht="15" customHeight="1">
      <c r="A38" s="13" t="n">
        <v>46170</v>
      </c>
      <c r="B38" s="9" t="n">
        <v>76.90000000000001</v>
      </c>
      <c r="C38" s="7" t="n">
        <v>47.6</v>
      </c>
      <c r="D38" s="8" t="n">
        <v>63.2</v>
      </c>
      <c r="E38" s="7" t="n">
        <v>44.01</v>
      </c>
      <c r="F38" s="7" t="n">
        <v>53.21</v>
      </c>
      <c r="G38" s="7" t="n">
        <v>54.28</v>
      </c>
      <c r="H38" s="8" t="n">
        <v>65.16</v>
      </c>
      <c r="I38" s="7" t="n">
        <v>51.69</v>
      </c>
      <c r="J38" s="7" t="n">
        <v>43.45</v>
      </c>
      <c r="K38" s="7" t="n">
        <v>53.56</v>
      </c>
      <c r="L38" s="7" t="n">
        <v>55.5</v>
      </c>
    </row>
    <row r="39" ht="15" customHeight="1">
      <c r="A39" s="13" t="n">
        <v>46169</v>
      </c>
      <c r="B39" s="9" t="n">
        <v>75.01000000000001</v>
      </c>
      <c r="C39" s="7" t="n">
        <v>49.31</v>
      </c>
      <c r="D39" s="7" t="n">
        <v>57.46</v>
      </c>
      <c r="E39" s="7" t="n">
        <v>44.17</v>
      </c>
      <c r="F39" s="7" t="n">
        <v>51.87</v>
      </c>
      <c r="G39" s="7" t="n">
        <v>55.61</v>
      </c>
      <c r="H39" s="8" t="n">
        <v>63.84</v>
      </c>
      <c r="I39" s="7" t="n">
        <v>52.65</v>
      </c>
      <c r="J39" s="7" t="n">
        <v>48.41</v>
      </c>
      <c r="K39" s="7" t="n">
        <v>51.33</v>
      </c>
      <c r="L39" s="7" t="n">
        <v>58.95</v>
      </c>
    </row>
    <row r="40" ht="15" customHeight="1">
      <c r="A40" s="13" t="n">
        <v>46168</v>
      </c>
      <c r="B40" s="9" t="n">
        <v>76.72</v>
      </c>
      <c r="C40" s="7" t="n">
        <v>54.52</v>
      </c>
      <c r="D40" s="7" t="n">
        <v>56.62</v>
      </c>
      <c r="E40" s="7" t="n">
        <v>47.65</v>
      </c>
      <c r="F40" s="7" t="n">
        <v>50.47</v>
      </c>
      <c r="G40" s="7" t="n">
        <v>55.61</v>
      </c>
      <c r="H40" s="7" t="n">
        <v>57.72</v>
      </c>
      <c r="I40" s="7" t="n">
        <v>46.81</v>
      </c>
      <c r="J40" s="7" t="n">
        <v>50.4</v>
      </c>
      <c r="K40" s="7" t="n">
        <v>47.27</v>
      </c>
      <c r="L40" s="8" t="n">
        <v>60.21</v>
      </c>
    </row>
    <row r="41" ht="15" customHeight="1">
      <c r="A41" s="13" t="n">
        <v>46164</v>
      </c>
      <c r="B41" s="9" t="n">
        <v>72.89</v>
      </c>
      <c r="C41" s="7" t="n">
        <v>55.67</v>
      </c>
      <c r="D41" s="8" t="n">
        <v>62.26</v>
      </c>
      <c r="E41" s="7" t="n">
        <v>55.39</v>
      </c>
      <c r="F41" s="7" t="n">
        <v>45.01</v>
      </c>
      <c r="G41" s="7" t="n">
        <v>50.3</v>
      </c>
      <c r="H41" s="7" t="n">
        <v>56.85</v>
      </c>
      <c r="I41" s="7" t="n">
        <v>54.5</v>
      </c>
      <c r="J41" s="7" t="n">
        <v>50.6</v>
      </c>
      <c r="K41" s="7" t="n">
        <v>46.74</v>
      </c>
      <c r="L41" s="7" t="n">
        <v>58.67</v>
      </c>
    </row>
    <row r="42" ht="15" customHeight="1">
      <c r="A42" s="13" t="n">
        <v>46163</v>
      </c>
      <c r="B42" s="9" t="n">
        <v>71.23999999999999</v>
      </c>
      <c r="C42" s="7" t="n">
        <v>53.56</v>
      </c>
      <c r="D42" s="7" t="n">
        <v>57.28</v>
      </c>
      <c r="E42" s="7" t="n">
        <v>53.86</v>
      </c>
      <c r="F42" s="7" t="n">
        <v>42.76</v>
      </c>
      <c r="G42" s="7" t="n">
        <v>47.43</v>
      </c>
      <c r="H42" s="7" t="n">
        <v>55.33</v>
      </c>
      <c r="I42" s="7" t="n">
        <v>53.65</v>
      </c>
      <c r="J42" s="7" t="n">
        <v>47.14</v>
      </c>
      <c r="K42" s="7" t="n">
        <v>50.02</v>
      </c>
      <c r="L42" s="7" t="n">
        <v>58.06</v>
      </c>
    </row>
    <row r="43" ht="15" customHeight="1">
      <c r="A43" s="13" t="n">
        <v>46162</v>
      </c>
      <c r="B43" s="8" t="n">
        <v>69.84</v>
      </c>
      <c r="C43" s="7" t="n">
        <v>52.86</v>
      </c>
      <c r="D43" s="7" t="n">
        <v>53.97</v>
      </c>
      <c r="E43" s="7" t="n">
        <v>57.25</v>
      </c>
      <c r="F43" s="7" t="n">
        <v>40.22</v>
      </c>
      <c r="G43" s="7" t="n">
        <v>47.84</v>
      </c>
      <c r="H43" s="7" t="n">
        <v>52.89</v>
      </c>
      <c r="I43" s="8" t="n">
        <v>60.02</v>
      </c>
      <c r="J43" s="7" t="n">
        <v>41.83</v>
      </c>
      <c r="K43" s="7" t="n">
        <v>50.02</v>
      </c>
      <c r="L43" s="7" t="n">
        <v>57.39</v>
      </c>
    </row>
    <row r="44" ht="15" customHeight="1">
      <c r="A44" s="13" t="n">
        <v>46161</v>
      </c>
      <c r="B44" s="8" t="n">
        <v>65.73</v>
      </c>
      <c r="C44" s="7" t="n">
        <v>46.97</v>
      </c>
      <c r="D44" s="7" t="n">
        <v>54.7</v>
      </c>
      <c r="E44" s="8" t="n">
        <v>65.78</v>
      </c>
      <c r="F44" s="7" t="n">
        <v>34.08</v>
      </c>
      <c r="G44" s="7" t="n">
        <v>43.28</v>
      </c>
      <c r="H44" s="7" t="n">
        <v>41.53</v>
      </c>
      <c r="I44" s="8" t="n">
        <v>64.73999999999999</v>
      </c>
      <c r="J44" s="7" t="n">
        <v>39.89</v>
      </c>
      <c r="K44" s="7" t="n">
        <v>48.81</v>
      </c>
      <c r="L44" s="7" t="n">
        <v>52.41</v>
      </c>
    </row>
    <row r="45" ht="15" customHeight="1">
      <c r="A45" s="13" t="n">
        <v>46160</v>
      </c>
      <c r="B45" s="8" t="n">
        <v>68.20999999999999</v>
      </c>
      <c r="C45" s="7" t="n">
        <v>54.15</v>
      </c>
      <c r="D45" s="7" t="n">
        <v>49.33</v>
      </c>
      <c r="E45" s="8" t="n">
        <v>63.37</v>
      </c>
      <c r="F45" s="7" t="n">
        <v>40.84</v>
      </c>
      <c r="G45" s="7" t="n">
        <v>47.15</v>
      </c>
      <c r="H45" s="7" t="n">
        <v>46.11</v>
      </c>
      <c r="I45" s="8" t="n">
        <v>63.86</v>
      </c>
      <c r="J45" s="7" t="n">
        <v>35.16</v>
      </c>
      <c r="K45" s="7" t="n">
        <v>54.34</v>
      </c>
      <c r="L45" s="7" t="n">
        <v>50.33</v>
      </c>
    </row>
    <row r="46" ht="15" customHeight="1">
      <c r="A46" s="13" t="n">
        <v>46157</v>
      </c>
      <c r="B46" s="9" t="n">
        <v>72.53</v>
      </c>
      <c r="C46" s="7" t="n">
        <v>46.56</v>
      </c>
      <c r="D46" s="7" t="n">
        <v>47.07</v>
      </c>
      <c r="E46" s="7" t="n">
        <v>59.05</v>
      </c>
      <c r="F46" s="7" t="n">
        <v>41.36</v>
      </c>
      <c r="G46" s="7" t="n">
        <v>48.45</v>
      </c>
      <c r="H46" s="7" t="n">
        <v>46.89</v>
      </c>
      <c r="I46" s="7" t="n">
        <v>57.29</v>
      </c>
      <c r="J46" s="7" t="n">
        <v>34.32</v>
      </c>
      <c r="K46" s="7" t="n">
        <v>50.17</v>
      </c>
      <c r="L46" s="7" t="n">
        <v>44.09</v>
      </c>
    </row>
    <row r="47" ht="15" customHeight="1">
      <c r="A47" s="13" t="n">
        <v>46156</v>
      </c>
      <c r="B47" s="9" t="n">
        <v>80.61</v>
      </c>
      <c r="C47" s="7" t="n">
        <v>48.79</v>
      </c>
      <c r="D47" s="7" t="n">
        <v>52.43</v>
      </c>
      <c r="E47" s="7" t="n">
        <v>52.86</v>
      </c>
      <c r="F47" s="7" t="n">
        <v>51.77</v>
      </c>
      <c r="G47" s="7" t="n">
        <v>55.22</v>
      </c>
      <c r="H47" s="7" t="n">
        <v>55.84</v>
      </c>
      <c r="I47" s="8" t="n">
        <v>60.03</v>
      </c>
      <c r="J47" s="7" t="n">
        <v>41.7</v>
      </c>
      <c r="K47" s="7" t="n">
        <v>55.56</v>
      </c>
      <c r="L47" s="7" t="n">
        <v>52.02</v>
      </c>
    </row>
    <row r="48" ht="15" customHeight="1">
      <c r="A48" s="13" t="n">
        <v>46155</v>
      </c>
      <c r="B48" s="9" t="n">
        <v>78.81999999999999</v>
      </c>
      <c r="C48" s="7" t="n">
        <v>44.92</v>
      </c>
      <c r="D48" s="7" t="n">
        <v>52.72</v>
      </c>
      <c r="E48" s="7" t="n">
        <v>50.63</v>
      </c>
      <c r="F48" s="7" t="n">
        <v>55.45</v>
      </c>
      <c r="G48" s="7" t="n">
        <v>53.49</v>
      </c>
      <c r="H48" s="7" t="n">
        <v>56.07</v>
      </c>
      <c r="I48" s="7" t="n">
        <v>58.62</v>
      </c>
      <c r="J48" s="7" t="n">
        <v>38.98</v>
      </c>
      <c r="K48" s="7" t="n">
        <v>54</v>
      </c>
      <c r="L48" s="7" t="n">
        <v>56.16</v>
      </c>
    </row>
    <row r="49" ht="15" customHeight="1">
      <c r="A49" s="13" t="n">
        <v>46154</v>
      </c>
      <c r="B49" s="9" t="n">
        <v>77.62</v>
      </c>
      <c r="C49" s="7" t="n">
        <v>52.1</v>
      </c>
      <c r="D49" s="7" t="n">
        <v>49.94</v>
      </c>
      <c r="E49" s="7" t="n">
        <v>50.34</v>
      </c>
      <c r="F49" s="7" t="n">
        <v>56.22</v>
      </c>
      <c r="G49" s="7" t="n">
        <v>55.11</v>
      </c>
      <c r="H49" s="7" t="n">
        <v>54.56</v>
      </c>
      <c r="I49" s="7" t="n">
        <v>57.12</v>
      </c>
      <c r="J49" s="7" t="n">
        <v>43.22</v>
      </c>
      <c r="K49" s="7" t="n">
        <v>49.79</v>
      </c>
      <c r="L49" s="8" t="n">
        <v>61.78</v>
      </c>
    </row>
    <row r="50" ht="15" customHeight="1">
      <c r="A50" s="13" t="n">
        <v>46153</v>
      </c>
      <c r="B50" s="9" t="n">
        <v>84.84999999999999</v>
      </c>
      <c r="C50" s="7" t="n">
        <v>46.74</v>
      </c>
      <c r="D50" s="7" t="n">
        <v>39.08</v>
      </c>
      <c r="E50" s="7" t="n">
        <v>48.41</v>
      </c>
      <c r="F50" s="7" t="n">
        <v>57.32</v>
      </c>
      <c r="G50" s="7" t="n">
        <v>56.61</v>
      </c>
      <c r="H50" s="7" t="n">
        <v>59.32</v>
      </c>
      <c r="I50" s="7" t="n">
        <v>50.77</v>
      </c>
      <c r="J50" s="7" t="n">
        <v>42.66</v>
      </c>
      <c r="K50" s="7" t="n">
        <v>48.43</v>
      </c>
      <c r="L50" s="8" t="n">
        <v>61.68</v>
      </c>
    </row>
    <row r="51" ht="15" customHeight="1">
      <c r="A51" s="13" t="n">
        <v>46150</v>
      </c>
      <c r="B51" s="9" t="n">
        <v>83.59999999999999</v>
      </c>
      <c r="C51" s="7" t="n">
        <v>47.48</v>
      </c>
      <c r="D51" s="7" t="n">
        <v>40.39</v>
      </c>
      <c r="E51" s="7" t="n">
        <v>40.57</v>
      </c>
      <c r="F51" s="7" t="n">
        <v>52.5</v>
      </c>
      <c r="G51" s="7" t="n">
        <v>53.47</v>
      </c>
      <c r="H51" s="8" t="n">
        <v>63.25</v>
      </c>
      <c r="I51" s="7" t="n">
        <v>56.67</v>
      </c>
      <c r="J51" s="7" t="n">
        <v>37.92</v>
      </c>
      <c r="K51" s="7" t="n">
        <v>55.19</v>
      </c>
      <c r="L51" s="8" t="n">
        <v>60.19</v>
      </c>
    </row>
    <row r="52" ht="15" customHeight="1">
      <c r="A52" s="13" t="n">
        <v>46149</v>
      </c>
      <c r="B52" s="9" t="n">
        <v>79.78</v>
      </c>
      <c r="C52" s="7" t="n">
        <v>51.38</v>
      </c>
      <c r="D52" s="7" t="n">
        <v>44.12</v>
      </c>
      <c r="E52" s="7" t="n">
        <v>41.57</v>
      </c>
      <c r="F52" s="7" t="n">
        <v>51.05</v>
      </c>
      <c r="G52" s="7" t="n">
        <v>55.08</v>
      </c>
      <c r="H52" s="8" t="n">
        <v>62.35</v>
      </c>
      <c r="I52" s="7" t="n">
        <v>55.48</v>
      </c>
      <c r="J52" s="7" t="n">
        <v>40.91</v>
      </c>
      <c r="K52" s="7" t="n">
        <v>57.6</v>
      </c>
      <c r="L52" s="8" t="n">
        <v>60.1</v>
      </c>
    </row>
    <row r="53" ht="15" customHeight="1">
      <c r="A53" s="13" t="n">
        <v>46148</v>
      </c>
      <c r="B53" s="9" t="n">
        <v>80.8</v>
      </c>
      <c r="C53" s="7" t="n">
        <v>55.33</v>
      </c>
      <c r="D53" s="7" t="n">
        <v>46.32</v>
      </c>
      <c r="E53" s="7" t="n">
        <v>45.98</v>
      </c>
      <c r="F53" s="8" t="n">
        <v>60.13</v>
      </c>
      <c r="G53" s="8" t="n">
        <v>61.22</v>
      </c>
      <c r="H53" s="8" t="n">
        <v>62.33</v>
      </c>
      <c r="I53" s="7" t="n">
        <v>57.38</v>
      </c>
      <c r="J53" s="7" t="n">
        <v>45.87</v>
      </c>
      <c r="K53" s="7" t="n">
        <v>57.49</v>
      </c>
      <c r="L53" s="8" t="n">
        <v>64.73</v>
      </c>
    </row>
    <row r="54" ht="15" customHeight="1">
      <c r="A54" s="13" t="n">
        <v>46147</v>
      </c>
      <c r="B54" s="9" t="n">
        <v>77.31999999999999</v>
      </c>
      <c r="C54" s="7" t="n">
        <v>52.4</v>
      </c>
      <c r="D54" s="7" t="n">
        <v>45.95</v>
      </c>
      <c r="E54" s="7" t="n">
        <v>59.72</v>
      </c>
      <c r="F54" s="7" t="n">
        <v>53.43</v>
      </c>
      <c r="G54" s="7" t="n">
        <v>53.78</v>
      </c>
      <c r="H54" s="7" t="n">
        <v>57.29</v>
      </c>
      <c r="I54" s="7" t="n">
        <v>56.42</v>
      </c>
      <c r="J54" s="7" t="n">
        <v>52.48</v>
      </c>
      <c r="K54" s="7" t="n">
        <v>50.1</v>
      </c>
      <c r="L54" s="7" t="n">
        <v>59.93</v>
      </c>
    </row>
    <row r="55" ht="15" customHeight="1">
      <c r="A55" s="13" t="n">
        <v>46146</v>
      </c>
      <c r="B55" s="9" t="n">
        <v>73.70999999999999</v>
      </c>
      <c r="C55" s="7" t="n">
        <v>52.29</v>
      </c>
      <c r="D55" s="7" t="n">
        <v>43.92</v>
      </c>
      <c r="E55" s="7" t="n">
        <v>59.44</v>
      </c>
      <c r="F55" s="7" t="n">
        <v>44.82</v>
      </c>
      <c r="G55" s="7" t="n">
        <v>50.99</v>
      </c>
      <c r="H55" s="7" t="n">
        <v>56.23</v>
      </c>
      <c r="I55" s="7" t="n">
        <v>53.62</v>
      </c>
      <c r="J55" s="7" t="n">
        <v>52.48</v>
      </c>
      <c r="K55" s="7" t="n">
        <v>52.41</v>
      </c>
      <c r="L55" s="7" t="n">
        <v>59.11</v>
      </c>
    </row>
    <row r="56" ht="15" customHeight="1">
      <c r="A56" s="13" t="n">
        <v>46143</v>
      </c>
      <c r="B56" s="9" t="n">
        <v>73.51000000000001</v>
      </c>
      <c r="C56" s="7" t="n">
        <v>56.65</v>
      </c>
      <c r="D56" s="7" t="n">
        <v>45.1</v>
      </c>
      <c r="E56" s="7" t="n">
        <v>56.98</v>
      </c>
      <c r="F56" s="7" t="n">
        <v>51.91</v>
      </c>
      <c r="G56" s="7" t="n">
        <v>55.29</v>
      </c>
      <c r="H56" s="7" t="n">
        <v>59.8</v>
      </c>
      <c r="I56" s="7" t="n">
        <v>57.8</v>
      </c>
      <c r="J56" s="7" t="n">
        <v>54.32</v>
      </c>
      <c r="K56" s="7" t="n">
        <v>55.55</v>
      </c>
      <c r="L56" s="8" t="n">
        <v>62.25</v>
      </c>
    </row>
    <row r="57" ht="15" customHeight="1">
      <c r="A57" s="13" t="n">
        <v>46142</v>
      </c>
      <c r="B57" s="9" t="n">
        <v>70.84999999999999</v>
      </c>
      <c r="C57" s="7" t="n">
        <v>59.5</v>
      </c>
      <c r="D57" s="7" t="n">
        <v>47.4</v>
      </c>
      <c r="E57" s="8" t="n">
        <v>62.17</v>
      </c>
      <c r="F57" s="7" t="n">
        <v>53.25</v>
      </c>
      <c r="G57" s="7" t="n">
        <v>59.08</v>
      </c>
      <c r="H57" s="7" t="n">
        <v>59.06</v>
      </c>
      <c r="I57" s="7" t="n">
        <v>58.74</v>
      </c>
      <c r="J57" s="7" t="n">
        <v>57.44</v>
      </c>
      <c r="K57" s="7" t="n">
        <v>54.7</v>
      </c>
      <c r="L57" s="8" t="n">
        <v>63.29</v>
      </c>
    </row>
    <row r="58" ht="15" customHeight="1">
      <c r="A58" s="13" t="n">
        <v>46141</v>
      </c>
      <c r="B58" s="9" t="n">
        <v>70.39</v>
      </c>
      <c r="C58" s="7" t="n">
        <v>57.52</v>
      </c>
      <c r="D58" s="7" t="n">
        <v>35.89</v>
      </c>
      <c r="E58" s="7" t="n">
        <v>59.52</v>
      </c>
      <c r="F58" s="7" t="n">
        <v>47.94</v>
      </c>
      <c r="G58" s="7" t="n">
        <v>49.94</v>
      </c>
      <c r="H58" s="7" t="n">
        <v>54.89</v>
      </c>
      <c r="I58" s="7" t="n">
        <v>51.43</v>
      </c>
      <c r="J58" s="7" t="n">
        <v>46.27</v>
      </c>
      <c r="K58" s="7" t="n">
        <v>49.47</v>
      </c>
      <c r="L58" s="7" t="n">
        <v>56.95</v>
      </c>
    </row>
    <row r="59" ht="15" customHeight="1">
      <c r="A59" s="13" t="n">
        <v>46140</v>
      </c>
      <c r="B59" s="8" t="n">
        <v>68.94</v>
      </c>
      <c r="C59" s="7" t="n">
        <v>56.86</v>
      </c>
      <c r="D59" s="7" t="n">
        <v>38.37</v>
      </c>
      <c r="E59" s="7" t="n">
        <v>53.01</v>
      </c>
      <c r="F59" s="7" t="n">
        <v>52.74</v>
      </c>
      <c r="G59" s="7" t="n">
        <v>52.39</v>
      </c>
      <c r="H59" s="7" t="n">
        <v>55.48</v>
      </c>
      <c r="I59" s="7" t="n">
        <v>52.43</v>
      </c>
      <c r="J59" s="7" t="n">
        <v>52.5</v>
      </c>
      <c r="K59" s="7" t="n">
        <v>51.55</v>
      </c>
      <c r="L59" s="8" t="n">
        <v>60.39</v>
      </c>
    </row>
    <row r="60" ht="15" customHeight="1">
      <c r="A60" s="13" t="n">
        <v>46139</v>
      </c>
      <c r="B60" s="9" t="n">
        <v>76.47</v>
      </c>
      <c r="C60" s="7" t="n">
        <v>56.51</v>
      </c>
      <c r="D60" s="7" t="n">
        <v>36.83</v>
      </c>
      <c r="E60" s="7" t="n">
        <v>47.41</v>
      </c>
      <c r="F60" s="7" t="n">
        <v>57.34</v>
      </c>
      <c r="G60" s="7" t="n">
        <v>56.12</v>
      </c>
      <c r="H60" s="7" t="n">
        <v>58.33</v>
      </c>
      <c r="I60" s="7" t="n">
        <v>48.13</v>
      </c>
      <c r="J60" s="7" t="n">
        <v>51.87</v>
      </c>
      <c r="K60" s="7" t="n">
        <v>51.81</v>
      </c>
      <c r="L60" s="7" t="n">
        <v>56.6</v>
      </c>
    </row>
    <row r="61" ht="15" customHeight="1">
      <c r="A61" s="13" t="n">
        <v>46136</v>
      </c>
      <c r="B61" s="9" t="n">
        <v>76.16</v>
      </c>
      <c r="C61" s="7" t="n">
        <v>53.01</v>
      </c>
      <c r="D61" s="7" t="n">
        <v>38.52</v>
      </c>
      <c r="E61" s="7" t="n">
        <v>47.98</v>
      </c>
      <c r="F61" s="7" t="n">
        <v>59.1</v>
      </c>
      <c r="G61" s="7" t="n">
        <v>56.05</v>
      </c>
      <c r="H61" s="8" t="n">
        <v>61.32</v>
      </c>
      <c r="I61" s="7" t="n">
        <v>53.53</v>
      </c>
      <c r="J61" s="7" t="n">
        <v>51.77</v>
      </c>
      <c r="K61" s="7" t="n">
        <v>50.76</v>
      </c>
      <c r="L61" s="8" t="n">
        <v>60.98</v>
      </c>
    </row>
    <row r="62" ht="15" customHeight="1">
      <c r="A62" s="13" t="n">
        <v>46135</v>
      </c>
      <c r="B62" s="9" t="n">
        <v>71.83</v>
      </c>
      <c r="C62" s="7" t="n">
        <v>57.17</v>
      </c>
      <c r="D62" s="7" t="n">
        <v>43.87</v>
      </c>
      <c r="E62" s="7" t="n">
        <v>48.57</v>
      </c>
      <c r="F62" s="7" t="n">
        <v>58.17</v>
      </c>
      <c r="G62" s="7" t="n">
        <v>59.9</v>
      </c>
      <c r="H62" s="7" t="n">
        <v>59.14</v>
      </c>
      <c r="I62" s="7" t="n">
        <v>55.14</v>
      </c>
      <c r="J62" s="7" t="n">
        <v>50.92</v>
      </c>
      <c r="K62" s="7" t="n">
        <v>58.97</v>
      </c>
      <c r="L62" s="8" t="n">
        <v>62.71</v>
      </c>
    </row>
    <row r="63" ht="15" customHeight="1">
      <c r="A63" s="13" t="n">
        <v>46134</v>
      </c>
      <c r="B63" s="9" t="n">
        <v>78.64</v>
      </c>
      <c r="C63" s="8" t="n">
        <v>62.06</v>
      </c>
      <c r="D63" s="7" t="n">
        <v>44.26</v>
      </c>
      <c r="E63" s="7" t="n">
        <v>46.11</v>
      </c>
      <c r="F63" s="7" t="n">
        <v>58.39</v>
      </c>
      <c r="G63" s="7" t="n">
        <v>54.38</v>
      </c>
      <c r="H63" s="8" t="n">
        <v>63.29</v>
      </c>
      <c r="I63" s="7" t="n">
        <v>47.02</v>
      </c>
      <c r="J63" s="7" t="n">
        <v>36.96</v>
      </c>
      <c r="K63" s="8" t="n">
        <v>61.42</v>
      </c>
      <c r="L63" s="7" t="n">
        <v>58.52</v>
      </c>
    </row>
    <row r="64" ht="15" customHeight="1">
      <c r="A64" s="13" t="n">
        <v>46133</v>
      </c>
      <c r="B64" s="9" t="n">
        <v>75.36</v>
      </c>
      <c r="C64" s="8" t="n">
        <v>63.16</v>
      </c>
      <c r="D64" s="7" t="n">
        <v>42.71</v>
      </c>
      <c r="E64" s="7" t="n">
        <v>42.19</v>
      </c>
      <c r="F64" s="7" t="n">
        <v>57.94</v>
      </c>
      <c r="G64" s="7" t="n">
        <v>55.32</v>
      </c>
      <c r="H64" s="8" t="n">
        <v>63.43</v>
      </c>
      <c r="I64" s="7" t="n">
        <v>45.2</v>
      </c>
      <c r="J64" s="7" t="n">
        <v>37.61</v>
      </c>
      <c r="K64" s="7" t="n">
        <v>59.11</v>
      </c>
      <c r="L64" s="8" t="n">
        <v>62.71</v>
      </c>
    </row>
    <row r="65" ht="15" customHeight="1">
      <c r="A65" s="13" t="n">
        <v>46132</v>
      </c>
      <c r="B65" s="9" t="n">
        <v>75.23</v>
      </c>
      <c r="C65" s="8" t="n">
        <v>67.22</v>
      </c>
      <c r="D65" s="7" t="n">
        <v>46.62</v>
      </c>
      <c r="E65" s="7" t="n">
        <v>37.13</v>
      </c>
      <c r="F65" s="8" t="n">
        <v>62.84</v>
      </c>
      <c r="G65" s="8" t="n">
        <v>61.32</v>
      </c>
      <c r="H65" s="8" t="n">
        <v>66.47</v>
      </c>
      <c r="I65" s="7" t="n">
        <v>48.33</v>
      </c>
      <c r="J65" s="7" t="n">
        <v>44.97</v>
      </c>
      <c r="K65" s="8" t="n">
        <v>67.39</v>
      </c>
      <c r="L65" s="9" t="n">
        <v>76.34</v>
      </c>
    </row>
    <row r="66" ht="15" customHeight="1">
      <c r="A66" s="13" t="n">
        <v>46129</v>
      </c>
      <c r="B66" s="9" t="n">
        <v>75.02</v>
      </c>
      <c r="C66" s="8" t="n">
        <v>65.98999999999999</v>
      </c>
      <c r="D66" s="7" t="n">
        <v>50.58</v>
      </c>
      <c r="E66" s="7" t="n">
        <v>36.81</v>
      </c>
      <c r="F66" s="8" t="n">
        <v>60.48</v>
      </c>
      <c r="G66" s="8" t="n">
        <v>60.69</v>
      </c>
      <c r="H66" s="8" t="n">
        <v>68.3</v>
      </c>
      <c r="I66" s="7" t="n">
        <v>48.73</v>
      </c>
      <c r="J66" s="7" t="n">
        <v>49.59</v>
      </c>
      <c r="K66" s="8" t="n">
        <v>69.38</v>
      </c>
      <c r="L66" s="9" t="n">
        <v>75.41</v>
      </c>
    </row>
    <row r="67" ht="15" customHeight="1">
      <c r="A67" s="13" t="n">
        <v>46128</v>
      </c>
      <c r="B67" s="9" t="n">
        <v>72.69</v>
      </c>
      <c r="C67" s="8" t="n">
        <v>63.44</v>
      </c>
      <c r="D67" s="7" t="n">
        <v>43.51</v>
      </c>
      <c r="E67" s="7" t="n">
        <v>43.2</v>
      </c>
      <c r="F67" s="7" t="n">
        <v>59.59</v>
      </c>
      <c r="G67" s="7" t="n">
        <v>55.18</v>
      </c>
      <c r="H67" s="8" t="n">
        <v>63.51</v>
      </c>
      <c r="I67" s="7" t="n">
        <v>42.21</v>
      </c>
      <c r="J67" s="7" t="n">
        <v>51.88</v>
      </c>
      <c r="K67" s="8" t="n">
        <v>68.72</v>
      </c>
      <c r="L67" s="9" t="n">
        <v>71.02</v>
      </c>
    </row>
    <row r="68" ht="15" customHeight="1">
      <c r="A68" s="13" t="n">
        <v>46127</v>
      </c>
      <c r="B68" s="9" t="n">
        <v>70.81999999999999</v>
      </c>
      <c r="C68" s="8" t="n">
        <v>65.03</v>
      </c>
      <c r="D68" s="7" t="n">
        <v>46.81</v>
      </c>
      <c r="E68" s="7" t="n">
        <v>37.94</v>
      </c>
      <c r="F68" s="7" t="n">
        <v>57.04</v>
      </c>
      <c r="G68" s="7" t="n">
        <v>57.17</v>
      </c>
      <c r="H68" s="8" t="n">
        <v>65.31999999999999</v>
      </c>
      <c r="I68" s="7" t="n">
        <v>39.65</v>
      </c>
      <c r="J68" s="7" t="n">
        <v>48</v>
      </c>
      <c r="K68" s="8" t="n">
        <v>64.89</v>
      </c>
      <c r="L68" s="8" t="n">
        <v>67.83</v>
      </c>
    </row>
    <row r="69" ht="15" customHeight="1">
      <c r="A69" s="13" t="n">
        <v>46126</v>
      </c>
      <c r="B69" s="8" t="n">
        <v>68.04000000000001</v>
      </c>
      <c r="C69" s="8" t="n">
        <v>62.61</v>
      </c>
      <c r="D69" s="7" t="n">
        <v>50.02</v>
      </c>
      <c r="E69" s="7" t="n">
        <v>38.71</v>
      </c>
      <c r="F69" s="8" t="n">
        <v>63.35</v>
      </c>
      <c r="G69" s="8" t="n">
        <v>62.51</v>
      </c>
      <c r="H69" s="8" t="n">
        <v>62.14</v>
      </c>
      <c r="I69" s="7" t="n">
        <v>41.54</v>
      </c>
      <c r="J69" s="7" t="n">
        <v>53.45</v>
      </c>
      <c r="K69" s="8" t="n">
        <v>62.57</v>
      </c>
      <c r="L69" s="8" t="n">
        <v>68.17</v>
      </c>
    </row>
    <row r="70" ht="15" customHeight="1">
      <c r="A70" s="13" t="n">
        <v>46125</v>
      </c>
      <c r="B70" s="8" t="n">
        <v>64.97</v>
      </c>
      <c r="C70" s="8" t="n">
        <v>61.86</v>
      </c>
      <c r="D70" s="7" t="n">
        <v>47.3</v>
      </c>
      <c r="E70" s="7" t="n">
        <v>43.76</v>
      </c>
      <c r="F70" s="8" t="n">
        <v>65.27</v>
      </c>
      <c r="G70" s="8" t="n">
        <v>61.56</v>
      </c>
      <c r="H70" s="7" t="n">
        <v>56.82</v>
      </c>
      <c r="I70" s="7" t="n">
        <v>41.9</v>
      </c>
      <c r="J70" s="7" t="n">
        <v>52.56</v>
      </c>
      <c r="K70" s="7" t="n">
        <v>56.81</v>
      </c>
      <c r="L70" s="8" t="n">
        <v>64.73</v>
      </c>
    </row>
    <row r="71" ht="15" customHeight="1">
      <c r="A71" s="13" t="n">
        <v>46122</v>
      </c>
      <c r="B71" s="8" t="n">
        <v>60.45</v>
      </c>
      <c r="C71" s="7" t="n">
        <v>55.73</v>
      </c>
      <c r="D71" s="7" t="n">
        <v>45.16</v>
      </c>
      <c r="E71" s="7" t="n">
        <v>42.74</v>
      </c>
      <c r="F71" s="8" t="n">
        <v>63.98</v>
      </c>
      <c r="G71" s="7" t="n">
        <v>59.71</v>
      </c>
      <c r="H71" s="7" t="n">
        <v>54.39</v>
      </c>
      <c r="I71" s="7" t="n">
        <v>45.71</v>
      </c>
      <c r="J71" s="8" t="n">
        <v>60.17</v>
      </c>
      <c r="K71" s="7" t="n">
        <v>53.49</v>
      </c>
      <c r="L71" s="8" t="n">
        <v>62.9</v>
      </c>
    </row>
    <row r="72" ht="15" customHeight="1">
      <c r="A72" s="13" t="n">
        <v>46121</v>
      </c>
      <c r="B72" s="7" t="n">
        <v>59.56</v>
      </c>
      <c r="C72" s="8" t="n">
        <v>61.51</v>
      </c>
      <c r="D72" s="7" t="n">
        <v>51.03</v>
      </c>
      <c r="E72" s="7" t="n">
        <v>44.45</v>
      </c>
      <c r="F72" s="8" t="n">
        <v>62.34</v>
      </c>
      <c r="G72" s="8" t="n">
        <v>61.23</v>
      </c>
      <c r="H72" s="7" t="n">
        <v>54.04</v>
      </c>
      <c r="I72" s="7" t="n">
        <v>51.41</v>
      </c>
      <c r="J72" s="8" t="n">
        <v>62.99</v>
      </c>
      <c r="K72" s="7" t="n">
        <v>54.93</v>
      </c>
      <c r="L72" s="8" t="n">
        <v>62.09</v>
      </c>
    </row>
    <row r="73" ht="15" customHeight="1">
      <c r="A73" s="13" t="n">
        <v>46120</v>
      </c>
      <c r="B73" s="7" t="n">
        <v>58.96</v>
      </c>
      <c r="C73" s="8" t="n">
        <v>60.63</v>
      </c>
      <c r="D73" s="7" t="n">
        <v>52.08</v>
      </c>
      <c r="E73" s="7" t="n">
        <v>47.72</v>
      </c>
      <c r="F73" s="8" t="n">
        <v>63.07</v>
      </c>
      <c r="G73" s="7" t="n">
        <v>58.67</v>
      </c>
      <c r="H73" s="7" t="n">
        <v>49.42</v>
      </c>
      <c r="I73" s="7" t="n">
        <v>47.65</v>
      </c>
      <c r="J73" s="7" t="n">
        <v>59.56</v>
      </c>
      <c r="K73" s="7" t="n">
        <v>53.25</v>
      </c>
      <c r="L73" s="7" t="n">
        <v>59.41</v>
      </c>
    </row>
    <row r="74" ht="15" customHeight="1">
      <c r="A74" s="13" t="n">
        <v>46119</v>
      </c>
      <c r="B74" s="7" t="n">
        <v>51.56</v>
      </c>
      <c r="C74" s="7" t="n">
        <v>49.81</v>
      </c>
      <c r="D74" s="7" t="n">
        <v>41.9</v>
      </c>
      <c r="E74" s="7" t="n">
        <v>59.67</v>
      </c>
      <c r="F74" s="7" t="n">
        <v>52.11</v>
      </c>
      <c r="G74" s="7" t="n">
        <v>47.34</v>
      </c>
      <c r="H74" s="7" t="n">
        <v>40.63</v>
      </c>
      <c r="I74" s="7" t="n">
        <v>37.44</v>
      </c>
      <c r="J74" s="7" t="n">
        <v>54.12</v>
      </c>
      <c r="K74" s="7" t="n">
        <v>45</v>
      </c>
      <c r="L74" s="7" t="n">
        <v>51.51</v>
      </c>
    </row>
    <row r="75" ht="15" customHeight="1">
      <c r="A75" s="13" t="n">
        <v>46118</v>
      </c>
      <c r="B75" s="7" t="n">
        <v>50.29</v>
      </c>
      <c r="C75" s="7" t="n">
        <v>49.81</v>
      </c>
      <c r="D75" s="7" t="n">
        <v>40.8</v>
      </c>
      <c r="E75" s="7" t="n">
        <v>57.42</v>
      </c>
      <c r="F75" s="7" t="n">
        <v>53.35</v>
      </c>
      <c r="G75" s="7" t="n">
        <v>48</v>
      </c>
      <c r="H75" s="7" t="n">
        <v>43.55</v>
      </c>
      <c r="I75" s="7" t="n">
        <v>44.93</v>
      </c>
      <c r="J75" s="7" t="n">
        <v>52.97</v>
      </c>
      <c r="K75" s="7" t="n">
        <v>44.73</v>
      </c>
      <c r="L75" s="7" t="n">
        <v>52.04</v>
      </c>
    </row>
    <row r="76" ht="15" customHeight="1">
      <c r="A76" s="13" t="n">
        <v>46115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15" customHeight="1">
      <c r="A77" s="13" t="n">
        <v>46114</v>
      </c>
      <c r="B77" s="7" t="n">
        <v>48.78</v>
      </c>
      <c r="C77" s="7" t="n">
        <v>46.45</v>
      </c>
      <c r="D77" s="7" t="n">
        <v>42.15</v>
      </c>
      <c r="E77" s="7" t="n">
        <v>55.34</v>
      </c>
      <c r="F77" s="7" t="n">
        <v>54.98</v>
      </c>
      <c r="G77" s="7" t="n">
        <v>46.24</v>
      </c>
      <c r="H77" s="7" t="n">
        <v>40.78</v>
      </c>
      <c r="I77" s="7" t="n">
        <v>38.66</v>
      </c>
      <c r="J77" s="7" t="n">
        <v>55.16</v>
      </c>
      <c r="K77" s="7" t="n">
        <v>44.47</v>
      </c>
      <c r="L77" s="7" t="n">
        <v>50.28</v>
      </c>
    </row>
    <row r="78" ht="15" customHeight="1">
      <c r="A78" s="13" t="n">
        <v>46113</v>
      </c>
      <c r="B78" s="7" t="n">
        <v>46.71</v>
      </c>
      <c r="C78" s="7" t="n">
        <v>45.58</v>
      </c>
      <c r="D78" s="7" t="n">
        <v>44.52</v>
      </c>
      <c r="E78" s="7" t="n">
        <v>53.99</v>
      </c>
      <c r="F78" s="7" t="n">
        <v>55.4</v>
      </c>
      <c r="G78" s="7" t="n">
        <v>47.41</v>
      </c>
      <c r="H78" s="7" t="n">
        <v>44.55</v>
      </c>
      <c r="I78" s="7" t="n">
        <v>34.82</v>
      </c>
      <c r="J78" s="7" t="n">
        <v>52.71</v>
      </c>
      <c r="K78" s="7" t="n">
        <v>42.57</v>
      </c>
      <c r="L78" s="7" t="n">
        <v>41.54</v>
      </c>
    </row>
    <row r="79" ht="15" customHeight="1">
      <c r="A79" s="13" t="n">
        <v>46112</v>
      </c>
      <c r="B79" s="7" t="n">
        <v>42.73</v>
      </c>
      <c r="C79" s="7" t="n">
        <v>44.93</v>
      </c>
      <c r="D79" s="7" t="n">
        <v>40.76</v>
      </c>
      <c r="E79" s="9" t="n">
        <v>70.16</v>
      </c>
      <c r="F79" s="7" t="n">
        <v>52.11</v>
      </c>
      <c r="G79" s="7" t="n">
        <v>41.83</v>
      </c>
      <c r="H79" s="7" t="n">
        <v>42.08</v>
      </c>
      <c r="I79" s="7" t="n">
        <v>37.45</v>
      </c>
      <c r="J79" s="7" t="n">
        <v>50.29</v>
      </c>
      <c r="K79" s="7" t="n">
        <v>41.03</v>
      </c>
      <c r="L79" s="7" t="n">
        <v>39.75</v>
      </c>
    </row>
    <row r="80" ht="15" customHeight="1">
      <c r="A80" s="13" t="n">
        <v>46111</v>
      </c>
      <c r="B80" s="10" t="n">
        <v>29.59</v>
      </c>
      <c r="C80" s="7" t="n">
        <v>34.5</v>
      </c>
      <c r="D80" s="10" t="n">
        <v>29.74</v>
      </c>
      <c r="E80" s="9" t="n">
        <v>76.69</v>
      </c>
      <c r="F80" s="7" t="n">
        <v>45.37</v>
      </c>
      <c r="G80" s="10" t="n">
        <v>28.45</v>
      </c>
      <c r="H80" s="7" t="n">
        <v>30.4</v>
      </c>
      <c r="I80" s="7" t="n">
        <v>36.6</v>
      </c>
      <c r="J80" s="7" t="n">
        <v>50.62</v>
      </c>
      <c r="K80" s="10" t="n">
        <v>27.16</v>
      </c>
      <c r="L80" s="10" t="n">
        <v>29.4</v>
      </c>
    </row>
    <row r="81" ht="15" customHeight="1">
      <c r="A81" s="13" t="n">
        <v>46108</v>
      </c>
      <c r="B81" s="7" t="n">
        <v>32.72</v>
      </c>
      <c r="C81" s="10" t="n">
        <v>27.56</v>
      </c>
      <c r="D81" s="10" t="n">
        <v>27.22</v>
      </c>
      <c r="E81" s="9" t="n">
        <v>82.81</v>
      </c>
      <c r="F81" s="7" t="n">
        <v>43.88</v>
      </c>
      <c r="G81" s="7" t="n">
        <v>31.89</v>
      </c>
      <c r="H81" s="7" t="n">
        <v>30.43</v>
      </c>
      <c r="I81" s="7" t="n">
        <v>35.78</v>
      </c>
      <c r="J81" s="7" t="n">
        <v>47.11</v>
      </c>
      <c r="K81" s="10" t="n">
        <v>21.74</v>
      </c>
      <c r="L81" s="10" t="n">
        <v>25.56</v>
      </c>
    </row>
    <row r="82" ht="15" customHeight="1">
      <c r="A82" s="13" t="n">
        <v>46107</v>
      </c>
      <c r="B82" s="7" t="n">
        <v>36.53</v>
      </c>
      <c r="C82" s="7" t="n">
        <v>35.41</v>
      </c>
      <c r="D82" s="7" t="n">
        <v>31.93</v>
      </c>
      <c r="E82" s="9" t="n">
        <v>80.28</v>
      </c>
      <c r="F82" s="7" t="n">
        <v>45.02</v>
      </c>
      <c r="G82" s="7" t="n">
        <v>35.04</v>
      </c>
      <c r="H82" s="7" t="n">
        <v>36.45</v>
      </c>
      <c r="I82" s="7" t="n">
        <v>30.45</v>
      </c>
      <c r="J82" s="7" t="n">
        <v>44.2</v>
      </c>
      <c r="K82" s="10" t="n">
        <v>25.07</v>
      </c>
      <c r="L82" s="10" t="n">
        <v>27.5</v>
      </c>
    </row>
    <row r="83" ht="15" customHeight="1">
      <c r="A83" s="13" t="n">
        <v>46106</v>
      </c>
      <c r="B83" s="7" t="n">
        <v>44.49</v>
      </c>
      <c r="C83" s="7" t="n">
        <v>37.75</v>
      </c>
      <c r="D83" s="7" t="n">
        <v>33</v>
      </c>
      <c r="E83" s="9" t="n">
        <v>77.45</v>
      </c>
      <c r="F83" s="7" t="n">
        <v>47.05</v>
      </c>
      <c r="G83" s="7" t="n">
        <v>42.2</v>
      </c>
      <c r="H83" s="7" t="n">
        <v>40.99</v>
      </c>
      <c r="I83" s="7" t="n">
        <v>31.87</v>
      </c>
      <c r="J83" s="7" t="n">
        <v>43.31</v>
      </c>
      <c r="K83" s="7" t="n">
        <v>31.81</v>
      </c>
      <c r="L83" s="10" t="n">
        <v>27.14</v>
      </c>
    </row>
    <row r="84" ht="15" customHeight="1">
      <c r="A84" s="13" t="n">
        <v>46105</v>
      </c>
      <c r="B84" s="7" t="n">
        <v>42.83</v>
      </c>
      <c r="C84" s="7" t="n">
        <v>36.95</v>
      </c>
      <c r="D84" s="10" t="n">
        <v>26.36</v>
      </c>
      <c r="E84" s="9" t="n">
        <v>80.48999999999999</v>
      </c>
      <c r="F84" s="7" t="n">
        <v>39.45</v>
      </c>
      <c r="G84" s="7" t="n">
        <v>38.87</v>
      </c>
      <c r="H84" s="7" t="n">
        <v>36.96</v>
      </c>
      <c r="I84" s="10" t="n">
        <v>28.52</v>
      </c>
      <c r="J84" s="7" t="n">
        <v>41.58</v>
      </c>
      <c r="K84" s="10" t="n">
        <v>29.74</v>
      </c>
      <c r="L84" s="10" t="n">
        <v>27.26</v>
      </c>
    </row>
    <row r="85" ht="15" customHeight="1">
      <c r="A85" s="13" t="n">
        <v>46104</v>
      </c>
      <c r="B85" s="7" t="n">
        <v>44.45</v>
      </c>
      <c r="C85" s="7" t="n">
        <v>36.83</v>
      </c>
      <c r="D85" s="10" t="n">
        <v>26.26</v>
      </c>
      <c r="E85" s="9" t="n">
        <v>76.69</v>
      </c>
      <c r="F85" s="7" t="n">
        <v>30.8</v>
      </c>
      <c r="G85" s="7" t="n">
        <v>35.91</v>
      </c>
      <c r="H85" s="7" t="n">
        <v>37.97</v>
      </c>
      <c r="I85" s="10" t="n">
        <v>28.75</v>
      </c>
      <c r="J85" s="7" t="n">
        <v>38.19</v>
      </c>
      <c r="K85" s="7" t="n">
        <v>34.72</v>
      </c>
      <c r="L85" s="10" t="n">
        <v>29.39</v>
      </c>
    </row>
    <row r="86" ht="15" customHeight="1">
      <c r="A86" s="13" t="n">
        <v>46101</v>
      </c>
      <c r="B86" s="7" t="n">
        <v>40.1</v>
      </c>
      <c r="C86" s="7" t="n">
        <v>34.53</v>
      </c>
      <c r="D86" s="10" t="n">
        <v>27.16</v>
      </c>
      <c r="E86" s="9" t="n">
        <v>75.51000000000001</v>
      </c>
      <c r="F86" s="10" t="n">
        <v>24.45</v>
      </c>
      <c r="G86" s="7" t="n">
        <v>31.43</v>
      </c>
      <c r="H86" s="10" t="n">
        <v>28.11</v>
      </c>
      <c r="I86" s="10" t="n">
        <v>29.09</v>
      </c>
      <c r="J86" s="7" t="n">
        <v>36.76</v>
      </c>
      <c r="K86" s="7" t="n">
        <v>31.48</v>
      </c>
      <c r="L86" s="10" t="n">
        <v>28.92</v>
      </c>
    </row>
    <row r="87" ht="15" customHeight="1">
      <c r="A87" s="13" t="n">
        <v>46100</v>
      </c>
      <c r="B87" s="7" t="n">
        <v>46.49</v>
      </c>
      <c r="C87" s="7" t="n">
        <v>33.46</v>
      </c>
      <c r="D87" s="10" t="n">
        <v>29.29</v>
      </c>
      <c r="E87" s="9" t="n">
        <v>76.06999999999999</v>
      </c>
      <c r="F87" s="10" t="n">
        <v>27.58</v>
      </c>
      <c r="G87" s="7" t="n">
        <v>35.41</v>
      </c>
      <c r="H87" s="7" t="n">
        <v>32</v>
      </c>
      <c r="I87" s="7" t="n">
        <v>31.22</v>
      </c>
      <c r="J87" s="7" t="n">
        <v>53.46</v>
      </c>
      <c r="K87" s="7" t="n">
        <v>34.49</v>
      </c>
      <c r="L87" s="7" t="n">
        <v>39.78</v>
      </c>
    </row>
    <row r="88" ht="15" customHeight="1">
      <c r="A88" s="13" t="n">
        <v>46099</v>
      </c>
      <c r="B88" s="7" t="n">
        <v>45.28</v>
      </c>
      <c r="C88" s="7" t="n">
        <v>33.24</v>
      </c>
      <c r="D88" s="7" t="n">
        <v>30.2</v>
      </c>
      <c r="E88" s="9" t="n">
        <v>72.59</v>
      </c>
      <c r="F88" s="7" t="n">
        <v>31.19</v>
      </c>
      <c r="G88" s="7" t="n">
        <v>37.48</v>
      </c>
      <c r="H88" s="7" t="n">
        <v>33.94</v>
      </c>
      <c r="I88" s="7" t="n">
        <v>33.46</v>
      </c>
      <c r="J88" s="7" t="n">
        <v>55.82</v>
      </c>
      <c r="K88" s="7" t="n">
        <v>36.33</v>
      </c>
      <c r="L88" s="7" t="n">
        <v>40.85</v>
      </c>
    </row>
    <row r="89" ht="15" customHeight="1">
      <c r="A89" s="13" t="n">
        <v>46098</v>
      </c>
      <c r="B89" s="7" t="n">
        <v>48.72</v>
      </c>
      <c r="C89" s="7" t="n">
        <v>36.62</v>
      </c>
      <c r="D89" s="7" t="n">
        <v>34.95</v>
      </c>
      <c r="E89" s="9" t="n">
        <v>73.44</v>
      </c>
      <c r="F89" s="7" t="n">
        <v>37.63</v>
      </c>
      <c r="G89" s="7" t="n">
        <v>40.04</v>
      </c>
      <c r="H89" s="7" t="n">
        <v>40.81</v>
      </c>
      <c r="I89" s="7" t="n">
        <v>42.09</v>
      </c>
      <c r="J89" s="8" t="n">
        <v>61.11</v>
      </c>
      <c r="K89" s="7" t="n">
        <v>43.4</v>
      </c>
      <c r="L89" s="7" t="n">
        <v>49.51</v>
      </c>
    </row>
    <row r="90" ht="15" customHeight="1">
      <c r="A90" s="13" t="n">
        <v>46097</v>
      </c>
      <c r="B90" s="7" t="n">
        <v>46.92</v>
      </c>
      <c r="C90" s="7" t="n">
        <v>33.87</v>
      </c>
      <c r="D90" s="7" t="n">
        <v>37.99</v>
      </c>
      <c r="E90" s="9" t="n">
        <v>71.03</v>
      </c>
      <c r="F90" s="7" t="n">
        <v>36.22</v>
      </c>
      <c r="G90" s="7" t="n">
        <v>38.74</v>
      </c>
      <c r="H90" s="7" t="n">
        <v>36.31</v>
      </c>
      <c r="I90" s="7" t="n">
        <v>43.5</v>
      </c>
      <c r="J90" s="8" t="n">
        <v>62.91</v>
      </c>
      <c r="K90" s="7" t="n">
        <v>43.16</v>
      </c>
      <c r="L90" s="7" t="n">
        <v>47.44</v>
      </c>
    </row>
    <row r="91" ht="15" customHeight="1">
      <c r="A91" s="13" t="n">
        <v>46094</v>
      </c>
      <c r="B91" s="7" t="n">
        <v>41.98</v>
      </c>
      <c r="C91" s="10" t="n">
        <v>29.38</v>
      </c>
      <c r="D91" s="7" t="n">
        <v>33.18</v>
      </c>
      <c r="E91" s="9" t="n">
        <v>70.2</v>
      </c>
      <c r="F91" s="7" t="n">
        <v>33.79</v>
      </c>
      <c r="G91" s="7" t="n">
        <v>34.54</v>
      </c>
      <c r="H91" s="10" t="n">
        <v>29.51</v>
      </c>
      <c r="I91" s="7" t="n">
        <v>41.95</v>
      </c>
      <c r="J91" s="8" t="n">
        <v>60.42</v>
      </c>
      <c r="K91" s="7" t="n">
        <v>37.76</v>
      </c>
      <c r="L91" s="7" t="n">
        <v>42.26</v>
      </c>
    </row>
    <row r="92" ht="15" customHeight="1">
      <c r="A92" s="13" t="n">
        <v>46093</v>
      </c>
      <c r="B92" s="7" t="n">
        <v>43.97</v>
      </c>
      <c r="C92" s="10" t="n">
        <v>28.72</v>
      </c>
      <c r="D92" s="7" t="n">
        <v>33.92</v>
      </c>
      <c r="E92" s="8" t="n">
        <v>69.44</v>
      </c>
      <c r="F92" s="7" t="n">
        <v>36.83</v>
      </c>
      <c r="G92" s="7" t="n">
        <v>35.49</v>
      </c>
      <c r="H92" s="7" t="n">
        <v>31.03</v>
      </c>
      <c r="I92" s="7" t="n">
        <v>38.75</v>
      </c>
      <c r="J92" s="7" t="n">
        <v>56.22</v>
      </c>
      <c r="K92" s="7" t="n">
        <v>41.15</v>
      </c>
      <c r="L92" s="7" t="n">
        <v>40.45</v>
      </c>
    </row>
    <row r="93" ht="15" customHeight="1">
      <c r="A93" s="13" t="n">
        <v>46092</v>
      </c>
      <c r="B93" s="7" t="n">
        <v>49.41</v>
      </c>
      <c r="C93" s="7" t="n">
        <v>32.52</v>
      </c>
      <c r="D93" s="7" t="n">
        <v>39.94</v>
      </c>
      <c r="E93" s="8" t="n">
        <v>67.25</v>
      </c>
      <c r="F93" s="7" t="n">
        <v>37.86</v>
      </c>
      <c r="G93" s="7" t="n">
        <v>43.44</v>
      </c>
      <c r="H93" s="7" t="n">
        <v>38.27</v>
      </c>
      <c r="I93" s="7" t="n">
        <v>40.18</v>
      </c>
      <c r="J93" s="7" t="n">
        <v>52.89</v>
      </c>
      <c r="K93" s="7" t="n">
        <v>49.9</v>
      </c>
      <c r="L93" s="7" t="n">
        <v>43.57</v>
      </c>
    </row>
    <row r="94" ht="15" customHeight="1">
      <c r="A94" s="13" t="n">
        <v>46091</v>
      </c>
      <c r="B94" s="7" t="n">
        <v>47.86</v>
      </c>
      <c r="C94" s="7" t="n">
        <v>34.72</v>
      </c>
      <c r="D94" s="7" t="n">
        <v>40.68</v>
      </c>
      <c r="E94" s="8" t="n">
        <v>60.42</v>
      </c>
      <c r="F94" s="7" t="n">
        <v>38.11</v>
      </c>
      <c r="G94" s="7" t="n">
        <v>44.6</v>
      </c>
      <c r="H94" s="7" t="n">
        <v>39.25</v>
      </c>
      <c r="I94" s="7" t="n">
        <v>45.32</v>
      </c>
      <c r="J94" s="7" t="n">
        <v>57.7</v>
      </c>
      <c r="K94" s="7" t="n">
        <v>52.17</v>
      </c>
      <c r="L94" s="7" t="n">
        <v>50.4</v>
      </c>
    </row>
    <row r="95" ht="15" customHeight="1">
      <c r="A95" s="13" t="n">
        <v>46090</v>
      </c>
      <c r="B95" s="7" t="n">
        <v>47.86</v>
      </c>
      <c r="C95" s="7" t="n">
        <v>36.19</v>
      </c>
      <c r="D95" s="7" t="n">
        <v>43.48</v>
      </c>
      <c r="E95" s="8" t="n">
        <v>67.20999999999999</v>
      </c>
      <c r="F95" s="7" t="n">
        <v>38.76</v>
      </c>
      <c r="G95" s="7" t="n">
        <v>46.6</v>
      </c>
      <c r="H95" s="7" t="n">
        <v>39.72</v>
      </c>
      <c r="I95" s="7" t="n">
        <v>46.54</v>
      </c>
      <c r="J95" s="8" t="n">
        <v>61.57</v>
      </c>
      <c r="K95" s="7" t="n">
        <v>53.23</v>
      </c>
      <c r="L95" s="7" t="n">
        <v>51.28</v>
      </c>
    </row>
    <row r="96" ht="15" customHeight="1">
      <c r="A96" s="13" t="n">
        <v>46087</v>
      </c>
      <c r="B96" s="7" t="n">
        <v>42.24</v>
      </c>
      <c r="C96" s="7" t="n">
        <v>37.5</v>
      </c>
      <c r="D96" s="7" t="n">
        <v>37.91</v>
      </c>
      <c r="E96" s="8" t="n">
        <v>69.73999999999999</v>
      </c>
      <c r="F96" s="7" t="n">
        <v>37.59</v>
      </c>
      <c r="G96" s="7" t="n">
        <v>44.07</v>
      </c>
      <c r="H96" s="7" t="n">
        <v>39.04</v>
      </c>
      <c r="I96" s="7" t="n">
        <v>45.5</v>
      </c>
      <c r="J96" s="8" t="n">
        <v>60.64</v>
      </c>
      <c r="K96" s="7" t="n">
        <v>52.73</v>
      </c>
      <c r="L96" s="7" t="n">
        <v>50.07</v>
      </c>
    </row>
    <row r="97" ht="15" customHeight="1">
      <c r="A97" s="13" t="n">
        <v>46086</v>
      </c>
      <c r="B97" s="7" t="n">
        <v>47.84</v>
      </c>
      <c r="C97" s="7" t="n">
        <v>41.3</v>
      </c>
      <c r="D97" s="7" t="n">
        <v>40.81</v>
      </c>
      <c r="E97" s="8" t="n">
        <v>69.36</v>
      </c>
      <c r="F97" s="7" t="n">
        <v>43.31</v>
      </c>
      <c r="G97" s="7" t="n">
        <v>48.61</v>
      </c>
      <c r="H97" s="7" t="n">
        <v>45.75</v>
      </c>
      <c r="I97" s="7" t="n">
        <v>43.52</v>
      </c>
      <c r="J97" s="8" t="n">
        <v>62.69</v>
      </c>
      <c r="K97" s="7" t="n">
        <v>58.37</v>
      </c>
      <c r="L97" s="7" t="n">
        <v>56.6</v>
      </c>
    </row>
    <row r="98" ht="15" customHeight="1">
      <c r="A98" s="13" t="n">
        <v>46085</v>
      </c>
      <c r="B98" s="7" t="n">
        <v>47.08</v>
      </c>
      <c r="C98" s="7" t="n">
        <v>42.96</v>
      </c>
      <c r="D98" s="7" t="n">
        <v>50.01</v>
      </c>
      <c r="E98" s="8" t="n">
        <v>68.14</v>
      </c>
      <c r="F98" s="7" t="n">
        <v>51.48</v>
      </c>
      <c r="G98" s="7" t="n">
        <v>59.04</v>
      </c>
      <c r="H98" s="7" t="n">
        <v>45.09</v>
      </c>
      <c r="I98" s="7" t="n">
        <v>51.79</v>
      </c>
      <c r="J98" s="8" t="n">
        <v>67.59</v>
      </c>
      <c r="K98" s="8" t="n">
        <v>60.52</v>
      </c>
      <c r="L98" s="8" t="n">
        <v>63.82</v>
      </c>
    </row>
    <row r="99" ht="15" customHeight="1">
      <c r="A99" s="13" t="n">
        <v>46084</v>
      </c>
      <c r="B99" s="7" t="n">
        <v>41.59</v>
      </c>
      <c r="C99" s="7" t="n">
        <v>40.58</v>
      </c>
      <c r="D99" s="7" t="n">
        <v>48.95</v>
      </c>
      <c r="E99" s="9" t="n">
        <v>71.12</v>
      </c>
      <c r="F99" s="7" t="n">
        <v>51.64</v>
      </c>
      <c r="G99" s="7" t="n">
        <v>57.9</v>
      </c>
      <c r="H99" s="7" t="n">
        <v>35.82</v>
      </c>
      <c r="I99" s="7" t="n">
        <v>55.01</v>
      </c>
      <c r="J99" s="8" t="n">
        <v>66.27</v>
      </c>
      <c r="K99" s="7" t="n">
        <v>57.04</v>
      </c>
      <c r="L99" s="8" t="n">
        <v>63.2</v>
      </c>
    </row>
    <row r="100" ht="15" customHeight="1">
      <c r="A100" s="13" t="n">
        <v>46083</v>
      </c>
      <c r="B100" s="7" t="n">
        <v>45.4</v>
      </c>
      <c r="C100" s="7" t="n">
        <v>41.08</v>
      </c>
      <c r="D100" s="7" t="n">
        <v>55.2</v>
      </c>
      <c r="E100" s="9" t="n">
        <v>75.98</v>
      </c>
      <c r="F100" s="8" t="n">
        <v>64.23999999999999</v>
      </c>
      <c r="G100" s="8" t="n">
        <v>69.59999999999999</v>
      </c>
      <c r="H100" s="7" t="n">
        <v>39.01</v>
      </c>
      <c r="I100" s="8" t="n">
        <v>60.89</v>
      </c>
      <c r="J100" s="9" t="n">
        <v>70.27</v>
      </c>
      <c r="K100" s="7" t="n">
        <v>56.66</v>
      </c>
      <c r="L100" s="8" t="n">
        <v>67.13</v>
      </c>
    </row>
    <row r="101" ht="15" customHeight="1">
      <c r="A101" s="13" t="n">
        <v>46080</v>
      </c>
      <c r="B101" s="7" t="n">
        <v>43.57</v>
      </c>
      <c r="C101" s="7" t="n">
        <v>41.76</v>
      </c>
      <c r="D101" s="8" t="n">
        <v>62.07</v>
      </c>
      <c r="E101" s="9" t="n">
        <v>72.18000000000001</v>
      </c>
      <c r="F101" s="8" t="n">
        <v>66.06</v>
      </c>
      <c r="G101" s="8" t="n">
        <v>66.39</v>
      </c>
      <c r="H101" s="7" t="n">
        <v>43.95</v>
      </c>
      <c r="I101" s="9" t="n">
        <v>70.22</v>
      </c>
      <c r="J101" s="9" t="n">
        <v>75.33</v>
      </c>
      <c r="K101" s="7" t="n">
        <v>57.61</v>
      </c>
      <c r="L101" s="8" t="n">
        <v>66.43000000000001</v>
      </c>
    </row>
    <row r="102" ht="15" customHeight="1">
      <c r="A102" s="13" t="n">
        <v>46079</v>
      </c>
      <c r="B102" s="7" t="n">
        <v>47.88</v>
      </c>
      <c r="C102" s="7" t="n">
        <v>47.82</v>
      </c>
      <c r="D102" s="7" t="n">
        <v>53.04</v>
      </c>
      <c r="E102" s="8" t="n">
        <v>68.59999999999999</v>
      </c>
      <c r="F102" s="8" t="n">
        <v>63.6</v>
      </c>
      <c r="G102" s="8" t="n">
        <v>65.55</v>
      </c>
      <c r="H102" s="7" t="n">
        <v>44.64</v>
      </c>
      <c r="I102" s="8" t="n">
        <v>65.93000000000001</v>
      </c>
      <c r="J102" s="9" t="n">
        <v>72.52</v>
      </c>
      <c r="K102" s="7" t="n">
        <v>52.05</v>
      </c>
      <c r="L102" s="8" t="n">
        <v>64.56999999999999</v>
      </c>
    </row>
    <row r="103" ht="15" customHeight="1">
      <c r="A103" s="13" t="n">
        <v>46078</v>
      </c>
      <c r="B103" s="7" t="n">
        <v>52.13</v>
      </c>
      <c r="C103" s="7" t="n">
        <v>43.32</v>
      </c>
      <c r="D103" s="7" t="n">
        <v>54.83</v>
      </c>
      <c r="E103" s="8" t="n">
        <v>67.8</v>
      </c>
      <c r="F103" s="8" t="n">
        <v>64.23</v>
      </c>
      <c r="G103" s="8" t="n">
        <v>63.42</v>
      </c>
      <c r="H103" s="7" t="n">
        <v>44.78</v>
      </c>
      <c r="I103" s="8" t="n">
        <v>67.09999999999999</v>
      </c>
      <c r="J103" s="9" t="n">
        <v>75.12</v>
      </c>
      <c r="K103" s="7" t="n">
        <v>51.07</v>
      </c>
      <c r="L103" s="8" t="n">
        <v>62.85</v>
      </c>
    </row>
    <row r="104" ht="15" customHeight="1">
      <c r="A104" s="13" t="n">
        <v>46077</v>
      </c>
      <c r="B104" s="7" t="n">
        <v>46.15</v>
      </c>
      <c r="C104" s="7" t="n">
        <v>36.1</v>
      </c>
      <c r="D104" s="7" t="n">
        <v>55</v>
      </c>
      <c r="E104" s="8" t="n">
        <v>69.90000000000001</v>
      </c>
      <c r="F104" s="8" t="n">
        <v>67.34999999999999</v>
      </c>
      <c r="G104" s="8" t="n">
        <v>68.34999999999999</v>
      </c>
      <c r="H104" s="7" t="n">
        <v>43.36</v>
      </c>
      <c r="I104" s="9" t="n">
        <v>72.95999999999999</v>
      </c>
      <c r="J104" s="9" t="n">
        <v>74.37</v>
      </c>
      <c r="K104" s="7" t="n">
        <v>49.58</v>
      </c>
      <c r="L104" s="8" t="n">
        <v>67.5</v>
      </c>
    </row>
    <row r="105" ht="15" customHeight="1">
      <c r="A105" s="13" t="n">
        <v>46076</v>
      </c>
      <c r="B105" s="7" t="n">
        <v>41.62</v>
      </c>
      <c r="C105" s="7" t="n">
        <v>33.9</v>
      </c>
      <c r="D105" s="7" t="n">
        <v>57.74</v>
      </c>
      <c r="E105" s="9" t="n">
        <v>70.34999999999999</v>
      </c>
      <c r="F105" s="8" t="n">
        <v>65.26000000000001</v>
      </c>
      <c r="G105" s="8" t="n">
        <v>64.34</v>
      </c>
      <c r="H105" s="7" t="n">
        <v>35.66</v>
      </c>
      <c r="I105" s="9" t="n">
        <v>70.43000000000001</v>
      </c>
      <c r="J105" s="9" t="n">
        <v>71.77</v>
      </c>
      <c r="K105" s="7" t="n">
        <v>45.99</v>
      </c>
      <c r="L105" s="8" t="n">
        <v>66.55</v>
      </c>
    </row>
    <row r="106" ht="15" customHeight="1">
      <c r="A106" s="13" t="n">
        <v>46073</v>
      </c>
      <c r="B106" s="7" t="n">
        <v>46.37</v>
      </c>
      <c r="C106" s="7" t="n">
        <v>43.73</v>
      </c>
      <c r="D106" s="7" t="n">
        <v>52.03</v>
      </c>
      <c r="E106" s="8" t="n">
        <v>69.38</v>
      </c>
      <c r="F106" s="8" t="n">
        <v>65.26000000000001</v>
      </c>
      <c r="G106" s="9" t="n">
        <v>74.06</v>
      </c>
      <c r="H106" s="7" t="n">
        <v>43.35</v>
      </c>
      <c r="I106" s="8" t="n">
        <v>66.33</v>
      </c>
      <c r="J106" s="8" t="n">
        <v>69.86</v>
      </c>
      <c r="K106" s="7" t="n">
        <v>52.2</v>
      </c>
      <c r="L106" s="8" t="n">
        <v>66.17</v>
      </c>
    </row>
    <row r="107" ht="15" customHeight="1">
      <c r="A107" s="13" t="n">
        <v>46072</v>
      </c>
      <c r="B107" s="7" t="n">
        <v>44.71</v>
      </c>
      <c r="C107" s="7" t="n">
        <v>40.64</v>
      </c>
      <c r="D107" s="7" t="n">
        <v>53.76</v>
      </c>
      <c r="E107" s="9" t="n">
        <v>71.8</v>
      </c>
      <c r="F107" s="8" t="n">
        <v>64.63</v>
      </c>
      <c r="G107" s="9" t="n">
        <v>72.64</v>
      </c>
      <c r="H107" s="7" t="n">
        <v>37.17</v>
      </c>
      <c r="I107" s="8" t="n">
        <v>65.43000000000001</v>
      </c>
      <c r="J107" s="8" t="n">
        <v>68.62</v>
      </c>
      <c r="K107" s="7" t="n">
        <v>44.12</v>
      </c>
      <c r="L107" s="8" t="n">
        <v>63.36</v>
      </c>
    </row>
    <row r="108" ht="15" customHeight="1">
      <c r="A108" s="13" t="n">
        <v>46071</v>
      </c>
      <c r="B108" s="7" t="n">
        <v>46.1</v>
      </c>
      <c r="C108" s="7" t="n">
        <v>43.51</v>
      </c>
      <c r="D108" s="7" t="n">
        <v>55.35</v>
      </c>
      <c r="E108" s="9" t="n">
        <v>70.52</v>
      </c>
      <c r="F108" s="8" t="n">
        <v>66.27</v>
      </c>
      <c r="G108" s="9" t="n">
        <v>70.44</v>
      </c>
      <c r="H108" s="7" t="n">
        <v>39.77</v>
      </c>
      <c r="I108" s="8" t="n">
        <v>68.3</v>
      </c>
      <c r="J108" s="8" t="n">
        <v>65.64</v>
      </c>
      <c r="K108" s="7" t="n">
        <v>41.06</v>
      </c>
      <c r="L108" s="8" t="n">
        <v>65.45999999999999</v>
      </c>
    </row>
    <row r="109" ht="15" customHeight="1">
      <c r="A109" s="13" t="n">
        <v>46070</v>
      </c>
      <c r="B109" s="7" t="n">
        <v>42.73</v>
      </c>
      <c r="C109" s="7" t="n">
        <v>40.03</v>
      </c>
      <c r="D109" s="7" t="n">
        <v>54.43</v>
      </c>
      <c r="E109" s="8" t="n">
        <v>66.95999999999999</v>
      </c>
      <c r="F109" s="8" t="n">
        <v>64.87</v>
      </c>
      <c r="G109" s="9" t="n">
        <v>70.59999999999999</v>
      </c>
      <c r="H109" s="7" t="n">
        <v>34.41</v>
      </c>
      <c r="I109" s="8" t="n">
        <v>69.52</v>
      </c>
      <c r="J109" s="9" t="n">
        <v>75.95</v>
      </c>
      <c r="K109" s="7" t="n">
        <v>40</v>
      </c>
      <c r="L109" s="9" t="n">
        <v>74.48999999999999</v>
      </c>
    </row>
    <row r="110" ht="15" customHeight="1">
      <c r="A110" s="13" t="n">
        <v>46066</v>
      </c>
      <c r="B110" s="7" t="n">
        <v>42.87</v>
      </c>
      <c r="C110" s="7" t="n">
        <v>34.76</v>
      </c>
      <c r="D110" s="7" t="n">
        <v>55.49</v>
      </c>
      <c r="E110" s="9" t="n">
        <v>71.65000000000001</v>
      </c>
      <c r="F110" s="8" t="n">
        <v>69.98999999999999</v>
      </c>
      <c r="G110" s="8" t="n">
        <v>69.09</v>
      </c>
      <c r="H110" s="7" t="n">
        <v>34.82</v>
      </c>
      <c r="I110" s="9" t="n">
        <v>80.5</v>
      </c>
      <c r="J110" s="9" t="n">
        <v>77.72</v>
      </c>
      <c r="K110" s="7" t="n">
        <v>40.64</v>
      </c>
      <c r="L110" s="9" t="n">
        <v>71.8</v>
      </c>
    </row>
    <row r="111" ht="15" customHeight="1">
      <c r="A111" s="13" t="n">
        <v>46065</v>
      </c>
      <c r="B111" s="7" t="n">
        <v>42.1</v>
      </c>
      <c r="C111" s="7" t="n">
        <v>34.96</v>
      </c>
      <c r="D111" s="7" t="n">
        <v>50.52</v>
      </c>
      <c r="E111" s="9" t="n">
        <v>70.45999999999999</v>
      </c>
      <c r="F111" s="8" t="n">
        <v>68.16</v>
      </c>
      <c r="G111" s="8" t="n">
        <v>66.62</v>
      </c>
      <c r="H111" s="7" t="n">
        <v>34.57</v>
      </c>
      <c r="I111" s="9" t="n">
        <v>79.83</v>
      </c>
      <c r="J111" s="9" t="n">
        <v>71.25</v>
      </c>
      <c r="K111" s="7" t="n">
        <v>40.84</v>
      </c>
      <c r="L111" s="8" t="n">
        <v>67.19</v>
      </c>
    </row>
    <row r="112" ht="15" customHeight="1">
      <c r="A112" s="13" t="n">
        <v>46064</v>
      </c>
      <c r="B112" s="7" t="n">
        <v>48.61</v>
      </c>
      <c r="C112" s="7" t="n">
        <v>40.92</v>
      </c>
      <c r="D112" s="7" t="n">
        <v>51.32</v>
      </c>
      <c r="E112" s="9" t="n">
        <v>78.72</v>
      </c>
      <c r="F112" s="9" t="n">
        <v>75.18000000000001</v>
      </c>
      <c r="G112" s="9" t="n">
        <v>74.81</v>
      </c>
      <c r="H112" s="7" t="n">
        <v>39.29</v>
      </c>
      <c r="I112" s="9" t="n">
        <v>77.90000000000001</v>
      </c>
      <c r="J112" s="8" t="n">
        <v>66.48</v>
      </c>
      <c r="K112" s="7" t="n">
        <v>48.73</v>
      </c>
      <c r="L112" s="8" t="n">
        <v>66.63</v>
      </c>
    </row>
    <row r="113" ht="15" customHeight="1">
      <c r="A113" s="13" t="n">
        <v>46063</v>
      </c>
      <c r="B113" s="7" t="n">
        <v>47.77</v>
      </c>
      <c r="C113" s="7" t="n">
        <v>46.61</v>
      </c>
      <c r="D113" s="7" t="n">
        <v>48.55</v>
      </c>
      <c r="E113" s="9" t="n">
        <v>74.90000000000001</v>
      </c>
      <c r="F113" s="9" t="n">
        <v>72.84999999999999</v>
      </c>
      <c r="G113" s="9" t="n">
        <v>73.45999999999999</v>
      </c>
      <c r="H113" s="7" t="n">
        <v>41.11</v>
      </c>
      <c r="I113" s="9" t="n">
        <v>74.40000000000001</v>
      </c>
      <c r="J113" s="8" t="n">
        <v>63.12</v>
      </c>
      <c r="K113" s="7" t="n">
        <v>52.49</v>
      </c>
      <c r="L113" s="8" t="n">
        <v>67.23999999999999</v>
      </c>
    </row>
    <row r="114" ht="15" customHeight="1">
      <c r="A114" s="13" t="n">
        <v>46062</v>
      </c>
      <c r="B114" s="7" t="n">
        <v>49.19</v>
      </c>
      <c r="C114" s="7" t="n">
        <v>49.7</v>
      </c>
      <c r="D114" s="7" t="n">
        <v>51.47</v>
      </c>
      <c r="E114" s="9" t="n">
        <v>75.43000000000001</v>
      </c>
      <c r="F114" s="9" t="n">
        <v>70.17</v>
      </c>
      <c r="G114" s="9" t="n">
        <v>73.16</v>
      </c>
      <c r="H114" s="7" t="n">
        <v>37.42</v>
      </c>
      <c r="I114" s="9" t="n">
        <v>76.93000000000001</v>
      </c>
      <c r="J114" s="7" t="n">
        <v>55.46</v>
      </c>
      <c r="K114" s="7" t="n">
        <v>49.47</v>
      </c>
      <c r="L114" s="8" t="n">
        <v>62.53</v>
      </c>
    </row>
    <row r="115" ht="15" customHeight="1">
      <c r="A115" s="13" t="n">
        <v>46059</v>
      </c>
      <c r="B115" s="7" t="n">
        <v>44.98</v>
      </c>
      <c r="C115" s="7" t="n">
        <v>52.34</v>
      </c>
      <c r="D115" s="7" t="n">
        <v>55.86</v>
      </c>
      <c r="E115" s="9" t="n">
        <v>74.31999999999999</v>
      </c>
      <c r="F115" s="8" t="n">
        <v>67.42</v>
      </c>
      <c r="G115" s="9" t="n">
        <v>72.44</v>
      </c>
      <c r="H115" s="7" t="n">
        <v>38.69</v>
      </c>
      <c r="I115" s="9" t="n">
        <v>81.64</v>
      </c>
      <c r="J115" s="7" t="n">
        <v>53.86</v>
      </c>
      <c r="K115" s="7" t="n">
        <v>44.2</v>
      </c>
      <c r="L115" s="8" t="n">
        <v>60.19</v>
      </c>
    </row>
    <row r="116" ht="15" customHeight="1">
      <c r="A116" s="13" t="n">
        <v>46058</v>
      </c>
      <c r="B116" s="7" t="n">
        <v>32.03</v>
      </c>
      <c r="C116" s="7" t="n">
        <v>43.95</v>
      </c>
      <c r="D116" s="7" t="n">
        <v>47.24</v>
      </c>
      <c r="E116" s="9" t="n">
        <v>71.06</v>
      </c>
      <c r="F116" s="8" t="n">
        <v>62.61</v>
      </c>
      <c r="G116" s="8" t="n">
        <v>64.2</v>
      </c>
      <c r="H116" s="7" t="n">
        <v>36.51</v>
      </c>
      <c r="I116" s="9" t="n">
        <v>79.29000000000001</v>
      </c>
      <c r="J116" s="7" t="n">
        <v>50.69</v>
      </c>
      <c r="K116" s="7" t="n">
        <v>45.99</v>
      </c>
      <c r="L116" s="7" t="n">
        <v>52.06</v>
      </c>
    </row>
    <row r="117" ht="15" customHeight="1">
      <c r="A117" s="13" t="n">
        <v>46057</v>
      </c>
      <c r="B117" s="7" t="n">
        <v>35.55</v>
      </c>
      <c r="C117" s="7" t="n">
        <v>49.55</v>
      </c>
      <c r="D117" s="7" t="n">
        <v>51.08</v>
      </c>
      <c r="E117" s="9" t="n">
        <v>76.43000000000001</v>
      </c>
      <c r="F117" s="9" t="n">
        <v>77.17</v>
      </c>
      <c r="G117" s="8" t="n">
        <v>68.20999999999999</v>
      </c>
      <c r="H117" s="7" t="n">
        <v>44.44</v>
      </c>
      <c r="I117" s="9" t="n">
        <v>79.94</v>
      </c>
      <c r="J117" s="7" t="n">
        <v>50.43</v>
      </c>
      <c r="K117" s="7" t="n">
        <v>48.38</v>
      </c>
      <c r="L117" s="7" t="n">
        <v>55.23</v>
      </c>
    </row>
    <row r="118" ht="15" customHeight="1">
      <c r="A118" s="13" t="n">
        <v>46056</v>
      </c>
      <c r="B118" s="7" t="n">
        <v>42.43</v>
      </c>
      <c r="C118" s="7" t="n">
        <v>45.41</v>
      </c>
      <c r="D118" s="7" t="n">
        <v>44.25</v>
      </c>
      <c r="E118" s="9" t="n">
        <v>72.87</v>
      </c>
      <c r="F118" s="9" t="n">
        <v>72</v>
      </c>
      <c r="G118" s="8" t="n">
        <v>67.38</v>
      </c>
      <c r="H118" s="7" t="n">
        <v>47.75</v>
      </c>
      <c r="I118" s="9" t="n">
        <v>77.14</v>
      </c>
      <c r="J118" s="7" t="n">
        <v>52.43</v>
      </c>
      <c r="K118" s="7" t="n">
        <v>52.39</v>
      </c>
      <c r="L118" s="7" t="n">
        <v>46.71</v>
      </c>
    </row>
    <row r="119" ht="15" customHeight="1">
      <c r="A119" s="13" t="n">
        <v>46055</v>
      </c>
      <c r="B119" s="7" t="n">
        <v>49.58</v>
      </c>
      <c r="C119" s="7" t="n">
        <v>49.82</v>
      </c>
      <c r="D119" s="7" t="n">
        <v>49.54</v>
      </c>
      <c r="E119" s="8" t="n">
        <v>66.26000000000001</v>
      </c>
      <c r="F119" s="8" t="n">
        <v>65.61</v>
      </c>
      <c r="G119" s="8" t="n">
        <v>64.68000000000001</v>
      </c>
      <c r="H119" s="7" t="n">
        <v>51.69</v>
      </c>
      <c r="I119" s="9" t="n">
        <v>72.84</v>
      </c>
      <c r="J119" s="7" t="n">
        <v>44.51</v>
      </c>
      <c r="K119" s="8" t="n">
        <v>62.25</v>
      </c>
      <c r="L119" s="7" t="n">
        <v>48.7</v>
      </c>
    </row>
    <row r="120" ht="15" customHeight="1">
      <c r="A120" s="13" t="n">
        <v>46052</v>
      </c>
      <c r="B120" s="7" t="n">
        <v>45.91</v>
      </c>
      <c r="C120" s="7" t="n">
        <v>43.84</v>
      </c>
      <c r="D120" s="7" t="n">
        <v>45.96</v>
      </c>
      <c r="E120" s="9" t="n">
        <v>77.01000000000001</v>
      </c>
      <c r="F120" s="8" t="n">
        <v>62.75</v>
      </c>
      <c r="G120" s="8" t="n">
        <v>60.13</v>
      </c>
      <c r="H120" s="7" t="n">
        <v>48.47</v>
      </c>
      <c r="I120" s="8" t="n">
        <v>68.92</v>
      </c>
      <c r="J120" s="7" t="n">
        <v>52.81</v>
      </c>
      <c r="K120" s="8" t="n">
        <v>64.65000000000001</v>
      </c>
      <c r="L120" s="7" t="n">
        <v>55.57</v>
      </c>
    </row>
    <row r="121" ht="15" customHeight="1">
      <c r="A121" s="13" t="n">
        <v>46051</v>
      </c>
      <c r="B121" s="7" t="n">
        <v>53.8</v>
      </c>
      <c r="C121" s="7" t="n">
        <v>44.76</v>
      </c>
      <c r="D121" s="7" t="n">
        <v>42.27</v>
      </c>
      <c r="E121" s="9" t="n">
        <v>74.97</v>
      </c>
      <c r="F121" s="9" t="n">
        <v>73.67</v>
      </c>
      <c r="G121" s="8" t="n">
        <v>61.61</v>
      </c>
      <c r="H121" s="7" t="n">
        <v>48.54</v>
      </c>
      <c r="I121" s="8" t="n">
        <v>61.78</v>
      </c>
      <c r="J121" s="7" t="n">
        <v>54</v>
      </c>
      <c r="K121" s="8" t="n">
        <v>63.73</v>
      </c>
      <c r="L121" s="7" t="n">
        <v>54.81</v>
      </c>
    </row>
    <row r="122" ht="15" customHeight="1">
      <c r="A122" s="13" t="n">
        <v>46050</v>
      </c>
      <c r="B122" s="8" t="n">
        <v>61.55</v>
      </c>
      <c r="C122" s="7" t="n">
        <v>38.65</v>
      </c>
      <c r="D122" s="7" t="n">
        <v>43.75</v>
      </c>
      <c r="E122" s="9" t="n">
        <v>73.09</v>
      </c>
      <c r="F122" s="9" t="n">
        <v>73.37</v>
      </c>
      <c r="G122" s="7" t="n">
        <v>57.64</v>
      </c>
      <c r="H122" s="7" t="n">
        <v>50.66</v>
      </c>
      <c r="I122" s="8" t="n">
        <v>63.65</v>
      </c>
      <c r="J122" s="7" t="n">
        <v>54</v>
      </c>
      <c r="K122" s="7" t="n">
        <v>51.46</v>
      </c>
      <c r="L122" s="7" t="n">
        <v>47.65</v>
      </c>
    </row>
    <row r="123" ht="15" customHeight="1">
      <c r="A123" s="13" t="n">
        <v>46049</v>
      </c>
      <c r="B123" s="7" t="n">
        <v>58.79</v>
      </c>
      <c r="C123" s="7" t="n">
        <v>38.72</v>
      </c>
      <c r="D123" s="7" t="n">
        <v>47.32</v>
      </c>
      <c r="E123" s="9" t="n">
        <v>71.44</v>
      </c>
      <c r="F123" s="9" t="n">
        <v>73.83</v>
      </c>
      <c r="G123" s="8" t="n">
        <v>60.76</v>
      </c>
      <c r="H123" s="7" t="n">
        <v>54.13</v>
      </c>
      <c r="I123" s="9" t="n">
        <v>72.69</v>
      </c>
      <c r="J123" s="7" t="n">
        <v>55.34</v>
      </c>
      <c r="K123" s="7" t="n">
        <v>52.27</v>
      </c>
      <c r="L123" s="7" t="n">
        <v>53.73</v>
      </c>
    </row>
    <row r="124" ht="15" customHeight="1">
      <c r="A124" s="13" t="n">
        <v>46048</v>
      </c>
      <c r="B124" s="7" t="n">
        <v>53.64</v>
      </c>
      <c r="C124" s="7" t="n">
        <v>41.63</v>
      </c>
      <c r="D124" s="7" t="n">
        <v>57.43</v>
      </c>
      <c r="E124" s="8" t="n">
        <v>69.37</v>
      </c>
      <c r="F124" s="9" t="n">
        <v>74.56</v>
      </c>
      <c r="G124" s="7" t="n">
        <v>59.25</v>
      </c>
      <c r="H124" s="7" t="n">
        <v>52.92</v>
      </c>
      <c r="I124" s="9" t="n">
        <v>70.95</v>
      </c>
      <c r="J124" s="7" t="n">
        <v>48.72</v>
      </c>
      <c r="K124" s="7" t="n">
        <v>57.12</v>
      </c>
      <c r="L124" s="7" t="n">
        <v>53.32</v>
      </c>
    </row>
    <row r="125" ht="15" customHeight="1">
      <c r="A125" s="13" t="n">
        <v>46045</v>
      </c>
      <c r="B125" s="7" t="n">
        <v>50.76</v>
      </c>
      <c r="C125" s="7" t="n">
        <v>38.04</v>
      </c>
      <c r="D125" s="7" t="n">
        <v>55.36</v>
      </c>
      <c r="E125" s="8" t="n">
        <v>69.23</v>
      </c>
      <c r="F125" s="9" t="n">
        <v>74.27</v>
      </c>
      <c r="G125" s="7" t="n">
        <v>58.9</v>
      </c>
      <c r="H125" s="7" t="n">
        <v>55.91</v>
      </c>
      <c r="I125" s="9" t="n">
        <v>72.41</v>
      </c>
      <c r="J125" s="7" t="n">
        <v>44.49</v>
      </c>
      <c r="K125" s="7" t="n">
        <v>53.38</v>
      </c>
      <c r="L125" s="7" t="n">
        <v>53.77</v>
      </c>
    </row>
    <row r="126" ht="15" customHeight="1">
      <c r="A126" s="13" t="n">
        <v>46044</v>
      </c>
      <c r="B126" s="7" t="n">
        <v>50.15</v>
      </c>
      <c r="C126" s="7" t="n">
        <v>43.44</v>
      </c>
      <c r="D126" s="7" t="n">
        <v>58.84</v>
      </c>
      <c r="E126" s="8" t="n">
        <v>67.98999999999999</v>
      </c>
      <c r="F126" s="9" t="n">
        <v>72.13</v>
      </c>
      <c r="G126" s="8" t="n">
        <v>62.87</v>
      </c>
      <c r="H126" s="7" t="n">
        <v>54.41</v>
      </c>
      <c r="I126" s="8" t="n">
        <v>69.55</v>
      </c>
      <c r="J126" s="7" t="n">
        <v>46.2</v>
      </c>
      <c r="K126" s="7" t="n">
        <v>49.82</v>
      </c>
      <c r="L126" s="7" t="n">
        <v>52.4</v>
      </c>
    </row>
    <row r="127" ht="15" customHeight="1">
      <c r="A127" s="13" t="n">
        <v>46043</v>
      </c>
      <c r="B127" s="7" t="n">
        <v>47.06</v>
      </c>
      <c r="C127" s="7" t="n">
        <v>39.68</v>
      </c>
      <c r="D127" s="7" t="n">
        <v>58.75</v>
      </c>
      <c r="E127" s="8" t="n">
        <v>67.28</v>
      </c>
      <c r="F127" s="9" t="n">
        <v>70.72</v>
      </c>
      <c r="G127" s="8" t="n">
        <v>65.62</v>
      </c>
      <c r="H127" s="7" t="n">
        <v>50.67</v>
      </c>
      <c r="I127" s="9" t="n">
        <v>71.38</v>
      </c>
      <c r="J127" s="7" t="n">
        <v>49.88</v>
      </c>
      <c r="K127" s="7" t="n">
        <v>40.15</v>
      </c>
      <c r="L127" s="7" t="n">
        <v>58.35</v>
      </c>
    </row>
    <row r="128" ht="15" customHeight="1">
      <c r="A128" s="13" t="n">
        <v>46042</v>
      </c>
      <c r="B128" s="7" t="n">
        <v>40.77</v>
      </c>
      <c r="C128" s="7" t="n">
        <v>36.78</v>
      </c>
      <c r="D128" s="7" t="n">
        <v>48.97</v>
      </c>
      <c r="E128" s="8" t="n">
        <v>61.66</v>
      </c>
      <c r="F128" s="8" t="n">
        <v>64.47</v>
      </c>
      <c r="G128" s="8" t="n">
        <v>60.31</v>
      </c>
      <c r="H128" s="7" t="n">
        <v>42.49</v>
      </c>
      <c r="I128" s="9" t="n">
        <v>71.04000000000001</v>
      </c>
      <c r="J128" s="7" t="n">
        <v>49.15</v>
      </c>
      <c r="K128" s="7" t="n">
        <v>31.35</v>
      </c>
      <c r="L128" s="7" t="n">
        <v>56.68</v>
      </c>
    </row>
    <row r="129" ht="15" customHeight="1">
      <c r="A129" s="13" t="n">
        <v>46041</v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 ht="15" customHeight="1">
      <c r="A130" s="13" t="n">
        <v>46038</v>
      </c>
      <c r="B130" s="7" t="n">
        <v>51.72</v>
      </c>
      <c r="C130" s="7" t="n">
        <v>46.73</v>
      </c>
      <c r="D130" s="7" t="n">
        <v>50.29</v>
      </c>
      <c r="E130" s="8" t="n">
        <v>62.44</v>
      </c>
      <c r="F130" s="9" t="n">
        <v>71.05</v>
      </c>
      <c r="G130" s="9" t="n">
        <v>72.75</v>
      </c>
      <c r="H130" s="7" t="n">
        <v>54.11</v>
      </c>
      <c r="I130" s="9" t="n">
        <v>70.04000000000001</v>
      </c>
      <c r="J130" s="7" t="n">
        <v>54.42</v>
      </c>
      <c r="K130" s="7" t="n">
        <v>39.19</v>
      </c>
      <c r="L130" s="9" t="n">
        <v>70.95999999999999</v>
      </c>
    </row>
    <row r="131" ht="15" customHeight="1">
      <c r="A131" s="13" t="n">
        <v>46037</v>
      </c>
      <c r="B131" s="7" t="n">
        <v>51.2</v>
      </c>
      <c r="C131" s="7" t="n">
        <v>45.97</v>
      </c>
      <c r="D131" s="7" t="n">
        <v>55.23</v>
      </c>
      <c r="E131" s="8" t="n">
        <v>62.04</v>
      </c>
      <c r="F131" s="9" t="n">
        <v>75.11</v>
      </c>
      <c r="G131" s="9" t="n">
        <v>70.89</v>
      </c>
      <c r="H131" s="7" t="n">
        <v>55.89</v>
      </c>
      <c r="I131" s="9" t="n">
        <v>72.47</v>
      </c>
      <c r="J131" s="7" t="n">
        <v>57.34</v>
      </c>
      <c r="K131" s="7" t="n">
        <v>45.68</v>
      </c>
      <c r="L131" s="8" t="n">
        <v>65.94</v>
      </c>
    </row>
    <row r="132" ht="15" customHeight="1">
      <c r="A132" s="13" t="n">
        <v>46036</v>
      </c>
      <c r="B132" s="7" t="n">
        <v>48.79</v>
      </c>
      <c r="C132" s="7" t="n">
        <v>43.6</v>
      </c>
      <c r="D132" s="7" t="n">
        <v>59.22</v>
      </c>
      <c r="E132" s="8" t="n">
        <v>65.66</v>
      </c>
      <c r="F132" s="9" t="n">
        <v>74.08</v>
      </c>
      <c r="G132" s="8" t="n">
        <v>68.19</v>
      </c>
      <c r="H132" s="7" t="n">
        <v>54.32</v>
      </c>
      <c r="I132" s="9" t="n">
        <v>71.98999999999999</v>
      </c>
      <c r="J132" s="7" t="n">
        <v>52.62</v>
      </c>
      <c r="K132" s="7" t="n">
        <v>48.79</v>
      </c>
      <c r="L132" s="8" t="n">
        <v>62.26</v>
      </c>
    </row>
    <row r="133" ht="15" customHeight="1">
      <c r="A133" s="13" t="n">
        <v>46035</v>
      </c>
      <c r="B133" s="7" t="n">
        <v>54.66</v>
      </c>
      <c r="C133" s="7" t="n">
        <v>44.25</v>
      </c>
      <c r="D133" s="7" t="n">
        <v>55.51</v>
      </c>
      <c r="E133" s="8" t="n">
        <v>60.64</v>
      </c>
      <c r="F133" s="9" t="n">
        <v>73.98</v>
      </c>
      <c r="G133" s="8" t="n">
        <v>67.70999999999999</v>
      </c>
      <c r="H133" s="8" t="n">
        <v>63.49</v>
      </c>
      <c r="I133" s="8" t="n">
        <v>67.73999999999999</v>
      </c>
      <c r="J133" s="7" t="n">
        <v>48.8</v>
      </c>
      <c r="K133" s="7" t="n">
        <v>50.64</v>
      </c>
      <c r="L133" s="7" t="n">
        <v>55.67</v>
      </c>
    </row>
    <row r="134" ht="15" customHeight="1">
      <c r="A134" s="13" t="n">
        <v>46034</v>
      </c>
      <c r="B134" s="7" t="n">
        <v>55.74</v>
      </c>
      <c r="C134" s="7" t="n">
        <v>54.29</v>
      </c>
      <c r="D134" s="7" t="n">
        <v>58.33</v>
      </c>
      <c r="E134" s="7" t="n">
        <v>57</v>
      </c>
      <c r="F134" s="9" t="n">
        <v>73.01000000000001</v>
      </c>
      <c r="G134" s="8" t="n">
        <v>66.17</v>
      </c>
      <c r="H134" s="8" t="n">
        <v>65.09999999999999</v>
      </c>
      <c r="I134" s="8" t="n">
        <v>63.47</v>
      </c>
      <c r="J134" s="7" t="n">
        <v>45.34</v>
      </c>
      <c r="K134" s="7" t="n">
        <v>55.86</v>
      </c>
      <c r="L134" s="7" t="n">
        <v>50.23</v>
      </c>
    </row>
    <row r="135" ht="15" customHeight="1">
      <c r="A135" s="13" t="n">
        <v>46031</v>
      </c>
      <c r="B135" s="7" t="n">
        <v>53.99</v>
      </c>
      <c r="C135" s="7" t="n">
        <v>59.5</v>
      </c>
      <c r="D135" s="7" t="n">
        <v>58.11</v>
      </c>
      <c r="E135" s="7" t="n">
        <v>59.56</v>
      </c>
      <c r="F135" s="9" t="n">
        <v>71.81</v>
      </c>
      <c r="G135" s="8" t="n">
        <v>63.82</v>
      </c>
      <c r="H135" s="8" t="n">
        <v>64.81</v>
      </c>
      <c r="I135" s="7" t="n">
        <v>58.35</v>
      </c>
      <c r="J135" s="7" t="n">
        <v>44.44</v>
      </c>
      <c r="K135" s="7" t="n">
        <v>58.93</v>
      </c>
      <c r="L135" s="7" t="n">
        <v>47.93</v>
      </c>
    </row>
    <row r="136" ht="15" customHeight="1">
      <c r="A136" s="13" t="n">
        <v>46030</v>
      </c>
      <c r="B136" s="7" t="n">
        <v>48.34</v>
      </c>
      <c r="C136" s="8" t="n">
        <v>61.61</v>
      </c>
      <c r="D136" s="8" t="n">
        <v>61.54</v>
      </c>
      <c r="E136" s="7" t="n">
        <v>58.93</v>
      </c>
      <c r="F136" s="8" t="n">
        <v>67.91</v>
      </c>
      <c r="G136" s="8" t="n">
        <v>60.17</v>
      </c>
      <c r="H136" s="8" t="n">
        <v>60.63</v>
      </c>
      <c r="I136" s="7" t="n">
        <v>53.02</v>
      </c>
      <c r="J136" s="7" t="n">
        <v>37.29</v>
      </c>
      <c r="K136" s="7" t="n">
        <v>56.26</v>
      </c>
      <c r="L136" s="7" t="n">
        <v>46.79</v>
      </c>
    </row>
    <row r="137" ht="15" customHeight="1">
      <c r="A137" s="13" t="n">
        <v>46029</v>
      </c>
      <c r="B137" s="7" t="n">
        <v>56.01</v>
      </c>
      <c r="C137" s="7" t="n">
        <v>59.32</v>
      </c>
      <c r="D137" s="8" t="n">
        <v>68.69</v>
      </c>
      <c r="E137" s="7" t="n">
        <v>50.59</v>
      </c>
      <c r="F137" s="8" t="n">
        <v>62.74</v>
      </c>
      <c r="G137" s="7" t="n">
        <v>57.45</v>
      </c>
      <c r="H137" s="7" t="n">
        <v>53.69</v>
      </c>
      <c r="I137" s="7" t="n">
        <v>35.93</v>
      </c>
      <c r="J137" s="7" t="n">
        <v>35.52</v>
      </c>
      <c r="K137" s="7" t="n">
        <v>53.73</v>
      </c>
      <c r="L137" s="7" t="n">
        <v>40.76</v>
      </c>
    </row>
    <row r="138" ht="15" customHeight="1">
      <c r="A138" s="13" t="n">
        <v>46028</v>
      </c>
      <c r="B138" s="7" t="n">
        <v>56.44</v>
      </c>
      <c r="C138" s="8" t="n">
        <v>69.89</v>
      </c>
      <c r="D138" s="8" t="n">
        <v>64.81999999999999</v>
      </c>
      <c r="E138" s="7" t="n">
        <v>54.27</v>
      </c>
      <c r="F138" s="9" t="n">
        <v>73.76000000000001</v>
      </c>
      <c r="G138" s="8" t="n">
        <v>68.48</v>
      </c>
      <c r="H138" s="7" t="n">
        <v>54.44</v>
      </c>
      <c r="I138" s="7" t="n">
        <v>42.66</v>
      </c>
      <c r="J138" s="7" t="n">
        <v>46.01</v>
      </c>
      <c r="K138" s="7" t="n">
        <v>55.57</v>
      </c>
      <c r="L138" s="7" t="n">
        <v>50.72</v>
      </c>
    </row>
    <row r="139" ht="15" customHeight="1">
      <c r="A139" s="13" t="n">
        <v>46027</v>
      </c>
      <c r="B139" s="7" t="n">
        <v>50.38</v>
      </c>
      <c r="C139" s="8" t="n">
        <v>68.08</v>
      </c>
      <c r="D139" s="7" t="n">
        <v>54.72</v>
      </c>
      <c r="E139" s="8" t="n">
        <v>65.02</v>
      </c>
      <c r="F139" s="8" t="n">
        <v>67.88</v>
      </c>
      <c r="G139" s="8" t="n">
        <v>63.9</v>
      </c>
      <c r="H139" s="7" t="n">
        <v>51.6</v>
      </c>
      <c r="I139" s="7" t="n">
        <v>41.21</v>
      </c>
      <c r="J139" s="7" t="n">
        <v>42.84</v>
      </c>
      <c r="K139" s="7" t="n">
        <v>58.84</v>
      </c>
      <c r="L139" s="7" t="n">
        <v>44.67</v>
      </c>
    </row>
    <row r="140" ht="15" customHeight="1">
      <c r="A140" s="13" t="n">
        <v>46024</v>
      </c>
      <c r="B140" s="7" t="n">
        <v>49.34</v>
      </c>
      <c r="C140" s="7" t="n">
        <v>57.6</v>
      </c>
      <c r="D140" s="7" t="n">
        <v>57.06</v>
      </c>
      <c r="E140" s="7" t="n">
        <v>57.21</v>
      </c>
      <c r="F140" s="8" t="n">
        <v>64.16</v>
      </c>
      <c r="G140" s="7" t="n">
        <v>59.15</v>
      </c>
      <c r="H140" s="7" t="n">
        <v>43.29</v>
      </c>
      <c r="I140" s="7" t="n">
        <v>44.14</v>
      </c>
      <c r="J140" s="7" t="n">
        <v>48.93</v>
      </c>
      <c r="K140" s="7" t="n">
        <v>53.72</v>
      </c>
      <c r="L140" s="7" t="n">
        <v>43.48</v>
      </c>
    </row>
    <row r="141" ht="15" customHeight="1">
      <c r="A141" s="13" t="n">
        <v>46022</v>
      </c>
      <c r="B141" s="7" t="n">
        <v>48.31</v>
      </c>
      <c r="C141" s="7" t="n">
        <v>55.8</v>
      </c>
      <c r="D141" s="7" t="n">
        <v>54.32</v>
      </c>
      <c r="E141" s="7" t="n">
        <v>49.23</v>
      </c>
      <c r="F141" s="7" t="n">
        <v>56.27</v>
      </c>
      <c r="G141" s="7" t="n">
        <v>49.76</v>
      </c>
      <c r="H141" s="7" t="n">
        <v>47.4</v>
      </c>
      <c r="I141" s="7" t="n">
        <v>44.03</v>
      </c>
      <c r="J141" s="7" t="n">
        <v>40.98</v>
      </c>
      <c r="K141" s="8" t="n">
        <v>60.45</v>
      </c>
      <c r="L141" s="7" t="n">
        <v>42.79</v>
      </c>
    </row>
    <row r="142" ht="15" customHeight="1">
      <c r="A142" s="13" t="n">
        <v>46021</v>
      </c>
      <c r="B142" s="7" t="n">
        <v>52.65</v>
      </c>
      <c r="C142" s="8" t="n">
        <v>62.06</v>
      </c>
      <c r="D142" s="7" t="n">
        <v>58.63</v>
      </c>
      <c r="E142" s="7" t="n">
        <v>51.6</v>
      </c>
      <c r="F142" s="8" t="n">
        <v>62.58</v>
      </c>
      <c r="G142" s="7" t="n">
        <v>55.11</v>
      </c>
      <c r="H142" s="7" t="n">
        <v>51.47</v>
      </c>
      <c r="I142" s="7" t="n">
        <v>48.1</v>
      </c>
      <c r="J142" s="7" t="n">
        <v>44.53</v>
      </c>
      <c r="K142" s="8" t="n">
        <v>65.78</v>
      </c>
      <c r="L142" s="7" t="n">
        <v>49.71</v>
      </c>
    </row>
    <row r="143" ht="15" customHeight="1">
      <c r="A143" s="13" t="n">
        <v>46020</v>
      </c>
      <c r="B143" s="7" t="n">
        <v>54.09</v>
      </c>
      <c r="C143" s="8" t="n">
        <v>64.34999999999999</v>
      </c>
      <c r="D143" s="7" t="n">
        <v>59.28</v>
      </c>
      <c r="E143" s="7" t="n">
        <v>48.46</v>
      </c>
      <c r="F143" s="8" t="n">
        <v>62.75</v>
      </c>
      <c r="G143" s="7" t="n">
        <v>57.08</v>
      </c>
      <c r="H143" s="7" t="n">
        <v>53.67</v>
      </c>
      <c r="I143" s="7" t="n">
        <v>49.28</v>
      </c>
      <c r="J143" s="7" t="n">
        <v>42.82</v>
      </c>
      <c r="K143" s="8" t="n">
        <v>63.69</v>
      </c>
      <c r="L143" s="7" t="n">
        <v>47.8</v>
      </c>
    </row>
    <row r="144" ht="15" customHeight="1">
      <c r="A144" s="13" t="n">
        <v>46017</v>
      </c>
      <c r="B144" s="7" t="n">
        <v>56.14</v>
      </c>
      <c r="C144" s="8" t="n">
        <v>69.45</v>
      </c>
      <c r="D144" s="8" t="n">
        <v>60.42</v>
      </c>
      <c r="E144" s="7" t="n">
        <v>44.31</v>
      </c>
      <c r="F144" s="8" t="n">
        <v>69.3</v>
      </c>
      <c r="G144" s="7" t="n">
        <v>58.55</v>
      </c>
      <c r="H144" s="7" t="n">
        <v>59.46</v>
      </c>
      <c r="I144" s="7" t="n">
        <v>48.83</v>
      </c>
      <c r="J144" s="7" t="n">
        <v>41.49</v>
      </c>
      <c r="K144" s="8" t="n">
        <v>64.42</v>
      </c>
      <c r="L144" s="7" t="n">
        <v>45.46</v>
      </c>
    </row>
    <row r="145" ht="15" customHeight="1">
      <c r="A145" s="13" t="n">
        <v>46015</v>
      </c>
      <c r="B145" s="7" t="n">
        <v>55.59</v>
      </c>
      <c r="C145" s="9" t="n">
        <v>71.37</v>
      </c>
      <c r="D145" s="7" t="n">
        <v>59.67</v>
      </c>
      <c r="E145" s="7" t="n">
        <v>45.69</v>
      </c>
      <c r="F145" s="8" t="n">
        <v>66.95999999999999</v>
      </c>
      <c r="G145" s="7" t="n">
        <v>59.77</v>
      </c>
      <c r="H145" s="8" t="n">
        <v>62.27</v>
      </c>
      <c r="I145" s="7" t="n">
        <v>47.9</v>
      </c>
      <c r="J145" s="7" t="n">
        <v>41.83</v>
      </c>
      <c r="K145" s="8" t="n">
        <v>65.45999999999999</v>
      </c>
      <c r="L145" s="7" t="n">
        <v>43.75</v>
      </c>
    </row>
    <row r="146" ht="15" customHeight="1">
      <c r="A146" s="13" t="n">
        <v>46014</v>
      </c>
      <c r="B146" s="7" t="n">
        <v>54.8</v>
      </c>
      <c r="C146" s="8" t="n">
        <v>69.20999999999999</v>
      </c>
      <c r="D146" s="7" t="n">
        <v>57.23</v>
      </c>
      <c r="E146" s="7" t="n">
        <v>46.73</v>
      </c>
      <c r="F146" s="8" t="n">
        <v>66.17</v>
      </c>
      <c r="G146" s="7" t="n">
        <v>58.36</v>
      </c>
      <c r="H146" s="8" t="n">
        <v>60.94</v>
      </c>
      <c r="I146" s="7" t="n">
        <v>42.49</v>
      </c>
      <c r="J146" s="7" t="n">
        <v>38.89</v>
      </c>
      <c r="K146" s="8" t="n">
        <v>62.15</v>
      </c>
      <c r="L146" s="7" t="n">
        <v>37.87</v>
      </c>
    </row>
    <row r="147" ht="15" customHeight="1">
      <c r="A147" s="13" t="n">
        <v>46013</v>
      </c>
      <c r="B147" s="7" t="n">
        <v>53.05</v>
      </c>
      <c r="C147" s="8" t="n">
        <v>68.40000000000001</v>
      </c>
      <c r="D147" s="7" t="n">
        <v>58.49</v>
      </c>
      <c r="E147" s="7" t="n">
        <v>44.1</v>
      </c>
      <c r="F147" s="8" t="n">
        <v>65.48</v>
      </c>
      <c r="G147" s="7" t="n">
        <v>58.58</v>
      </c>
      <c r="H147" s="8" t="n">
        <v>61.76</v>
      </c>
      <c r="I147" s="7" t="n">
        <v>45.13</v>
      </c>
      <c r="J147" s="7" t="n">
        <v>36.54</v>
      </c>
      <c r="K147" s="7" t="n">
        <v>58.26</v>
      </c>
      <c r="L147" s="7" t="n">
        <v>38.02</v>
      </c>
    </row>
    <row r="148" ht="15" customHeight="1">
      <c r="A148" s="13" t="n">
        <v>46010</v>
      </c>
      <c r="B148" s="7" t="n">
        <v>51.82</v>
      </c>
      <c r="C148" s="8" t="n">
        <v>64.62</v>
      </c>
      <c r="D148" s="7" t="n">
        <v>57.48</v>
      </c>
      <c r="E148" s="7" t="n">
        <v>43.39</v>
      </c>
      <c r="F148" s="8" t="n">
        <v>62.85</v>
      </c>
      <c r="G148" s="7" t="n">
        <v>55.41</v>
      </c>
      <c r="H148" s="8" t="n">
        <v>60.33</v>
      </c>
      <c r="I148" s="7" t="n">
        <v>52.49</v>
      </c>
      <c r="J148" s="7" t="n">
        <v>37.98</v>
      </c>
      <c r="K148" s="7" t="n">
        <v>57.49</v>
      </c>
      <c r="L148" s="7" t="n">
        <v>39.96</v>
      </c>
    </row>
    <row r="149" ht="15" customHeight="1">
      <c r="A149" s="13" t="n">
        <v>46009</v>
      </c>
      <c r="B149" s="7" t="n">
        <v>44.43</v>
      </c>
      <c r="C149" s="8" t="n">
        <v>61.97</v>
      </c>
      <c r="D149" s="7" t="n">
        <v>54.55</v>
      </c>
      <c r="E149" s="7" t="n">
        <v>43.39</v>
      </c>
      <c r="F149" s="8" t="n">
        <v>61.02</v>
      </c>
      <c r="G149" s="7" t="n">
        <v>51.57</v>
      </c>
      <c r="H149" s="8" t="n">
        <v>62.5</v>
      </c>
      <c r="I149" s="7" t="n">
        <v>56.37</v>
      </c>
      <c r="J149" s="7" t="n">
        <v>43.49</v>
      </c>
      <c r="K149" s="7" t="n">
        <v>57.22</v>
      </c>
      <c r="L149" s="7" t="n">
        <v>42.1</v>
      </c>
    </row>
    <row r="150" ht="15" customHeight="1">
      <c r="A150" s="13" t="n">
        <v>46008</v>
      </c>
      <c r="B150" s="7" t="n">
        <v>38.25</v>
      </c>
      <c r="C150" s="8" t="n">
        <v>63.29</v>
      </c>
      <c r="D150" s="7" t="n">
        <v>54.21</v>
      </c>
      <c r="E150" s="7" t="n">
        <v>47.66</v>
      </c>
      <c r="F150" s="8" t="n">
        <v>61.3</v>
      </c>
      <c r="G150" s="7" t="n">
        <v>48.46</v>
      </c>
      <c r="H150" s="7" t="n">
        <v>57.2</v>
      </c>
      <c r="I150" s="8" t="n">
        <v>61.09</v>
      </c>
      <c r="J150" s="7" t="n">
        <v>37.02</v>
      </c>
      <c r="K150" s="7" t="n">
        <v>53.7</v>
      </c>
      <c r="L150" s="7" t="n">
        <v>45.91</v>
      </c>
    </row>
    <row r="151" ht="15" customHeight="1">
      <c r="A151" s="13" t="n">
        <v>46007</v>
      </c>
      <c r="B151" s="7" t="n">
        <v>45.11</v>
      </c>
      <c r="C151" s="8" t="n">
        <v>63.43</v>
      </c>
      <c r="D151" s="7" t="n">
        <v>55.1</v>
      </c>
      <c r="E151" s="7" t="n">
        <v>39.4</v>
      </c>
      <c r="F151" s="7" t="n">
        <v>59.66</v>
      </c>
      <c r="G151" s="7" t="n">
        <v>57.05</v>
      </c>
      <c r="H151" s="8" t="n">
        <v>63.67</v>
      </c>
      <c r="I151" s="7" t="n">
        <v>58.49</v>
      </c>
      <c r="J151" s="7" t="n">
        <v>39.84</v>
      </c>
      <c r="K151" s="7" t="n">
        <v>59.49</v>
      </c>
      <c r="L151" s="7" t="n">
        <v>42.43</v>
      </c>
    </row>
    <row r="152" ht="15" customHeight="1">
      <c r="A152" s="13" t="n">
        <v>46006</v>
      </c>
      <c r="B152" s="7" t="n">
        <v>44.35</v>
      </c>
      <c r="C152" s="8" t="n">
        <v>68.3</v>
      </c>
      <c r="D152" s="8" t="n">
        <v>62.01</v>
      </c>
      <c r="E152" s="7" t="n">
        <v>49.77</v>
      </c>
      <c r="F152" s="8" t="n">
        <v>61.18</v>
      </c>
      <c r="G152" s="8" t="n">
        <v>60.72</v>
      </c>
      <c r="H152" s="8" t="n">
        <v>63.12</v>
      </c>
      <c r="I152" s="8" t="n">
        <v>62.24</v>
      </c>
      <c r="J152" s="7" t="n">
        <v>41.74</v>
      </c>
      <c r="K152" s="7" t="n">
        <v>59.1</v>
      </c>
      <c r="L152" s="7" t="n">
        <v>48.19</v>
      </c>
    </row>
    <row r="153" ht="15" customHeight="1">
      <c r="A153" s="13" t="n">
        <v>46003</v>
      </c>
      <c r="B153" s="7" t="n">
        <v>47.63</v>
      </c>
      <c r="C153" s="8" t="n">
        <v>68.04000000000001</v>
      </c>
      <c r="D153" s="7" t="n">
        <v>56.98</v>
      </c>
      <c r="E153" s="7" t="n">
        <v>52.76</v>
      </c>
      <c r="F153" s="8" t="n">
        <v>61.54</v>
      </c>
      <c r="G153" s="8" t="n">
        <v>60.08</v>
      </c>
      <c r="H153" s="8" t="n">
        <v>60.24</v>
      </c>
      <c r="I153" s="8" t="n">
        <v>60.82</v>
      </c>
      <c r="J153" s="7" t="n">
        <v>35.56</v>
      </c>
      <c r="K153" s="7" t="n">
        <v>59.01</v>
      </c>
      <c r="L153" s="7" t="n">
        <v>45.12</v>
      </c>
    </row>
    <row r="154" ht="15" customHeight="1">
      <c r="A154" s="13" t="n">
        <v>46002</v>
      </c>
      <c r="B154" s="8" t="n">
        <v>60.4</v>
      </c>
      <c r="C154" s="8" t="n">
        <v>67.55</v>
      </c>
      <c r="D154" s="7" t="n">
        <v>55.7</v>
      </c>
      <c r="E154" s="7" t="n">
        <v>57.26</v>
      </c>
      <c r="F154" s="8" t="n">
        <v>61.33</v>
      </c>
      <c r="G154" s="8" t="n">
        <v>63.92</v>
      </c>
      <c r="H154" s="7" t="n">
        <v>58.73</v>
      </c>
      <c r="I154" s="7" t="n">
        <v>56.53</v>
      </c>
      <c r="J154" s="7" t="n">
        <v>37.55</v>
      </c>
      <c r="K154" s="8" t="n">
        <v>60.65</v>
      </c>
      <c r="L154" s="7" t="n">
        <v>45.91</v>
      </c>
    </row>
    <row r="155" ht="15" customHeight="1">
      <c r="A155" s="13" t="n">
        <v>46001</v>
      </c>
      <c r="B155" s="8" t="n">
        <v>63.19</v>
      </c>
      <c r="C155" s="8" t="n">
        <v>60.6</v>
      </c>
      <c r="D155" s="7" t="n">
        <v>51.68</v>
      </c>
      <c r="E155" s="7" t="n">
        <v>59.56</v>
      </c>
      <c r="F155" s="7" t="n">
        <v>54.43</v>
      </c>
      <c r="G155" s="7" t="n">
        <v>59.91</v>
      </c>
      <c r="H155" s="7" t="n">
        <v>57.37</v>
      </c>
      <c r="I155" s="7" t="n">
        <v>51.96</v>
      </c>
      <c r="J155" s="7" t="n">
        <v>32.35</v>
      </c>
      <c r="K155" s="8" t="n">
        <v>62.25</v>
      </c>
      <c r="L155" s="7" t="n">
        <v>41.73</v>
      </c>
    </row>
    <row r="156" ht="15" customHeight="1">
      <c r="A156" s="13" t="n">
        <v>46000</v>
      </c>
      <c r="B156" s="8" t="n">
        <v>61.66</v>
      </c>
      <c r="C156" s="7" t="n">
        <v>55.03</v>
      </c>
      <c r="D156" s="7" t="n">
        <v>44.64</v>
      </c>
      <c r="E156" s="7" t="n">
        <v>55.97</v>
      </c>
      <c r="F156" s="7" t="n">
        <v>45.74</v>
      </c>
      <c r="G156" s="7" t="n">
        <v>51.51</v>
      </c>
      <c r="H156" s="7" t="n">
        <v>51.97</v>
      </c>
      <c r="I156" s="7" t="n">
        <v>50.02</v>
      </c>
      <c r="J156" s="7" t="n">
        <v>32.51</v>
      </c>
      <c r="K156" s="7" t="n">
        <v>59.66</v>
      </c>
      <c r="L156" s="7" t="n">
        <v>40.17</v>
      </c>
    </row>
    <row r="157" ht="15" customHeight="1">
      <c r="A157" s="13" t="n">
        <v>45999</v>
      </c>
      <c r="B157" s="8" t="n">
        <v>60.82</v>
      </c>
      <c r="C157" s="7" t="n">
        <v>57.5</v>
      </c>
      <c r="D157" s="7" t="n">
        <v>49.13</v>
      </c>
      <c r="E157" s="7" t="n">
        <v>53.75</v>
      </c>
      <c r="F157" s="7" t="n">
        <v>46.62</v>
      </c>
      <c r="G157" s="7" t="n">
        <v>55.9</v>
      </c>
      <c r="H157" s="7" t="n">
        <v>52</v>
      </c>
      <c r="I157" s="7" t="n">
        <v>48.52</v>
      </c>
      <c r="J157" s="7" t="n">
        <v>32.04</v>
      </c>
      <c r="K157" s="7" t="n">
        <v>59.16</v>
      </c>
      <c r="L157" s="7" t="n">
        <v>43.41</v>
      </c>
    </row>
    <row r="158" ht="15" customHeight="1">
      <c r="A158" s="13" t="n">
        <v>45996</v>
      </c>
      <c r="B158" s="7" t="n">
        <v>58.61</v>
      </c>
      <c r="C158" s="8" t="n">
        <v>60.01</v>
      </c>
      <c r="D158" s="7" t="n">
        <v>55.58</v>
      </c>
      <c r="E158" s="7" t="n">
        <v>58.66</v>
      </c>
      <c r="F158" s="7" t="n">
        <v>52.98</v>
      </c>
      <c r="G158" s="7" t="n">
        <v>56.65</v>
      </c>
      <c r="H158" s="7" t="n">
        <v>58.44</v>
      </c>
      <c r="I158" s="7" t="n">
        <v>53.97</v>
      </c>
      <c r="J158" s="7" t="n">
        <v>36.67</v>
      </c>
      <c r="K158" s="8" t="n">
        <v>64.08</v>
      </c>
      <c r="L158" s="7" t="n">
        <v>47.08</v>
      </c>
    </row>
    <row r="159" ht="15" customHeight="1">
      <c r="A159" s="13" t="n">
        <v>45995</v>
      </c>
      <c r="B159" s="7" t="n">
        <v>56.24</v>
      </c>
      <c r="C159" s="7" t="n">
        <v>59.85</v>
      </c>
      <c r="D159" s="7" t="n">
        <v>58.06</v>
      </c>
      <c r="E159" s="8" t="n">
        <v>60.61</v>
      </c>
      <c r="F159" s="7" t="n">
        <v>54.63</v>
      </c>
      <c r="G159" s="7" t="n">
        <v>58.3</v>
      </c>
      <c r="H159" s="7" t="n">
        <v>56.54</v>
      </c>
      <c r="I159" s="7" t="n">
        <v>53.9</v>
      </c>
      <c r="J159" s="7" t="n">
        <v>40.51</v>
      </c>
      <c r="K159" s="7" t="n">
        <v>59.23</v>
      </c>
      <c r="L159" s="7" t="n">
        <v>47.22</v>
      </c>
    </row>
    <row r="160" ht="15" customHeight="1">
      <c r="A160" s="13" t="n">
        <v>45994</v>
      </c>
      <c r="B160" s="7" t="n">
        <v>55.03</v>
      </c>
      <c r="C160" s="7" t="n">
        <v>58.99</v>
      </c>
      <c r="D160" s="8" t="n">
        <v>62.85</v>
      </c>
      <c r="E160" s="7" t="n">
        <v>59.32</v>
      </c>
      <c r="F160" s="7" t="n">
        <v>57.61</v>
      </c>
      <c r="G160" s="7" t="n">
        <v>56.09</v>
      </c>
      <c r="H160" s="7" t="n">
        <v>58.13</v>
      </c>
      <c r="I160" s="7" t="n">
        <v>57.14</v>
      </c>
      <c r="J160" s="7" t="n">
        <v>41.39</v>
      </c>
      <c r="K160" s="7" t="n">
        <v>56.55</v>
      </c>
      <c r="L160" s="7" t="n">
        <v>48.21</v>
      </c>
    </row>
    <row r="161" ht="15" customHeight="1">
      <c r="A161" s="13" t="n">
        <v>45993</v>
      </c>
      <c r="B161" s="7" t="n">
        <v>54.27</v>
      </c>
      <c r="C161" s="7" t="n">
        <v>53.03</v>
      </c>
      <c r="D161" s="8" t="n">
        <v>61.03</v>
      </c>
      <c r="E161" s="7" t="n">
        <v>53.14</v>
      </c>
      <c r="F161" s="7" t="n">
        <v>54.88</v>
      </c>
      <c r="G161" s="7" t="n">
        <v>51.79</v>
      </c>
      <c r="H161" s="7" t="n">
        <v>54.58</v>
      </c>
      <c r="I161" s="7" t="n">
        <v>56.76</v>
      </c>
      <c r="J161" s="7" t="n">
        <v>42.74</v>
      </c>
      <c r="K161" s="7" t="n">
        <v>57.07</v>
      </c>
      <c r="L161" s="7" t="n">
        <v>47.04</v>
      </c>
    </row>
    <row r="162" ht="15" customHeight="1">
      <c r="A162" s="13" t="n">
        <v>45992</v>
      </c>
      <c r="B162" s="7" t="n">
        <v>51.02</v>
      </c>
      <c r="C162" s="7" t="n">
        <v>53.54</v>
      </c>
      <c r="D162" s="8" t="n">
        <v>64.84999999999999</v>
      </c>
      <c r="E162" s="7" t="n">
        <v>58.95</v>
      </c>
      <c r="F162" s="7" t="n">
        <v>59.53</v>
      </c>
      <c r="G162" s="7" t="n">
        <v>47.44</v>
      </c>
      <c r="H162" s="7" t="n">
        <v>54.85</v>
      </c>
      <c r="I162" s="8" t="n">
        <v>61.14</v>
      </c>
      <c r="J162" s="7" t="n">
        <v>45.85</v>
      </c>
      <c r="K162" s="7" t="n">
        <v>55.61</v>
      </c>
      <c r="L162" s="7" t="n">
        <v>48.31</v>
      </c>
    </row>
    <row r="163" ht="15" customHeight="1">
      <c r="A163" s="13" t="n">
        <v>45989</v>
      </c>
      <c r="B163" s="7" t="n">
        <v>50.88</v>
      </c>
      <c r="C163" s="7" t="n">
        <v>58.1</v>
      </c>
      <c r="D163" s="9" t="n">
        <v>76.06999999999999</v>
      </c>
      <c r="E163" s="7" t="n">
        <v>55.63</v>
      </c>
      <c r="F163" s="8" t="n">
        <v>60.83</v>
      </c>
      <c r="G163" s="7" t="n">
        <v>55.35</v>
      </c>
      <c r="H163" s="7" t="n">
        <v>54.67</v>
      </c>
      <c r="I163" s="8" t="n">
        <v>61.82</v>
      </c>
      <c r="J163" s="7" t="n">
        <v>59.39</v>
      </c>
      <c r="K163" s="7" t="n">
        <v>58.23</v>
      </c>
      <c r="L163" s="7" t="n">
        <v>56.53</v>
      </c>
    </row>
    <row r="164" ht="15" customHeight="1">
      <c r="A164" s="13" t="n">
        <v>45988</v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 ht="15" customHeight="1">
      <c r="A165" s="13" t="n">
        <v>45987</v>
      </c>
      <c r="B165" s="7" t="n">
        <v>48.25</v>
      </c>
      <c r="C165" s="7" t="n">
        <v>55.03</v>
      </c>
      <c r="D165" s="9" t="n">
        <v>80.27</v>
      </c>
      <c r="E165" s="7" t="n">
        <v>50.65</v>
      </c>
      <c r="F165" s="7" t="n">
        <v>58.9</v>
      </c>
      <c r="G165" s="7" t="n">
        <v>52.44</v>
      </c>
      <c r="H165" s="7" t="n">
        <v>52.83</v>
      </c>
      <c r="I165" s="7" t="n">
        <v>59.4</v>
      </c>
      <c r="J165" s="7" t="n">
        <v>55.73</v>
      </c>
      <c r="K165" s="7" t="n">
        <v>54.83</v>
      </c>
      <c r="L165" s="7" t="n">
        <v>54.02</v>
      </c>
    </row>
    <row r="166" ht="15" customHeight="1">
      <c r="A166" s="13" t="n">
        <v>45986</v>
      </c>
      <c r="B166" s="7" t="n">
        <v>44.49</v>
      </c>
      <c r="C166" s="7" t="n">
        <v>51.47</v>
      </c>
      <c r="D166" s="9" t="n">
        <v>82.19</v>
      </c>
      <c r="E166" s="7" t="n">
        <v>47.51</v>
      </c>
      <c r="F166" s="7" t="n">
        <v>54.49</v>
      </c>
      <c r="G166" s="7" t="n">
        <v>49.41</v>
      </c>
      <c r="H166" s="7" t="n">
        <v>50.79</v>
      </c>
      <c r="I166" s="7" t="n">
        <v>54.46</v>
      </c>
      <c r="J166" s="7" t="n">
        <v>47.64</v>
      </c>
      <c r="K166" s="7" t="n">
        <v>54.23</v>
      </c>
      <c r="L166" s="7" t="n">
        <v>51.7</v>
      </c>
    </row>
    <row r="167" ht="15" customHeight="1">
      <c r="A167" s="13" t="n">
        <v>45985</v>
      </c>
      <c r="B167" s="7" t="n">
        <v>43.63</v>
      </c>
      <c r="C167" s="7" t="n">
        <v>45.06</v>
      </c>
      <c r="D167" s="9" t="n">
        <v>77.09</v>
      </c>
      <c r="E167" s="7" t="n">
        <v>49.98</v>
      </c>
      <c r="F167" s="7" t="n">
        <v>48.35</v>
      </c>
      <c r="G167" s="7" t="n">
        <v>41.91</v>
      </c>
      <c r="H167" s="7" t="n">
        <v>43.91</v>
      </c>
      <c r="I167" s="7" t="n">
        <v>46.98</v>
      </c>
      <c r="J167" s="7" t="n">
        <v>50.09</v>
      </c>
      <c r="K167" s="7" t="n">
        <v>49.21</v>
      </c>
      <c r="L167" s="7" t="n">
        <v>47.14</v>
      </c>
    </row>
    <row r="168" ht="15" customHeight="1">
      <c r="A168" s="13" t="n">
        <v>45982</v>
      </c>
      <c r="B168" s="7" t="n">
        <v>35.61</v>
      </c>
      <c r="C168" s="7" t="n">
        <v>42.68</v>
      </c>
      <c r="D168" s="9" t="n">
        <v>75.91</v>
      </c>
      <c r="E168" s="7" t="n">
        <v>51.07</v>
      </c>
      <c r="F168" s="7" t="n">
        <v>47.48</v>
      </c>
      <c r="G168" s="7" t="n">
        <v>40.33</v>
      </c>
      <c r="H168" s="7" t="n">
        <v>39.04</v>
      </c>
      <c r="I168" s="7" t="n">
        <v>53.97</v>
      </c>
      <c r="J168" s="7" t="n">
        <v>41.94</v>
      </c>
      <c r="K168" s="7" t="n">
        <v>44.33</v>
      </c>
      <c r="L168" s="7" t="n">
        <v>46.29</v>
      </c>
    </row>
    <row r="169" ht="15" customHeight="1">
      <c r="A169" s="13" t="n">
        <v>45981</v>
      </c>
      <c r="B169" s="7" t="n">
        <v>34.2</v>
      </c>
      <c r="C169" s="7" t="n">
        <v>36.15</v>
      </c>
      <c r="D169" s="8" t="n">
        <v>68.47</v>
      </c>
      <c r="E169" s="7" t="n">
        <v>48.73</v>
      </c>
      <c r="F169" s="7" t="n">
        <v>36.46</v>
      </c>
      <c r="G169" s="7" t="n">
        <v>31.96</v>
      </c>
      <c r="H169" s="7" t="n">
        <v>31.02</v>
      </c>
      <c r="I169" s="7" t="n">
        <v>47.16</v>
      </c>
      <c r="J169" s="7" t="n">
        <v>40.77</v>
      </c>
      <c r="K169" s="7" t="n">
        <v>34.12</v>
      </c>
      <c r="L169" s="7" t="n">
        <v>38.07</v>
      </c>
    </row>
    <row r="170" ht="15" customHeight="1">
      <c r="A170" s="13" t="n">
        <v>45980</v>
      </c>
      <c r="B170" s="7" t="n">
        <v>41.21</v>
      </c>
      <c r="C170" s="7" t="n">
        <v>39.51</v>
      </c>
      <c r="D170" s="9" t="n">
        <v>74.56</v>
      </c>
      <c r="E170" s="7" t="n">
        <v>53.02</v>
      </c>
      <c r="F170" s="7" t="n">
        <v>42</v>
      </c>
      <c r="G170" s="7" t="n">
        <v>39.08</v>
      </c>
      <c r="H170" s="7" t="n">
        <v>34.24</v>
      </c>
      <c r="I170" s="7" t="n">
        <v>41.94</v>
      </c>
      <c r="J170" s="7" t="n">
        <v>43.59</v>
      </c>
      <c r="K170" s="7" t="n">
        <v>38.24</v>
      </c>
      <c r="L170" s="7" t="n">
        <v>39.55</v>
      </c>
    </row>
    <row r="171" ht="15" customHeight="1">
      <c r="A171" s="13" t="n">
        <v>45979</v>
      </c>
      <c r="B171" s="7" t="n">
        <v>38.64</v>
      </c>
      <c r="C171" s="7" t="n">
        <v>37.22</v>
      </c>
      <c r="D171" s="9" t="n">
        <v>76.37</v>
      </c>
      <c r="E171" s="7" t="n">
        <v>58.56</v>
      </c>
      <c r="F171" s="7" t="n">
        <v>40.56</v>
      </c>
      <c r="G171" s="7" t="n">
        <v>36.47</v>
      </c>
      <c r="H171" s="7" t="n">
        <v>34.23</v>
      </c>
      <c r="I171" s="7" t="n">
        <v>46.52</v>
      </c>
      <c r="J171" s="7" t="n">
        <v>48.81</v>
      </c>
      <c r="K171" s="7" t="n">
        <v>40.55</v>
      </c>
      <c r="L171" s="7" t="n">
        <v>43.12</v>
      </c>
    </row>
    <row r="172" ht="15" customHeight="1">
      <c r="A172" s="13" t="n">
        <v>45978</v>
      </c>
      <c r="B172" s="7" t="n">
        <v>42.76</v>
      </c>
      <c r="C172" s="7" t="n">
        <v>37.78</v>
      </c>
      <c r="D172" s="9" t="n">
        <v>74.40000000000001</v>
      </c>
      <c r="E172" s="7" t="n">
        <v>55.96</v>
      </c>
      <c r="F172" s="7" t="n">
        <v>40.12</v>
      </c>
      <c r="G172" s="7" t="n">
        <v>38.53</v>
      </c>
      <c r="H172" s="7" t="n">
        <v>38.59</v>
      </c>
      <c r="I172" s="7" t="n">
        <v>43.3</v>
      </c>
      <c r="J172" s="7" t="n">
        <v>51.4</v>
      </c>
      <c r="K172" s="7" t="n">
        <v>36.95</v>
      </c>
      <c r="L172" s="7" t="n">
        <v>40.79</v>
      </c>
    </row>
    <row r="173" ht="15" customHeight="1">
      <c r="A173" s="13" t="n">
        <v>45975</v>
      </c>
      <c r="B173" s="7" t="n">
        <v>47.34</v>
      </c>
      <c r="C173" s="7" t="n">
        <v>45.75</v>
      </c>
      <c r="D173" s="9" t="n">
        <v>75.25</v>
      </c>
      <c r="E173" s="8" t="n">
        <v>64.79000000000001</v>
      </c>
      <c r="F173" s="7" t="n">
        <v>46.09</v>
      </c>
      <c r="G173" s="7" t="n">
        <v>43.6</v>
      </c>
      <c r="H173" s="7" t="n">
        <v>41.09</v>
      </c>
      <c r="I173" s="7" t="n">
        <v>47.21</v>
      </c>
      <c r="J173" s="7" t="n">
        <v>45.02</v>
      </c>
      <c r="K173" s="7" t="n">
        <v>37.45</v>
      </c>
      <c r="L173" s="7" t="n">
        <v>43.79</v>
      </c>
    </row>
    <row r="174" ht="15" customHeight="1">
      <c r="A174" s="13" t="n">
        <v>45974</v>
      </c>
      <c r="B174" s="7" t="n">
        <v>45.47</v>
      </c>
      <c r="C174" s="7" t="n">
        <v>51.05</v>
      </c>
      <c r="D174" s="9" t="n">
        <v>81.29000000000001</v>
      </c>
      <c r="E174" s="7" t="n">
        <v>59.33</v>
      </c>
      <c r="F174" s="7" t="n">
        <v>50.31</v>
      </c>
      <c r="G174" s="7" t="n">
        <v>43.55</v>
      </c>
      <c r="H174" s="7" t="n">
        <v>42.4</v>
      </c>
      <c r="I174" s="7" t="n">
        <v>47.7</v>
      </c>
      <c r="J174" s="7" t="n">
        <v>44.35</v>
      </c>
      <c r="K174" s="7" t="n">
        <v>39.44</v>
      </c>
      <c r="L174" s="7" t="n">
        <v>42.03</v>
      </c>
    </row>
    <row r="175" ht="15" customHeight="1">
      <c r="A175" s="13" t="n">
        <v>45973</v>
      </c>
      <c r="B175" s="7" t="n">
        <v>53.84</v>
      </c>
      <c r="C175" s="7" t="n">
        <v>59.36</v>
      </c>
      <c r="D175" s="9" t="n">
        <v>81.83</v>
      </c>
      <c r="E175" s="7" t="n">
        <v>58.43</v>
      </c>
      <c r="F175" s="7" t="n">
        <v>53.6</v>
      </c>
      <c r="G175" s="7" t="n">
        <v>53.26</v>
      </c>
      <c r="H175" s="7" t="n">
        <v>50.35</v>
      </c>
      <c r="I175" s="7" t="n">
        <v>47.7</v>
      </c>
      <c r="J175" s="7" t="n">
        <v>53.91</v>
      </c>
      <c r="K175" s="7" t="n">
        <v>45.43</v>
      </c>
      <c r="L175" s="7" t="n">
        <v>48.34</v>
      </c>
    </row>
    <row r="176" ht="15" customHeight="1">
      <c r="A176" s="13" t="n">
        <v>45972</v>
      </c>
      <c r="B176" s="7" t="n">
        <v>52.84</v>
      </c>
      <c r="C176" s="7" t="n">
        <v>54.81</v>
      </c>
      <c r="D176" s="9" t="n">
        <v>78.27</v>
      </c>
      <c r="E176" s="8" t="n">
        <v>65.93000000000001</v>
      </c>
      <c r="F176" s="7" t="n">
        <v>50.37</v>
      </c>
      <c r="G176" s="7" t="n">
        <v>52.65</v>
      </c>
      <c r="H176" s="7" t="n">
        <v>52.85</v>
      </c>
      <c r="I176" s="7" t="n">
        <v>48.5</v>
      </c>
      <c r="J176" s="7" t="n">
        <v>52.29</v>
      </c>
      <c r="K176" s="7" t="n">
        <v>48.22</v>
      </c>
      <c r="L176" s="7" t="n">
        <v>52.84</v>
      </c>
    </row>
    <row r="177" ht="15" customHeight="1">
      <c r="A177" s="13" t="n">
        <v>45971</v>
      </c>
      <c r="B177" s="7" t="n">
        <v>55.97</v>
      </c>
      <c r="C177" s="7" t="n">
        <v>52.21</v>
      </c>
      <c r="D177" s="8" t="n">
        <v>69.43000000000001</v>
      </c>
      <c r="E177" s="8" t="n">
        <v>61.72</v>
      </c>
      <c r="F177" s="7" t="n">
        <v>45.23</v>
      </c>
      <c r="G177" s="7" t="n">
        <v>52.49</v>
      </c>
      <c r="H177" s="7" t="n">
        <v>52.04</v>
      </c>
      <c r="I177" s="7" t="n">
        <v>40.06</v>
      </c>
      <c r="J177" s="7" t="n">
        <v>51.92</v>
      </c>
      <c r="K177" s="7" t="n">
        <v>43.75</v>
      </c>
      <c r="L177" s="7" t="n">
        <v>46.38</v>
      </c>
    </row>
    <row r="178" ht="15" customHeight="1">
      <c r="A178" s="13" t="n">
        <v>45968</v>
      </c>
      <c r="B178" s="7" t="n">
        <v>47.55</v>
      </c>
      <c r="C178" s="7" t="n">
        <v>50.1</v>
      </c>
      <c r="D178" s="8" t="n">
        <v>64.98999999999999</v>
      </c>
      <c r="E178" s="7" t="n">
        <v>58.46</v>
      </c>
      <c r="F178" s="7" t="n">
        <v>40.04</v>
      </c>
      <c r="G178" s="7" t="n">
        <v>49.13</v>
      </c>
      <c r="H178" s="7" t="n">
        <v>47.66</v>
      </c>
      <c r="I178" s="7" t="n">
        <v>41.84</v>
      </c>
      <c r="J178" s="7" t="n">
        <v>52.14</v>
      </c>
      <c r="K178" s="7" t="n">
        <v>37.36</v>
      </c>
      <c r="L178" s="7" t="n">
        <v>46.77</v>
      </c>
    </row>
    <row r="179" ht="15" customHeight="1">
      <c r="A179" s="13" t="n">
        <v>45967</v>
      </c>
      <c r="B179" s="7" t="n">
        <v>48.72</v>
      </c>
      <c r="C179" s="7" t="n">
        <v>45.78</v>
      </c>
      <c r="D179" s="8" t="n">
        <v>64.14</v>
      </c>
      <c r="E179" s="7" t="n">
        <v>52.56</v>
      </c>
      <c r="F179" s="7" t="n">
        <v>32.57</v>
      </c>
      <c r="G179" s="7" t="n">
        <v>46.12</v>
      </c>
      <c r="H179" s="7" t="n">
        <v>47.13</v>
      </c>
      <c r="I179" s="7" t="n">
        <v>30.44</v>
      </c>
      <c r="J179" s="7" t="n">
        <v>42.58</v>
      </c>
      <c r="K179" s="7" t="n">
        <v>38.36</v>
      </c>
      <c r="L179" s="7" t="n">
        <v>38.12</v>
      </c>
    </row>
    <row r="180" ht="15" customHeight="1">
      <c r="A180" s="13" t="n">
        <v>45966</v>
      </c>
      <c r="B180" s="7" t="n">
        <v>56.39</v>
      </c>
      <c r="C180" s="7" t="n">
        <v>47.75</v>
      </c>
      <c r="D180" s="8" t="n">
        <v>62.98</v>
      </c>
      <c r="E180" s="7" t="n">
        <v>47.97</v>
      </c>
      <c r="F180" s="7" t="n">
        <v>34.2</v>
      </c>
      <c r="G180" s="7" t="n">
        <v>48.31</v>
      </c>
      <c r="H180" s="7" t="n">
        <v>54.98</v>
      </c>
      <c r="I180" s="7" t="n">
        <v>32.24</v>
      </c>
      <c r="J180" s="7" t="n">
        <v>45.24</v>
      </c>
      <c r="K180" s="7" t="n">
        <v>42.05</v>
      </c>
      <c r="L180" s="7" t="n">
        <v>40.37</v>
      </c>
    </row>
    <row r="181" ht="15" customHeight="1">
      <c r="A181" s="13" t="n">
        <v>45965</v>
      </c>
      <c r="B181" s="7" t="n">
        <v>55.11</v>
      </c>
      <c r="C181" s="7" t="n">
        <v>45.7</v>
      </c>
      <c r="D181" s="8" t="n">
        <v>60.6</v>
      </c>
      <c r="E181" s="7" t="n">
        <v>46.68</v>
      </c>
      <c r="F181" s="7" t="n">
        <v>30.35</v>
      </c>
      <c r="G181" s="7" t="n">
        <v>46.01</v>
      </c>
      <c r="H181" s="7" t="n">
        <v>51.04</v>
      </c>
      <c r="I181" s="7" t="n">
        <v>32.5</v>
      </c>
      <c r="J181" s="7" t="n">
        <v>45.08</v>
      </c>
      <c r="K181" s="7" t="n">
        <v>38.78</v>
      </c>
      <c r="L181" s="7" t="n">
        <v>40.48</v>
      </c>
    </row>
    <row r="182" ht="15" customHeight="1">
      <c r="A182" s="13" t="n">
        <v>45964</v>
      </c>
      <c r="B182" s="8" t="n">
        <v>67.84</v>
      </c>
      <c r="C182" s="7" t="n">
        <v>42.54</v>
      </c>
      <c r="D182" s="7" t="n">
        <v>57.67</v>
      </c>
      <c r="E182" s="7" t="n">
        <v>51.61</v>
      </c>
      <c r="F182" s="7" t="n">
        <v>31.8</v>
      </c>
      <c r="G182" s="7" t="n">
        <v>52.6</v>
      </c>
      <c r="H182" s="7" t="n">
        <v>57.53</v>
      </c>
      <c r="I182" s="10" t="n">
        <v>29.18</v>
      </c>
      <c r="J182" s="7" t="n">
        <v>47.17</v>
      </c>
      <c r="K182" s="7" t="n">
        <v>41.57</v>
      </c>
      <c r="L182" s="7" t="n">
        <v>38.76</v>
      </c>
    </row>
    <row r="183" ht="15" customHeight="1">
      <c r="A183" s="13" t="n">
        <v>45961</v>
      </c>
      <c r="B183" s="8" t="n">
        <v>66.73999999999999</v>
      </c>
      <c r="C183" s="7" t="n">
        <v>44.5</v>
      </c>
      <c r="D183" s="7" t="n">
        <v>56.75</v>
      </c>
      <c r="E183" s="7" t="n">
        <v>51.56</v>
      </c>
      <c r="F183" s="7" t="n">
        <v>33.69</v>
      </c>
      <c r="G183" s="7" t="n">
        <v>55.32</v>
      </c>
      <c r="H183" s="7" t="n">
        <v>54.52</v>
      </c>
      <c r="I183" s="7" t="n">
        <v>32.01</v>
      </c>
      <c r="J183" s="7" t="n">
        <v>46.81</v>
      </c>
      <c r="K183" s="7" t="n">
        <v>46.4</v>
      </c>
      <c r="L183" s="7" t="n">
        <v>39.43</v>
      </c>
    </row>
    <row r="184" ht="15" customHeight="1">
      <c r="A184" s="13" t="n">
        <v>45960</v>
      </c>
      <c r="B184" s="8" t="n">
        <v>66.48999999999999</v>
      </c>
      <c r="C184" s="7" t="n">
        <v>42.95</v>
      </c>
      <c r="D184" s="7" t="n">
        <v>57.04</v>
      </c>
      <c r="E184" s="7" t="n">
        <v>48.39</v>
      </c>
      <c r="F184" s="7" t="n">
        <v>35.54</v>
      </c>
      <c r="G184" s="7" t="n">
        <v>54.08</v>
      </c>
      <c r="H184" s="7" t="n">
        <v>44.5</v>
      </c>
      <c r="I184" s="7" t="n">
        <v>33.1</v>
      </c>
      <c r="J184" s="7" t="n">
        <v>50.78</v>
      </c>
      <c r="K184" s="7" t="n">
        <v>43.97</v>
      </c>
      <c r="L184" s="7" t="n">
        <v>39.15</v>
      </c>
    </row>
    <row r="185" ht="15" customHeight="1">
      <c r="A185" s="13" t="n">
        <v>45959</v>
      </c>
      <c r="B185" s="9" t="n">
        <v>73.09999999999999</v>
      </c>
      <c r="C185" s="7" t="n">
        <v>41.43</v>
      </c>
      <c r="D185" s="7" t="n">
        <v>55.71</v>
      </c>
      <c r="E185" s="7" t="n">
        <v>50.9</v>
      </c>
      <c r="F185" s="7" t="n">
        <v>40.35</v>
      </c>
      <c r="G185" s="7" t="n">
        <v>55.58</v>
      </c>
      <c r="H185" s="7" t="n">
        <v>54.19</v>
      </c>
      <c r="I185" s="7" t="n">
        <v>33.48</v>
      </c>
      <c r="J185" s="7" t="n">
        <v>53.35</v>
      </c>
      <c r="K185" s="7" t="n">
        <v>52.94</v>
      </c>
      <c r="L185" s="7" t="n">
        <v>35.98</v>
      </c>
    </row>
    <row r="186" ht="15" customHeight="1">
      <c r="A186" s="13" t="n">
        <v>45958</v>
      </c>
      <c r="B186" s="9" t="n">
        <v>71.58</v>
      </c>
      <c r="C186" s="7" t="n">
        <v>49.25</v>
      </c>
      <c r="D186" s="8" t="n">
        <v>64.20999999999999</v>
      </c>
      <c r="E186" s="7" t="n">
        <v>47.75</v>
      </c>
      <c r="F186" s="7" t="n">
        <v>49.7</v>
      </c>
      <c r="G186" s="7" t="n">
        <v>54.38</v>
      </c>
      <c r="H186" s="7" t="n">
        <v>58.55</v>
      </c>
      <c r="I186" s="7" t="n">
        <v>44.64</v>
      </c>
      <c r="J186" s="7" t="n">
        <v>53.55</v>
      </c>
      <c r="K186" s="7" t="n">
        <v>54.45</v>
      </c>
      <c r="L186" s="7" t="n">
        <v>47.34</v>
      </c>
    </row>
    <row r="187" ht="15" customHeight="1">
      <c r="A187" s="13" t="n">
        <v>45957</v>
      </c>
      <c r="B187" s="8" t="n">
        <v>69.38</v>
      </c>
      <c r="C187" s="7" t="n">
        <v>52.75</v>
      </c>
      <c r="D187" s="9" t="n">
        <v>70.45</v>
      </c>
      <c r="E187" s="7" t="n">
        <v>52.15</v>
      </c>
      <c r="F187" s="7" t="n">
        <v>48.95</v>
      </c>
      <c r="G187" s="7" t="n">
        <v>58.47</v>
      </c>
      <c r="H187" s="7" t="n">
        <v>58.46</v>
      </c>
      <c r="I187" s="7" t="n">
        <v>51.44</v>
      </c>
      <c r="J187" s="8" t="n">
        <v>64.84999999999999</v>
      </c>
      <c r="K187" s="7" t="n">
        <v>57.51</v>
      </c>
      <c r="L187" s="8" t="n">
        <v>62.65</v>
      </c>
    </row>
    <row r="188" ht="15" customHeight="1">
      <c r="A188" s="13" t="n">
        <v>45954</v>
      </c>
      <c r="B188" s="8" t="n">
        <v>64.76000000000001</v>
      </c>
      <c r="C188" s="7" t="n">
        <v>50.64</v>
      </c>
      <c r="D188" s="8" t="n">
        <v>69.43000000000001</v>
      </c>
      <c r="E188" s="7" t="n">
        <v>51.19</v>
      </c>
      <c r="F188" s="7" t="n">
        <v>49.18</v>
      </c>
      <c r="G188" s="7" t="n">
        <v>56.03</v>
      </c>
      <c r="H188" s="7" t="n">
        <v>52.82</v>
      </c>
      <c r="I188" s="7" t="n">
        <v>50.28</v>
      </c>
      <c r="J188" s="8" t="n">
        <v>63.67</v>
      </c>
      <c r="K188" s="7" t="n">
        <v>50.31</v>
      </c>
      <c r="L188" s="8" t="n">
        <v>61.55</v>
      </c>
    </row>
    <row r="189" ht="15" customHeight="1">
      <c r="A189" s="13" t="n">
        <v>45953</v>
      </c>
      <c r="B189" s="8" t="n">
        <v>60.12</v>
      </c>
      <c r="C189" s="7" t="n">
        <v>44.72</v>
      </c>
      <c r="D189" s="8" t="n">
        <v>69.5</v>
      </c>
      <c r="E189" s="7" t="n">
        <v>55.6</v>
      </c>
      <c r="F189" s="7" t="n">
        <v>51.23</v>
      </c>
      <c r="G189" s="7" t="n">
        <v>55.68</v>
      </c>
      <c r="H189" s="7" t="n">
        <v>54.24</v>
      </c>
      <c r="I189" s="7" t="n">
        <v>52.61</v>
      </c>
      <c r="J189" s="7" t="n">
        <v>58.15</v>
      </c>
      <c r="K189" s="7" t="n">
        <v>48.81</v>
      </c>
      <c r="L189" s="7" t="n">
        <v>59.73</v>
      </c>
    </row>
    <row r="190" ht="15" customHeight="1">
      <c r="A190" s="13" t="n">
        <v>45952</v>
      </c>
      <c r="B190" s="7" t="n">
        <v>55.79</v>
      </c>
      <c r="C190" s="7" t="n">
        <v>43.51</v>
      </c>
      <c r="D190" s="8" t="n">
        <v>69.28</v>
      </c>
      <c r="E190" s="7" t="n">
        <v>50.45</v>
      </c>
      <c r="F190" s="7" t="n">
        <v>45.15</v>
      </c>
      <c r="G190" s="7" t="n">
        <v>50.17</v>
      </c>
      <c r="H190" s="7" t="n">
        <v>52.45</v>
      </c>
      <c r="I190" s="7" t="n">
        <v>56.24</v>
      </c>
      <c r="J190" s="7" t="n">
        <v>58.69</v>
      </c>
      <c r="K190" s="7" t="n">
        <v>50.66</v>
      </c>
      <c r="L190" s="8" t="n">
        <v>60.44</v>
      </c>
    </row>
    <row r="191" ht="15" customHeight="1">
      <c r="A191" s="13" t="n">
        <v>45951</v>
      </c>
      <c r="B191" s="8" t="n">
        <v>60.63</v>
      </c>
      <c r="C191" s="7" t="n">
        <v>46.07</v>
      </c>
      <c r="D191" s="8" t="n">
        <v>67.04000000000001</v>
      </c>
      <c r="E191" s="7" t="n">
        <v>44.82</v>
      </c>
      <c r="F191" s="7" t="n">
        <v>46.52</v>
      </c>
      <c r="G191" s="7" t="n">
        <v>57.1</v>
      </c>
      <c r="H191" s="7" t="n">
        <v>56</v>
      </c>
      <c r="I191" s="7" t="n">
        <v>52.75</v>
      </c>
      <c r="J191" s="8" t="n">
        <v>60.27</v>
      </c>
      <c r="K191" s="7" t="n">
        <v>55.73</v>
      </c>
      <c r="L191" s="7" t="n">
        <v>58.25</v>
      </c>
    </row>
    <row r="192" ht="15" customHeight="1">
      <c r="A192" s="13" t="n">
        <v>45950</v>
      </c>
      <c r="B192" s="8" t="n">
        <v>60.46</v>
      </c>
      <c r="C192" s="7" t="n">
        <v>46.58</v>
      </c>
      <c r="D192" s="8" t="n">
        <v>66.09999999999999</v>
      </c>
      <c r="E192" s="7" t="n">
        <v>45.69</v>
      </c>
      <c r="F192" s="7" t="n">
        <v>48.23</v>
      </c>
      <c r="G192" s="7" t="n">
        <v>53.02</v>
      </c>
      <c r="H192" s="7" t="n">
        <v>51.27</v>
      </c>
      <c r="I192" s="7" t="n">
        <v>56.17</v>
      </c>
      <c r="J192" s="8" t="n">
        <v>67.78</v>
      </c>
      <c r="K192" s="7" t="n">
        <v>54</v>
      </c>
      <c r="L192" s="8" t="n">
        <v>60.37</v>
      </c>
    </row>
    <row r="193" ht="15" customHeight="1">
      <c r="A193" s="13" t="n">
        <v>45947</v>
      </c>
      <c r="B193" s="7" t="n">
        <v>56.85</v>
      </c>
      <c r="C193" s="7" t="n">
        <v>40.35</v>
      </c>
      <c r="D193" s="8" t="n">
        <v>61.54</v>
      </c>
      <c r="E193" s="7" t="n">
        <v>40.84</v>
      </c>
      <c r="F193" s="7" t="n">
        <v>42.12</v>
      </c>
      <c r="G193" s="7" t="n">
        <v>46.84</v>
      </c>
      <c r="H193" s="7" t="n">
        <v>47.91</v>
      </c>
      <c r="I193" s="7" t="n">
        <v>56.81</v>
      </c>
      <c r="J193" s="8" t="n">
        <v>68.03</v>
      </c>
      <c r="K193" s="7" t="n">
        <v>47.99</v>
      </c>
      <c r="L193" s="7" t="n">
        <v>55.24</v>
      </c>
    </row>
    <row r="194" ht="15" customHeight="1">
      <c r="A194" s="13" t="n">
        <v>45946</v>
      </c>
      <c r="B194" s="7" t="n">
        <v>56.26</v>
      </c>
      <c r="C194" s="7" t="n">
        <v>35.55</v>
      </c>
      <c r="D194" s="7" t="n">
        <v>58.28</v>
      </c>
      <c r="E194" s="7" t="n">
        <v>36.81</v>
      </c>
      <c r="F194" s="7" t="n">
        <v>42.88</v>
      </c>
      <c r="G194" s="7" t="n">
        <v>46.37</v>
      </c>
      <c r="H194" s="7" t="n">
        <v>44.07</v>
      </c>
      <c r="I194" s="7" t="n">
        <v>48.56</v>
      </c>
      <c r="J194" s="9" t="n">
        <v>70.66</v>
      </c>
      <c r="K194" s="7" t="n">
        <v>43.96</v>
      </c>
      <c r="L194" s="7" t="n">
        <v>51.68</v>
      </c>
    </row>
    <row r="195" ht="15" customHeight="1">
      <c r="A195" s="13" t="n">
        <v>45945</v>
      </c>
      <c r="B195" s="7" t="n">
        <v>56.03</v>
      </c>
      <c r="C195" s="7" t="n">
        <v>48.27</v>
      </c>
      <c r="D195" s="7" t="n">
        <v>59.46</v>
      </c>
      <c r="E195" s="7" t="n">
        <v>40.63</v>
      </c>
      <c r="F195" s="7" t="n">
        <v>45.87</v>
      </c>
      <c r="G195" s="7" t="n">
        <v>49.53</v>
      </c>
      <c r="H195" s="7" t="n">
        <v>47.79</v>
      </c>
      <c r="I195" s="7" t="n">
        <v>53.54</v>
      </c>
      <c r="J195" s="9" t="n">
        <v>79.65000000000001</v>
      </c>
      <c r="K195" s="7" t="n">
        <v>49.66</v>
      </c>
      <c r="L195" s="7" t="n">
        <v>53.59</v>
      </c>
    </row>
    <row r="196" ht="15" customHeight="1">
      <c r="A196" s="13" t="n">
        <v>45944</v>
      </c>
      <c r="B196" s="7" t="n">
        <v>52.95</v>
      </c>
      <c r="C196" s="7" t="n">
        <v>48.27</v>
      </c>
      <c r="D196" s="7" t="n">
        <v>58.75</v>
      </c>
      <c r="E196" s="7" t="n">
        <v>40.82</v>
      </c>
      <c r="F196" s="7" t="n">
        <v>47.74</v>
      </c>
      <c r="G196" s="7" t="n">
        <v>51.63</v>
      </c>
      <c r="H196" s="7" t="n">
        <v>47.17</v>
      </c>
      <c r="I196" s="7" t="n">
        <v>52.38</v>
      </c>
      <c r="J196" s="9" t="n">
        <v>76.31999999999999</v>
      </c>
      <c r="K196" s="7" t="n">
        <v>45.33</v>
      </c>
      <c r="L196" s="7" t="n">
        <v>44.88</v>
      </c>
    </row>
    <row r="197" ht="15" customHeight="1">
      <c r="A197" s="13" t="n">
        <v>45943</v>
      </c>
      <c r="B197" s="7" t="n">
        <v>57.89</v>
      </c>
      <c r="C197" s="7" t="n">
        <v>41.16</v>
      </c>
      <c r="D197" s="7" t="n">
        <v>57.52</v>
      </c>
      <c r="E197" s="7" t="n">
        <v>40.85</v>
      </c>
      <c r="F197" s="7" t="n">
        <v>42.99</v>
      </c>
      <c r="G197" s="7" t="n">
        <v>45.69</v>
      </c>
      <c r="H197" s="7" t="n">
        <v>46.32</v>
      </c>
      <c r="I197" s="7" t="n">
        <v>40.05</v>
      </c>
      <c r="J197" s="9" t="n">
        <v>73.62</v>
      </c>
      <c r="K197" s="7" t="n">
        <v>40.96</v>
      </c>
      <c r="L197" s="7" t="n">
        <v>37.83</v>
      </c>
    </row>
    <row r="198" ht="15" customHeight="1">
      <c r="A198" s="13" t="n">
        <v>45940</v>
      </c>
      <c r="B198" s="7" t="n">
        <v>49.84</v>
      </c>
      <c r="C198" s="7" t="n">
        <v>33.88</v>
      </c>
      <c r="D198" s="7" t="n">
        <v>58.18</v>
      </c>
      <c r="E198" s="7" t="n">
        <v>34.78</v>
      </c>
      <c r="F198" s="7" t="n">
        <v>34.28</v>
      </c>
      <c r="G198" s="7" t="n">
        <v>39.67</v>
      </c>
      <c r="H198" s="7" t="n">
        <v>36.38</v>
      </c>
      <c r="I198" s="7" t="n">
        <v>42.16</v>
      </c>
      <c r="J198" s="9" t="n">
        <v>71.01000000000001</v>
      </c>
      <c r="K198" s="7" t="n">
        <v>34.18</v>
      </c>
      <c r="L198" s="7" t="n">
        <v>33.15</v>
      </c>
    </row>
    <row r="199" ht="15" customHeight="1">
      <c r="A199" s="13" t="n">
        <v>45939</v>
      </c>
      <c r="B199" s="9" t="n">
        <v>72.14</v>
      </c>
      <c r="C199" s="7" t="n">
        <v>46.19</v>
      </c>
      <c r="D199" s="8" t="n">
        <v>67.53</v>
      </c>
      <c r="E199" s="7" t="n">
        <v>43.95</v>
      </c>
      <c r="F199" s="7" t="n">
        <v>42.17</v>
      </c>
      <c r="G199" s="7" t="n">
        <v>51.11</v>
      </c>
      <c r="H199" s="7" t="n">
        <v>46.5</v>
      </c>
      <c r="I199" s="7" t="n">
        <v>41.5</v>
      </c>
      <c r="J199" s="9" t="n">
        <v>74.69</v>
      </c>
      <c r="K199" s="7" t="n">
        <v>43.67</v>
      </c>
      <c r="L199" s="7" t="n">
        <v>38.4</v>
      </c>
    </row>
    <row r="200" ht="15" customHeight="1">
      <c r="A200" s="13" t="n">
        <v>45938</v>
      </c>
      <c r="B200" s="9" t="n">
        <v>73.41</v>
      </c>
      <c r="C200" s="7" t="n">
        <v>48.89</v>
      </c>
      <c r="D200" s="8" t="n">
        <v>69.11</v>
      </c>
      <c r="E200" s="7" t="n">
        <v>49.76</v>
      </c>
      <c r="F200" s="7" t="n">
        <v>49.28</v>
      </c>
      <c r="G200" s="8" t="n">
        <v>62.46</v>
      </c>
      <c r="H200" s="7" t="n">
        <v>48.8</v>
      </c>
      <c r="I200" s="7" t="n">
        <v>38.8</v>
      </c>
      <c r="J200" s="9" t="n">
        <v>77</v>
      </c>
      <c r="K200" s="7" t="n">
        <v>47.48</v>
      </c>
      <c r="L200" s="7" t="n">
        <v>40.94</v>
      </c>
    </row>
    <row r="201" ht="15" customHeight="1">
      <c r="A201" s="13" t="n">
        <v>45937</v>
      </c>
      <c r="B201" s="8" t="n">
        <v>68.09</v>
      </c>
      <c r="C201" s="7" t="n">
        <v>52.81</v>
      </c>
      <c r="D201" s="8" t="n">
        <v>68.51000000000001</v>
      </c>
      <c r="E201" s="7" t="n">
        <v>52.53</v>
      </c>
      <c r="F201" s="7" t="n">
        <v>45.98</v>
      </c>
      <c r="G201" s="7" t="n">
        <v>57.33</v>
      </c>
      <c r="H201" s="7" t="n">
        <v>47.36</v>
      </c>
      <c r="I201" s="7" t="n">
        <v>41.58</v>
      </c>
      <c r="J201" s="9" t="n">
        <v>75.08</v>
      </c>
      <c r="K201" s="7" t="n">
        <v>50.45</v>
      </c>
      <c r="L201" s="7" t="n">
        <v>43.93</v>
      </c>
    </row>
    <row r="202" ht="15" customHeight="1">
      <c r="A202" s="13" t="n">
        <v>45936</v>
      </c>
      <c r="B202" s="9" t="n">
        <v>73.31</v>
      </c>
      <c r="C202" s="7" t="n">
        <v>51.84</v>
      </c>
      <c r="D202" s="8" t="n">
        <v>68.29000000000001</v>
      </c>
      <c r="E202" s="7" t="n">
        <v>51.86</v>
      </c>
      <c r="F202" s="7" t="n">
        <v>48.16</v>
      </c>
      <c r="G202" s="8" t="n">
        <v>62.54</v>
      </c>
      <c r="H202" s="7" t="n">
        <v>56.11</v>
      </c>
      <c r="I202" s="7" t="n">
        <v>33.39</v>
      </c>
      <c r="J202" s="9" t="n">
        <v>73.72</v>
      </c>
      <c r="K202" s="7" t="n">
        <v>53.36</v>
      </c>
      <c r="L202" s="7" t="n">
        <v>45.85</v>
      </c>
    </row>
    <row r="203" ht="15" customHeight="1">
      <c r="A203" s="13" t="n">
        <v>45933</v>
      </c>
      <c r="B203" s="9" t="n">
        <v>70.12</v>
      </c>
      <c r="C203" s="7" t="n">
        <v>52.13</v>
      </c>
      <c r="D203" s="9" t="n">
        <v>71.3</v>
      </c>
      <c r="E203" s="7" t="n">
        <v>49.79</v>
      </c>
      <c r="F203" s="7" t="n">
        <v>48.64</v>
      </c>
      <c r="G203" s="7" t="n">
        <v>59.76</v>
      </c>
      <c r="H203" s="7" t="n">
        <v>52.12</v>
      </c>
      <c r="I203" s="7" t="n">
        <v>37.22</v>
      </c>
      <c r="J203" s="9" t="n">
        <v>70.62</v>
      </c>
      <c r="K203" s="7" t="n">
        <v>52.68</v>
      </c>
      <c r="L203" s="7" t="n">
        <v>52.78</v>
      </c>
    </row>
    <row r="204" ht="15" customHeight="1">
      <c r="A204" s="13" t="n">
        <v>45932</v>
      </c>
      <c r="B204" s="9" t="n">
        <v>74.23</v>
      </c>
      <c r="C204" s="7" t="n">
        <v>47.17</v>
      </c>
      <c r="D204" s="8" t="n">
        <v>68.27</v>
      </c>
      <c r="E204" s="7" t="n">
        <v>47.56</v>
      </c>
      <c r="F204" s="7" t="n">
        <v>47.74</v>
      </c>
      <c r="G204" s="7" t="n">
        <v>58.94</v>
      </c>
      <c r="H204" s="7" t="n">
        <v>55.67</v>
      </c>
      <c r="I204" s="7" t="n">
        <v>36.15</v>
      </c>
      <c r="J204" s="8" t="n">
        <v>66.22</v>
      </c>
      <c r="K204" s="7" t="n">
        <v>53.04</v>
      </c>
      <c r="L204" s="7" t="n">
        <v>49.93</v>
      </c>
    </row>
    <row r="205" ht="15" customHeight="1">
      <c r="A205" s="13" t="n">
        <v>45931</v>
      </c>
      <c r="B205" s="9" t="n">
        <v>72.64</v>
      </c>
      <c r="C205" s="7" t="n">
        <v>47.67</v>
      </c>
      <c r="D205" s="8" t="n">
        <v>69.44</v>
      </c>
      <c r="E205" s="7" t="n">
        <v>51.64</v>
      </c>
      <c r="F205" s="7" t="n">
        <v>41.16</v>
      </c>
      <c r="G205" s="7" t="n">
        <v>57.4</v>
      </c>
      <c r="H205" s="7" t="n">
        <v>59.95</v>
      </c>
      <c r="I205" s="7" t="n">
        <v>38.24</v>
      </c>
      <c r="J205" s="8" t="n">
        <v>67.69</v>
      </c>
      <c r="K205" s="7" t="n">
        <v>54.53</v>
      </c>
      <c r="L205" s="7" t="n">
        <v>53.83</v>
      </c>
    </row>
    <row r="206" ht="15" customHeight="1">
      <c r="A206" s="13" t="n">
        <v>45930</v>
      </c>
      <c r="B206" s="8" t="n">
        <v>69.5</v>
      </c>
      <c r="C206" s="7" t="n">
        <v>53.98</v>
      </c>
      <c r="D206" s="7" t="n">
        <v>59.59</v>
      </c>
      <c r="E206" s="7" t="n">
        <v>51.64</v>
      </c>
      <c r="F206" s="7" t="n">
        <v>46.07</v>
      </c>
      <c r="G206" s="7" t="n">
        <v>59.63</v>
      </c>
      <c r="H206" s="7" t="n">
        <v>57.32</v>
      </c>
      <c r="I206" s="7" t="n">
        <v>39.06</v>
      </c>
      <c r="J206" s="8" t="n">
        <v>63.75</v>
      </c>
      <c r="K206" s="8" t="n">
        <v>65.38</v>
      </c>
      <c r="L206" s="7" t="n">
        <v>53.83</v>
      </c>
    </row>
    <row r="207" ht="15" customHeight="1">
      <c r="A207" s="13" t="n">
        <v>45929</v>
      </c>
      <c r="B207" s="8" t="n">
        <v>67.59</v>
      </c>
      <c r="C207" s="7" t="n">
        <v>57.84</v>
      </c>
      <c r="D207" s="7" t="n">
        <v>47.67</v>
      </c>
      <c r="E207" s="7" t="n">
        <v>56.07</v>
      </c>
      <c r="F207" s="7" t="n">
        <v>43.12</v>
      </c>
      <c r="G207" s="7" t="n">
        <v>55.18</v>
      </c>
      <c r="H207" s="8" t="n">
        <v>60.05</v>
      </c>
      <c r="I207" s="7" t="n">
        <v>36.33</v>
      </c>
      <c r="J207" s="8" t="n">
        <v>63</v>
      </c>
      <c r="K207" s="8" t="n">
        <v>66.70999999999999</v>
      </c>
      <c r="L207" s="7" t="n">
        <v>51.3</v>
      </c>
    </row>
    <row r="208" ht="15" customHeight="1">
      <c r="A208" s="13" t="n">
        <v>45926</v>
      </c>
      <c r="B208" s="8" t="n">
        <v>65.63</v>
      </c>
      <c r="C208" s="7" t="n">
        <v>54.72</v>
      </c>
      <c r="D208" s="7" t="n">
        <v>45.86</v>
      </c>
      <c r="E208" s="8" t="n">
        <v>65.20999999999999</v>
      </c>
      <c r="F208" s="7" t="n">
        <v>40.79</v>
      </c>
      <c r="G208" s="7" t="n">
        <v>53.28</v>
      </c>
      <c r="H208" s="7" t="n">
        <v>58.32</v>
      </c>
      <c r="I208" s="7" t="n">
        <v>34.77</v>
      </c>
      <c r="J208" s="8" t="n">
        <v>61.78</v>
      </c>
      <c r="K208" s="8" t="n">
        <v>65.31999999999999</v>
      </c>
      <c r="L208" s="7" t="n">
        <v>50.1</v>
      </c>
    </row>
    <row r="209" ht="15" customHeight="1">
      <c r="A209" s="13" t="n">
        <v>45925</v>
      </c>
      <c r="B209" s="8" t="n">
        <v>64.52</v>
      </c>
      <c r="C209" s="7" t="n">
        <v>49.73</v>
      </c>
      <c r="D209" s="7" t="n">
        <v>39.15</v>
      </c>
      <c r="E209" s="8" t="n">
        <v>62.38</v>
      </c>
      <c r="F209" s="7" t="n">
        <v>33.18</v>
      </c>
      <c r="G209" s="7" t="n">
        <v>47.25</v>
      </c>
      <c r="H209" s="7" t="n">
        <v>51.9</v>
      </c>
      <c r="I209" s="7" t="n">
        <v>32.83</v>
      </c>
      <c r="J209" s="7" t="n">
        <v>53.94</v>
      </c>
      <c r="K209" s="8" t="n">
        <v>60.76</v>
      </c>
      <c r="L209" s="7" t="n">
        <v>43.51</v>
      </c>
    </row>
    <row r="210" ht="15" customHeight="1">
      <c r="A210" s="13" t="n">
        <v>45924</v>
      </c>
      <c r="B210" s="8" t="n">
        <v>65.67</v>
      </c>
      <c r="C210" s="7" t="n">
        <v>51.63</v>
      </c>
      <c r="D210" s="7" t="n">
        <v>48.32</v>
      </c>
      <c r="E210" s="7" t="n">
        <v>59.43</v>
      </c>
      <c r="F210" s="7" t="n">
        <v>38.39</v>
      </c>
      <c r="G210" s="7" t="n">
        <v>51.96</v>
      </c>
      <c r="H210" s="8" t="n">
        <v>60.25</v>
      </c>
      <c r="I210" s="7" t="n">
        <v>36.85</v>
      </c>
      <c r="J210" s="8" t="n">
        <v>60.87</v>
      </c>
      <c r="K210" s="8" t="n">
        <v>63.48</v>
      </c>
      <c r="L210" s="7" t="n">
        <v>44.85</v>
      </c>
    </row>
    <row r="211" ht="15" customHeight="1">
      <c r="A211" s="13" t="n">
        <v>45923</v>
      </c>
      <c r="B211" s="8" t="n">
        <v>69.78</v>
      </c>
      <c r="C211" s="7" t="n">
        <v>53.67</v>
      </c>
      <c r="D211" s="7" t="n">
        <v>51.02</v>
      </c>
      <c r="E211" s="7" t="n">
        <v>54.69</v>
      </c>
      <c r="F211" s="7" t="n">
        <v>44.56</v>
      </c>
      <c r="G211" s="7" t="n">
        <v>55.94</v>
      </c>
      <c r="H211" s="7" t="n">
        <v>57.06</v>
      </c>
      <c r="I211" s="7" t="n">
        <v>35.18</v>
      </c>
      <c r="J211" s="7" t="n">
        <v>57.11</v>
      </c>
      <c r="K211" s="9" t="n">
        <v>70.69</v>
      </c>
      <c r="L211" s="7" t="n">
        <v>51.15</v>
      </c>
    </row>
    <row r="212" ht="15" customHeight="1">
      <c r="A212" s="13" t="n">
        <v>45922</v>
      </c>
      <c r="B212" s="9" t="n">
        <v>76</v>
      </c>
      <c r="C212" s="7" t="n">
        <v>57</v>
      </c>
      <c r="D212" s="7" t="n">
        <v>49.55</v>
      </c>
      <c r="E212" s="7" t="n">
        <v>47.25</v>
      </c>
      <c r="F212" s="7" t="n">
        <v>46.38</v>
      </c>
      <c r="G212" s="7" t="n">
        <v>55.78</v>
      </c>
      <c r="H212" s="8" t="n">
        <v>63.41</v>
      </c>
      <c r="I212" s="7" t="n">
        <v>31.31</v>
      </c>
      <c r="J212" s="7" t="n">
        <v>54.16</v>
      </c>
      <c r="K212" s="9" t="n">
        <v>72.01000000000001</v>
      </c>
      <c r="L212" s="7" t="n">
        <v>45.72</v>
      </c>
    </row>
    <row r="213" ht="15" customHeight="1">
      <c r="A213" s="13" t="n">
        <v>45919</v>
      </c>
      <c r="B213" s="9" t="n">
        <v>72.51000000000001</v>
      </c>
      <c r="C213" s="8" t="n">
        <v>60.66</v>
      </c>
      <c r="D213" s="7" t="n">
        <v>52.68</v>
      </c>
      <c r="E213" s="7" t="n">
        <v>51.69</v>
      </c>
      <c r="F213" s="7" t="n">
        <v>49.35</v>
      </c>
      <c r="G213" s="7" t="n">
        <v>56.34</v>
      </c>
      <c r="H213" s="8" t="n">
        <v>67.13</v>
      </c>
      <c r="I213" s="7" t="n">
        <v>39.22</v>
      </c>
      <c r="J213" s="7" t="n">
        <v>52.43</v>
      </c>
      <c r="K213" s="9" t="n">
        <v>78.65000000000001</v>
      </c>
      <c r="L213" s="7" t="n">
        <v>48.45</v>
      </c>
    </row>
    <row r="214" ht="15" customHeight="1">
      <c r="A214" s="13" t="n">
        <v>45918</v>
      </c>
      <c r="B214" s="8" t="n">
        <v>69.42</v>
      </c>
      <c r="C214" s="7" t="n">
        <v>59.5</v>
      </c>
      <c r="D214" s="7" t="n">
        <v>53.54</v>
      </c>
      <c r="E214" s="7" t="n">
        <v>58.88</v>
      </c>
      <c r="F214" s="7" t="n">
        <v>49.61</v>
      </c>
      <c r="G214" s="7" t="n">
        <v>55.04</v>
      </c>
      <c r="H214" s="8" t="n">
        <v>65.72</v>
      </c>
      <c r="I214" s="7" t="n">
        <v>40.29</v>
      </c>
      <c r="J214" s="7" t="n">
        <v>48.55</v>
      </c>
      <c r="K214" s="9" t="n">
        <v>77.51000000000001</v>
      </c>
      <c r="L214" s="7" t="n">
        <v>51.8</v>
      </c>
    </row>
    <row r="215" ht="15" customHeight="1">
      <c r="A215" s="13" t="n">
        <v>45917</v>
      </c>
      <c r="B215" s="8" t="n">
        <v>62.95</v>
      </c>
      <c r="C215" s="7" t="n">
        <v>59.03</v>
      </c>
      <c r="D215" s="7" t="n">
        <v>52.46</v>
      </c>
      <c r="E215" s="8" t="n">
        <v>60.72</v>
      </c>
      <c r="F215" s="7" t="n">
        <v>49.61</v>
      </c>
      <c r="G215" s="7" t="n">
        <v>48.85</v>
      </c>
      <c r="H215" s="8" t="n">
        <v>69</v>
      </c>
      <c r="I215" s="7" t="n">
        <v>45.28</v>
      </c>
      <c r="J215" s="7" t="n">
        <v>48.11</v>
      </c>
      <c r="K215" s="9" t="n">
        <v>77.31</v>
      </c>
      <c r="L215" s="7" t="n">
        <v>51.35</v>
      </c>
    </row>
    <row r="216" ht="15" customHeight="1">
      <c r="A216" s="13" t="n">
        <v>45916</v>
      </c>
      <c r="B216" s="8" t="n">
        <v>65.53</v>
      </c>
      <c r="C216" s="7" t="n">
        <v>53.92</v>
      </c>
      <c r="D216" s="7" t="n">
        <v>51.41</v>
      </c>
      <c r="E216" s="7" t="n">
        <v>59.85</v>
      </c>
      <c r="F216" s="7" t="n">
        <v>48.39</v>
      </c>
      <c r="G216" s="7" t="n">
        <v>51.68</v>
      </c>
      <c r="H216" s="9" t="n">
        <v>70.83</v>
      </c>
      <c r="I216" s="7" t="n">
        <v>40.59</v>
      </c>
      <c r="J216" s="7" t="n">
        <v>46.63</v>
      </c>
      <c r="K216" s="9" t="n">
        <v>76.62</v>
      </c>
      <c r="L216" s="7" t="n">
        <v>51.65</v>
      </c>
    </row>
    <row r="217" ht="15" customHeight="1">
      <c r="A217" s="13" t="n">
        <v>45915</v>
      </c>
      <c r="B217" s="8" t="n">
        <v>68.15000000000001</v>
      </c>
      <c r="C217" s="7" t="n">
        <v>55.4</v>
      </c>
      <c r="D217" s="7" t="n">
        <v>51.41</v>
      </c>
      <c r="E217" s="7" t="n">
        <v>52.98</v>
      </c>
      <c r="F217" s="7" t="n">
        <v>49.88</v>
      </c>
      <c r="G217" s="7" t="n">
        <v>53.56</v>
      </c>
      <c r="H217" s="8" t="n">
        <v>68.97</v>
      </c>
      <c r="I217" s="7" t="n">
        <v>36.82</v>
      </c>
      <c r="J217" s="7" t="n">
        <v>58</v>
      </c>
      <c r="K217" s="9" t="n">
        <v>80.09999999999999</v>
      </c>
      <c r="L217" s="7" t="n">
        <v>55.36</v>
      </c>
    </row>
    <row r="218" ht="15" customHeight="1">
      <c r="A218" s="13" t="n">
        <v>45912</v>
      </c>
      <c r="B218" s="8" t="n">
        <v>64.79000000000001</v>
      </c>
      <c r="C218" s="7" t="n">
        <v>56.85</v>
      </c>
      <c r="D218" s="7" t="n">
        <v>56.07</v>
      </c>
      <c r="E218" s="7" t="n">
        <v>54.74</v>
      </c>
      <c r="F218" s="7" t="n">
        <v>53.96</v>
      </c>
      <c r="G218" s="7" t="n">
        <v>50.98</v>
      </c>
      <c r="H218" s="8" t="n">
        <v>66.18000000000001</v>
      </c>
      <c r="I218" s="7" t="n">
        <v>43.35</v>
      </c>
      <c r="J218" s="7" t="n">
        <v>56.75</v>
      </c>
      <c r="K218" s="9" t="n">
        <v>76.73</v>
      </c>
      <c r="L218" s="7" t="n">
        <v>56.1</v>
      </c>
    </row>
    <row r="219" ht="15" customHeight="1">
      <c r="A219" s="13" t="n">
        <v>45911</v>
      </c>
      <c r="B219" s="8" t="n">
        <v>65.26000000000001</v>
      </c>
      <c r="C219" s="7" t="n">
        <v>59.63</v>
      </c>
      <c r="D219" s="8" t="n">
        <v>63.34</v>
      </c>
      <c r="E219" s="7" t="n">
        <v>57.9</v>
      </c>
      <c r="F219" s="7" t="n">
        <v>59.65</v>
      </c>
      <c r="G219" s="7" t="n">
        <v>56.01</v>
      </c>
      <c r="H219" s="8" t="n">
        <v>64.41</v>
      </c>
      <c r="I219" s="7" t="n">
        <v>45.55</v>
      </c>
      <c r="J219" s="7" t="n">
        <v>54</v>
      </c>
      <c r="K219" s="9" t="n">
        <v>74.34999999999999</v>
      </c>
      <c r="L219" s="7" t="n">
        <v>58.91</v>
      </c>
    </row>
    <row r="220" ht="15" customHeight="1">
      <c r="A220" s="13" t="n">
        <v>45910</v>
      </c>
      <c r="B220" s="8" t="n">
        <v>64.03</v>
      </c>
      <c r="C220" s="7" t="n">
        <v>51.25</v>
      </c>
      <c r="D220" s="7" t="n">
        <v>55.36</v>
      </c>
      <c r="E220" s="7" t="n">
        <v>57.81</v>
      </c>
      <c r="F220" s="7" t="n">
        <v>49.56</v>
      </c>
      <c r="G220" s="7" t="n">
        <v>50.68</v>
      </c>
      <c r="H220" s="7" t="n">
        <v>56.65</v>
      </c>
      <c r="I220" s="7" t="n">
        <v>38.58</v>
      </c>
      <c r="J220" s="7" t="n">
        <v>50.98</v>
      </c>
      <c r="K220" s="8" t="n">
        <v>69.04000000000001</v>
      </c>
      <c r="L220" s="7" t="n">
        <v>50.71</v>
      </c>
    </row>
    <row r="221" ht="15" customHeight="1">
      <c r="A221" s="13" t="n">
        <v>45909</v>
      </c>
      <c r="B221" s="7" t="n">
        <v>56.47</v>
      </c>
      <c r="C221" s="7" t="n">
        <v>53.38</v>
      </c>
      <c r="D221" s="8" t="n">
        <v>61.96</v>
      </c>
      <c r="E221" s="7" t="n">
        <v>50.73</v>
      </c>
      <c r="F221" s="7" t="n">
        <v>48.49</v>
      </c>
      <c r="G221" s="7" t="n">
        <v>46</v>
      </c>
      <c r="H221" s="8" t="n">
        <v>64.81</v>
      </c>
      <c r="I221" s="7" t="n">
        <v>45.1</v>
      </c>
      <c r="J221" s="7" t="n">
        <v>39.19</v>
      </c>
      <c r="K221" s="9" t="n">
        <v>76.12</v>
      </c>
      <c r="L221" s="7" t="n">
        <v>50.99</v>
      </c>
    </row>
    <row r="222" ht="15" customHeight="1">
      <c r="A222" s="13" t="n">
        <v>45908</v>
      </c>
      <c r="B222" s="7" t="n">
        <v>55.55</v>
      </c>
      <c r="C222" s="7" t="n">
        <v>50.97</v>
      </c>
      <c r="D222" s="7" t="n">
        <v>59.32</v>
      </c>
      <c r="E222" s="7" t="n">
        <v>48.52</v>
      </c>
      <c r="F222" s="7" t="n">
        <v>58.69</v>
      </c>
      <c r="G222" s="7" t="n">
        <v>50.05</v>
      </c>
      <c r="H222" s="8" t="n">
        <v>65.84999999999999</v>
      </c>
      <c r="I222" s="7" t="n">
        <v>43.3</v>
      </c>
      <c r="J222" s="7" t="n">
        <v>33.25</v>
      </c>
      <c r="K222" s="9" t="n">
        <v>74.23999999999999</v>
      </c>
      <c r="L222" s="7" t="n">
        <v>51.25</v>
      </c>
    </row>
    <row r="223" ht="15" customHeight="1">
      <c r="A223" s="13" t="n">
        <v>45905</v>
      </c>
      <c r="B223" s="7" t="n">
        <v>51.9</v>
      </c>
      <c r="C223" s="7" t="n">
        <v>50.55</v>
      </c>
      <c r="D223" s="7" t="n">
        <v>59.58</v>
      </c>
      <c r="E223" s="7" t="n">
        <v>49.5</v>
      </c>
      <c r="F223" s="7" t="n">
        <v>58.26</v>
      </c>
      <c r="G223" s="7" t="n">
        <v>48.65</v>
      </c>
      <c r="H223" s="8" t="n">
        <v>64.40000000000001</v>
      </c>
      <c r="I223" s="7" t="n">
        <v>45.92</v>
      </c>
      <c r="J223" s="7" t="n">
        <v>38.45</v>
      </c>
      <c r="K223" s="9" t="n">
        <v>73.86</v>
      </c>
      <c r="L223" s="7" t="n">
        <v>54.9</v>
      </c>
    </row>
    <row r="224" ht="15" customHeight="1">
      <c r="A224" s="13" t="n">
        <v>45904</v>
      </c>
      <c r="B224" s="7" t="n">
        <v>51.48</v>
      </c>
      <c r="C224" s="8" t="n">
        <v>62.72</v>
      </c>
      <c r="D224" s="7" t="n">
        <v>57.97</v>
      </c>
      <c r="E224" s="7" t="n">
        <v>59.01</v>
      </c>
      <c r="F224" s="7" t="n">
        <v>54.72</v>
      </c>
      <c r="G224" s="7" t="n">
        <v>50.83</v>
      </c>
      <c r="H224" s="8" t="n">
        <v>64.54000000000001</v>
      </c>
      <c r="I224" s="7" t="n">
        <v>43.48</v>
      </c>
      <c r="J224" s="7" t="n">
        <v>40.24</v>
      </c>
      <c r="K224" s="9" t="n">
        <v>72.06</v>
      </c>
      <c r="L224" s="7" t="n">
        <v>49.94</v>
      </c>
    </row>
    <row r="225" ht="15" customHeight="1">
      <c r="A225" s="13" t="n">
        <v>45903</v>
      </c>
      <c r="B225" s="7" t="n">
        <v>49.1</v>
      </c>
      <c r="C225" s="7" t="n">
        <v>57.33</v>
      </c>
      <c r="D225" s="7" t="n">
        <v>56.18</v>
      </c>
      <c r="E225" s="7" t="n">
        <v>56.34</v>
      </c>
      <c r="F225" s="7" t="n">
        <v>52.68</v>
      </c>
      <c r="G225" s="7" t="n">
        <v>43.77</v>
      </c>
      <c r="H225" s="7" t="n">
        <v>57.26</v>
      </c>
      <c r="I225" s="7" t="n">
        <v>42.96</v>
      </c>
      <c r="J225" s="7" t="n">
        <v>40.92</v>
      </c>
      <c r="K225" s="8" t="n">
        <v>68.70999999999999</v>
      </c>
      <c r="L225" s="7" t="n">
        <v>46.28</v>
      </c>
    </row>
    <row r="226" ht="15" customHeight="1">
      <c r="A226" s="13" t="n">
        <v>45902</v>
      </c>
      <c r="B226" s="7" t="n">
        <v>46.16</v>
      </c>
      <c r="C226" s="7" t="n">
        <v>58.59</v>
      </c>
      <c r="D226" s="7" t="n">
        <v>59.1</v>
      </c>
      <c r="E226" s="9" t="n">
        <v>71.17</v>
      </c>
      <c r="F226" s="7" t="n">
        <v>56.89</v>
      </c>
      <c r="G226" s="7" t="n">
        <v>46.56</v>
      </c>
      <c r="H226" s="7" t="n">
        <v>55.39</v>
      </c>
      <c r="I226" s="7" t="n">
        <v>43.41</v>
      </c>
      <c r="J226" s="7" t="n">
        <v>42.31</v>
      </c>
      <c r="K226" s="8" t="n">
        <v>60.73</v>
      </c>
      <c r="L226" s="7" t="n">
        <v>47.54</v>
      </c>
    </row>
    <row r="227" ht="15" customHeight="1">
      <c r="A227" s="13" t="n">
        <v>45901</v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15" customHeight="1">
      <c r="A228" s="13" t="n">
        <v>45898</v>
      </c>
      <c r="B228" s="7" t="n">
        <v>50.83</v>
      </c>
      <c r="C228" s="8" t="n">
        <v>64.45999999999999</v>
      </c>
      <c r="D228" s="7" t="n">
        <v>58.7</v>
      </c>
      <c r="E228" s="9" t="n">
        <v>70.70999999999999</v>
      </c>
      <c r="F228" s="8" t="n">
        <v>62.02</v>
      </c>
      <c r="G228" s="7" t="n">
        <v>52.49</v>
      </c>
      <c r="H228" s="7" t="n">
        <v>59.92</v>
      </c>
      <c r="I228" s="7" t="n">
        <v>44.33</v>
      </c>
      <c r="J228" s="7" t="n">
        <v>44.18</v>
      </c>
      <c r="K228" s="8" t="n">
        <v>62.24</v>
      </c>
      <c r="L228" s="7" t="n">
        <v>57.05</v>
      </c>
    </row>
    <row r="229" ht="15" customHeight="1">
      <c r="A229" s="13" t="n">
        <v>45897</v>
      </c>
      <c r="B229" s="7" t="n">
        <v>59.45</v>
      </c>
      <c r="C229" s="8" t="n">
        <v>63.27</v>
      </c>
      <c r="D229" s="7" t="n">
        <v>55.61</v>
      </c>
      <c r="E229" s="8" t="n">
        <v>68.98999999999999</v>
      </c>
      <c r="F229" s="8" t="n">
        <v>61.41</v>
      </c>
      <c r="G229" s="7" t="n">
        <v>59.32</v>
      </c>
      <c r="H229" s="8" t="n">
        <v>67.02</v>
      </c>
      <c r="I229" s="7" t="n">
        <v>39.56</v>
      </c>
      <c r="J229" s="7" t="n">
        <v>46.27</v>
      </c>
      <c r="K229" s="8" t="n">
        <v>63.94</v>
      </c>
      <c r="L229" s="7" t="n">
        <v>54.34</v>
      </c>
    </row>
    <row r="230" ht="15" customHeight="1">
      <c r="A230" s="13" t="n">
        <v>45896</v>
      </c>
      <c r="B230" s="7" t="n">
        <v>55.9</v>
      </c>
      <c r="C230" s="8" t="n">
        <v>62.68</v>
      </c>
      <c r="D230" s="7" t="n">
        <v>57.78</v>
      </c>
      <c r="E230" s="8" t="n">
        <v>66.44</v>
      </c>
      <c r="F230" s="8" t="n">
        <v>61.41</v>
      </c>
      <c r="G230" s="7" t="n">
        <v>58.36</v>
      </c>
      <c r="H230" s="8" t="n">
        <v>66.41</v>
      </c>
      <c r="I230" s="7" t="n">
        <v>42.91</v>
      </c>
      <c r="J230" s="7" t="n">
        <v>50.97</v>
      </c>
      <c r="K230" s="8" t="n">
        <v>62.1</v>
      </c>
      <c r="L230" s="7" t="n">
        <v>55.91</v>
      </c>
    </row>
    <row r="231" ht="15" customHeight="1">
      <c r="A231" s="13" t="n">
        <v>45895</v>
      </c>
      <c r="B231" s="7" t="n">
        <v>53.32</v>
      </c>
      <c r="C231" s="8" t="n">
        <v>61.8</v>
      </c>
      <c r="D231" s="7" t="n">
        <v>58.09</v>
      </c>
      <c r="E231" s="8" t="n">
        <v>62.24</v>
      </c>
      <c r="F231" s="8" t="n">
        <v>60.44</v>
      </c>
      <c r="G231" s="7" t="n">
        <v>58.46</v>
      </c>
      <c r="H231" s="8" t="n">
        <v>66.34</v>
      </c>
      <c r="I231" s="7" t="n">
        <v>40.71</v>
      </c>
      <c r="J231" s="7" t="n">
        <v>50.83</v>
      </c>
      <c r="K231" s="8" t="n">
        <v>61.27</v>
      </c>
      <c r="L231" s="7" t="n">
        <v>53.89</v>
      </c>
    </row>
    <row r="232" ht="15" customHeight="1">
      <c r="A232" s="13" t="n">
        <v>45894</v>
      </c>
      <c r="B232" s="7" t="n">
        <v>51.08</v>
      </c>
      <c r="C232" s="7" t="n">
        <v>58.38</v>
      </c>
      <c r="D232" s="7" t="n">
        <v>55.74</v>
      </c>
      <c r="E232" s="8" t="n">
        <v>63.28</v>
      </c>
      <c r="F232" s="7" t="n">
        <v>59.42</v>
      </c>
      <c r="G232" s="7" t="n">
        <v>52.89</v>
      </c>
      <c r="H232" s="8" t="n">
        <v>64.81999999999999</v>
      </c>
      <c r="I232" s="7" t="n">
        <v>44.2</v>
      </c>
      <c r="J232" s="7" t="n">
        <v>49.53</v>
      </c>
      <c r="K232" s="8" t="n">
        <v>64.66</v>
      </c>
      <c r="L232" s="7" t="n">
        <v>55.46</v>
      </c>
    </row>
    <row r="233" ht="15" customHeight="1">
      <c r="A233" s="13" t="n">
        <v>45891</v>
      </c>
      <c r="B233" s="7" t="n">
        <v>52.23</v>
      </c>
      <c r="C233" s="8" t="n">
        <v>62.29</v>
      </c>
      <c r="D233" s="8" t="n">
        <v>63.41</v>
      </c>
      <c r="E233" s="8" t="n">
        <v>62.32</v>
      </c>
      <c r="F233" s="8" t="n">
        <v>62.49</v>
      </c>
      <c r="G233" s="8" t="n">
        <v>60.24</v>
      </c>
      <c r="H233" s="8" t="n">
        <v>66.03</v>
      </c>
      <c r="I233" s="7" t="n">
        <v>56.04</v>
      </c>
      <c r="J233" s="7" t="n">
        <v>56.62</v>
      </c>
      <c r="K233" s="8" t="n">
        <v>63.98</v>
      </c>
      <c r="L233" s="7" t="n">
        <v>58.22</v>
      </c>
    </row>
    <row r="234" ht="15" customHeight="1">
      <c r="A234" s="13" t="n">
        <v>45890</v>
      </c>
      <c r="B234" s="7" t="n">
        <v>45.47</v>
      </c>
      <c r="C234" s="7" t="n">
        <v>54.32</v>
      </c>
      <c r="D234" s="8" t="n">
        <v>60.51</v>
      </c>
      <c r="E234" s="7" t="n">
        <v>53.74</v>
      </c>
      <c r="F234" s="7" t="n">
        <v>54.89</v>
      </c>
      <c r="G234" s="7" t="n">
        <v>49.83</v>
      </c>
      <c r="H234" s="7" t="n">
        <v>54.51</v>
      </c>
      <c r="I234" s="7" t="n">
        <v>56.04</v>
      </c>
      <c r="J234" s="7" t="n">
        <v>53.7</v>
      </c>
      <c r="K234" s="7" t="n">
        <v>57.29</v>
      </c>
      <c r="L234" s="7" t="n">
        <v>51.12</v>
      </c>
    </row>
    <row r="235" ht="15" customHeight="1">
      <c r="A235" s="13" t="n">
        <v>45889</v>
      </c>
      <c r="B235" s="7" t="n">
        <v>47.13</v>
      </c>
      <c r="C235" s="7" t="n">
        <v>56.48</v>
      </c>
      <c r="D235" s="8" t="n">
        <v>62.38</v>
      </c>
      <c r="E235" s="7" t="n">
        <v>50.2</v>
      </c>
      <c r="F235" s="7" t="n">
        <v>53.58</v>
      </c>
      <c r="G235" s="7" t="n">
        <v>52.64</v>
      </c>
      <c r="H235" s="7" t="n">
        <v>58.11</v>
      </c>
      <c r="I235" s="8" t="n">
        <v>63.89</v>
      </c>
      <c r="J235" s="7" t="n">
        <v>58.37</v>
      </c>
      <c r="K235" s="7" t="n">
        <v>58.05</v>
      </c>
      <c r="L235" s="7" t="n">
        <v>53.02</v>
      </c>
    </row>
    <row r="236" ht="15" customHeight="1">
      <c r="A236" s="13" t="n">
        <v>45888</v>
      </c>
      <c r="B236" s="7" t="n">
        <v>50.33</v>
      </c>
      <c r="C236" s="7" t="n">
        <v>53.76</v>
      </c>
      <c r="D236" s="8" t="n">
        <v>60.56</v>
      </c>
      <c r="E236" s="7" t="n">
        <v>45.56</v>
      </c>
      <c r="F236" s="7" t="n">
        <v>53.25</v>
      </c>
      <c r="G236" s="7" t="n">
        <v>53.36</v>
      </c>
      <c r="H236" s="8" t="n">
        <v>64.78</v>
      </c>
      <c r="I236" s="8" t="n">
        <v>60.69</v>
      </c>
      <c r="J236" s="7" t="n">
        <v>57.85</v>
      </c>
      <c r="K236" s="8" t="n">
        <v>60.09</v>
      </c>
      <c r="L236" s="7" t="n">
        <v>51.23</v>
      </c>
    </row>
    <row r="237" ht="15" customHeight="1">
      <c r="A237" s="13" t="n">
        <v>45887</v>
      </c>
      <c r="B237" s="8" t="n">
        <v>60.36</v>
      </c>
      <c r="C237" s="7" t="n">
        <v>52.75</v>
      </c>
      <c r="D237" s="7" t="n">
        <v>58.37</v>
      </c>
      <c r="E237" s="7" t="n">
        <v>45.36</v>
      </c>
      <c r="F237" s="7" t="n">
        <v>50.75</v>
      </c>
      <c r="G237" s="7" t="n">
        <v>51.92</v>
      </c>
      <c r="H237" s="8" t="n">
        <v>65.12</v>
      </c>
      <c r="I237" s="7" t="n">
        <v>53.89</v>
      </c>
      <c r="J237" s="7" t="n">
        <v>52.81</v>
      </c>
      <c r="K237" s="8" t="n">
        <v>64.01000000000001</v>
      </c>
      <c r="L237" s="7" t="n">
        <v>41.81</v>
      </c>
    </row>
    <row r="238" ht="15" customHeight="1">
      <c r="A238" s="13" t="n">
        <v>45884</v>
      </c>
      <c r="B238" s="7" t="n">
        <v>59.44</v>
      </c>
      <c r="C238" s="7" t="n">
        <v>52.36</v>
      </c>
      <c r="D238" s="7" t="n">
        <v>59.5</v>
      </c>
      <c r="E238" s="7" t="n">
        <v>48.15</v>
      </c>
      <c r="F238" s="7" t="n">
        <v>53.3</v>
      </c>
      <c r="G238" s="7" t="n">
        <v>49.3</v>
      </c>
      <c r="H238" s="8" t="n">
        <v>63.65</v>
      </c>
      <c r="I238" s="7" t="n">
        <v>55.05</v>
      </c>
      <c r="J238" s="7" t="n">
        <v>55.56</v>
      </c>
      <c r="K238" s="8" t="n">
        <v>68.56</v>
      </c>
      <c r="L238" s="7" t="n">
        <v>46.24</v>
      </c>
    </row>
    <row r="239" ht="15" customHeight="1">
      <c r="A239" s="13" t="n">
        <v>45883</v>
      </c>
      <c r="B239" s="8" t="n">
        <v>64.38</v>
      </c>
      <c r="C239" s="7" t="n">
        <v>58.51</v>
      </c>
      <c r="D239" s="7" t="n">
        <v>53.63</v>
      </c>
      <c r="E239" s="7" t="n">
        <v>48.15</v>
      </c>
      <c r="F239" s="7" t="n">
        <v>53.3</v>
      </c>
      <c r="G239" s="7" t="n">
        <v>52.39</v>
      </c>
      <c r="H239" s="8" t="n">
        <v>65.17</v>
      </c>
      <c r="I239" s="7" t="n">
        <v>53.97</v>
      </c>
      <c r="J239" s="7" t="n">
        <v>57.44</v>
      </c>
      <c r="K239" s="8" t="n">
        <v>67.68000000000001</v>
      </c>
      <c r="L239" s="7" t="n">
        <v>42.31</v>
      </c>
    </row>
    <row r="240" ht="15" customHeight="1">
      <c r="A240" s="13" t="n">
        <v>45882</v>
      </c>
      <c r="B240" s="8" t="n">
        <v>65.83</v>
      </c>
      <c r="C240" s="7" t="n">
        <v>56.34</v>
      </c>
      <c r="D240" s="7" t="n">
        <v>51.7</v>
      </c>
      <c r="E240" s="7" t="n">
        <v>48.55</v>
      </c>
      <c r="F240" s="7" t="n">
        <v>57.87</v>
      </c>
      <c r="G240" s="7" t="n">
        <v>59.13</v>
      </c>
      <c r="H240" s="8" t="n">
        <v>65.86</v>
      </c>
      <c r="I240" s="8" t="n">
        <v>61.85</v>
      </c>
      <c r="J240" s="8" t="n">
        <v>62.11</v>
      </c>
      <c r="K240" s="8" t="n">
        <v>67.41</v>
      </c>
      <c r="L240" s="7" t="n">
        <v>45.63</v>
      </c>
    </row>
    <row r="241" ht="15" customHeight="1">
      <c r="A241" s="13" t="n">
        <v>45881</v>
      </c>
      <c r="B241" s="8" t="n">
        <v>65.70999999999999</v>
      </c>
      <c r="C241" s="7" t="n">
        <v>53.65</v>
      </c>
      <c r="D241" s="7" t="n">
        <v>45.03</v>
      </c>
      <c r="E241" s="7" t="n">
        <v>43.12</v>
      </c>
      <c r="F241" s="7" t="n">
        <v>50.96</v>
      </c>
      <c r="G241" s="7" t="n">
        <v>56.92</v>
      </c>
      <c r="H241" s="8" t="n">
        <v>61.31</v>
      </c>
      <c r="I241" s="8" t="n">
        <v>61.85</v>
      </c>
      <c r="J241" s="8" t="n">
        <v>61.19</v>
      </c>
      <c r="K241" s="8" t="n">
        <v>64.78</v>
      </c>
      <c r="L241" s="7" t="n">
        <v>41.67</v>
      </c>
    </row>
    <row r="242" ht="15" customHeight="1">
      <c r="A242" s="13" t="n">
        <v>45880</v>
      </c>
      <c r="B242" s="8" t="n">
        <v>60.24</v>
      </c>
      <c r="C242" s="7" t="n">
        <v>47.31</v>
      </c>
      <c r="D242" s="7" t="n">
        <v>41.84</v>
      </c>
      <c r="E242" s="7" t="n">
        <v>40.69</v>
      </c>
      <c r="F242" s="7" t="n">
        <v>45.26</v>
      </c>
      <c r="G242" s="7" t="n">
        <v>50.2</v>
      </c>
      <c r="H242" s="7" t="n">
        <v>57.26</v>
      </c>
      <c r="I242" s="8" t="n">
        <v>60.37</v>
      </c>
      <c r="J242" s="7" t="n">
        <v>59.38</v>
      </c>
      <c r="K242" s="7" t="n">
        <v>57.03</v>
      </c>
      <c r="L242" s="7" t="n">
        <v>40.62</v>
      </c>
    </row>
    <row r="243" ht="15" customHeight="1">
      <c r="A243" s="13" t="n">
        <v>45877</v>
      </c>
      <c r="B243" s="8" t="n">
        <v>64.44</v>
      </c>
      <c r="C243" s="7" t="n">
        <v>47.5</v>
      </c>
      <c r="D243" s="7" t="n">
        <v>41.38</v>
      </c>
      <c r="E243" s="7" t="n">
        <v>43.56</v>
      </c>
      <c r="F243" s="7" t="n">
        <v>46.12</v>
      </c>
      <c r="G243" s="7" t="n">
        <v>52.59</v>
      </c>
      <c r="H243" s="7" t="n">
        <v>56.22</v>
      </c>
      <c r="I243" s="8" t="n">
        <v>61.07</v>
      </c>
      <c r="J243" s="8" t="n">
        <v>61.31</v>
      </c>
      <c r="K243" s="7" t="n">
        <v>54.57</v>
      </c>
      <c r="L243" s="7" t="n">
        <v>43.08</v>
      </c>
    </row>
    <row r="244" ht="15" customHeight="1">
      <c r="A244" s="13" t="n">
        <v>45876</v>
      </c>
      <c r="B244" s="8" t="n">
        <v>60.72</v>
      </c>
      <c r="C244" s="7" t="n">
        <v>42.29</v>
      </c>
      <c r="D244" s="7" t="n">
        <v>37.33</v>
      </c>
      <c r="E244" s="7" t="n">
        <v>40.46</v>
      </c>
      <c r="F244" s="7" t="n">
        <v>43.93</v>
      </c>
      <c r="G244" s="7" t="n">
        <v>52.07</v>
      </c>
      <c r="H244" s="7" t="n">
        <v>55.55</v>
      </c>
      <c r="I244" s="7" t="n">
        <v>59.57</v>
      </c>
      <c r="J244" s="8" t="n">
        <v>63.95</v>
      </c>
      <c r="K244" s="7" t="n">
        <v>52.92</v>
      </c>
      <c r="L244" s="7" t="n">
        <v>46.79</v>
      </c>
    </row>
    <row r="245" ht="15" customHeight="1">
      <c r="A245" s="13" t="n">
        <v>45875</v>
      </c>
      <c r="B245" s="8" t="n">
        <v>60.37</v>
      </c>
      <c r="C245" s="7" t="n">
        <v>47.59</v>
      </c>
      <c r="D245" s="7" t="n">
        <v>40.74</v>
      </c>
      <c r="E245" s="7" t="n">
        <v>41.76</v>
      </c>
      <c r="F245" s="7" t="n">
        <v>42.04</v>
      </c>
      <c r="G245" s="7" t="n">
        <v>53.06</v>
      </c>
      <c r="H245" s="7" t="n">
        <v>55.69</v>
      </c>
      <c r="I245" s="7" t="n">
        <v>55.46</v>
      </c>
      <c r="J245" s="7" t="n">
        <v>59.92</v>
      </c>
      <c r="K245" s="7" t="n">
        <v>55.29</v>
      </c>
      <c r="L245" s="7" t="n">
        <v>44.71</v>
      </c>
    </row>
    <row r="246" ht="15" customHeight="1">
      <c r="A246" s="13" t="n">
        <v>45874</v>
      </c>
      <c r="B246" s="7" t="n">
        <v>55.91</v>
      </c>
      <c r="C246" s="7" t="n">
        <v>44.82</v>
      </c>
      <c r="D246" s="7" t="n">
        <v>45.9</v>
      </c>
      <c r="E246" s="7" t="n">
        <v>44.97</v>
      </c>
      <c r="F246" s="7" t="n">
        <v>45.65</v>
      </c>
      <c r="G246" s="7" t="n">
        <v>52.61</v>
      </c>
      <c r="H246" s="7" t="n">
        <v>47.55</v>
      </c>
      <c r="I246" s="7" t="n">
        <v>46.01</v>
      </c>
      <c r="J246" s="8" t="n">
        <v>65.56</v>
      </c>
      <c r="K246" s="7" t="n">
        <v>53.57</v>
      </c>
      <c r="L246" s="7" t="n">
        <v>48.57</v>
      </c>
    </row>
    <row r="247" ht="15" customHeight="1">
      <c r="A247" s="13" t="n">
        <v>45873</v>
      </c>
      <c r="B247" s="8" t="n">
        <v>60.6</v>
      </c>
      <c r="C247" s="7" t="n">
        <v>46.74</v>
      </c>
      <c r="D247" s="7" t="n">
        <v>47.32</v>
      </c>
      <c r="E247" s="7" t="n">
        <v>44.42</v>
      </c>
      <c r="F247" s="7" t="n">
        <v>42.7</v>
      </c>
      <c r="G247" s="7" t="n">
        <v>53.86</v>
      </c>
      <c r="H247" s="7" t="n">
        <v>46.99</v>
      </c>
      <c r="I247" s="7" t="n">
        <v>46.65</v>
      </c>
      <c r="J247" s="9" t="n">
        <v>73.29000000000001</v>
      </c>
      <c r="K247" s="7" t="n">
        <v>57.81</v>
      </c>
      <c r="L247" s="7" t="n">
        <v>46.87</v>
      </c>
    </row>
    <row r="248" ht="15" customHeight="1">
      <c r="A248" s="13" t="n">
        <v>45870</v>
      </c>
      <c r="B248" s="7" t="n">
        <v>51.5</v>
      </c>
      <c r="C248" s="7" t="n">
        <v>41.04</v>
      </c>
      <c r="D248" s="7" t="n">
        <v>41.05</v>
      </c>
      <c r="E248" s="7" t="n">
        <v>45.15</v>
      </c>
      <c r="F248" s="7" t="n">
        <v>36.78</v>
      </c>
      <c r="G248" s="7" t="n">
        <v>48.8</v>
      </c>
      <c r="H248" s="7" t="n">
        <v>41.79</v>
      </c>
      <c r="I248" s="7" t="n">
        <v>43.07</v>
      </c>
      <c r="J248" s="8" t="n">
        <v>67.47</v>
      </c>
      <c r="K248" s="7" t="n">
        <v>48.66</v>
      </c>
      <c r="L248" s="7" t="n">
        <v>42.43</v>
      </c>
    </row>
    <row r="249" ht="15" customHeight="1">
      <c r="A249" s="13" t="n">
        <v>45869</v>
      </c>
      <c r="B249" s="8" t="n">
        <v>67.15000000000001</v>
      </c>
      <c r="C249" s="7" t="n">
        <v>50.62</v>
      </c>
      <c r="D249" s="7" t="n">
        <v>38.53</v>
      </c>
      <c r="E249" s="7" t="n">
        <v>51.87</v>
      </c>
      <c r="F249" s="7" t="n">
        <v>40.17</v>
      </c>
      <c r="G249" s="7" t="n">
        <v>58.62</v>
      </c>
      <c r="H249" s="7" t="n">
        <v>51.7</v>
      </c>
      <c r="I249" s="7" t="n">
        <v>39.39</v>
      </c>
      <c r="J249" s="8" t="n">
        <v>66.89</v>
      </c>
      <c r="K249" s="7" t="n">
        <v>55.76</v>
      </c>
      <c r="L249" s="7" t="n">
        <v>43.59</v>
      </c>
    </row>
    <row r="250" ht="15" customHeight="1">
      <c r="A250" s="13" t="n">
        <v>45868</v>
      </c>
      <c r="B250" s="9" t="n">
        <v>74.31999999999999</v>
      </c>
      <c r="C250" s="7" t="n">
        <v>54.65</v>
      </c>
      <c r="D250" s="7" t="n">
        <v>49.01</v>
      </c>
      <c r="E250" s="7" t="n">
        <v>54.04</v>
      </c>
      <c r="F250" s="7" t="n">
        <v>44.37</v>
      </c>
      <c r="G250" s="7" t="n">
        <v>58.59</v>
      </c>
      <c r="H250" s="7" t="n">
        <v>55.76</v>
      </c>
      <c r="I250" s="7" t="n">
        <v>44.21</v>
      </c>
      <c r="J250" s="8" t="n">
        <v>64.86</v>
      </c>
      <c r="K250" s="7" t="n">
        <v>50.8</v>
      </c>
      <c r="L250" s="7" t="n">
        <v>51.66</v>
      </c>
    </row>
    <row r="251" ht="15" customHeight="1">
      <c r="A251" s="13" t="n">
        <v>45867</v>
      </c>
      <c r="B251" s="9" t="n">
        <v>73.52</v>
      </c>
      <c r="C251" s="7" t="n">
        <v>55.9</v>
      </c>
      <c r="D251" s="7" t="n">
        <v>49.82</v>
      </c>
      <c r="E251" s="8" t="n">
        <v>60.37</v>
      </c>
      <c r="F251" s="7" t="n">
        <v>52.73</v>
      </c>
      <c r="G251" s="8" t="n">
        <v>62.15</v>
      </c>
      <c r="H251" s="7" t="n">
        <v>59.24</v>
      </c>
      <c r="I251" s="7" t="n">
        <v>50.16</v>
      </c>
      <c r="J251" s="8" t="n">
        <v>61.88</v>
      </c>
      <c r="K251" s="7" t="n">
        <v>48.97</v>
      </c>
      <c r="L251" s="8" t="n">
        <v>60.03</v>
      </c>
    </row>
    <row r="252" ht="15" customHeight="1">
      <c r="A252" s="13" t="n">
        <v>45866</v>
      </c>
      <c r="B252" s="9" t="n">
        <v>73.51000000000001</v>
      </c>
      <c r="C252" s="7" t="n">
        <v>59.31</v>
      </c>
      <c r="D252" s="7" t="n">
        <v>52.69</v>
      </c>
      <c r="E252" s="7" t="n">
        <v>57.22</v>
      </c>
      <c r="F252" s="7" t="n">
        <v>54.56</v>
      </c>
      <c r="G252" s="9" t="n">
        <v>71.65000000000001</v>
      </c>
      <c r="H252" s="8" t="n">
        <v>63.25</v>
      </c>
      <c r="I252" s="7" t="n">
        <v>45.11</v>
      </c>
      <c r="J252" s="7" t="n">
        <v>56.69</v>
      </c>
      <c r="K252" s="7" t="n">
        <v>54.18</v>
      </c>
      <c r="L252" s="7" t="n">
        <v>51.52</v>
      </c>
    </row>
    <row r="253" ht="15" customHeight="1">
      <c r="A253" s="13" t="n">
        <v>45863</v>
      </c>
      <c r="B253" s="9" t="n">
        <v>70.72</v>
      </c>
      <c r="C253" s="8" t="n">
        <v>64.29000000000001</v>
      </c>
      <c r="D253" s="7" t="n">
        <v>56.92</v>
      </c>
      <c r="E253" s="7" t="n">
        <v>53.25</v>
      </c>
      <c r="F253" s="8" t="n">
        <v>62.23</v>
      </c>
      <c r="G253" s="9" t="n">
        <v>74.54000000000001</v>
      </c>
      <c r="H253" s="8" t="n">
        <v>61.2</v>
      </c>
      <c r="I253" s="7" t="n">
        <v>53.01</v>
      </c>
      <c r="J253" s="8" t="n">
        <v>64.31999999999999</v>
      </c>
      <c r="K253" s="7" t="n">
        <v>57.77</v>
      </c>
      <c r="L253" s="8" t="n">
        <v>65.13</v>
      </c>
    </row>
    <row r="254" ht="15" customHeight="1">
      <c r="A254" s="13" t="n">
        <v>45862</v>
      </c>
      <c r="B254" s="8" t="n">
        <v>69.88</v>
      </c>
      <c r="C254" s="8" t="n">
        <v>61.27</v>
      </c>
      <c r="D254" s="7" t="n">
        <v>54.89</v>
      </c>
      <c r="E254" s="7" t="n">
        <v>54.82</v>
      </c>
      <c r="F254" s="7" t="n">
        <v>57.79</v>
      </c>
      <c r="G254" s="9" t="n">
        <v>71.12</v>
      </c>
      <c r="H254" s="7" t="n">
        <v>57.74</v>
      </c>
      <c r="I254" s="7" t="n">
        <v>51.7</v>
      </c>
      <c r="J254" s="8" t="n">
        <v>63.19</v>
      </c>
      <c r="K254" s="8" t="n">
        <v>64.72</v>
      </c>
      <c r="L254" s="8" t="n">
        <v>65.13</v>
      </c>
    </row>
    <row r="255" ht="15" customHeight="1">
      <c r="A255" s="13" t="n">
        <v>45861</v>
      </c>
      <c r="B255" s="8" t="n">
        <v>68.33</v>
      </c>
      <c r="C255" s="8" t="n">
        <v>61.66</v>
      </c>
      <c r="D255" s="7" t="n">
        <v>56.64</v>
      </c>
      <c r="E255" s="7" t="n">
        <v>52.36</v>
      </c>
      <c r="F255" s="8" t="n">
        <v>63.92</v>
      </c>
      <c r="G255" s="9" t="n">
        <v>72.67</v>
      </c>
      <c r="H255" s="8" t="n">
        <v>67.94</v>
      </c>
      <c r="I255" s="7" t="n">
        <v>54.63</v>
      </c>
      <c r="J255" s="8" t="n">
        <v>64.13</v>
      </c>
      <c r="K255" s="8" t="n">
        <v>64</v>
      </c>
      <c r="L255" s="8" t="n">
        <v>66.36</v>
      </c>
    </row>
    <row r="256" ht="15" customHeight="1">
      <c r="A256" s="13" t="n">
        <v>45860</v>
      </c>
      <c r="B256" s="8" t="n">
        <v>66.15000000000001</v>
      </c>
      <c r="C256" s="7" t="n">
        <v>58.17</v>
      </c>
      <c r="D256" s="7" t="n">
        <v>48.41</v>
      </c>
      <c r="E256" s="7" t="n">
        <v>46.51</v>
      </c>
      <c r="F256" s="8" t="n">
        <v>62.73</v>
      </c>
      <c r="G256" s="8" t="n">
        <v>65.36</v>
      </c>
      <c r="H256" s="8" t="n">
        <v>66.36</v>
      </c>
      <c r="I256" s="7" t="n">
        <v>54.38</v>
      </c>
      <c r="J256" s="8" t="n">
        <v>69.72</v>
      </c>
      <c r="K256" s="8" t="n">
        <v>61.63</v>
      </c>
      <c r="L256" s="8" t="n">
        <v>65.14</v>
      </c>
    </row>
    <row r="257" ht="15" customHeight="1">
      <c r="A257" s="13" t="n">
        <v>45859</v>
      </c>
      <c r="B257" s="9" t="n">
        <v>73.87</v>
      </c>
      <c r="C257" s="7" t="n">
        <v>55.58</v>
      </c>
      <c r="D257" s="7" t="n">
        <v>38.8</v>
      </c>
      <c r="E257" s="7" t="n">
        <v>44.63</v>
      </c>
      <c r="F257" s="7" t="n">
        <v>57.43</v>
      </c>
      <c r="G257" s="8" t="n">
        <v>64.18000000000001</v>
      </c>
      <c r="H257" s="8" t="n">
        <v>62.78</v>
      </c>
      <c r="I257" s="7" t="n">
        <v>47.85</v>
      </c>
      <c r="J257" s="8" t="n">
        <v>65.19</v>
      </c>
      <c r="K257" s="8" t="n">
        <v>60.61</v>
      </c>
      <c r="L257" s="7" t="n">
        <v>56.18</v>
      </c>
    </row>
    <row r="258" ht="15" customHeight="1">
      <c r="A258" s="13" t="n">
        <v>45856</v>
      </c>
      <c r="B258" s="9" t="n">
        <v>73.47</v>
      </c>
      <c r="C258" s="7" t="n">
        <v>57.29</v>
      </c>
      <c r="D258" s="7" t="n">
        <v>40.97</v>
      </c>
      <c r="E258" s="7" t="n">
        <v>48.13</v>
      </c>
      <c r="F258" s="7" t="n">
        <v>55.25</v>
      </c>
      <c r="G258" s="8" t="n">
        <v>69.03</v>
      </c>
      <c r="H258" s="8" t="n">
        <v>60.98</v>
      </c>
      <c r="I258" s="7" t="n">
        <v>47.93</v>
      </c>
      <c r="J258" s="8" t="n">
        <v>63.87</v>
      </c>
      <c r="K258" s="7" t="n">
        <v>54.18</v>
      </c>
      <c r="L258" s="7" t="n">
        <v>53.76</v>
      </c>
    </row>
    <row r="259" ht="15" customHeight="1">
      <c r="A259" s="13" t="n">
        <v>45855</v>
      </c>
      <c r="B259" s="9" t="n">
        <v>74</v>
      </c>
      <c r="C259" s="7" t="n">
        <v>57.04</v>
      </c>
      <c r="D259" s="7" t="n">
        <v>43.64</v>
      </c>
      <c r="E259" s="7" t="n">
        <v>51.06</v>
      </c>
      <c r="F259" s="7" t="n">
        <v>54.26</v>
      </c>
      <c r="G259" s="9" t="n">
        <v>71.16</v>
      </c>
      <c r="H259" s="7" t="n">
        <v>57.45</v>
      </c>
      <c r="I259" s="7" t="n">
        <v>49.76</v>
      </c>
      <c r="J259" s="7" t="n">
        <v>55.96</v>
      </c>
      <c r="K259" s="7" t="n">
        <v>57.17</v>
      </c>
      <c r="L259" s="7" t="n">
        <v>51.91</v>
      </c>
    </row>
    <row r="260" ht="15" customHeight="1">
      <c r="A260" s="13" t="n">
        <v>45854</v>
      </c>
      <c r="B260" s="9" t="n">
        <v>71.34</v>
      </c>
      <c r="C260" s="7" t="n">
        <v>52.86</v>
      </c>
      <c r="D260" s="7" t="n">
        <v>48.78</v>
      </c>
      <c r="E260" s="7" t="n">
        <v>48.87</v>
      </c>
      <c r="F260" s="7" t="n">
        <v>51.26</v>
      </c>
      <c r="G260" s="8" t="n">
        <v>67.34</v>
      </c>
      <c r="H260" s="7" t="n">
        <v>56.03</v>
      </c>
      <c r="I260" s="7" t="n">
        <v>42.75</v>
      </c>
      <c r="J260" s="7" t="n">
        <v>53.64</v>
      </c>
      <c r="K260" s="7" t="n">
        <v>55.45</v>
      </c>
      <c r="L260" s="7" t="n">
        <v>52.56</v>
      </c>
    </row>
    <row r="261" ht="15" customHeight="1">
      <c r="A261" s="13" t="n">
        <v>45853</v>
      </c>
      <c r="B261" s="9" t="n">
        <v>70.38</v>
      </c>
      <c r="C261" s="7" t="n">
        <v>49.58</v>
      </c>
      <c r="D261" s="7" t="n">
        <v>41.94</v>
      </c>
      <c r="E261" s="7" t="n">
        <v>51.92</v>
      </c>
      <c r="F261" s="7" t="n">
        <v>50.1</v>
      </c>
      <c r="G261" s="8" t="n">
        <v>65.73999999999999</v>
      </c>
      <c r="H261" s="7" t="n">
        <v>55.29</v>
      </c>
      <c r="I261" s="7" t="n">
        <v>39.88</v>
      </c>
      <c r="J261" s="7" t="n">
        <v>53.37</v>
      </c>
      <c r="K261" s="7" t="n">
        <v>53.96</v>
      </c>
      <c r="L261" s="7" t="n">
        <v>45.41</v>
      </c>
    </row>
    <row r="262" ht="15" customHeight="1">
      <c r="A262" s="13" t="n">
        <v>45852</v>
      </c>
      <c r="B262" s="8" t="n">
        <v>67.52</v>
      </c>
      <c r="C262" s="7" t="n">
        <v>59.13</v>
      </c>
      <c r="D262" s="7" t="n">
        <v>51.31</v>
      </c>
      <c r="E262" s="7" t="n">
        <v>57.57</v>
      </c>
      <c r="F262" s="8" t="n">
        <v>60.51</v>
      </c>
      <c r="G262" s="9" t="n">
        <v>72.83</v>
      </c>
      <c r="H262" s="8" t="n">
        <v>63.14</v>
      </c>
      <c r="I262" s="7" t="n">
        <v>46.09</v>
      </c>
      <c r="J262" s="7" t="n">
        <v>59.71</v>
      </c>
      <c r="K262" s="8" t="n">
        <v>60.14</v>
      </c>
      <c r="L262" s="7" t="n">
        <v>54.57</v>
      </c>
    </row>
    <row r="263" ht="15" customHeight="1">
      <c r="A263" s="13" t="n">
        <v>45849</v>
      </c>
      <c r="B263" s="8" t="n">
        <v>68.08</v>
      </c>
      <c r="C263" s="7" t="n">
        <v>55.7</v>
      </c>
      <c r="D263" s="7" t="n">
        <v>52.02</v>
      </c>
      <c r="E263" s="8" t="n">
        <v>62.43</v>
      </c>
      <c r="F263" s="8" t="n">
        <v>63.88</v>
      </c>
      <c r="G263" s="9" t="n">
        <v>70.72</v>
      </c>
      <c r="H263" s="8" t="n">
        <v>61.84</v>
      </c>
      <c r="I263" s="7" t="n">
        <v>45.4</v>
      </c>
      <c r="J263" s="7" t="n">
        <v>57.77</v>
      </c>
      <c r="K263" s="7" t="n">
        <v>55.5</v>
      </c>
      <c r="L263" s="7" t="n">
        <v>49.69</v>
      </c>
    </row>
    <row r="264" ht="15" customHeight="1">
      <c r="A264" s="13" t="n">
        <v>45848</v>
      </c>
      <c r="B264" s="9" t="n">
        <v>71.05</v>
      </c>
      <c r="C264" s="8" t="n">
        <v>62.59</v>
      </c>
      <c r="D264" s="7" t="n">
        <v>57.21</v>
      </c>
      <c r="E264" s="8" t="n">
        <v>61.19</v>
      </c>
      <c r="F264" s="8" t="n">
        <v>69.12</v>
      </c>
      <c r="G264" s="9" t="n">
        <v>74.28</v>
      </c>
      <c r="H264" s="8" t="n">
        <v>61.75</v>
      </c>
      <c r="I264" s="7" t="n">
        <v>47.81</v>
      </c>
      <c r="J264" s="7" t="n">
        <v>58.73</v>
      </c>
      <c r="K264" s="7" t="n">
        <v>59.78</v>
      </c>
      <c r="L264" s="7" t="n">
        <v>50.41</v>
      </c>
    </row>
    <row r="265" ht="15" customHeight="1">
      <c r="A265" s="13" t="n">
        <v>45847</v>
      </c>
      <c r="B265" s="9" t="n">
        <v>73.29000000000001</v>
      </c>
      <c r="C265" s="8" t="n">
        <v>60</v>
      </c>
      <c r="D265" s="7" t="n">
        <v>54.08</v>
      </c>
      <c r="E265" s="7" t="n">
        <v>59.08</v>
      </c>
      <c r="F265" s="8" t="n">
        <v>67.5</v>
      </c>
      <c r="G265" s="9" t="n">
        <v>72.27</v>
      </c>
      <c r="H265" s="7" t="n">
        <v>57.97</v>
      </c>
      <c r="I265" s="7" t="n">
        <v>45.2</v>
      </c>
      <c r="J265" s="7" t="n">
        <v>54.84</v>
      </c>
      <c r="K265" s="8" t="n">
        <v>62.11</v>
      </c>
      <c r="L265" s="7" t="n">
        <v>46.64</v>
      </c>
    </row>
    <row r="266" ht="15" customHeight="1">
      <c r="A266" s="13" t="n">
        <v>45846</v>
      </c>
      <c r="B266" s="9" t="n">
        <v>71.79000000000001</v>
      </c>
      <c r="C266" s="7" t="n">
        <v>58.36</v>
      </c>
      <c r="D266" s="7" t="n">
        <v>52.04</v>
      </c>
      <c r="E266" s="8" t="n">
        <v>61.15</v>
      </c>
      <c r="F266" s="8" t="n">
        <v>65.62</v>
      </c>
      <c r="G266" s="8" t="n">
        <v>69.52</v>
      </c>
      <c r="H266" s="7" t="n">
        <v>55.82</v>
      </c>
      <c r="I266" s="7" t="n">
        <v>49.39</v>
      </c>
      <c r="J266" s="7" t="n">
        <v>49.87</v>
      </c>
      <c r="K266" s="8" t="n">
        <v>61.01</v>
      </c>
      <c r="L266" s="7" t="n">
        <v>46.95</v>
      </c>
    </row>
    <row r="267" ht="15" customHeight="1">
      <c r="A267" s="13" t="n">
        <v>45845</v>
      </c>
      <c r="B267" s="9" t="n">
        <v>70.43000000000001</v>
      </c>
      <c r="C267" s="8" t="n">
        <v>64.43000000000001</v>
      </c>
      <c r="D267" s="7" t="n">
        <v>49.61</v>
      </c>
      <c r="E267" s="7" t="n">
        <v>53.33</v>
      </c>
      <c r="F267" s="8" t="n">
        <v>62.95</v>
      </c>
      <c r="G267" s="8" t="n">
        <v>69.77</v>
      </c>
      <c r="H267" s="7" t="n">
        <v>57.39</v>
      </c>
      <c r="I267" s="7" t="n">
        <v>56.35</v>
      </c>
      <c r="J267" s="7" t="n">
        <v>56.48</v>
      </c>
      <c r="K267" s="8" t="n">
        <v>62.33</v>
      </c>
      <c r="L267" s="7" t="n">
        <v>47.86</v>
      </c>
    </row>
    <row r="268" ht="15" customHeight="1">
      <c r="A268" s="13" t="n">
        <v>45842</v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 ht="15" customHeight="1">
      <c r="A269" s="13" t="n">
        <v>45841</v>
      </c>
      <c r="B269" s="9" t="n">
        <v>75.48</v>
      </c>
      <c r="C269" s="9" t="n">
        <v>71.97</v>
      </c>
      <c r="D269" s="7" t="n">
        <v>54.4</v>
      </c>
      <c r="E269" s="7" t="n">
        <v>57.2</v>
      </c>
      <c r="F269" s="8" t="n">
        <v>68.87</v>
      </c>
      <c r="G269" s="9" t="n">
        <v>72.89</v>
      </c>
      <c r="H269" s="8" t="n">
        <v>63.7</v>
      </c>
      <c r="I269" s="7" t="n">
        <v>57.03</v>
      </c>
      <c r="J269" s="7" t="n">
        <v>55.4</v>
      </c>
      <c r="K269" s="8" t="n">
        <v>68.84</v>
      </c>
      <c r="L269" s="7" t="n">
        <v>52.88</v>
      </c>
    </row>
    <row r="270" ht="15" customHeight="1">
      <c r="A270" s="13" t="n">
        <v>45840</v>
      </c>
      <c r="B270" s="9" t="n">
        <v>72.48</v>
      </c>
      <c r="C270" s="8" t="n">
        <v>68.09</v>
      </c>
      <c r="D270" s="7" t="n">
        <v>53.89</v>
      </c>
      <c r="E270" s="7" t="n">
        <v>56.85</v>
      </c>
      <c r="F270" s="8" t="n">
        <v>69.28</v>
      </c>
      <c r="G270" s="8" t="n">
        <v>69.86</v>
      </c>
      <c r="H270" s="8" t="n">
        <v>62.04</v>
      </c>
      <c r="I270" s="7" t="n">
        <v>57.4</v>
      </c>
      <c r="J270" s="7" t="n">
        <v>51.41</v>
      </c>
      <c r="K270" s="8" t="n">
        <v>67.02</v>
      </c>
      <c r="L270" s="7" t="n">
        <v>52.59</v>
      </c>
    </row>
    <row r="271" ht="15" customHeight="1">
      <c r="A271" s="13" t="n">
        <v>45839</v>
      </c>
      <c r="B271" s="8" t="n">
        <v>69.75</v>
      </c>
      <c r="C271" s="8" t="n">
        <v>68.70999999999999</v>
      </c>
      <c r="D271" s="7" t="n">
        <v>59.87</v>
      </c>
      <c r="E271" s="7" t="n">
        <v>51.5</v>
      </c>
      <c r="F271" s="8" t="n">
        <v>64.89</v>
      </c>
      <c r="G271" s="8" t="n">
        <v>69.48</v>
      </c>
      <c r="H271" s="7" t="n">
        <v>59.54</v>
      </c>
      <c r="I271" s="7" t="n">
        <v>55.8</v>
      </c>
      <c r="J271" s="7" t="n">
        <v>56.92</v>
      </c>
      <c r="K271" s="8" t="n">
        <v>68.98</v>
      </c>
      <c r="L271" s="7" t="n">
        <v>51.49</v>
      </c>
    </row>
    <row r="272" ht="15" customHeight="1">
      <c r="A272" s="13" t="n">
        <v>45838</v>
      </c>
      <c r="B272" s="9" t="n">
        <v>75.69</v>
      </c>
      <c r="C272" s="8" t="n">
        <v>66.67</v>
      </c>
      <c r="D272" s="7" t="n">
        <v>52.99</v>
      </c>
      <c r="E272" s="7" t="n">
        <v>48.89</v>
      </c>
      <c r="F272" s="7" t="n">
        <v>54.79</v>
      </c>
      <c r="G272" s="8" t="n">
        <v>68.27</v>
      </c>
      <c r="H272" s="7" t="n">
        <v>58.19</v>
      </c>
      <c r="I272" s="7" t="n">
        <v>48.18</v>
      </c>
      <c r="J272" s="7" t="n">
        <v>55.16</v>
      </c>
      <c r="K272" s="9" t="n">
        <v>73.97</v>
      </c>
      <c r="L272" s="7" t="n">
        <v>47.51</v>
      </c>
    </row>
    <row r="273" ht="15" customHeight="1">
      <c r="A273" s="13" t="n">
        <v>45835</v>
      </c>
      <c r="B273" s="9" t="n">
        <v>73.40000000000001</v>
      </c>
      <c r="C273" s="8" t="n">
        <v>63.39</v>
      </c>
      <c r="D273" s="7" t="n">
        <v>49.37</v>
      </c>
      <c r="E273" s="7" t="n">
        <v>50.8</v>
      </c>
      <c r="F273" s="7" t="n">
        <v>55.31</v>
      </c>
      <c r="G273" s="8" t="n">
        <v>66.44</v>
      </c>
      <c r="H273" s="8" t="n">
        <v>60.75</v>
      </c>
      <c r="I273" s="7" t="n">
        <v>44.49</v>
      </c>
      <c r="J273" s="7" t="n">
        <v>53.06</v>
      </c>
      <c r="K273" s="9" t="n">
        <v>71.89</v>
      </c>
      <c r="L273" s="7" t="n">
        <v>42.85</v>
      </c>
    </row>
    <row r="274" ht="15" customHeight="1">
      <c r="A274" s="13" t="n">
        <v>45834</v>
      </c>
      <c r="B274" s="9" t="n">
        <v>74.19</v>
      </c>
      <c r="C274" s="8" t="n">
        <v>62.18</v>
      </c>
      <c r="D274" s="7" t="n">
        <v>50.59</v>
      </c>
      <c r="E274" s="7" t="n">
        <v>52.55</v>
      </c>
      <c r="F274" s="7" t="n">
        <v>54.76</v>
      </c>
      <c r="G274" s="8" t="n">
        <v>62.44</v>
      </c>
      <c r="H274" s="7" t="n">
        <v>55.58</v>
      </c>
      <c r="I274" s="7" t="n">
        <v>40.95</v>
      </c>
      <c r="J274" s="7" t="n">
        <v>52.06</v>
      </c>
      <c r="K274" s="8" t="n">
        <v>68.44</v>
      </c>
      <c r="L274" s="7" t="n">
        <v>40.39</v>
      </c>
    </row>
    <row r="275" ht="15" customHeight="1">
      <c r="A275" s="13" t="n">
        <v>45833</v>
      </c>
      <c r="B275" s="9" t="n">
        <v>72.62</v>
      </c>
      <c r="C275" s="7" t="n">
        <v>59</v>
      </c>
      <c r="D275" s="7" t="n">
        <v>49.31</v>
      </c>
      <c r="E275" s="7" t="n">
        <v>48.09</v>
      </c>
      <c r="F275" s="7" t="n">
        <v>49.76</v>
      </c>
      <c r="G275" s="7" t="n">
        <v>57.35</v>
      </c>
      <c r="H275" s="7" t="n">
        <v>52.39</v>
      </c>
      <c r="I275" s="7" t="n">
        <v>41.4</v>
      </c>
      <c r="J275" s="7" t="n">
        <v>47.68</v>
      </c>
      <c r="K275" s="8" t="n">
        <v>64.48999999999999</v>
      </c>
      <c r="L275" s="7" t="n">
        <v>43.4</v>
      </c>
    </row>
    <row r="276" ht="15" customHeight="1">
      <c r="A276" s="13" t="n">
        <v>45832</v>
      </c>
      <c r="B276" s="9" t="n">
        <v>70.58</v>
      </c>
      <c r="C276" s="8" t="n">
        <v>61.13</v>
      </c>
      <c r="D276" s="7" t="n">
        <v>48.85</v>
      </c>
      <c r="E276" s="7" t="n">
        <v>49.41</v>
      </c>
      <c r="F276" s="7" t="n">
        <v>54.67</v>
      </c>
      <c r="G276" s="8" t="n">
        <v>63.95</v>
      </c>
      <c r="H276" s="7" t="n">
        <v>57.35</v>
      </c>
      <c r="I276" s="7" t="n">
        <v>49.25</v>
      </c>
      <c r="J276" s="7" t="n">
        <v>55.3</v>
      </c>
      <c r="K276" s="8" t="n">
        <v>64.61</v>
      </c>
      <c r="L276" s="7" t="n">
        <v>59.74</v>
      </c>
    </row>
    <row r="277" ht="15" customHeight="1">
      <c r="A277" s="13" t="n">
        <v>45831</v>
      </c>
      <c r="B277" s="8" t="n">
        <v>65.68000000000001</v>
      </c>
      <c r="C277" s="7" t="n">
        <v>54.25</v>
      </c>
      <c r="D277" s="7" t="n">
        <v>42.25</v>
      </c>
      <c r="E277" s="7" t="n">
        <v>53.54</v>
      </c>
      <c r="F277" s="7" t="n">
        <v>50.81</v>
      </c>
      <c r="G277" s="7" t="n">
        <v>59.94</v>
      </c>
      <c r="H277" s="7" t="n">
        <v>55.52</v>
      </c>
      <c r="I277" s="7" t="n">
        <v>49.81</v>
      </c>
      <c r="J277" s="7" t="n">
        <v>53.07</v>
      </c>
      <c r="K277" s="7" t="n">
        <v>59.84</v>
      </c>
      <c r="L277" s="7" t="n">
        <v>56.81</v>
      </c>
    </row>
    <row r="278" ht="15" customHeight="1">
      <c r="A278" s="13" t="n">
        <v>45828</v>
      </c>
      <c r="B278" s="8" t="n">
        <v>62.58</v>
      </c>
      <c r="C278" s="7" t="n">
        <v>49.2</v>
      </c>
      <c r="D278" s="7" t="n">
        <v>43.67</v>
      </c>
      <c r="E278" s="8" t="n">
        <v>67.31999999999999</v>
      </c>
      <c r="F278" s="7" t="n">
        <v>47.83</v>
      </c>
      <c r="G278" s="7" t="n">
        <v>54.05</v>
      </c>
      <c r="H278" s="7" t="n">
        <v>49.19</v>
      </c>
      <c r="I278" s="7" t="n">
        <v>46.74</v>
      </c>
      <c r="J278" s="7" t="n">
        <v>50.02</v>
      </c>
      <c r="K278" s="7" t="n">
        <v>55.48</v>
      </c>
      <c r="L278" s="7" t="n">
        <v>53.16</v>
      </c>
    </row>
    <row r="279" ht="15" customHeight="1">
      <c r="A279" s="13" t="n">
        <v>45827</v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 ht="15" customHeight="1">
      <c r="A280" s="13" t="n">
        <v>45826</v>
      </c>
      <c r="B280" s="8" t="n">
        <v>65.08</v>
      </c>
      <c r="C280" s="7" t="n">
        <v>47.56</v>
      </c>
      <c r="D280" s="7" t="n">
        <v>45.75</v>
      </c>
      <c r="E280" s="8" t="n">
        <v>64.75</v>
      </c>
      <c r="F280" s="7" t="n">
        <v>51.09</v>
      </c>
      <c r="G280" s="7" t="n">
        <v>53.36</v>
      </c>
      <c r="H280" s="7" t="n">
        <v>48.74</v>
      </c>
      <c r="I280" s="7" t="n">
        <v>41.6</v>
      </c>
      <c r="J280" s="7" t="n">
        <v>48.53</v>
      </c>
      <c r="K280" s="7" t="n">
        <v>59.05</v>
      </c>
      <c r="L280" s="7" t="n">
        <v>53.35</v>
      </c>
    </row>
    <row r="281" ht="15" customHeight="1">
      <c r="A281" s="13" t="n">
        <v>45825</v>
      </c>
      <c r="B281" s="8" t="n">
        <v>64.72</v>
      </c>
      <c r="C281" s="7" t="n">
        <v>47.77</v>
      </c>
      <c r="D281" s="7" t="n">
        <v>46.49</v>
      </c>
      <c r="E281" s="8" t="n">
        <v>67.94</v>
      </c>
      <c r="F281" s="7" t="n">
        <v>52.5</v>
      </c>
      <c r="G281" s="7" t="n">
        <v>54.98</v>
      </c>
      <c r="H281" s="7" t="n">
        <v>48.57</v>
      </c>
      <c r="I281" s="7" t="n">
        <v>42.24</v>
      </c>
      <c r="J281" s="7" t="n">
        <v>47.14</v>
      </c>
      <c r="K281" s="7" t="n">
        <v>58.86</v>
      </c>
      <c r="L281" s="7" t="n">
        <v>52.13</v>
      </c>
    </row>
    <row r="282" ht="15" customHeight="1">
      <c r="A282" s="13" t="n">
        <v>45824</v>
      </c>
      <c r="B282" s="8" t="n">
        <v>68.56</v>
      </c>
      <c r="C282" s="7" t="n">
        <v>50.7</v>
      </c>
      <c r="D282" s="7" t="n">
        <v>54.42</v>
      </c>
      <c r="E282" s="8" t="n">
        <v>65.72</v>
      </c>
      <c r="F282" s="7" t="n">
        <v>57.57</v>
      </c>
      <c r="G282" s="8" t="n">
        <v>60.36</v>
      </c>
      <c r="H282" s="7" t="n">
        <v>54.84</v>
      </c>
      <c r="I282" s="7" t="n">
        <v>46.88</v>
      </c>
      <c r="J282" s="7" t="n">
        <v>51.25</v>
      </c>
      <c r="K282" s="8" t="n">
        <v>64.08</v>
      </c>
      <c r="L282" s="7" t="n">
        <v>54.95</v>
      </c>
    </row>
    <row r="283" ht="15" customHeight="1">
      <c r="A283" s="13" t="n">
        <v>45821</v>
      </c>
      <c r="B283" s="8" t="n">
        <v>64.12</v>
      </c>
      <c r="C283" s="7" t="n">
        <v>44.48</v>
      </c>
      <c r="D283" s="7" t="n">
        <v>56.09</v>
      </c>
      <c r="E283" s="8" t="n">
        <v>67.09</v>
      </c>
      <c r="F283" s="7" t="n">
        <v>54.02</v>
      </c>
      <c r="G283" s="7" t="n">
        <v>56.8</v>
      </c>
      <c r="H283" s="7" t="n">
        <v>51.22</v>
      </c>
      <c r="I283" s="7" t="n">
        <v>44.76</v>
      </c>
      <c r="J283" s="7" t="n">
        <v>53.85</v>
      </c>
      <c r="K283" s="7" t="n">
        <v>57.36</v>
      </c>
      <c r="L283" s="7" t="n">
        <v>54.41</v>
      </c>
    </row>
    <row r="284" ht="15" customHeight="1">
      <c r="A284" s="13" t="n">
        <v>45820</v>
      </c>
      <c r="B284" s="9" t="n">
        <v>72.48</v>
      </c>
      <c r="C284" s="7" t="n">
        <v>56.56</v>
      </c>
      <c r="D284" s="7" t="n">
        <v>58.8</v>
      </c>
      <c r="E284" s="8" t="n">
        <v>62.93</v>
      </c>
      <c r="F284" s="8" t="n">
        <v>60.57</v>
      </c>
      <c r="G284" s="8" t="n">
        <v>63.33</v>
      </c>
      <c r="H284" s="7" t="n">
        <v>54.74</v>
      </c>
      <c r="I284" s="7" t="n">
        <v>52.21</v>
      </c>
      <c r="J284" s="7" t="n">
        <v>57</v>
      </c>
      <c r="K284" s="8" t="n">
        <v>64</v>
      </c>
      <c r="L284" s="8" t="n">
        <v>60.1</v>
      </c>
    </row>
    <row r="285" ht="15" customHeight="1">
      <c r="A285" s="13" t="n">
        <v>45819</v>
      </c>
      <c r="B285" s="9" t="n">
        <v>70.09999999999999</v>
      </c>
      <c r="C285" s="7" t="n">
        <v>56.56</v>
      </c>
      <c r="D285" s="7" t="n">
        <v>55.7</v>
      </c>
      <c r="E285" s="8" t="n">
        <v>62.04</v>
      </c>
      <c r="F285" s="7" t="n">
        <v>58.91</v>
      </c>
      <c r="G285" s="8" t="n">
        <v>65.53</v>
      </c>
      <c r="H285" s="7" t="n">
        <v>56.58</v>
      </c>
      <c r="I285" s="7" t="n">
        <v>48.38</v>
      </c>
      <c r="J285" s="7" t="n">
        <v>51.5</v>
      </c>
      <c r="K285" s="9" t="n">
        <v>70.09</v>
      </c>
      <c r="L285" s="7" t="n">
        <v>57.3</v>
      </c>
    </row>
    <row r="286" ht="15" customHeight="1">
      <c r="A286" s="13" t="n">
        <v>45818</v>
      </c>
      <c r="B286" s="9" t="n">
        <v>71.45999999999999</v>
      </c>
      <c r="C286" s="7" t="n">
        <v>57.34</v>
      </c>
      <c r="D286" s="7" t="n">
        <v>55.5</v>
      </c>
      <c r="E286" s="7" t="n">
        <v>58.24</v>
      </c>
      <c r="F286" s="8" t="n">
        <v>64.94</v>
      </c>
      <c r="G286" s="8" t="n">
        <v>65.31999999999999</v>
      </c>
      <c r="H286" s="7" t="n">
        <v>59.75</v>
      </c>
      <c r="I286" s="7" t="n">
        <v>50.58</v>
      </c>
      <c r="J286" s="7" t="n">
        <v>51.2</v>
      </c>
      <c r="K286" s="9" t="n">
        <v>71.89</v>
      </c>
      <c r="L286" s="8" t="n">
        <v>61.29</v>
      </c>
    </row>
    <row r="287" ht="15" customHeight="1">
      <c r="A287" s="13" t="n">
        <v>45817</v>
      </c>
      <c r="B287" s="9" t="n">
        <v>70.09999999999999</v>
      </c>
      <c r="C287" s="7" t="n">
        <v>56.79</v>
      </c>
      <c r="D287" s="7" t="n">
        <v>50.88</v>
      </c>
      <c r="E287" s="7" t="n">
        <v>52.94</v>
      </c>
      <c r="F287" s="8" t="n">
        <v>62.73</v>
      </c>
      <c r="G287" s="8" t="n">
        <v>68.75</v>
      </c>
      <c r="H287" s="7" t="n">
        <v>56.35</v>
      </c>
      <c r="I287" s="7" t="n">
        <v>49.2</v>
      </c>
      <c r="J287" s="7" t="n">
        <v>50.13</v>
      </c>
      <c r="K287" s="8" t="n">
        <v>67.69</v>
      </c>
      <c r="L287" s="7" t="n">
        <v>56.79</v>
      </c>
    </row>
    <row r="288" ht="15" customHeight="1">
      <c r="A288" s="13" t="n">
        <v>45814</v>
      </c>
      <c r="B288" s="8" t="n">
        <v>68.90000000000001</v>
      </c>
      <c r="C288" s="8" t="n">
        <v>60.15</v>
      </c>
      <c r="D288" s="7" t="n">
        <v>51.63</v>
      </c>
      <c r="E288" s="7" t="n">
        <v>52.34</v>
      </c>
      <c r="F288" s="8" t="n">
        <v>60.22</v>
      </c>
      <c r="G288" s="8" t="n">
        <v>69.45</v>
      </c>
      <c r="H288" s="7" t="n">
        <v>53.96</v>
      </c>
      <c r="I288" s="7" t="n">
        <v>49.99</v>
      </c>
      <c r="J288" s="7" t="n">
        <v>53.1</v>
      </c>
      <c r="K288" s="8" t="n">
        <v>69.91</v>
      </c>
      <c r="L288" s="7" t="n">
        <v>57.12</v>
      </c>
    </row>
    <row r="289" ht="15" customHeight="1">
      <c r="A289" s="13" t="n">
        <v>45813</v>
      </c>
      <c r="B289" s="8" t="n">
        <v>66.51000000000001</v>
      </c>
      <c r="C289" s="7" t="n">
        <v>54.53</v>
      </c>
      <c r="D289" s="7" t="n">
        <v>47.69</v>
      </c>
      <c r="E289" s="7" t="n">
        <v>46.17</v>
      </c>
      <c r="F289" s="7" t="n">
        <v>59.23</v>
      </c>
      <c r="G289" s="8" t="n">
        <v>66.51000000000001</v>
      </c>
      <c r="H289" s="7" t="n">
        <v>49.87</v>
      </c>
      <c r="I289" s="7" t="n">
        <v>48.16</v>
      </c>
      <c r="J289" s="7" t="n">
        <v>51.24</v>
      </c>
      <c r="K289" s="8" t="n">
        <v>65.3</v>
      </c>
      <c r="L289" s="7" t="n">
        <v>55.67</v>
      </c>
    </row>
    <row r="290" ht="15" customHeight="1">
      <c r="A290" s="13" t="n">
        <v>45812</v>
      </c>
      <c r="B290" s="8" t="n">
        <v>67.97</v>
      </c>
      <c r="C290" s="7" t="n">
        <v>56.16</v>
      </c>
      <c r="D290" s="7" t="n">
        <v>48.21</v>
      </c>
      <c r="E290" s="7" t="n">
        <v>46.46</v>
      </c>
      <c r="F290" s="8" t="n">
        <v>62.5</v>
      </c>
      <c r="G290" s="8" t="n">
        <v>67</v>
      </c>
      <c r="H290" s="7" t="n">
        <v>59.68</v>
      </c>
      <c r="I290" s="7" t="n">
        <v>53.7</v>
      </c>
      <c r="J290" s="7" t="n">
        <v>51.93</v>
      </c>
      <c r="K290" s="8" t="n">
        <v>64.77</v>
      </c>
      <c r="L290" s="7" t="n">
        <v>55.82</v>
      </c>
    </row>
    <row r="291" ht="15" customHeight="1">
      <c r="A291" s="13" t="n">
        <v>45811</v>
      </c>
      <c r="B291" s="8" t="n">
        <v>67.62</v>
      </c>
      <c r="C291" s="7" t="n">
        <v>59.6</v>
      </c>
      <c r="D291" s="7" t="n">
        <v>47.44</v>
      </c>
      <c r="E291" s="7" t="n">
        <v>52.72</v>
      </c>
      <c r="F291" s="8" t="n">
        <v>61.24</v>
      </c>
      <c r="G291" s="8" t="n">
        <v>66.81999999999999</v>
      </c>
      <c r="H291" s="8" t="n">
        <v>60.85</v>
      </c>
      <c r="I291" s="7" t="n">
        <v>58.27</v>
      </c>
      <c r="J291" s="8" t="n">
        <v>60.27</v>
      </c>
      <c r="K291" s="8" t="n">
        <v>62.25</v>
      </c>
      <c r="L291" s="7" t="n">
        <v>54.38</v>
      </c>
    </row>
    <row r="292" ht="15" customHeight="1">
      <c r="A292" s="13" t="n">
        <v>45810</v>
      </c>
      <c r="B292" s="8" t="n">
        <v>64.04000000000001</v>
      </c>
      <c r="C292" s="7" t="n">
        <v>58.79</v>
      </c>
      <c r="D292" s="7" t="n">
        <v>46.57</v>
      </c>
      <c r="E292" s="7" t="n">
        <v>48.88</v>
      </c>
      <c r="F292" s="7" t="n">
        <v>57.67</v>
      </c>
      <c r="G292" s="8" t="n">
        <v>64.28</v>
      </c>
      <c r="H292" s="7" t="n">
        <v>59.37</v>
      </c>
      <c r="I292" s="7" t="n">
        <v>58.91</v>
      </c>
      <c r="J292" s="7" t="n">
        <v>59.35</v>
      </c>
      <c r="K292" s="8" t="n">
        <v>64.15000000000001</v>
      </c>
      <c r="L292" s="7" t="n">
        <v>56.35</v>
      </c>
    </row>
    <row r="293" ht="15" customHeight="1">
      <c r="A293" s="13" t="n">
        <v>45807</v>
      </c>
      <c r="B293" s="8" t="n">
        <v>61.75</v>
      </c>
      <c r="C293" s="7" t="n">
        <v>58.64</v>
      </c>
      <c r="D293" s="7" t="n">
        <v>46.36</v>
      </c>
      <c r="E293" s="7" t="n">
        <v>44.28</v>
      </c>
      <c r="F293" s="7" t="n">
        <v>55.49</v>
      </c>
      <c r="G293" s="8" t="n">
        <v>65.04000000000001</v>
      </c>
      <c r="H293" s="7" t="n">
        <v>58.73</v>
      </c>
      <c r="I293" s="7" t="n">
        <v>58.64</v>
      </c>
      <c r="J293" s="7" t="n">
        <v>58.28</v>
      </c>
      <c r="K293" s="8" t="n">
        <v>62.31</v>
      </c>
      <c r="L293" s="7" t="n">
        <v>55.75</v>
      </c>
    </row>
    <row r="294" ht="15" customHeight="1">
      <c r="A294" s="13" t="n">
        <v>45806</v>
      </c>
      <c r="B294" s="8" t="n">
        <v>63.07</v>
      </c>
      <c r="C294" s="7" t="n">
        <v>57.84</v>
      </c>
      <c r="D294" s="7" t="n">
        <v>45.65</v>
      </c>
      <c r="E294" s="7" t="n">
        <v>46.95</v>
      </c>
      <c r="F294" s="7" t="n">
        <v>55.44</v>
      </c>
      <c r="G294" s="8" t="n">
        <v>64.84</v>
      </c>
      <c r="H294" s="8" t="n">
        <v>60.8</v>
      </c>
      <c r="I294" s="7" t="n">
        <v>54.75</v>
      </c>
      <c r="J294" s="7" t="n">
        <v>54.76</v>
      </c>
      <c r="K294" s="8" t="n">
        <v>60.74</v>
      </c>
      <c r="L294" s="7" t="n">
        <v>55.38</v>
      </c>
    </row>
    <row r="295" ht="15" customHeight="1">
      <c r="A295" s="13" t="n">
        <v>45805</v>
      </c>
      <c r="B295" s="8" t="n">
        <v>62.67</v>
      </c>
      <c r="C295" s="7" t="n">
        <v>55.96</v>
      </c>
      <c r="D295" s="7" t="n">
        <v>43.49</v>
      </c>
      <c r="E295" s="7" t="n">
        <v>44.34</v>
      </c>
      <c r="F295" s="7" t="n">
        <v>54.17</v>
      </c>
      <c r="G295" s="8" t="n">
        <v>64.58</v>
      </c>
      <c r="H295" s="8" t="n">
        <v>60.7</v>
      </c>
      <c r="I295" s="7" t="n">
        <v>52.86</v>
      </c>
      <c r="J295" s="7" t="n">
        <v>52.23</v>
      </c>
      <c r="K295" s="8" t="n">
        <v>65.7</v>
      </c>
      <c r="L295" s="7" t="n">
        <v>51.74</v>
      </c>
    </row>
    <row r="296" ht="15" customHeight="1">
      <c r="A296" s="13" t="n">
        <v>45804</v>
      </c>
      <c r="B296" s="8" t="n">
        <v>64.26000000000001</v>
      </c>
      <c r="C296" s="7" t="n">
        <v>59.15</v>
      </c>
      <c r="D296" s="7" t="n">
        <v>44.77</v>
      </c>
      <c r="E296" s="7" t="n">
        <v>48.13</v>
      </c>
      <c r="F296" s="8" t="n">
        <v>60.13</v>
      </c>
      <c r="G296" s="8" t="n">
        <v>67.11</v>
      </c>
      <c r="H296" s="8" t="n">
        <v>64</v>
      </c>
      <c r="I296" s="7" t="n">
        <v>56.58</v>
      </c>
      <c r="J296" s="7" t="n">
        <v>58.39</v>
      </c>
      <c r="K296" s="8" t="n">
        <v>65.81999999999999</v>
      </c>
      <c r="L296" s="7" t="n">
        <v>51.74</v>
      </c>
    </row>
    <row r="297" ht="15" customHeight="1">
      <c r="A297" s="13" t="n">
        <v>45803</v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 ht="15" customHeight="1">
      <c r="A298" s="13" t="n">
        <v>45800</v>
      </c>
      <c r="B298" s="7" t="n">
        <v>58.8</v>
      </c>
      <c r="C298" s="7" t="n">
        <v>52.67</v>
      </c>
      <c r="D298" s="7" t="n">
        <v>40.4</v>
      </c>
      <c r="E298" s="7" t="n">
        <v>45.19</v>
      </c>
      <c r="F298" s="7" t="n">
        <v>54.23</v>
      </c>
      <c r="G298" s="8" t="n">
        <v>62.33</v>
      </c>
      <c r="H298" s="7" t="n">
        <v>57.25</v>
      </c>
      <c r="I298" s="7" t="n">
        <v>52.48</v>
      </c>
      <c r="J298" s="7" t="n">
        <v>55.8</v>
      </c>
      <c r="K298" s="8" t="n">
        <v>60.25</v>
      </c>
      <c r="L298" s="7" t="n">
        <v>44.92</v>
      </c>
    </row>
    <row r="299" ht="15" customHeight="1">
      <c r="A299" s="13" t="n">
        <v>45799</v>
      </c>
      <c r="B299" s="8" t="n">
        <v>62.99</v>
      </c>
      <c r="C299" s="7" t="n">
        <v>54.31</v>
      </c>
      <c r="D299" s="7" t="n">
        <v>40.75</v>
      </c>
      <c r="E299" s="7" t="n">
        <v>44.12</v>
      </c>
      <c r="F299" s="7" t="n">
        <v>55.09</v>
      </c>
      <c r="G299" s="8" t="n">
        <v>63.93</v>
      </c>
      <c r="H299" s="8" t="n">
        <v>60.48</v>
      </c>
      <c r="I299" s="7" t="n">
        <v>50.73</v>
      </c>
      <c r="J299" s="7" t="n">
        <v>51.37</v>
      </c>
      <c r="K299" s="8" t="n">
        <v>62.94</v>
      </c>
      <c r="L299" s="7" t="n">
        <v>44.81</v>
      </c>
    </row>
    <row r="300" ht="15" customHeight="1">
      <c r="A300" s="13" t="n">
        <v>45798</v>
      </c>
      <c r="B300" s="8" t="n">
        <v>62.94</v>
      </c>
      <c r="C300" s="7" t="n">
        <v>54.83</v>
      </c>
      <c r="D300" s="7" t="n">
        <v>42.4</v>
      </c>
      <c r="E300" s="7" t="n">
        <v>45.13</v>
      </c>
      <c r="F300" s="7" t="n">
        <v>55.52</v>
      </c>
      <c r="G300" s="8" t="n">
        <v>64.03</v>
      </c>
      <c r="H300" s="7" t="n">
        <v>59.47</v>
      </c>
      <c r="I300" s="7" t="n">
        <v>52.78</v>
      </c>
      <c r="J300" s="7" t="n">
        <v>57.88</v>
      </c>
      <c r="K300" s="8" t="n">
        <v>64.20999999999999</v>
      </c>
      <c r="L300" s="7" t="n">
        <v>45.99</v>
      </c>
    </row>
    <row r="301" ht="15" customHeight="1">
      <c r="A301" s="13" t="n">
        <v>45797</v>
      </c>
      <c r="B301" s="9" t="n">
        <v>70.45999999999999</v>
      </c>
      <c r="C301" s="8" t="n">
        <v>65.12</v>
      </c>
      <c r="D301" s="7" t="n">
        <v>47.84</v>
      </c>
      <c r="E301" s="7" t="n">
        <v>50.28</v>
      </c>
      <c r="F301" s="8" t="n">
        <v>61.26</v>
      </c>
      <c r="G301" s="9" t="n">
        <v>72.51000000000001</v>
      </c>
      <c r="H301" s="8" t="n">
        <v>67.18000000000001</v>
      </c>
      <c r="I301" s="7" t="n">
        <v>59.03</v>
      </c>
      <c r="J301" s="8" t="n">
        <v>68.34</v>
      </c>
      <c r="K301" s="8" t="n">
        <v>68.67</v>
      </c>
      <c r="L301" s="7" t="n">
        <v>56.97</v>
      </c>
    </row>
    <row r="302" ht="15" customHeight="1">
      <c r="A302" s="13" t="n">
        <v>45796</v>
      </c>
      <c r="B302" s="9" t="n">
        <v>72.06</v>
      </c>
      <c r="C302" s="8" t="n">
        <v>68.29000000000001</v>
      </c>
      <c r="D302" s="7" t="n">
        <v>47.17</v>
      </c>
      <c r="E302" s="7" t="n">
        <v>53.14</v>
      </c>
      <c r="F302" s="8" t="n">
        <v>62.03</v>
      </c>
      <c r="G302" s="9" t="n">
        <v>74.47</v>
      </c>
      <c r="H302" s="8" t="n">
        <v>69.33</v>
      </c>
      <c r="I302" s="7" t="n">
        <v>57.62</v>
      </c>
      <c r="J302" s="8" t="n">
        <v>67.47</v>
      </c>
      <c r="K302" s="9" t="n">
        <v>70.16</v>
      </c>
      <c r="L302" s="7" t="n">
        <v>59.58</v>
      </c>
    </row>
    <row r="303" ht="15" customHeight="1">
      <c r="A303" s="13" t="n">
        <v>45793</v>
      </c>
      <c r="B303" s="9" t="n">
        <v>72.66</v>
      </c>
      <c r="C303" s="8" t="n">
        <v>68.13</v>
      </c>
      <c r="D303" s="7" t="n">
        <v>44.63</v>
      </c>
      <c r="E303" s="7" t="n">
        <v>57.45</v>
      </c>
      <c r="F303" s="8" t="n">
        <v>61.37</v>
      </c>
      <c r="G303" s="9" t="n">
        <v>73.84999999999999</v>
      </c>
      <c r="H303" s="9" t="n">
        <v>70.27</v>
      </c>
      <c r="I303" s="7" t="n">
        <v>56.47</v>
      </c>
      <c r="J303" s="8" t="n">
        <v>66.22</v>
      </c>
      <c r="K303" s="8" t="n">
        <v>69.91</v>
      </c>
      <c r="L303" s="7" t="n">
        <v>58.87</v>
      </c>
    </row>
    <row r="304" ht="15" customHeight="1">
      <c r="A304" s="13" t="n">
        <v>45792</v>
      </c>
      <c r="B304" s="9" t="n">
        <v>72.38</v>
      </c>
      <c r="C304" s="8" t="n">
        <v>66.56999999999999</v>
      </c>
      <c r="D304" s="7" t="n">
        <v>39.01</v>
      </c>
      <c r="E304" s="7" t="n">
        <v>57.96</v>
      </c>
      <c r="F304" s="7" t="n">
        <v>58.7</v>
      </c>
      <c r="G304" s="9" t="n">
        <v>71.75</v>
      </c>
      <c r="H304" s="8" t="n">
        <v>68.69</v>
      </c>
      <c r="I304" s="7" t="n">
        <v>51.76</v>
      </c>
      <c r="J304" s="8" t="n">
        <v>61.54</v>
      </c>
      <c r="K304" s="8" t="n">
        <v>68.27</v>
      </c>
      <c r="L304" s="7" t="n">
        <v>54.53</v>
      </c>
    </row>
    <row r="305" ht="15" customHeight="1">
      <c r="A305" s="13" t="n">
        <v>45791</v>
      </c>
      <c r="B305" s="9" t="n">
        <v>72.2</v>
      </c>
      <c r="C305" s="8" t="n">
        <v>64.81</v>
      </c>
      <c r="D305" s="7" t="n">
        <v>35.09</v>
      </c>
      <c r="E305" s="7" t="n">
        <v>56.98</v>
      </c>
      <c r="F305" s="7" t="n">
        <v>55.9</v>
      </c>
      <c r="G305" s="8" t="n">
        <v>69.56999999999999</v>
      </c>
      <c r="H305" s="8" t="n">
        <v>69.5</v>
      </c>
      <c r="I305" s="7" t="n">
        <v>41.45</v>
      </c>
      <c r="J305" s="7" t="n">
        <v>52.94</v>
      </c>
      <c r="K305" s="8" t="n">
        <v>67.3</v>
      </c>
      <c r="L305" s="7" t="n">
        <v>47.06</v>
      </c>
    </row>
    <row r="306" ht="15" customHeight="1">
      <c r="A306" s="13" t="n">
        <v>45790</v>
      </c>
      <c r="B306" s="9" t="n">
        <v>71.34</v>
      </c>
      <c r="C306" s="8" t="n">
        <v>66.14</v>
      </c>
      <c r="D306" s="7" t="n">
        <v>39.41</v>
      </c>
      <c r="E306" s="7" t="n">
        <v>58.83</v>
      </c>
      <c r="F306" s="7" t="n">
        <v>59.29</v>
      </c>
      <c r="G306" s="9" t="n">
        <v>71.81999999999999</v>
      </c>
      <c r="H306" s="8" t="n">
        <v>68.91</v>
      </c>
      <c r="I306" s="7" t="n">
        <v>43.74</v>
      </c>
      <c r="J306" s="7" t="n">
        <v>55.32</v>
      </c>
      <c r="K306" s="8" t="n">
        <v>66.06</v>
      </c>
      <c r="L306" s="7" t="n">
        <v>50.67</v>
      </c>
    </row>
    <row r="307" ht="15" customHeight="1">
      <c r="A307" s="13" t="n">
        <v>45789</v>
      </c>
      <c r="B307" s="8" t="n">
        <v>68.41</v>
      </c>
      <c r="C307" s="8" t="n">
        <v>65.15000000000001</v>
      </c>
      <c r="D307" s="7" t="n">
        <v>46.41</v>
      </c>
      <c r="E307" s="7" t="n">
        <v>55.78</v>
      </c>
      <c r="F307" s="8" t="n">
        <v>61.16</v>
      </c>
      <c r="G307" s="9" t="n">
        <v>70.54000000000001</v>
      </c>
      <c r="H307" s="8" t="n">
        <v>66.91</v>
      </c>
      <c r="I307" s="7" t="n">
        <v>50.28</v>
      </c>
      <c r="J307" s="7" t="n">
        <v>56.06</v>
      </c>
      <c r="K307" s="8" t="n">
        <v>63.66</v>
      </c>
      <c r="L307" s="7" t="n">
        <v>57.18</v>
      </c>
    </row>
    <row r="308" ht="15" customHeight="1">
      <c r="A308" s="13" t="n">
        <v>45786</v>
      </c>
      <c r="B308" s="8" t="n">
        <v>60.76</v>
      </c>
      <c r="C308" s="7" t="n">
        <v>59.88</v>
      </c>
      <c r="D308" s="7" t="n">
        <v>38.24</v>
      </c>
      <c r="E308" s="7" t="n">
        <v>49.51</v>
      </c>
      <c r="F308" s="7" t="n">
        <v>55.16</v>
      </c>
      <c r="G308" s="8" t="n">
        <v>64.09</v>
      </c>
      <c r="H308" s="7" t="n">
        <v>57.88</v>
      </c>
      <c r="I308" s="7" t="n">
        <v>49.51</v>
      </c>
      <c r="J308" s="7" t="n">
        <v>59.24</v>
      </c>
      <c r="K308" s="7" t="n">
        <v>57.91</v>
      </c>
      <c r="L308" s="7" t="n">
        <v>56.81</v>
      </c>
    </row>
    <row r="309" ht="15" customHeight="1">
      <c r="A309" s="13" t="n">
        <v>45785</v>
      </c>
      <c r="B309" s="8" t="n">
        <v>61.12</v>
      </c>
      <c r="C309" s="7" t="n">
        <v>59.88</v>
      </c>
      <c r="D309" s="7" t="n">
        <v>40.81</v>
      </c>
      <c r="E309" s="7" t="n">
        <v>46.84</v>
      </c>
      <c r="F309" s="7" t="n">
        <v>54.42</v>
      </c>
      <c r="G309" s="8" t="n">
        <v>63.9</v>
      </c>
      <c r="H309" s="7" t="n">
        <v>56.83</v>
      </c>
      <c r="I309" s="7" t="n">
        <v>52.47</v>
      </c>
      <c r="J309" s="7" t="n">
        <v>58.61</v>
      </c>
      <c r="K309" s="8" t="n">
        <v>60.1</v>
      </c>
      <c r="L309" s="7" t="n">
        <v>54.54</v>
      </c>
    </row>
    <row r="310" ht="15" customHeight="1">
      <c r="A310" s="13" t="n">
        <v>45784</v>
      </c>
      <c r="B310" s="7" t="n">
        <v>59.38</v>
      </c>
      <c r="C310" s="7" t="n">
        <v>57.65</v>
      </c>
      <c r="D310" s="7" t="n">
        <v>43.06</v>
      </c>
      <c r="E310" s="7" t="n">
        <v>43.23</v>
      </c>
      <c r="F310" s="7" t="n">
        <v>50.64</v>
      </c>
      <c r="G310" s="8" t="n">
        <v>60.6</v>
      </c>
      <c r="H310" s="7" t="n">
        <v>54.25</v>
      </c>
      <c r="I310" s="7" t="n">
        <v>53.09</v>
      </c>
      <c r="J310" s="8" t="n">
        <v>62.85</v>
      </c>
      <c r="K310" s="7" t="n">
        <v>59.44</v>
      </c>
      <c r="L310" s="7" t="n">
        <v>56.76</v>
      </c>
    </row>
    <row r="311" ht="15" customHeight="1">
      <c r="A311" s="13" t="n">
        <v>45783</v>
      </c>
      <c r="B311" s="7" t="n">
        <v>57.55</v>
      </c>
      <c r="C311" s="7" t="n">
        <v>56.03</v>
      </c>
      <c r="D311" s="7" t="n">
        <v>40.49</v>
      </c>
      <c r="E311" s="7" t="n">
        <v>43.13</v>
      </c>
      <c r="F311" s="7" t="n">
        <v>52.31</v>
      </c>
      <c r="G311" s="7" t="n">
        <v>59.33</v>
      </c>
      <c r="H311" s="7" t="n">
        <v>52.53</v>
      </c>
      <c r="I311" s="7" t="n">
        <v>52.41</v>
      </c>
      <c r="J311" s="8" t="n">
        <v>61.94</v>
      </c>
      <c r="K311" s="8" t="n">
        <v>60.16</v>
      </c>
      <c r="L311" s="7" t="n">
        <v>57.08</v>
      </c>
    </row>
    <row r="312" ht="15" customHeight="1">
      <c r="A312" s="13" t="n">
        <v>45782</v>
      </c>
      <c r="B312" s="7" t="n">
        <v>59.64</v>
      </c>
      <c r="C312" s="7" t="n">
        <v>58.01</v>
      </c>
      <c r="D312" s="7" t="n">
        <v>47.92</v>
      </c>
      <c r="E312" s="7" t="n">
        <v>43.07</v>
      </c>
      <c r="F312" s="7" t="n">
        <v>54.53</v>
      </c>
      <c r="G312" s="8" t="n">
        <v>62.58</v>
      </c>
      <c r="H312" s="7" t="n">
        <v>54.69</v>
      </c>
      <c r="I312" s="7" t="n">
        <v>53.19</v>
      </c>
      <c r="J312" s="7" t="n">
        <v>57.93</v>
      </c>
      <c r="K312" s="8" t="n">
        <v>60.24</v>
      </c>
      <c r="L312" s="8" t="n">
        <v>60.15</v>
      </c>
    </row>
    <row r="313" ht="15" customHeight="1">
      <c r="A313" s="13" t="n">
        <v>45779</v>
      </c>
      <c r="B313" s="8" t="n">
        <v>60.96</v>
      </c>
      <c r="C313" s="8" t="n">
        <v>60.27</v>
      </c>
      <c r="D313" s="7" t="n">
        <v>48.77</v>
      </c>
      <c r="E313" s="7" t="n">
        <v>46.61</v>
      </c>
      <c r="F313" s="7" t="n">
        <v>56.84</v>
      </c>
      <c r="G313" s="8" t="n">
        <v>62.46</v>
      </c>
      <c r="H313" s="7" t="n">
        <v>57.39</v>
      </c>
      <c r="I313" s="7" t="n">
        <v>53.56</v>
      </c>
      <c r="J313" s="7" t="n">
        <v>59.12</v>
      </c>
      <c r="K313" s="7" t="n">
        <v>59.7</v>
      </c>
      <c r="L313" s="8" t="n">
        <v>60.68</v>
      </c>
    </row>
    <row r="314" ht="15" customHeight="1">
      <c r="A314" s="13" t="n">
        <v>45778</v>
      </c>
      <c r="B314" s="7" t="n">
        <v>58.3</v>
      </c>
      <c r="C314" s="7" t="n">
        <v>55.15</v>
      </c>
      <c r="D314" s="7" t="n">
        <v>44.32</v>
      </c>
      <c r="E314" s="7" t="n">
        <v>43.15</v>
      </c>
      <c r="F314" s="7" t="n">
        <v>52.67</v>
      </c>
      <c r="G314" s="7" t="n">
        <v>58.52</v>
      </c>
      <c r="H314" s="7" t="n">
        <v>54.38</v>
      </c>
      <c r="I314" s="7" t="n">
        <v>51.59</v>
      </c>
      <c r="J314" s="7" t="n">
        <v>56.55</v>
      </c>
      <c r="K314" s="7" t="n">
        <v>56.15</v>
      </c>
      <c r="L314" s="7" t="n">
        <v>57.15</v>
      </c>
    </row>
    <row r="315" ht="15" customHeight="1">
      <c r="A315" s="13" t="n">
        <v>45777</v>
      </c>
      <c r="B315" s="7" t="n">
        <v>55.89</v>
      </c>
      <c r="C315" s="7" t="n">
        <v>55.22</v>
      </c>
      <c r="D315" s="7" t="n">
        <v>52.97</v>
      </c>
      <c r="E315" s="7" t="n">
        <v>42.26</v>
      </c>
      <c r="F315" s="7" t="n">
        <v>53.94</v>
      </c>
      <c r="G315" s="7" t="n">
        <v>56.76</v>
      </c>
      <c r="H315" s="7" t="n">
        <v>53.3</v>
      </c>
      <c r="I315" s="7" t="n">
        <v>55.08</v>
      </c>
      <c r="J315" s="7" t="n">
        <v>55.58</v>
      </c>
      <c r="K315" s="7" t="n">
        <v>54.94</v>
      </c>
      <c r="L315" s="7" t="n">
        <v>56.29</v>
      </c>
    </row>
    <row r="316" ht="15" customHeight="1">
      <c r="A316" s="13" t="n">
        <v>45776</v>
      </c>
      <c r="B316" s="7" t="n">
        <v>55.21</v>
      </c>
      <c r="C316" s="7" t="n">
        <v>54.77</v>
      </c>
      <c r="D316" s="7" t="n">
        <v>50.16</v>
      </c>
      <c r="E316" s="7" t="n">
        <v>47.34</v>
      </c>
      <c r="F316" s="7" t="n">
        <v>52.71</v>
      </c>
      <c r="G316" s="7" t="n">
        <v>55.07</v>
      </c>
      <c r="H316" s="7" t="n">
        <v>55.32</v>
      </c>
      <c r="I316" s="7" t="n">
        <v>52.61</v>
      </c>
      <c r="J316" s="7" t="n">
        <v>57.65</v>
      </c>
      <c r="K316" s="7" t="n">
        <v>54.87</v>
      </c>
      <c r="L316" s="7" t="n">
        <v>54.97</v>
      </c>
    </row>
    <row r="317" ht="15" customHeight="1">
      <c r="A317" s="13" t="n">
        <v>45775</v>
      </c>
      <c r="B317" s="7" t="n">
        <v>54.49</v>
      </c>
      <c r="C317" s="7" t="n">
        <v>52.31</v>
      </c>
      <c r="D317" s="7" t="n">
        <v>48.53</v>
      </c>
      <c r="E317" s="7" t="n">
        <v>47.92</v>
      </c>
      <c r="F317" s="7" t="n">
        <v>50.75</v>
      </c>
      <c r="G317" s="7" t="n">
        <v>53.57</v>
      </c>
      <c r="H317" s="7" t="n">
        <v>54.07</v>
      </c>
      <c r="I317" s="7" t="n">
        <v>49.69</v>
      </c>
      <c r="J317" s="7" t="n">
        <v>55.3</v>
      </c>
      <c r="K317" s="7" t="n">
        <v>53.29</v>
      </c>
      <c r="L317" s="7" t="n">
        <v>52.66</v>
      </c>
    </row>
    <row r="318" ht="15" customHeight="1">
      <c r="A318" s="13" t="n">
        <v>45772</v>
      </c>
      <c r="B318" s="7" t="n">
        <v>54.77</v>
      </c>
      <c r="C318" s="7" t="n">
        <v>51.57</v>
      </c>
      <c r="D318" s="7" t="n">
        <v>47.24</v>
      </c>
      <c r="E318" s="7" t="n">
        <v>46.46</v>
      </c>
      <c r="F318" s="7" t="n">
        <v>50.33</v>
      </c>
      <c r="G318" s="7" t="n">
        <v>52.82</v>
      </c>
      <c r="H318" s="7" t="n">
        <v>54.01</v>
      </c>
      <c r="I318" s="7" t="n">
        <v>50.86</v>
      </c>
      <c r="J318" s="7" t="n">
        <v>53.4</v>
      </c>
      <c r="K318" s="7" t="n">
        <v>52.49</v>
      </c>
      <c r="L318" s="7" t="n">
        <v>50.88</v>
      </c>
    </row>
    <row r="319" ht="15" customHeight="1">
      <c r="A319" s="13" t="n">
        <v>45771</v>
      </c>
      <c r="B319" s="7" t="n">
        <v>52.69</v>
      </c>
      <c r="C319" s="7" t="n">
        <v>52.73</v>
      </c>
      <c r="D319" s="7" t="n">
        <v>45.72</v>
      </c>
      <c r="E319" s="7" t="n">
        <v>46.77</v>
      </c>
      <c r="F319" s="7" t="n">
        <v>52.02</v>
      </c>
      <c r="G319" s="7" t="n">
        <v>52.84</v>
      </c>
      <c r="H319" s="7" t="n">
        <v>51.05</v>
      </c>
      <c r="I319" s="7" t="n">
        <v>51.74</v>
      </c>
      <c r="J319" s="7" t="n">
        <v>54.47</v>
      </c>
      <c r="K319" s="7" t="n">
        <v>51.22</v>
      </c>
      <c r="L319" s="7" t="n">
        <v>51.31</v>
      </c>
    </row>
    <row r="320" ht="15" customHeight="1">
      <c r="A320" s="13" t="n">
        <v>45770</v>
      </c>
      <c r="B320" s="7" t="n">
        <v>47.2</v>
      </c>
      <c r="C320" s="7" t="n">
        <v>50.35</v>
      </c>
      <c r="D320" s="7" t="n">
        <v>41.79</v>
      </c>
      <c r="E320" s="7" t="n">
        <v>43.7</v>
      </c>
      <c r="F320" s="7" t="n">
        <v>47.38</v>
      </c>
      <c r="G320" s="7" t="n">
        <v>48.09</v>
      </c>
      <c r="H320" s="7" t="n">
        <v>47.66</v>
      </c>
      <c r="I320" s="7" t="n">
        <v>54.77</v>
      </c>
      <c r="J320" s="7" t="n">
        <v>54.05</v>
      </c>
      <c r="K320" s="7" t="n">
        <v>47.12</v>
      </c>
      <c r="L320" s="7" t="n">
        <v>50.54</v>
      </c>
    </row>
    <row r="321" ht="15" customHeight="1">
      <c r="A321" s="13" t="n">
        <v>45769</v>
      </c>
      <c r="B321" s="7" t="n">
        <v>42.52</v>
      </c>
      <c r="C321" s="7" t="n">
        <v>47.76</v>
      </c>
      <c r="D321" s="7" t="n">
        <v>40.17</v>
      </c>
      <c r="E321" s="7" t="n">
        <v>43.97</v>
      </c>
      <c r="F321" s="7" t="n">
        <v>47.11</v>
      </c>
      <c r="G321" s="7" t="n">
        <v>45.27</v>
      </c>
      <c r="H321" s="7" t="n">
        <v>43.69</v>
      </c>
      <c r="I321" s="7" t="n">
        <v>56.78</v>
      </c>
      <c r="J321" s="7" t="n">
        <v>52.92</v>
      </c>
      <c r="K321" s="7" t="n">
        <v>43.65</v>
      </c>
      <c r="L321" s="7" t="n">
        <v>50.23</v>
      </c>
    </row>
    <row r="322" ht="15" customHeight="1">
      <c r="A322" s="13" t="n">
        <v>45768</v>
      </c>
      <c r="B322" s="7" t="n">
        <v>38.36</v>
      </c>
      <c r="C322" s="7" t="n">
        <v>39.94</v>
      </c>
      <c r="D322" s="7" t="n">
        <v>33.82</v>
      </c>
      <c r="E322" s="7" t="n">
        <v>39.25</v>
      </c>
      <c r="F322" s="7" t="n">
        <v>41.96</v>
      </c>
      <c r="G322" s="7" t="n">
        <v>41.19</v>
      </c>
      <c r="H322" s="7" t="n">
        <v>37.65</v>
      </c>
      <c r="I322" s="7" t="n">
        <v>52.84</v>
      </c>
      <c r="J322" s="7" t="n">
        <v>45.05</v>
      </c>
      <c r="K322" s="7" t="n">
        <v>37.62</v>
      </c>
      <c r="L322" s="7" t="n">
        <v>45.13</v>
      </c>
    </row>
    <row r="323" ht="15" customHeight="1">
      <c r="A323" s="13" t="n">
        <v>45765</v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 ht="15" customHeight="1">
      <c r="A324" s="13" t="n">
        <v>45764</v>
      </c>
      <c r="B324" s="7" t="n">
        <v>41.39</v>
      </c>
      <c r="C324" s="7" t="n">
        <v>43.99</v>
      </c>
      <c r="D324" s="7" t="n">
        <v>38.24</v>
      </c>
      <c r="E324" s="7" t="n">
        <v>42.78</v>
      </c>
      <c r="F324" s="7" t="n">
        <v>44.63</v>
      </c>
      <c r="G324" s="7" t="n">
        <v>45.31</v>
      </c>
      <c r="H324" s="7" t="n">
        <v>41.21</v>
      </c>
      <c r="I324" s="7" t="n">
        <v>56.06</v>
      </c>
      <c r="J324" s="7" t="n">
        <v>52.26</v>
      </c>
      <c r="K324" s="7" t="n">
        <v>41.24</v>
      </c>
      <c r="L324" s="7" t="n">
        <v>50.07</v>
      </c>
    </row>
    <row r="325" ht="15" customHeight="1">
      <c r="A325" s="13" t="n">
        <v>45763</v>
      </c>
      <c r="B325" s="7" t="n">
        <v>42.04</v>
      </c>
      <c r="C325" s="7" t="n">
        <v>43.35</v>
      </c>
      <c r="D325" s="7" t="n">
        <v>39.56</v>
      </c>
      <c r="E325" s="7" t="n">
        <v>38.43</v>
      </c>
      <c r="F325" s="7" t="n">
        <v>43.13</v>
      </c>
      <c r="G325" s="7" t="n">
        <v>44.05</v>
      </c>
      <c r="H325" s="7" t="n">
        <v>39.97</v>
      </c>
      <c r="I325" s="7" t="n">
        <v>49.85</v>
      </c>
      <c r="J325" s="7" t="n">
        <v>49.01</v>
      </c>
      <c r="K325" s="7" t="n">
        <v>39.7</v>
      </c>
      <c r="L325" s="7" t="n">
        <v>45.95</v>
      </c>
    </row>
    <row r="326" ht="15" customHeight="1">
      <c r="A326" s="13" t="n">
        <v>45762</v>
      </c>
      <c r="B326" s="7" t="n">
        <v>46.54</v>
      </c>
      <c r="C326" s="7" t="n">
        <v>46.39</v>
      </c>
      <c r="D326" s="7" t="n">
        <v>41.9</v>
      </c>
      <c r="E326" s="7" t="n">
        <v>36.82</v>
      </c>
      <c r="F326" s="7" t="n">
        <v>44.41</v>
      </c>
      <c r="G326" s="7" t="n">
        <v>46.57</v>
      </c>
      <c r="H326" s="7" t="n">
        <v>43.37</v>
      </c>
      <c r="I326" s="7" t="n">
        <v>53.41</v>
      </c>
      <c r="J326" s="7" t="n">
        <v>51.91</v>
      </c>
      <c r="K326" s="7" t="n">
        <v>44.3</v>
      </c>
      <c r="L326" s="7" t="n">
        <v>46.06</v>
      </c>
    </row>
    <row r="327" ht="15" customHeight="1">
      <c r="A327" s="13" t="n">
        <v>45761</v>
      </c>
      <c r="B327" s="7" t="n">
        <v>45.98</v>
      </c>
      <c r="C327" s="7" t="n">
        <v>45.82</v>
      </c>
      <c r="D327" s="7" t="n">
        <v>43.35</v>
      </c>
      <c r="E327" s="7" t="n">
        <v>36.98</v>
      </c>
      <c r="F327" s="7" t="n">
        <v>45.69</v>
      </c>
      <c r="G327" s="7" t="n">
        <v>47.49</v>
      </c>
      <c r="H327" s="7" t="n">
        <v>44.4</v>
      </c>
      <c r="I327" s="7" t="n">
        <v>56.39</v>
      </c>
      <c r="J327" s="7" t="n">
        <v>51.96</v>
      </c>
      <c r="K327" s="7" t="n">
        <v>43.74</v>
      </c>
      <c r="L327" s="7" t="n">
        <v>45.69</v>
      </c>
    </row>
    <row r="328" ht="15" customHeight="1">
      <c r="A328" s="13" t="n">
        <v>45758</v>
      </c>
      <c r="B328" s="7" t="n">
        <v>44.64</v>
      </c>
      <c r="C328" s="7" t="n">
        <v>43.59</v>
      </c>
      <c r="D328" s="7" t="n">
        <v>39.54</v>
      </c>
      <c r="E328" s="7" t="n">
        <v>36.36</v>
      </c>
      <c r="F328" s="7" t="n">
        <v>43.39</v>
      </c>
      <c r="G328" s="7" t="n">
        <v>45.41</v>
      </c>
      <c r="H328" s="7" t="n">
        <v>43.9</v>
      </c>
      <c r="I328" s="7" t="n">
        <v>51.4</v>
      </c>
      <c r="J328" s="7" t="n">
        <v>46.6</v>
      </c>
      <c r="K328" s="7" t="n">
        <v>42.31</v>
      </c>
      <c r="L328" s="7" t="n">
        <v>40.24</v>
      </c>
    </row>
    <row r="329" ht="15" customHeight="1">
      <c r="A329" s="13" t="n">
        <v>45757</v>
      </c>
      <c r="B329" s="7" t="n">
        <v>41.68</v>
      </c>
      <c r="C329" s="7" t="n">
        <v>39.95</v>
      </c>
      <c r="D329" s="7" t="n">
        <v>34.7</v>
      </c>
      <c r="E329" s="7" t="n">
        <v>32.12</v>
      </c>
      <c r="F329" s="7" t="n">
        <v>37.54</v>
      </c>
      <c r="G329" s="7" t="n">
        <v>41.85</v>
      </c>
      <c r="H329" s="7" t="n">
        <v>42.32</v>
      </c>
      <c r="I329" s="7" t="n">
        <v>47.32</v>
      </c>
      <c r="J329" s="7" t="n">
        <v>42.62</v>
      </c>
      <c r="K329" s="7" t="n">
        <v>40.53</v>
      </c>
      <c r="L329" s="7" t="n">
        <v>36.53</v>
      </c>
    </row>
    <row r="330" ht="15" customHeight="1">
      <c r="A330" s="13" t="n">
        <v>45756</v>
      </c>
      <c r="B330" s="7" t="n">
        <v>47.27</v>
      </c>
      <c r="C330" s="7" t="n">
        <v>44.59</v>
      </c>
      <c r="D330" s="7" t="n">
        <v>40.6</v>
      </c>
      <c r="E330" s="7" t="n">
        <v>38.9</v>
      </c>
      <c r="F330" s="7" t="n">
        <v>42.03</v>
      </c>
      <c r="G330" s="7" t="n">
        <v>46.03</v>
      </c>
      <c r="H330" s="7" t="n">
        <v>47.54</v>
      </c>
      <c r="I330" s="7" t="n">
        <v>47.16</v>
      </c>
      <c r="J330" s="7" t="n">
        <v>44.53</v>
      </c>
      <c r="K330" s="7" t="n">
        <v>46.07</v>
      </c>
      <c r="L330" s="7" t="n">
        <v>40.08</v>
      </c>
    </row>
    <row r="331" ht="15" customHeight="1">
      <c r="A331" s="13" t="n">
        <v>45755</v>
      </c>
      <c r="B331" s="10" t="n">
        <v>22.86</v>
      </c>
      <c r="C331" s="10" t="n">
        <v>24.05</v>
      </c>
      <c r="D331" s="10" t="n">
        <v>22.27</v>
      </c>
      <c r="E331" s="10" t="n">
        <v>22.11</v>
      </c>
      <c r="F331" s="10" t="n">
        <v>19.56</v>
      </c>
      <c r="G331" s="10" t="n">
        <v>23.58</v>
      </c>
      <c r="H331" s="10" t="n">
        <v>26.31</v>
      </c>
      <c r="I331" s="7" t="n">
        <v>32.69</v>
      </c>
      <c r="J331" s="10" t="n">
        <v>29.73</v>
      </c>
      <c r="K331" s="10" t="n">
        <v>23.19</v>
      </c>
      <c r="L331" s="10" t="n">
        <v>21.99</v>
      </c>
    </row>
    <row r="332" ht="15" customHeight="1">
      <c r="A332" s="13" t="n">
        <v>45754</v>
      </c>
      <c r="B332" s="10" t="n">
        <v>24.49</v>
      </c>
      <c r="C332" s="10" t="n">
        <v>24.48</v>
      </c>
      <c r="D332" s="10" t="n">
        <v>24.04</v>
      </c>
      <c r="E332" s="10" t="n">
        <v>23.98</v>
      </c>
      <c r="F332" s="10" t="n">
        <v>22.51</v>
      </c>
      <c r="G332" s="10" t="n">
        <v>24.47</v>
      </c>
      <c r="H332" s="10" t="n">
        <v>28.72</v>
      </c>
      <c r="I332" s="7" t="n">
        <v>36.45</v>
      </c>
      <c r="J332" s="7" t="n">
        <v>30.52</v>
      </c>
      <c r="K332" s="10" t="n">
        <v>24.75</v>
      </c>
      <c r="L332" s="10" t="n">
        <v>25.1</v>
      </c>
    </row>
    <row r="333" ht="15" customHeight="1">
      <c r="A333" s="13" t="n">
        <v>45751</v>
      </c>
      <c r="B333" s="10" t="n">
        <v>23</v>
      </c>
      <c r="C333" s="10" t="n">
        <v>24.75</v>
      </c>
      <c r="D333" s="10" t="n">
        <v>25.05</v>
      </c>
      <c r="E333" s="10" t="n">
        <v>24.53</v>
      </c>
      <c r="F333" s="10" t="n">
        <v>24.31</v>
      </c>
      <c r="G333" s="10" t="n">
        <v>24.97</v>
      </c>
      <c r="H333" s="10" t="n">
        <v>30</v>
      </c>
      <c r="I333" s="7" t="n">
        <v>39.66</v>
      </c>
      <c r="J333" s="7" t="n">
        <v>33.67</v>
      </c>
      <c r="K333" s="10" t="n">
        <v>24.29</v>
      </c>
      <c r="L333" s="10" t="n">
        <v>28.89</v>
      </c>
    </row>
    <row r="334" ht="15" customHeight="1">
      <c r="A334" s="13" t="n">
        <v>45750</v>
      </c>
      <c r="B334" s="10" t="n">
        <v>29.33</v>
      </c>
      <c r="C334" s="7" t="n">
        <v>36.5</v>
      </c>
      <c r="D334" s="7" t="n">
        <v>40.24</v>
      </c>
      <c r="E334" s="7" t="n">
        <v>36.55</v>
      </c>
      <c r="F334" s="7" t="n">
        <v>35.17</v>
      </c>
      <c r="G334" s="7" t="n">
        <v>34.19</v>
      </c>
      <c r="H334" s="7" t="n">
        <v>35.66</v>
      </c>
      <c r="I334" s="7" t="n">
        <v>58.3</v>
      </c>
      <c r="J334" s="7" t="n">
        <v>53.32</v>
      </c>
      <c r="K334" s="7" t="n">
        <v>32.56</v>
      </c>
      <c r="L334" s="7" t="n">
        <v>39.96</v>
      </c>
    </row>
    <row r="335" ht="15" customHeight="1">
      <c r="A335" s="13" t="n">
        <v>45749</v>
      </c>
      <c r="B335" s="7" t="n">
        <v>40.97</v>
      </c>
      <c r="C335" s="7" t="n">
        <v>53.06</v>
      </c>
      <c r="D335" s="7" t="n">
        <v>43.93</v>
      </c>
      <c r="E335" s="8" t="n">
        <v>63.18</v>
      </c>
      <c r="F335" s="7" t="n">
        <v>51.25</v>
      </c>
      <c r="G335" s="7" t="n">
        <v>49.7</v>
      </c>
      <c r="H335" s="7" t="n">
        <v>48.26</v>
      </c>
      <c r="I335" s="7" t="n">
        <v>55.75</v>
      </c>
      <c r="J335" s="7" t="n">
        <v>56.83</v>
      </c>
      <c r="K335" s="7" t="n">
        <v>43.87</v>
      </c>
      <c r="L335" s="7" t="n">
        <v>52.67</v>
      </c>
    </row>
    <row r="336" ht="15" customHeight="1">
      <c r="A336" s="13" t="n">
        <v>45748</v>
      </c>
      <c r="B336" s="7" t="n">
        <v>38.53</v>
      </c>
      <c r="C336" s="7" t="n">
        <v>49.53</v>
      </c>
      <c r="D336" s="7" t="n">
        <v>39.72</v>
      </c>
      <c r="E336" s="8" t="n">
        <v>62.73</v>
      </c>
      <c r="F336" s="7" t="n">
        <v>47.2</v>
      </c>
      <c r="G336" s="7" t="n">
        <v>45.77</v>
      </c>
      <c r="H336" s="7" t="n">
        <v>42.44</v>
      </c>
      <c r="I336" s="7" t="n">
        <v>57.41</v>
      </c>
      <c r="J336" s="7" t="n">
        <v>54.78</v>
      </c>
      <c r="K336" s="7" t="n">
        <v>42.41</v>
      </c>
      <c r="L336" s="7" t="n">
        <v>50.34</v>
      </c>
    </row>
    <row r="337" ht="15" customHeight="1">
      <c r="A337" s="13" t="n">
        <v>45747</v>
      </c>
      <c r="B337" s="7" t="n">
        <v>36.13</v>
      </c>
      <c r="C337" s="7" t="n">
        <v>50.04</v>
      </c>
      <c r="D337" s="7" t="n">
        <v>49.27</v>
      </c>
      <c r="E337" s="8" t="n">
        <v>60.88</v>
      </c>
      <c r="F337" s="7" t="n">
        <v>45.3</v>
      </c>
      <c r="G337" s="7" t="n">
        <v>43.31</v>
      </c>
      <c r="H337" s="7" t="n">
        <v>38.97</v>
      </c>
      <c r="I337" s="7" t="n">
        <v>56.82</v>
      </c>
      <c r="J337" s="7" t="n">
        <v>53.68</v>
      </c>
      <c r="K337" s="7" t="n">
        <v>42.16</v>
      </c>
      <c r="L337" s="7" t="n">
        <v>50</v>
      </c>
    </row>
    <row r="338" ht="15" customHeight="1">
      <c r="A338" s="13" t="n">
        <v>45744</v>
      </c>
      <c r="B338" s="7" t="n">
        <v>35.97</v>
      </c>
      <c r="C338" s="7" t="n">
        <v>44.75</v>
      </c>
      <c r="D338" s="7" t="n">
        <v>42.05</v>
      </c>
      <c r="E338" s="7" t="n">
        <v>57.22</v>
      </c>
      <c r="F338" s="7" t="n">
        <v>39.41</v>
      </c>
      <c r="G338" s="7" t="n">
        <v>40.18</v>
      </c>
      <c r="H338" s="7" t="n">
        <v>38.26</v>
      </c>
      <c r="I338" s="7" t="n">
        <v>49.95</v>
      </c>
      <c r="J338" s="7" t="n">
        <v>48.63</v>
      </c>
      <c r="K338" s="7" t="n">
        <v>39.3</v>
      </c>
      <c r="L338" s="7" t="n">
        <v>44.82</v>
      </c>
    </row>
    <row r="339" ht="15" customHeight="1">
      <c r="A339" s="13" t="n">
        <v>45743</v>
      </c>
      <c r="B339" s="7" t="n">
        <v>40.64</v>
      </c>
      <c r="C339" s="7" t="n">
        <v>53.21</v>
      </c>
      <c r="D339" s="7" t="n">
        <v>43.8</v>
      </c>
      <c r="E339" s="7" t="n">
        <v>59.45</v>
      </c>
      <c r="F339" s="7" t="n">
        <v>47.53</v>
      </c>
      <c r="G339" s="7" t="n">
        <v>47.42</v>
      </c>
      <c r="H339" s="7" t="n">
        <v>45.62</v>
      </c>
      <c r="I339" s="7" t="n">
        <v>52.41</v>
      </c>
      <c r="J339" s="7" t="n">
        <v>44.98</v>
      </c>
      <c r="K339" s="7" t="n">
        <v>48.4</v>
      </c>
      <c r="L339" s="7" t="n">
        <v>45.01</v>
      </c>
    </row>
    <row r="340" ht="15" customHeight="1">
      <c r="A340" s="13" t="n">
        <v>45742</v>
      </c>
      <c r="B340" s="7" t="n">
        <v>42.61</v>
      </c>
      <c r="C340" s="7" t="n">
        <v>54.19</v>
      </c>
      <c r="D340" s="7" t="n">
        <v>42.67</v>
      </c>
      <c r="E340" s="8" t="n">
        <v>64.26000000000001</v>
      </c>
      <c r="F340" s="7" t="n">
        <v>47.76</v>
      </c>
      <c r="G340" s="7" t="n">
        <v>49.57</v>
      </c>
      <c r="H340" s="7" t="n">
        <v>45.42</v>
      </c>
      <c r="I340" s="7" t="n">
        <v>46.9</v>
      </c>
      <c r="J340" s="7" t="n">
        <v>45.09</v>
      </c>
      <c r="K340" s="7" t="n">
        <v>50.03</v>
      </c>
      <c r="L340" s="7" t="n">
        <v>45.95</v>
      </c>
    </row>
    <row r="341" ht="15" customHeight="1">
      <c r="A341" s="13" t="n">
        <v>45741</v>
      </c>
      <c r="B341" s="7" t="n">
        <v>47.94</v>
      </c>
      <c r="C341" s="7" t="n">
        <v>55.62</v>
      </c>
      <c r="D341" s="7" t="n">
        <v>44.59</v>
      </c>
      <c r="E341" s="8" t="n">
        <v>62.56</v>
      </c>
      <c r="F341" s="7" t="n">
        <v>46.81</v>
      </c>
      <c r="G341" s="7" t="n">
        <v>52.33</v>
      </c>
      <c r="H341" s="7" t="n">
        <v>48.88</v>
      </c>
      <c r="I341" s="7" t="n">
        <v>37.95</v>
      </c>
      <c r="J341" s="7" t="n">
        <v>41.89</v>
      </c>
      <c r="K341" s="7" t="n">
        <v>53.24</v>
      </c>
      <c r="L341" s="7" t="n">
        <v>43.66</v>
      </c>
    </row>
    <row r="342" ht="15" customHeight="1">
      <c r="A342" s="13" t="n">
        <v>45740</v>
      </c>
      <c r="B342" s="7" t="n">
        <v>47.03</v>
      </c>
      <c r="C342" s="7" t="n">
        <v>53.5</v>
      </c>
      <c r="D342" s="7" t="n">
        <v>52.34</v>
      </c>
      <c r="E342" s="8" t="n">
        <v>61.38</v>
      </c>
      <c r="F342" s="7" t="n">
        <v>46.91</v>
      </c>
      <c r="G342" s="7" t="n">
        <v>51.77</v>
      </c>
      <c r="H342" s="7" t="n">
        <v>46.59</v>
      </c>
      <c r="I342" s="7" t="n">
        <v>41.81</v>
      </c>
      <c r="J342" s="7" t="n">
        <v>48.28</v>
      </c>
      <c r="K342" s="7" t="n">
        <v>48.75</v>
      </c>
      <c r="L342" s="7" t="n">
        <v>48.17</v>
      </c>
    </row>
    <row r="343" ht="15" customHeight="1">
      <c r="A343" s="13" t="n">
        <v>45737</v>
      </c>
      <c r="B343" s="7" t="n">
        <v>42.25</v>
      </c>
      <c r="C343" s="7" t="n">
        <v>47.77</v>
      </c>
      <c r="D343" s="7" t="n">
        <v>49.98</v>
      </c>
      <c r="E343" s="8" t="n">
        <v>60.38</v>
      </c>
      <c r="F343" s="7" t="n">
        <v>42.66</v>
      </c>
      <c r="G343" s="7" t="n">
        <v>45.72</v>
      </c>
      <c r="H343" s="7" t="n">
        <v>35.29</v>
      </c>
      <c r="I343" s="7" t="n">
        <v>41.27</v>
      </c>
      <c r="J343" s="7" t="n">
        <v>51.68</v>
      </c>
      <c r="K343" s="7" t="n">
        <v>44.43</v>
      </c>
      <c r="L343" s="7" t="n">
        <v>44.9</v>
      </c>
    </row>
    <row r="344" ht="15" customHeight="1">
      <c r="A344" s="13" t="n">
        <v>45736</v>
      </c>
      <c r="B344" s="7" t="n">
        <v>41.47</v>
      </c>
      <c r="C344" s="7" t="n">
        <v>49.24</v>
      </c>
      <c r="D344" s="7" t="n">
        <v>51.76</v>
      </c>
      <c r="E344" s="8" t="n">
        <v>63.39</v>
      </c>
      <c r="F344" s="7" t="n">
        <v>46.63</v>
      </c>
      <c r="G344" s="7" t="n">
        <v>47.65</v>
      </c>
      <c r="H344" s="7" t="n">
        <v>33.94</v>
      </c>
      <c r="I344" s="7" t="n">
        <v>41.42</v>
      </c>
      <c r="J344" s="7" t="n">
        <v>54.83</v>
      </c>
      <c r="K344" s="7" t="n">
        <v>41.22</v>
      </c>
      <c r="L344" s="7" t="n">
        <v>48.67</v>
      </c>
    </row>
    <row r="345" ht="15" customHeight="1">
      <c r="A345" s="13" t="n">
        <v>45735</v>
      </c>
      <c r="B345" s="7" t="n">
        <v>42.88</v>
      </c>
      <c r="C345" s="7" t="n">
        <v>48.67</v>
      </c>
      <c r="D345" s="7" t="n">
        <v>51.4</v>
      </c>
      <c r="E345" s="8" t="n">
        <v>62.48</v>
      </c>
      <c r="F345" s="7" t="n">
        <v>49.36</v>
      </c>
      <c r="G345" s="7" t="n">
        <v>49.48</v>
      </c>
      <c r="H345" s="7" t="n">
        <v>34.38</v>
      </c>
      <c r="I345" s="7" t="n">
        <v>43.36</v>
      </c>
      <c r="J345" s="7" t="n">
        <v>53.16</v>
      </c>
      <c r="K345" s="7" t="n">
        <v>41.84</v>
      </c>
      <c r="L345" s="7" t="n">
        <v>49.14</v>
      </c>
    </row>
    <row r="346" ht="15" customHeight="1">
      <c r="A346" s="13" t="n">
        <v>45734</v>
      </c>
      <c r="B346" s="7" t="n">
        <v>39.44</v>
      </c>
      <c r="C346" s="7" t="n">
        <v>44.18</v>
      </c>
      <c r="D346" s="7" t="n">
        <v>51.11</v>
      </c>
      <c r="E346" s="7" t="n">
        <v>58.26</v>
      </c>
      <c r="F346" s="7" t="n">
        <v>47.87</v>
      </c>
      <c r="G346" s="7" t="n">
        <v>44.29</v>
      </c>
      <c r="H346" s="10" t="n">
        <v>27.49</v>
      </c>
      <c r="I346" s="7" t="n">
        <v>43.36</v>
      </c>
      <c r="J346" s="7" t="n">
        <v>51.67</v>
      </c>
      <c r="K346" s="7" t="n">
        <v>37.07</v>
      </c>
      <c r="L346" s="7" t="n">
        <v>48.68</v>
      </c>
    </row>
    <row r="347" ht="15" customHeight="1">
      <c r="A347" s="13" t="n">
        <v>45733</v>
      </c>
      <c r="B347" s="7" t="n">
        <v>42.25</v>
      </c>
      <c r="C347" s="7" t="n">
        <v>44.59</v>
      </c>
      <c r="D347" s="7" t="n">
        <v>50.87</v>
      </c>
      <c r="E347" s="7" t="n">
        <v>57.82</v>
      </c>
      <c r="F347" s="7" t="n">
        <v>48.56</v>
      </c>
      <c r="G347" s="7" t="n">
        <v>47.01</v>
      </c>
      <c r="H347" s="7" t="n">
        <v>30.28</v>
      </c>
      <c r="I347" s="7" t="n">
        <v>47.92</v>
      </c>
      <c r="J347" s="7" t="n">
        <v>54.75</v>
      </c>
      <c r="K347" s="7" t="n">
        <v>40.77</v>
      </c>
      <c r="L347" s="7" t="n">
        <v>50.9</v>
      </c>
    </row>
    <row r="348" ht="15" customHeight="1">
      <c r="A348" s="13" t="n">
        <v>45730</v>
      </c>
      <c r="B348" s="7" t="n">
        <v>40.46</v>
      </c>
      <c r="C348" s="7" t="n">
        <v>39.75</v>
      </c>
      <c r="D348" s="7" t="n">
        <v>44.12</v>
      </c>
      <c r="E348" s="7" t="n">
        <v>53.43</v>
      </c>
      <c r="F348" s="7" t="n">
        <v>43.08</v>
      </c>
      <c r="G348" s="7" t="n">
        <v>41.3</v>
      </c>
      <c r="H348" s="10" t="n">
        <v>29.7</v>
      </c>
      <c r="I348" s="7" t="n">
        <v>40.61</v>
      </c>
      <c r="J348" s="7" t="n">
        <v>53.19</v>
      </c>
      <c r="K348" s="7" t="n">
        <v>37.85</v>
      </c>
      <c r="L348" s="7" t="n">
        <v>44.29</v>
      </c>
    </row>
    <row r="349" ht="15" customHeight="1">
      <c r="A349" s="13" t="n">
        <v>45729</v>
      </c>
      <c r="B349" s="7" t="n">
        <v>32.22</v>
      </c>
      <c r="C349" s="10" t="n">
        <v>28.57</v>
      </c>
      <c r="D349" s="7" t="n">
        <v>39.5</v>
      </c>
      <c r="E349" s="7" t="n">
        <v>43.62</v>
      </c>
      <c r="F349" s="7" t="n">
        <v>36.65</v>
      </c>
      <c r="G349" s="7" t="n">
        <v>32.53</v>
      </c>
      <c r="H349" s="10" t="n">
        <v>21.61</v>
      </c>
      <c r="I349" s="7" t="n">
        <v>39.38</v>
      </c>
      <c r="J349" s="7" t="n">
        <v>45.19</v>
      </c>
      <c r="K349" s="10" t="n">
        <v>29.71</v>
      </c>
      <c r="L349" s="7" t="n">
        <v>35.58</v>
      </c>
    </row>
    <row r="350" ht="15" customHeight="1">
      <c r="A350" s="13" t="n">
        <v>45728</v>
      </c>
      <c r="B350" s="7" t="n">
        <v>35.11</v>
      </c>
      <c r="C350" s="10" t="n">
        <v>29.78</v>
      </c>
      <c r="D350" s="7" t="n">
        <v>41.74</v>
      </c>
      <c r="E350" s="7" t="n">
        <v>45.7</v>
      </c>
      <c r="F350" s="7" t="n">
        <v>36.86</v>
      </c>
      <c r="G350" s="7" t="n">
        <v>35.3</v>
      </c>
      <c r="H350" s="10" t="n">
        <v>24.79</v>
      </c>
      <c r="I350" s="7" t="n">
        <v>41</v>
      </c>
      <c r="J350" s="7" t="n">
        <v>44.07</v>
      </c>
      <c r="K350" s="7" t="n">
        <v>34.51</v>
      </c>
      <c r="L350" s="7" t="n">
        <v>41.8</v>
      </c>
    </row>
    <row r="351" ht="15" customHeight="1">
      <c r="A351" s="13" t="n">
        <v>45727</v>
      </c>
      <c r="B351" s="7" t="n">
        <v>30.38</v>
      </c>
      <c r="C351" s="10" t="n">
        <v>29.03</v>
      </c>
      <c r="D351" s="7" t="n">
        <v>46.37</v>
      </c>
      <c r="E351" s="7" t="n">
        <v>44.04</v>
      </c>
      <c r="F351" s="7" t="n">
        <v>38.21</v>
      </c>
      <c r="G351" s="7" t="n">
        <v>35.32</v>
      </c>
      <c r="H351" s="10" t="n">
        <v>22.34</v>
      </c>
      <c r="I351" s="7" t="n">
        <v>50.14</v>
      </c>
      <c r="J351" s="7" t="n">
        <v>45.15</v>
      </c>
      <c r="K351" s="7" t="n">
        <v>32.05</v>
      </c>
      <c r="L351" s="7" t="n">
        <v>43.1</v>
      </c>
    </row>
    <row r="352" ht="15" customHeight="1">
      <c r="A352" s="13" t="n">
        <v>45726</v>
      </c>
      <c r="B352" s="7" t="n">
        <v>30.92</v>
      </c>
      <c r="C352" s="7" t="n">
        <v>30.83</v>
      </c>
      <c r="D352" s="7" t="n">
        <v>52.32</v>
      </c>
      <c r="E352" s="7" t="n">
        <v>46.34</v>
      </c>
      <c r="F352" s="7" t="n">
        <v>40.48</v>
      </c>
      <c r="G352" s="7" t="n">
        <v>39.79</v>
      </c>
      <c r="H352" s="10" t="n">
        <v>23.55</v>
      </c>
      <c r="I352" s="7" t="n">
        <v>58.4</v>
      </c>
      <c r="J352" s="7" t="n">
        <v>48.51</v>
      </c>
      <c r="K352" s="7" t="n">
        <v>35.79</v>
      </c>
      <c r="L352" s="7" t="n">
        <v>47.07</v>
      </c>
    </row>
    <row r="353" ht="15" customHeight="1">
      <c r="A353" s="13" t="n">
        <v>45723</v>
      </c>
      <c r="B353" s="7" t="n">
        <v>37.76</v>
      </c>
      <c r="C353" s="7" t="n">
        <v>36.45</v>
      </c>
      <c r="D353" s="7" t="n">
        <v>59.39</v>
      </c>
      <c r="E353" s="7" t="n">
        <v>43.82</v>
      </c>
      <c r="F353" s="7" t="n">
        <v>47.79</v>
      </c>
      <c r="G353" s="7" t="n">
        <v>45.28</v>
      </c>
      <c r="H353" s="10" t="n">
        <v>29.13</v>
      </c>
      <c r="I353" s="7" t="n">
        <v>59.76</v>
      </c>
      <c r="J353" s="7" t="n">
        <v>44.01</v>
      </c>
      <c r="K353" s="7" t="n">
        <v>44.08</v>
      </c>
      <c r="L353" s="7" t="n">
        <v>51.16</v>
      </c>
    </row>
    <row r="354" ht="15" customHeight="1">
      <c r="A354" s="13" t="n">
        <v>45722</v>
      </c>
      <c r="B354" s="7" t="n">
        <v>33.15</v>
      </c>
      <c r="C354" s="7" t="n">
        <v>37.97</v>
      </c>
      <c r="D354" s="7" t="n">
        <v>59.35</v>
      </c>
      <c r="E354" s="7" t="n">
        <v>37.67</v>
      </c>
      <c r="F354" s="7" t="n">
        <v>46.62</v>
      </c>
      <c r="G354" s="7" t="n">
        <v>39.56</v>
      </c>
      <c r="H354" s="10" t="n">
        <v>29.46</v>
      </c>
      <c r="I354" s="7" t="n">
        <v>58.41</v>
      </c>
      <c r="J354" s="7" t="n">
        <v>35.29</v>
      </c>
      <c r="K354" s="7" t="n">
        <v>40.82</v>
      </c>
      <c r="L354" s="7" t="n">
        <v>48.74</v>
      </c>
    </row>
    <row r="355" ht="15" customHeight="1">
      <c r="A355" s="13" t="n">
        <v>45721</v>
      </c>
      <c r="B355" s="7" t="n">
        <v>38.35</v>
      </c>
      <c r="C355" s="7" t="n">
        <v>43.33</v>
      </c>
      <c r="D355" s="8" t="n">
        <v>61.17</v>
      </c>
      <c r="E355" s="7" t="n">
        <v>36.53</v>
      </c>
      <c r="F355" s="7" t="n">
        <v>48.56</v>
      </c>
      <c r="G355" s="7" t="n">
        <v>42.63</v>
      </c>
      <c r="H355" s="7" t="n">
        <v>34.69</v>
      </c>
      <c r="I355" s="7" t="n">
        <v>57.68</v>
      </c>
      <c r="J355" s="7" t="n">
        <v>42.26</v>
      </c>
      <c r="K355" s="7" t="n">
        <v>48.25</v>
      </c>
      <c r="L355" s="8" t="n">
        <v>63.12</v>
      </c>
    </row>
    <row r="356" ht="15" customHeight="1">
      <c r="A356" s="13" t="n">
        <v>45720</v>
      </c>
      <c r="B356" s="7" t="n">
        <v>33.52</v>
      </c>
      <c r="C356" s="7" t="n">
        <v>40.61</v>
      </c>
      <c r="D356" s="7" t="n">
        <v>56.7</v>
      </c>
      <c r="E356" s="7" t="n">
        <v>39.84</v>
      </c>
      <c r="F356" s="7" t="n">
        <v>36.6</v>
      </c>
      <c r="G356" s="7" t="n">
        <v>34.03</v>
      </c>
      <c r="H356" s="10" t="n">
        <v>27.64</v>
      </c>
      <c r="I356" s="7" t="n">
        <v>56.05</v>
      </c>
      <c r="J356" s="7" t="n">
        <v>45.09</v>
      </c>
      <c r="K356" s="7" t="n">
        <v>41.21</v>
      </c>
      <c r="L356" s="7" t="n">
        <v>59.38</v>
      </c>
    </row>
    <row r="357" ht="15" customHeight="1">
      <c r="A357" s="13" t="n">
        <v>45719</v>
      </c>
      <c r="B357" s="7" t="n">
        <v>33.65</v>
      </c>
      <c r="C357" s="7" t="n">
        <v>56.38</v>
      </c>
      <c r="D357" s="8" t="n">
        <v>62.98</v>
      </c>
      <c r="E357" s="7" t="n">
        <v>42.21</v>
      </c>
      <c r="F357" s="7" t="n">
        <v>41.3</v>
      </c>
      <c r="G357" s="7" t="n">
        <v>41.27</v>
      </c>
      <c r="H357" s="7" t="n">
        <v>31.35</v>
      </c>
      <c r="I357" s="8" t="n">
        <v>65.88</v>
      </c>
      <c r="J357" s="7" t="n">
        <v>52.78</v>
      </c>
      <c r="K357" s="7" t="n">
        <v>44.72</v>
      </c>
      <c r="L357" s="8" t="n">
        <v>67.31</v>
      </c>
    </row>
    <row r="358" ht="15" customHeight="1">
      <c r="A358" s="13" t="n">
        <v>45716</v>
      </c>
      <c r="B358" s="7" t="n">
        <v>39.66</v>
      </c>
      <c r="C358" s="8" t="n">
        <v>61.76</v>
      </c>
      <c r="D358" s="8" t="n">
        <v>61.11</v>
      </c>
      <c r="E358" s="7" t="n">
        <v>53.22</v>
      </c>
      <c r="F358" s="7" t="n">
        <v>50.35</v>
      </c>
      <c r="G358" s="7" t="n">
        <v>48.33</v>
      </c>
      <c r="H358" s="7" t="n">
        <v>36.14</v>
      </c>
      <c r="I358" s="8" t="n">
        <v>64.06</v>
      </c>
      <c r="J358" s="7" t="n">
        <v>52.13</v>
      </c>
      <c r="K358" s="7" t="n">
        <v>49.72</v>
      </c>
      <c r="L358" s="8" t="n">
        <v>64.01000000000001</v>
      </c>
    </row>
    <row r="359" ht="15" customHeight="1">
      <c r="A359" s="13" t="n">
        <v>45715</v>
      </c>
      <c r="B359" s="7" t="n">
        <v>35.05</v>
      </c>
      <c r="C359" s="7" t="n">
        <v>51.5</v>
      </c>
      <c r="D359" s="7" t="n">
        <v>55.63</v>
      </c>
      <c r="E359" s="7" t="n">
        <v>47.68</v>
      </c>
      <c r="F359" s="7" t="n">
        <v>45.69</v>
      </c>
      <c r="G359" s="7" t="n">
        <v>39.39</v>
      </c>
      <c r="H359" s="10" t="n">
        <v>26.94</v>
      </c>
      <c r="I359" s="7" t="n">
        <v>59.06</v>
      </c>
      <c r="J359" s="7" t="n">
        <v>44.5</v>
      </c>
      <c r="K359" s="7" t="n">
        <v>40.86</v>
      </c>
      <c r="L359" s="8" t="n">
        <v>61.05</v>
      </c>
    </row>
    <row r="360" ht="15" customHeight="1">
      <c r="A360" s="13" t="n">
        <v>45714</v>
      </c>
      <c r="B360" s="7" t="n">
        <v>43.99</v>
      </c>
      <c r="C360" s="7" t="n">
        <v>48.05</v>
      </c>
      <c r="D360" s="7" t="n">
        <v>58.31</v>
      </c>
      <c r="E360" s="7" t="n">
        <v>45.62</v>
      </c>
      <c r="F360" s="7" t="n">
        <v>49.11</v>
      </c>
      <c r="G360" s="7" t="n">
        <v>41.11</v>
      </c>
      <c r="H360" s="7" t="n">
        <v>30.54</v>
      </c>
      <c r="I360" s="7" t="n">
        <v>59.13</v>
      </c>
      <c r="J360" s="7" t="n">
        <v>57.07</v>
      </c>
      <c r="K360" s="7" t="n">
        <v>45.87</v>
      </c>
      <c r="L360" s="7" t="n">
        <v>59.07</v>
      </c>
    </row>
    <row r="361" ht="15" customHeight="1">
      <c r="A361" s="13" t="n">
        <v>45713</v>
      </c>
      <c r="B361" s="7" t="n">
        <v>39.76</v>
      </c>
      <c r="C361" s="7" t="n">
        <v>49.33</v>
      </c>
      <c r="D361" s="8" t="n">
        <v>63.36</v>
      </c>
      <c r="E361" s="7" t="n">
        <v>47.47</v>
      </c>
      <c r="F361" s="7" t="n">
        <v>49.34</v>
      </c>
      <c r="G361" s="7" t="n">
        <v>40.7</v>
      </c>
      <c r="H361" s="7" t="n">
        <v>31.67</v>
      </c>
      <c r="I361" s="9" t="n">
        <v>71.8</v>
      </c>
      <c r="J361" s="7" t="n">
        <v>54.86</v>
      </c>
      <c r="K361" s="7" t="n">
        <v>46.84</v>
      </c>
      <c r="L361" s="8" t="n">
        <v>62.32</v>
      </c>
    </row>
    <row r="362" ht="15" customHeight="1">
      <c r="A362" s="13" t="n">
        <v>45712</v>
      </c>
      <c r="B362" s="7" t="n">
        <v>43.43</v>
      </c>
      <c r="C362" s="7" t="n">
        <v>49.44</v>
      </c>
      <c r="D362" s="7" t="n">
        <v>59.49</v>
      </c>
      <c r="E362" s="7" t="n">
        <v>52.55</v>
      </c>
      <c r="F362" s="7" t="n">
        <v>45.32</v>
      </c>
      <c r="G362" s="7" t="n">
        <v>37.2</v>
      </c>
      <c r="H362" s="7" t="n">
        <v>33.12</v>
      </c>
      <c r="I362" s="8" t="n">
        <v>67</v>
      </c>
      <c r="J362" s="7" t="n">
        <v>58.23</v>
      </c>
      <c r="K362" s="7" t="n">
        <v>56.33</v>
      </c>
      <c r="L362" s="7" t="n">
        <v>57.68</v>
      </c>
    </row>
    <row r="363" ht="15" customHeight="1">
      <c r="A363" s="13" t="n">
        <v>45709</v>
      </c>
      <c r="B363" s="7" t="n">
        <v>48.04</v>
      </c>
      <c r="C363" s="7" t="n">
        <v>47</v>
      </c>
      <c r="D363" s="7" t="n">
        <v>55.4</v>
      </c>
      <c r="E363" s="7" t="n">
        <v>52.47</v>
      </c>
      <c r="F363" s="7" t="n">
        <v>45.82</v>
      </c>
      <c r="G363" s="7" t="n">
        <v>39.1</v>
      </c>
      <c r="H363" s="7" t="n">
        <v>34.16</v>
      </c>
      <c r="I363" s="8" t="n">
        <v>65.84</v>
      </c>
      <c r="J363" s="8" t="n">
        <v>61.75</v>
      </c>
      <c r="K363" s="7" t="n">
        <v>55.23</v>
      </c>
      <c r="L363" s="7" t="n">
        <v>55.54</v>
      </c>
    </row>
    <row r="364" ht="15" customHeight="1">
      <c r="A364" s="13" t="n">
        <v>45708</v>
      </c>
      <c r="B364" s="7" t="n">
        <v>59.43</v>
      </c>
      <c r="C364" s="7" t="n">
        <v>54.05</v>
      </c>
      <c r="D364" s="7" t="n">
        <v>59.08</v>
      </c>
      <c r="E364" s="8" t="n">
        <v>60.75</v>
      </c>
      <c r="F364" s="7" t="n">
        <v>54.99</v>
      </c>
      <c r="G364" s="7" t="n">
        <v>51.07</v>
      </c>
      <c r="H364" s="7" t="n">
        <v>43.28</v>
      </c>
      <c r="I364" s="8" t="n">
        <v>61.03</v>
      </c>
      <c r="J364" s="8" t="n">
        <v>61.64</v>
      </c>
      <c r="K364" s="8" t="n">
        <v>66.31</v>
      </c>
      <c r="L364" s="8" t="n">
        <v>60.81</v>
      </c>
    </row>
    <row r="365" ht="15" customHeight="1">
      <c r="A365" s="13" t="n">
        <v>45707</v>
      </c>
      <c r="B365" s="8" t="n">
        <v>61.01</v>
      </c>
      <c r="C365" s="8" t="n">
        <v>65.45</v>
      </c>
      <c r="D365" s="7" t="n">
        <v>56.28</v>
      </c>
      <c r="E365" s="7" t="n">
        <v>58.07</v>
      </c>
      <c r="F365" s="7" t="n">
        <v>56.33</v>
      </c>
      <c r="G365" s="7" t="n">
        <v>55.85</v>
      </c>
      <c r="H365" s="7" t="n">
        <v>47.15</v>
      </c>
      <c r="I365" s="8" t="n">
        <v>63.84</v>
      </c>
      <c r="J365" s="8" t="n">
        <v>61.72</v>
      </c>
      <c r="K365" s="9" t="n">
        <v>70.84</v>
      </c>
      <c r="L365" s="7" t="n">
        <v>57.72</v>
      </c>
    </row>
    <row r="366" ht="15" customHeight="1">
      <c r="A366" s="13" t="n">
        <v>45706</v>
      </c>
      <c r="B366" s="8" t="n">
        <v>60.99</v>
      </c>
      <c r="C366" s="8" t="n">
        <v>65.28</v>
      </c>
      <c r="D366" s="7" t="n">
        <v>48.83</v>
      </c>
      <c r="E366" s="7" t="n">
        <v>55.67</v>
      </c>
      <c r="F366" s="8" t="n">
        <v>63.67</v>
      </c>
      <c r="G366" s="7" t="n">
        <v>55.25</v>
      </c>
      <c r="H366" s="7" t="n">
        <v>47.41</v>
      </c>
      <c r="I366" s="8" t="n">
        <v>60.41</v>
      </c>
      <c r="J366" s="7" t="n">
        <v>59.66</v>
      </c>
      <c r="K366" s="9" t="n">
        <v>70.38</v>
      </c>
      <c r="L366" s="7" t="n">
        <v>56.85</v>
      </c>
    </row>
    <row r="367" ht="15" customHeight="1">
      <c r="A367" s="13" t="n">
        <v>45705</v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 ht="15" customHeight="1">
      <c r="A368" s="13" t="n">
        <v>45702</v>
      </c>
      <c r="B368" s="7" t="n">
        <v>58.26</v>
      </c>
      <c r="C368" s="8" t="n">
        <v>62.07</v>
      </c>
      <c r="D368" s="7" t="n">
        <v>50.01</v>
      </c>
      <c r="E368" s="7" t="n">
        <v>51.25</v>
      </c>
      <c r="F368" s="7" t="n">
        <v>58.29</v>
      </c>
      <c r="G368" s="7" t="n">
        <v>50.44</v>
      </c>
      <c r="H368" s="7" t="n">
        <v>48.63</v>
      </c>
      <c r="I368" s="7" t="n">
        <v>58.78</v>
      </c>
      <c r="J368" s="7" t="n">
        <v>55.77</v>
      </c>
      <c r="K368" s="9" t="n">
        <v>74.84999999999999</v>
      </c>
      <c r="L368" s="7" t="n">
        <v>55.25</v>
      </c>
    </row>
    <row r="369" ht="15" customHeight="1">
      <c r="A369" s="13" t="n">
        <v>45701</v>
      </c>
      <c r="B369" s="7" t="n">
        <v>57.24</v>
      </c>
      <c r="C369" s="8" t="n">
        <v>61.17</v>
      </c>
      <c r="D369" s="7" t="n">
        <v>57.3</v>
      </c>
      <c r="E369" s="7" t="n">
        <v>49.89</v>
      </c>
      <c r="F369" s="8" t="n">
        <v>60.55</v>
      </c>
      <c r="G369" s="7" t="n">
        <v>52.08</v>
      </c>
      <c r="H369" s="7" t="n">
        <v>48.81</v>
      </c>
      <c r="I369" s="8" t="n">
        <v>65.78</v>
      </c>
      <c r="J369" s="7" t="n">
        <v>58.09</v>
      </c>
      <c r="K369" s="9" t="n">
        <v>72.75</v>
      </c>
      <c r="L369" s="7" t="n">
        <v>57.5</v>
      </c>
    </row>
    <row r="370" ht="15" customHeight="1">
      <c r="A370" s="13" t="n">
        <v>45700</v>
      </c>
      <c r="B370" s="7" t="n">
        <v>52.79</v>
      </c>
      <c r="C370" s="7" t="n">
        <v>58.03</v>
      </c>
      <c r="D370" s="7" t="n">
        <v>55.12</v>
      </c>
      <c r="E370" s="7" t="n">
        <v>47.35</v>
      </c>
      <c r="F370" s="7" t="n">
        <v>51.95</v>
      </c>
      <c r="G370" s="7" t="n">
        <v>51.47</v>
      </c>
      <c r="H370" s="7" t="n">
        <v>41.94</v>
      </c>
      <c r="I370" s="8" t="n">
        <v>61.17</v>
      </c>
      <c r="J370" s="7" t="n">
        <v>57.19</v>
      </c>
      <c r="K370" s="8" t="n">
        <v>68.16</v>
      </c>
      <c r="L370" s="7" t="n">
        <v>54.13</v>
      </c>
    </row>
    <row r="371" ht="15" customHeight="1">
      <c r="A371" s="13" t="n">
        <v>45699</v>
      </c>
      <c r="B371" s="7" t="n">
        <v>53.58</v>
      </c>
      <c r="C371" s="8" t="n">
        <v>60.43</v>
      </c>
      <c r="D371" s="7" t="n">
        <v>56.1</v>
      </c>
      <c r="E371" s="7" t="n">
        <v>56</v>
      </c>
      <c r="F371" s="7" t="n">
        <v>56.72</v>
      </c>
      <c r="G371" s="7" t="n">
        <v>55.45</v>
      </c>
      <c r="H371" s="7" t="n">
        <v>42</v>
      </c>
      <c r="I371" s="8" t="n">
        <v>61.7</v>
      </c>
      <c r="J371" s="7" t="n">
        <v>58.1</v>
      </c>
      <c r="K371" s="8" t="n">
        <v>67.69</v>
      </c>
      <c r="L371" s="7" t="n">
        <v>58.85</v>
      </c>
    </row>
    <row r="372" ht="15" customHeight="1">
      <c r="A372" s="13" t="n">
        <v>45698</v>
      </c>
      <c r="B372" s="7" t="n">
        <v>53.44</v>
      </c>
      <c r="C372" s="7" t="n">
        <v>59.3</v>
      </c>
      <c r="D372" s="7" t="n">
        <v>57.31</v>
      </c>
      <c r="E372" s="7" t="n">
        <v>53.37</v>
      </c>
      <c r="F372" s="7" t="n">
        <v>53.5</v>
      </c>
      <c r="G372" s="7" t="n">
        <v>55.27</v>
      </c>
      <c r="H372" s="7" t="n">
        <v>46.09</v>
      </c>
      <c r="I372" s="7" t="n">
        <v>57.27</v>
      </c>
      <c r="J372" s="7" t="n">
        <v>56.26</v>
      </c>
      <c r="K372" s="8" t="n">
        <v>67</v>
      </c>
      <c r="L372" s="7" t="n">
        <v>56.6</v>
      </c>
    </row>
    <row r="373" ht="15" customHeight="1">
      <c r="A373" s="13" t="n">
        <v>45695</v>
      </c>
      <c r="B373" s="7" t="n">
        <v>49.04</v>
      </c>
      <c r="C373" s="8" t="n">
        <v>64.72</v>
      </c>
      <c r="D373" s="7" t="n">
        <v>57.88</v>
      </c>
      <c r="E373" s="7" t="n">
        <v>45.27</v>
      </c>
      <c r="F373" s="7" t="n">
        <v>50.53</v>
      </c>
      <c r="G373" s="7" t="n">
        <v>50.53</v>
      </c>
      <c r="H373" s="7" t="n">
        <v>44.59</v>
      </c>
      <c r="I373" s="7" t="n">
        <v>54.13</v>
      </c>
      <c r="J373" s="7" t="n">
        <v>52.13</v>
      </c>
      <c r="K373" s="8" t="n">
        <v>65.11</v>
      </c>
      <c r="L373" s="7" t="n">
        <v>56.02</v>
      </c>
    </row>
    <row r="374" ht="15" customHeight="1">
      <c r="A374" s="13" t="n">
        <v>45694</v>
      </c>
      <c r="B374" s="7" t="n">
        <v>51.72</v>
      </c>
      <c r="C374" s="8" t="n">
        <v>68.84999999999999</v>
      </c>
      <c r="D374" s="8" t="n">
        <v>60.81</v>
      </c>
      <c r="E374" s="7" t="n">
        <v>45.31</v>
      </c>
      <c r="F374" s="7" t="n">
        <v>58.98</v>
      </c>
      <c r="G374" s="7" t="n">
        <v>52.24</v>
      </c>
      <c r="H374" s="7" t="n">
        <v>52.52</v>
      </c>
      <c r="I374" s="7" t="n">
        <v>55.05</v>
      </c>
      <c r="J374" s="7" t="n">
        <v>53.01</v>
      </c>
      <c r="K374" s="8" t="n">
        <v>66.81</v>
      </c>
      <c r="L374" s="7" t="n">
        <v>57.82</v>
      </c>
    </row>
    <row r="375" ht="15" customHeight="1">
      <c r="A375" s="13" t="n">
        <v>45693</v>
      </c>
      <c r="B375" s="7" t="n">
        <v>50.93</v>
      </c>
      <c r="C375" s="8" t="n">
        <v>65.84999999999999</v>
      </c>
      <c r="D375" s="8" t="n">
        <v>66.87</v>
      </c>
      <c r="E375" s="7" t="n">
        <v>51.94</v>
      </c>
      <c r="F375" s="7" t="n">
        <v>57.09</v>
      </c>
      <c r="G375" s="7" t="n">
        <v>49.86</v>
      </c>
      <c r="H375" s="7" t="n">
        <v>50.88</v>
      </c>
      <c r="I375" s="7" t="n">
        <v>52.82</v>
      </c>
      <c r="J375" s="7" t="n">
        <v>53.48</v>
      </c>
      <c r="K375" s="8" t="n">
        <v>65.12</v>
      </c>
      <c r="L375" s="7" t="n">
        <v>56.79</v>
      </c>
    </row>
    <row r="376" ht="15" customHeight="1">
      <c r="A376" s="13" t="n">
        <v>45692</v>
      </c>
      <c r="B376" s="7" t="n">
        <v>46.87</v>
      </c>
      <c r="C376" s="8" t="n">
        <v>61.53</v>
      </c>
      <c r="D376" s="8" t="n">
        <v>63.26</v>
      </c>
      <c r="E376" s="7" t="n">
        <v>51.18</v>
      </c>
      <c r="F376" s="7" t="n">
        <v>57.65</v>
      </c>
      <c r="G376" s="7" t="n">
        <v>49.48</v>
      </c>
      <c r="H376" s="7" t="n">
        <v>56.08</v>
      </c>
      <c r="I376" s="7" t="n">
        <v>49.66</v>
      </c>
      <c r="J376" s="7" t="n">
        <v>49.91</v>
      </c>
      <c r="K376" s="9" t="n">
        <v>72.95</v>
      </c>
      <c r="L376" s="7" t="n">
        <v>50.74</v>
      </c>
    </row>
    <row r="377" ht="15" customHeight="1">
      <c r="A377" s="13" t="n">
        <v>45691</v>
      </c>
      <c r="B377" s="7" t="n">
        <v>42.33</v>
      </c>
      <c r="C377" s="8" t="n">
        <v>63.18</v>
      </c>
      <c r="D377" s="8" t="n">
        <v>65.13</v>
      </c>
      <c r="E377" s="7" t="n">
        <v>43.05</v>
      </c>
      <c r="F377" s="7" t="n">
        <v>56.17</v>
      </c>
      <c r="G377" s="7" t="n">
        <v>49.34</v>
      </c>
      <c r="H377" s="7" t="n">
        <v>51.34</v>
      </c>
      <c r="I377" s="7" t="n">
        <v>54.27</v>
      </c>
      <c r="J377" s="7" t="n">
        <v>53.26</v>
      </c>
      <c r="K377" s="8" t="n">
        <v>69.84999999999999</v>
      </c>
      <c r="L377" s="7" t="n">
        <v>50.74</v>
      </c>
    </row>
    <row r="378" ht="15" customHeight="1">
      <c r="A378" s="13" t="n">
        <v>45688</v>
      </c>
      <c r="B378" s="7" t="n">
        <v>45.77</v>
      </c>
      <c r="C378" s="8" t="n">
        <v>66.05</v>
      </c>
      <c r="D378" s="8" t="n">
        <v>63.71</v>
      </c>
      <c r="E378" s="7" t="n">
        <v>40.3</v>
      </c>
      <c r="F378" s="7" t="n">
        <v>55.67</v>
      </c>
      <c r="G378" s="7" t="n">
        <v>54.17</v>
      </c>
      <c r="H378" s="7" t="n">
        <v>57.95</v>
      </c>
      <c r="I378" s="7" t="n">
        <v>52.37</v>
      </c>
      <c r="J378" s="7" t="n">
        <v>51.42</v>
      </c>
      <c r="K378" s="8" t="n">
        <v>69.06999999999999</v>
      </c>
      <c r="L378" s="7" t="n">
        <v>51.4</v>
      </c>
    </row>
    <row r="379" ht="15" customHeight="1">
      <c r="A379" s="13" t="n">
        <v>45687</v>
      </c>
      <c r="B379" s="7" t="n">
        <v>47.33</v>
      </c>
      <c r="C379" s="9" t="n">
        <v>70.3</v>
      </c>
      <c r="D379" s="8" t="n">
        <v>65.76000000000001</v>
      </c>
      <c r="E379" s="7" t="n">
        <v>50.7</v>
      </c>
      <c r="F379" s="8" t="n">
        <v>60.26</v>
      </c>
      <c r="G379" s="7" t="n">
        <v>57.95</v>
      </c>
      <c r="H379" s="8" t="n">
        <v>60.37</v>
      </c>
      <c r="I379" s="7" t="n">
        <v>57.77</v>
      </c>
      <c r="J379" s="7" t="n">
        <v>53.57</v>
      </c>
      <c r="K379" s="8" t="n">
        <v>67.59999999999999</v>
      </c>
      <c r="L379" s="7" t="n">
        <v>52.23</v>
      </c>
    </row>
    <row r="380" ht="15" customHeight="1">
      <c r="A380" s="13" t="n">
        <v>45686</v>
      </c>
      <c r="B380" s="7" t="n">
        <v>46.8</v>
      </c>
      <c r="C380" s="8" t="n">
        <v>67.09</v>
      </c>
      <c r="D380" s="8" t="n">
        <v>61.68</v>
      </c>
      <c r="E380" s="7" t="n">
        <v>48.44</v>
      </c>
      <c r="F380" s="7" t="n">
        <v>55.9</v>
      </c>
      <c r="G380" s="7" t="n">
        <v>53.19</v>
      </c>
      <c r="H380" s="7" t="n">
        <v>56.68</v>
      </c>
      <c r="I380" s="7" t="n">
        <v>53.1</v>
      </c>
      <c r="J380" s="7" t="n">
        <v>46.32</v>
      </c>
      <c r="K380" s="8" t="n">
        <v>67.25</v>
      </c>
      <c r="L380" s="7" t="n">
        <v>47.55</v>
      </c>
    </row>
    <row r="381" ht="15" customHeight="1">
      <c r="A381" s="13" t="n">
        <v>45685</v>
      </c>
      <c r="B381" s="7" t="n">
        <v>48.83</v>
      </c>
      <c r="C381" s="8" t="n">
        <v>67.65000000000001</v>
      </c>
      <c r="D381" s="8" t="n">
        <v>65.38</v>
      </c>
      <c r="E381" s="7" t="n">
        <v>47.48</v>
      </c>
      <c r="F381" s="7" t="n">
        <v>57</v>
      </c>
      <c r="G381" s="7" t="n">
        <v>54.95</v>
      </c>
      <c r="H381" s="7" t="n">
        <v>58.15</v>
      </c>
      <c r="I381" s="7" t="n">
        <v>51.9</v>
      </c>
      <c r="J381" s="7" t="n">
        <v>45.53</v>
      </c>
      <c r="K381" s="8" t="n">
        <v>65.7</v>
      </c>
      <c r="L381" s="7" t="n">
        <v>51.73</v>
      </c>
    </row>
    <row r="382" ht="15" customHeight="1">
      <c r="A382" s="13" t="n">
        <v>45684</v>
      </c>
      <c r="B382" s="7" t="n">
        <v>41.29</v>
      </c>
      <c r="C382" s="8" t="n">
        <v>68.83</v>
      </c>
      <c r="D382" s="9" t="n">
        <v>70.06999999999999</v>
      </c>
      <c r="E382" s="7" t="n">
        <v>51.33</v>
      </c>
      <c r="F382" s="7" t="n">
        <v>58.97</v>
      </c>
      <c r="G382" s="7" t="n">
        <v>58.47</v>
      </c>
      <c r="H382" s="7" t="n">
        <v>57.72</v>
      </c>
      <c r="I382" s="8" t="n">
        <v>61.53</v>
      </c>
      <c r="J382" s="7" t="n">
        <v>50.11</v>
      </c>
      <c r="K382" s="8" t="n">
        <v>63.98</v>
      </c>
      <c r="L382" s="7" t="n">
        <v>56.64</v>
      </c>
    </row>
    <row r="383" ht="15" customHeight="1">
      <c r="A383" s="13" t="n">
        <v>45681</v>
      </c>
      <c r="B383" s="7" t="n">
        <v>56.12</v>
      </c>
      <c r="C383" s="8" t="n">
        <v>65.31</v>
      </c>
      <c r="D383" s="8" t="n">
        <v>62.15</v>
      </c>
      <c r="E383" s="7" t="n">
        <v>55.99</v>
      </c>
      <c r="F383" s="7" t="n">
        <v>58.74</v>
      </c>
      <c r="G383" s="8" t="n">
        <v>66.61</v>
      </c>
      <c r="H383" s="7" t="n">
        <v>55.74</v>
      </c>
      <c r="I383" s="7" t="n">
        <v>45.75</v>
      </c>
      <c r="J383" s="7" t="n">
        <v>59.69</v>
      </c>
      <c r="K383" s="8" t="n">
        <v>62.1</v>
      </c>
      <c r="L383" s="7" t="n">
        <v>53.33</v>
      </c>
    </row>
    <row r="384" ht="15" customHeight="1">
      <c r="A384" s="13" t="n">
        <v>45680</v>
      </c>
      <c r="B384" s="8" t="n">
        <v>60.46</v>
      </c>
      <c r="C384" s="8" t="n">
        <v>64.31</v>
      </c>
      <c r="D384" s="8" t="n">
        <v>61.47</v>
      </c>
      <c r="E384" s="8" t="n">
        <v>60.8</v>
      </c>
      <c r="F384" s="8" t="n">
        <v>60.17</v>
      </c>
      <c r="G384" s="8" t="n">
        <v>69.45999999999999</v>
      </c>
      <c r="H384" s="7" t="n">
        <v>58.48</v>
      </c>
      <c r="I384" s="7" t="n">
        <v>41.53</v>
      </c>
      <c r="J384" s="7" t="n">
        <v>56.32</v>
      </c>
      <c r="K384" s="7" t="n">
        <v>58.64</v>
      </c>
      <c r="L384" s="7" t="n">
        <v>52.35</v>
      </c>
    </row>
    <row r="385" ht="15" customHeight="1">
      <c r="A385" s="13" t="n">
        <v>45679</v>
      </c>
      <c r="B385" s="7" t="n">
        <v>59.97</v>
      </c>
      <c r="C385" s="8" t="n">
        <v>62.36</v>
      </c>
      <c r="D385" s="7" t="n">
        <v>55.4</v>
      </c>
      <c r="E385" s="7" t="n">
        <v>59.26</v>
      </c>
      <c r="F385" s="7" t="n">
        <v>58.16</v>
      </c>
      <c r="G385" s="8" t="n">
        <v>66.29000000000001</v>
      </c>
      <c r="H385" s="7" t="n">
        <v>56.52</v>
      </c>
      <c r="I385" s="7" t="n">
        <v>38.41</v>
      </c>
      <c r="J385" s="7" t="n">
        <v>54.69</v>
      </c>
      <c r="K385" s="7" t="n">
        <v>57.6</v>
      </c>
      <c r="L385" s="7" t="n">
        <v>49.62</v>
      </c>
    </row>
    <row r="386" ht="15" customHeight="1">
      <c r="A386" s="13" t="n">
        <v>45678</v>
      </c>
      <c r="B386" s="7" t="n">
        <v>53.31</v>
      </c>
      <c r="C386" s="8" t="n">
        <v>65.09999999999999</v>
      </c>
      <c r="D386" s="7" t="n">
        <v>56.8</v>
      </c>
      <c r="E386" s="8" t="n">
        <v>69.45999999999999</v>
      </c>
      <c r="F386" s="8" t="n">
        <v>62.46</v>
      </c>
      <c r="G386" s="8" t="n">
        <v>67.81</v>
      </c>
      <c r="H386" s="7" t="n">
        <v>58.11</v>
      </c>
      <c r="I386" s="7" t="n">
        <v>41.18</v>
      </c>
      <c r="J386" s="8" t="n">
        <v>65.25</v>
      </c>
      <c r="K386" s="7" t="n">
        <v>53.51</v>
      </c>
      <c r="L386" s="7" t="n">
        <v>56.22</v>
      </c>
    </row>
    <row r="387" ht="15" customHeight="1">
      <c r="A387" s="13" t="n">
        <v>45677</v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 ht="15" customHeight="1">
      <c r="A388" s="13" t="n">
        <v>45674</v>
      </c>
      <c r="B388" s="7" t="n">
        <v>50.51</v>
      </c>
      <c r="C388" s="8" t="n">
        <v>62.42</v>
      </c>
      <c r="D388" s="7" t="n">
        <v>47.93</v>
      </c>
      <c r="E388" s="9" t="n">
        <v>72.75</v>
      </c>
      <c r="F388" s="7" t="n">
        <v>57.92</v>
      </c>
      <c r="G388" s="8" t="n">
        <v>60.63</v>
      </c>
      <c r="H388" s="7" t="n">
        <v>55.88</v>
      </c>
      <c r="I388" s="7" t="n">
        <v>37.2</v>
      </c>
      <c r="J388" s="8" t="n">
        <v>60.27</v>
      </c>
      <c r="K388" s="7" t="n">
        <v>49.44</v>
      </c>
      <c r="L388" s="7" t="n">
        <v>49.86</v>
      </c>
    </row>
    <row r="389" ht="15" customHeight="1">
      <c r="A389" s="13" t="n">
        <v>45673</v>
      </c>
      <c r="B389" s="7" t="n">
        <v>44.84</v>
      </c>
      <c r="C389" s="7" t="n">
        <v>59.53</v>
      </c>
      <c r="D389" s="7" t="n">
        <v>51.99</v>
      </c>
      <c r="E389" s="9" t="n">
        <v>70.83</v>
      </c>
      <c r="F389" s="7" t="n">
        <v>55.4</v>
      </c>
      <c r="G389" s="7" t="n">
        <v>58.11</v>
      </c>
      <c r="H389" s="7" t="n">
        <v>51.35</v>
      </c>
      <c r="I389" s="7" t="n">
        <v>31.98</v>
      </c>
      <c r="J389" s="7" t="n">
        <v>59.78</v>
      </c>
      <c r="K389" s="7" t="n">
        <v>45.2</v>
      </c>
      <c r="L389" s="7" t="n">
        <v>49.95</v>
      </c>
    </row>
    <row r="390" ht="15" customHeight="1">
      <c r="A390" s="13" t="n">
        <v>45672</v>
      </c>
      <c r="B390" s="7" t="n">
        <v>47.34</v>
      </c>
      <c r="C390" s="7" t="n">
        <v>57.13</v>
      </c>
      <c r="D390" s="7" t="n">
        <v>49.65</v>
      </c>
      <c r="E390" s="8" t="n">
        <v>68.94</v>
      </c>
      <c r="F390" s="7" t="n">
        <v>52.03</v>
      </c>
      <c r="G390" s="7" t="n">
        <v>52.47</v>
      </c>
      <c r="H390" s="7" t="n">
        <v>53.33</v>
      </c>
      <c r="I390" s="10" t="n">
        <v>24.43</v>
      </c>
      <c r="J390" s="7" t="n">
        <v>49.69</v>
      </c>
      <c r="K390" s="7" t="n">
        <v>47.63</v>
      </c>
      <c r="L390" s="7" t="n">
        <v>41.09</v>
      </c>
    </row>
    <row r="391" ht="15" customHeight="1">
      <c r="A391" s="13" t="n">
        <v>45671</v>
      </c>
      <c r="B391" s="7" t="n">
        <v>39.39</v>
      </c>
      <c r="C391" s="7" t="n">
        <v>46.05</v>
      </c>
      <c r="D391" s="7" t="n">
        <v>47.23</v>
      </c>
      <c r="E391" s="8" t="n">
        <v>64.65000000000001</v>
      </c>
      <c r="F391" s="7" t="n">
        <v>47.86</v>
      </c>
      <c r="G391" s="7" t="n">
        <v>49.18</v>
      </c>
      <c r="H391" s="7" t="n">
        <v>44.2</v>
      </c>
      <c r="I391" s="10" t="n">
        <v>25.63</v>
      </c>
      <c r="J391" s="7" t="n">
        <v>41.94</v>
      </c>
      <c r="K391" s="7" t="n">
        <v>38.91</v>
      </c>
      <c r="L391" s="7" t="n">
        <v>39.2</v>
      </c>
    </row>
    <row r="392" ht="15" customHeight="1">
      <c r="A392" s="13" t="n">
        <v>45670</v>
      </c>
      <c r="B392" s="7" t="n">
        <v>38.25</v>
      </c>
      <c r="C392" s="7" t="n">
        <v>39.03</v>
      </c>
      <c r="D392" s="7" t="n">
        <v>53.34</v>
      </c>
      <c r="E392" s="8" t="n">
        <v>61.06</v>
      </c>
      <c r="F392" s="7" t="n">
        <v>41.79</v>
      </c>
      <c r="G392" s="7" t="n">
        <v>42.32</v>
      </c>
      <c r="H392" s="7" t="n">
        <v>44.82</v>
      </c>
      <c r="I392" s="10" t="n">
        <v>25.37</v>
      </c>
      <c r="J392" s="7" t="n">
        <v>33.56</v>
      </c>
      <c r="K392" s="7" t="n">
        <v>40.18</v>
      </c>
      <c r="L392" s="7" t="n">
        <v>35.35</v>
      </c>
    </row>
    <row r="393" ht="15" customHeight="1">
      <c r="A393" s="13" t="n">
        <v>45667</v>
      </c>
      <c r="B393" s="7" t="n">
        <v>40.15</v>
      </c>
      <c r="C393" s="7" t="n">
        <v>34.46</v>
      </c>
      <c r="D393" s="7" t="n">
        <v>45.13</v>
      </c>
      <c r="E393" s="7" t="n">
        <v>52.48</v>
      </c>
      <c r="F393" s="10" t="n">
        <v>28.15</v>
      </c>
      <c r="G393" s="7" t="n">
        <v>34.25</v>
      </c>
      <c r="H393" s="7" t="n">
        <v>42.65</v>
      </c>
      <c r="I393" s="10" t="n">
        <v>23.74</v>
      </c>
      <c r="J393" s="7" t="n">
        <v>38.15</v>
      </c>
      <c r="K393" s="7" t="n">
        <v>39.95</v>
      </c>
      <c r="L393" s="10" t="n">
        <v>29.23</v>
      </c>
    </row>
    <row r="394" ht="15" customHeight="1">
      <c r="A394" s="13" t="n">
        <v>45666</v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 ht="15" customHeight="1">
      <c r="A395" s="13" t="n">
        <v>45665</v>
      </c>
      <c r="B395" s="7" t="n">
        <v>46.98</v>
      </c>
      <c r="C395" s="7" t="n">
        <v>45.3</v>
      </c>
      <c r="D395" s="7" t="n">
        <v>48.57</v>
      </c>
      <c r="E395" s="7" t="n">
        <v>50.52</v>
      </c>
      <c r="F395" s="7" t="n">
        <v>31.3</v>
      </c>
      <c r="G395" s="7" t="n">
        <v>39.18</v>
      </c>
      <c r="H395" s="7" t="n">
        <v>45.57</v>
      </c>
      <c r="I395" s="10" t="n">
        <v>28.34</v>
      </c>
      <c r="J395" s="7" t="n">
        <v>40.68</v>
      </c>
      <c r="K395" s="7" t="n">
        <v>45.79</v>
      </c>
      <c r="L395" s="7" t="n">
        <v>35.24</v>
      </c>
    </row>
    <row r="396" ht="15" customHeight="1">
      <c r="A396" s="13" t="n">
        <v>45664</v>
      </c>
      <c r="B396" s="7" t="n">
        <v>47.1</v>
      </c>
      <c r="C396" s="7" t="n">
        <v>43.02</v>
      </c>
      <c r="D396" s="7" t="n">
        <v>45.02</v>
      </c>
      <c r="E396" s="7" t="n">
        <v>50.04</v>
      </c>
      <c r="F396" s="10" t="n">
        <v>27.26</v>
      </c>
      <c r="G396" s="7" t="n">
        <v>36.2</v>
      </c>
      <c r="H396" s="7" t="n">
        <v>44.55</v>
      </c>
      <c r="I396" s="10" t="n">
        <v>26.56</v>
      </c>
      <c r="J396" s="7" t="n">
        <v>40.8</v>
      </c>
      <c r="K396" s="7" t="n">
        <v>48.42</v>
      </c>
      <c r="L396" s="7" t="n">
        <v>32.99</v>
      </c>
    </row>
    <row r="397" ht="15" customHeight="1">
      <c r="A397" s="13" t="n">
        <v>45663</v>
      </c>
      <c r="B397" s="7" t="n">
        <v>54.65</v>
      </c>
      <c r="C397" s="7" t="n">
        <v>44.19</v>
      </c>
      <c r="D397" s="7" t="n">
        <v>41.42</v>
      </c>
      <c r="E397" s="7" t="n">
        <v>45.29</v>
      </c>
      <c r="F397" s="10" t="n">
        <v>27.42</v>
      </c>
      <c r="G397" s="7" t="n">
        <v>36.62</v>
      </c>
      <c r="H397" s="7" t="n">
        <v>50.66</v>
      </c>
      <c r="I397" s="10" t="n">
        <v>27.79</v>
      </c>
      <c r="J397" s="7" t="n">
        <v>41.86</v>
      </c>
      <c r="K397" s="7" t="n">
        <v>53.87</v>
      </c>
      <c r="L397" s="7" t="n">
        <v>34.98</v>
      </c>
    </row>
    <row r="398" ht="15" customHeight="1">
      <c r="A398" s="13" t="n">
        <v>45660</v>
      </c>
      <c r="B398" s="7" t="n">
        <v>49.99</v>
      </c>
      <c r="C398" s="7" t="n">
        <v>45.77</v>
      </c>
      <c r="D398" s="7" t="n">
        <v>41.11</v>
      </c>
      <c r="E398" s="7" t="n">
        <v>47.21</v>
      </c>
      <c r="F398" s="10" t="n">
        <v>22.62</v>
      </c>
      <c r="G398" s="7" t="n">
        <v>37.51</v>
      </c>
      <c r="H398" s="7" t="n">
        <v>49.35</v>
      </c>
      <c r="I398" s="7" t="n">
        <v>31.98</v>
      </c>
      <c r="J398" s="7" t="n">
        <v>46.98</v>
      </c>
      <c r="K398" s="7" t="n">
        <v>48.71</v>
      </c>
      <c r="L398" s="7" t="n">
        <v>39.05</v>
      </c>
    </row>
    <row r="399" ht="15" customHeight="1">
      <c r="A399" s="13" t="n">
        <v>45659</v>
      </c>
      <c r="B399" s="7" t="n">
        <v>43.15</v>
      </c>
      <c r="C399" s="7" t="n">
        <v>40.79</v>
      </c>
      <c r="D399" s="7" t="n">
        <v>33.75</v>
      </c>
      <c r="E399" s="7" t="n">
        <v>42.64</v>
      </c>
      <c r="F399" s="10" t="n">
        <v>22.67</v>
      </c>
      <c r="G399" s="10" t="n">
        <v>29.72</v>
      </c>
      <c r="H399" s="7" t="n">
        <v>42.2</v>
      </c>
      <c r="I399" s="7" t="n">
        <v>32.2</v>
      </c>
      <c r="J399" s="7" t="n">
        <v>40.62</v>
      </c>
      <c r="K399" s="7" t="n">
        <v>45.5</v>
      </c>
      <c r="L399" s="7" t="n">
        <v>31.81</v>
      </c>
    </row>
    <row r="400" ht="15" customHeight="1">
      <c r="A400" s="13" t="n">
        <v>45657</v>
      </c>
      <c r="B400" s="7" t="n">
        <v>43.96</v>
      </c>
      <c r="C400" s="7" t="n">
        <v>41.92</v>
      </c>
      <c r="D400" s="7" t="n">
        <v>33.52</v>
      </c>
      <c r="E400" s="7" t="n">
        <v>36.34</v>
      </c>
      <c r="F400" s="10" t="n">
        <v>25.05</v>
      </c>
      <c r="G400" s="7" t="n">
        <v>30.88</v>
      </c>
      <c r="H400" s="7" t="n">
        <v>46.19</v>
      </c>
      <c r="I400" s="7" t="n">
        <v>33.49</v>
      </c>
      <c r="J400" s="7" t="n">
        <v>35.48</v>
      </c>
      <c r="K400" s="7" t="n">
        <v>42.9</v>
      </c>
      <c r="L400" s="7" t="n">
        <v>34.43</v>
      </c>
    </row>
    <row r="401" ht="15" customHeight="1">
      <c r="A401" s="13" t="n">
        <v>45656</v>
      </c>
      <c r="B401" s="7" t="n">
        <v>46.87</v>
      </c>
      <c r="C401" s="7" t="n">
        <v>41.3</v>
      </c>
      <c r="D401" s="7" t="n">
        <v>31.72</v>
      </c>
      <c r="E401" s="10" t="n">
        <v>28.2</v>
      </c>
      <c r="F401" s="10" t="n">
        <v>22.28</v>
      </c>
      <c r="G401" s="7" t="n">
        <v>31.27</v>
      </c>
      <c r="H401" s="7" t="n">
        <v>48.65</v>
      </c>
      <c r="I401" s="7" t="n">
        <v>30.93</v>
      </c>
      <c r="J401" s="7" t="n">
        <v>35.82</v>
      </c>
      <c r="K401" s="7" t="n">
        <v>44.24</v>
      </c>
      <c r="L401" s="10" t="n">
        <v>29.92</v>
      </c>
    </row>
    <row r="402" ht="15" customHeight="1">
      <c r="A402" s="13" t="n">
        <v>45653</v>
      </c>
      <c r="B402" s="7" t="n">
        <v>51.79</v>
      </c>
      <c r="C402" s="7" t="n">
        <v>45.6</v>
      </c>
      <c r="D402" s="7" t="n">
        <v>36.48</v>
      </c>
      <c r="E402" s="10" t="n">
        <v>28.23</v>
      </c>
      <c r="F402" s="10" t="n">
        <v>25.17</v>
      </c>
      <c r="G402" s="7" t="n">
        <v>34.71</v>
      </c>
      <c r="H402" s="7" t="n">
        <v>54.5</v>
      </c>
      <c r="I402" s="7" t="n">
        <v>35.89</v>
      </c>
      <c r="J402" s="7" t="n">
        <v>37.38</v>
      </c>
      <c r="K402" s="7" t="n">
        <v>48.76</v>
      </c>
      <c r="L402" s="7" t="n">
        <v>31.1</v>
      </c>
    </row>
    <row r="403" ht="15" customHeight="1">
      <c r="A403" s="13" t="n">
        <v>45652</v>
      </c>
      <c r="B403" s="7" t="n">
        <v>57.76</v>
      </c>
      <c r="C403" s="7" t="n">
        <v>49.26</v>
      </c>
      <c r="D403" s="7" t="n">
        <v>38.52</v>
      </c>
      <c r="E403" s="10" t="n">
        <v>28.26</v>
      </c>
      <c r="F403" s="10" t="n">
        <v>26.46</v>
      </c>
      <c r="G403" s="7" t="n">
        <v>37.57</v>
      </c>
      <c r="H403" s="8" t="n">
        <v>61.72</v>
      </c>
      <c r="I403" s="7" t="n">
        <v>38.28</v>
      </c>
      <c r="J403" s="7" t="n">
        <v>38.45</v>
      </c>
      <c r="K403" s="7" t="n">
        <v>53.07</v>
      </c>
      <c r="L403" s="7" t="n">
        <v>33.21</v>
      </c>
    </row>
    <row r="404" ht="15" customHeight="1">
      <c r="A404" s="13" t="n">
        <v>45650</v>
      </c>
      <c r="B404" s="7" t="n">
        <v>57.53</v>
      </c>
      <c r="C404" s="7" t="n">
        <v>47.97</v>
      </c>
      <c r="D404" s="7" t="n">
        <v>37.11</v>
      </c>
      <c r="E404" s="10" t="n">
        <v>28.45</v>
      </c>
      <c r="F404" s="10" t="n">
        <v>26.82</v>
      </c>
      <c r="G404" s="7" t="n">
        <v>37.09</v>
      </c>
      <c r="H404" s="8" t="n">
        <v>63.48</v>
      </c>
      <c r="I404" s="7" t="n">
        <v>35.74</v>
      </c>
      <c r="J404" s="7" t="n">
        <v>39.3</v>
      </c>
      <c r="K404" s="7" t="n">
        <v>53.73</v>
      </c>
      <c r="L404" s="7" t="n">
        <v>32.44</v>
      </c>
    </row>
    <row r="405" ht="15" customHeight="1">
      <c r="A405" s="13" t="n">
        <v>45649</v>
      </c>
      <c r="B405" s="7" t="n">
        <v>54</v>
      </c>
      <c r="C405" s="7" t="n">
        <v>41.39</v>
      </c>
      <c r="D405" s="7" t="n">
        <v>34.27</v>
      </c>
      <c r="E405" s="10" t="n">
        <v>23.78</v>
      </c>
      <c r="F405" s="10" t="n">
        <v>23.4</v>
      </c>
      <c r="G405" s="7" t="n">
        <v>32.02</v>
      </c>
      <c r="H405" s="7" t="n">
        <v>56.46</v>
      </c>
      <c r="I405" s="7" t="n">
        <v>30.17</v>
      </c>
      <c r="J405" s="7" t="n">
        <v>36.24</v>
      </c>
      <c r="K405" s="7" t="n">
        <v>49.62</v>
      </c>
      <c r="L405" s="10" t="n">
        <v>28.99</v>
      </c>
    </row>
    <row r="406" ht="15" customHeight="1">
      <c r="A406" s="13" t="n">
        <v>45646</v>
      </c>
      <c r="B406" s="7" t="n">
        <v>50.73</v>
      </c>
      <c r="C406" s="7" t="n">
        <v>42.17</v>
      </c>
      <c r="D406" s="7" t="n">
        <v>30.42</v>
      </c>
      <c r="E406" s="10" t="n">
        <v>24.21</v>
      </c>
      <c r="F406" s="10" t="n">
        <v>24.58</v>
      </c>
      <c r="G406" s="7" t="n">
        <v>33.72</v>
      </c>
      <c r="H406" s="7" t="n">
        <v>56.08</v>
      </c>
      <c r="I406" s="7" t="n">
        <v>35.82</v>
      </c>
      <c r="J406" s="7" t="n">
        <v>37.8</v>
      </c>
      <c r="K406" s="7" t="n">
        <v>48.34</v>
      </c>
      <c r="L406" s="7" t="n">
        <v>30.32</v>
      </c>
    </row>
    <row r="407" ht="15" customHeight="1">
      <c r="A407" s="13" t="n">
        <v>45645</v>
      </c>
      <c r="B407" s="7" t="n">
        <v>44.74</v>
      </c>
      <c r="C407" s="7" t="n">
        <v>32.89</v>
      </c>
      <c r="D407" s="10" t="n">
        <v>20.51</v>
      </c>
      <c r="E407" s="10" t="n">
        <v>18.84</v>
      </c>
      <c r="F407" s="10" t="n">
        <v>16.49</v>
      </c>
      <c r="G407" s="10" t="n">
        <v>25.61</v>
      </c>
      <c r="H407" s="7" t="n">
        <v>55.26</v>
      </c>
      <c r="I407" s="7" t="n">
        <v>32.6</v>
      </c>
      <c r="J407" s="10" t="n">
        <v>28.54</v>
      </c>
      <c r="K407" s="7" t="n">
        <v>45.92</v>
      </c>
      <c r="L407" s="10" t="n">
        <v>20.42</v>
      </c>
    </row>
    <row r="408" ht="15" customHeight="1">
      <c r="A408" s="13" t="n">
        <v>45644</v>
      </c>
      <c r="B408" s="7" t="n">
        <v>44.29</v>
      </c>
      <c r="C408" s="7" t="n">
        <v>30.41</v>
      </c>
      <c r="D408" s="10" t="n">
        <v>22.29</v>
      </c>
      <c r="E408" s="10" t="n">
        <v>20.01</v>
      </c>
      <c r="F408" s="10" t="n">
        <v>18.07</v>
      </c>
      <c r="G408" s="10" t="n">
        <v>25.93</v>
      </c>
      <c r="H408" s="7" t="n">
        <v>55.77</v>
      </c>
      <c r="I408" s="7" t="n">
        <v>36.02</v>
      </c>
      <c r="J408" s="10" t="n">
        <v>25.63</v>
      </c>
      <c r="K408" s="7" t="n">
        <v>46.96</v>
      </c>
      <c r="L408" s="10" t="n">
        <v>23.38</v>
      </c>
    </row>
    <row r="409" ht="15" customHeight="1">
      <c r="A409" s="13" t="n">
        <v>45643</v>
      </c>
      <c r="B409" s="7" t="n">
        <v>57.95</v>
      </c>
      <c r="C409" s="7" t="n">
        <v>43.26</v>
      </c>
      <c r="D409" s="10" t="n">
        <v>26.12</v>
      </c>
      <c r="E409" s="10" t="n">
        <v>25.1</v>
      </c>
      <c r="F409" s="10" t="n">
        <v>23.81</v>
      </c>
      <c r="G409" s="7" t="n">
        <v>35.3</v>
      </c>
      <c r="H409" s="9" t="n">
        <v>79.87</v>
      </c>
      <c r="I409" s="7" t="n">
        <v>45.69</v>
      </c>
      <c r="J409" s="7" t="n">
        <v>32.09</v>
      </c>
      <c r="K409" s="8" t="n">
        <v>60.48</v>
      </c>
      <c r="L409" s="7" t="n">
        <v>34.32</v>
      </c>
    </row>
    <row r="410" ht="15" customHeight="1">
      <c r="A410" s="13" t="n">
        <v>45642</v>
      </c>
      <c r="B410" s="8" t="n">
        <v>61.25</v>
      </c>
      <c r="C410" s="7" t="n">
        <v>47.72</v>
      </c>
      <c r="D410" s="10" t="n">
        <v>26.35</v>
      </c>
      <c r="E410" s="10" t="n">
        <v>26.7</v>
      </c>
      <c r="F410" s="10" t="n">
        <v>25.28</v>
      </c>
      <c r="G410" s="7" t="n">
        <v>39.66</v>
      </c>
      <c r="H410" s="9" t="n">
        <v>79.29000000000001</v>
      </c>
      <c r="I410" s="7" t="n">
        <v>47.01</v>
      </c>
      <c r="J410" s="7" t="n">
        <v>33.48</v>
      </c>
      <c r="K410" s="8" t="n">
        <v>65.09</v>
      </c>
      <c r="L410" s="7" t="n">
        <v>36.12</v>
      </c>
    </row>
    <row r="411" ht="15" customHeight="1">
      <c r="A411" s="13" t="n">
        <v>45639</v>
      </c>
      <c r="B411" s="7" t="n">
        <v>57.57</v>
      </c>
      <c r="C411" s="7" t="n">
        <v>48.93</v>
      </c>
      <c r="D411" s="7" t="n">
        <v>30.38</v>
      </c>
      <c r="E411" s="7" t="n">
        <v>32.5</v>
      </c>
      <c r="F411" s="10" t="n">
        <v>27.84</v>
      </c>
      <c r="G411" s="7" t="n">
        <v>38.99</v>
      </c>
      <c r="H411" s="9" t="n">
        <v>76.65000000000001</v>
      </c>
      <c r="I411" s="7" t="n">
        <v>51.24</v>
      </c>
      <c r="J411" s="7" t="n">
        <v>36.3</v>
      </c>
      <c r="K411" s="8" t="n">
        <v>63.77</v>
      </c>
      <c r="L411" s="7" t="n">
        <v>38.28</v>
      </c>
    </row>
    <row r="412" ht="15" customHeight="1">
      <c r="A412" s="13" t="n">
        <v>45638</v>
      </c>
      <c r="B412" s="7" t="n">
        <v>55.91</v>
      </c>
      <c r="C412" s="7" t="n">
        <v>49.44</v>
      </c>
      <c r="D412" s="7" t="n">
        <v>30.43</v>
      </c>
      <c r="E412" s="7" t="n">
        <v>34.08</v>
      </c>
      <c r="F412" s="7" t="n">
        <v>30.65</v>
      </c>
      <c r="G412" s="7" t="n">
        <v>40.23</v>
      </c>
      <c r="H412" s="9" t="n">
        <v>75.81</v>
      </c>
      <c r="I412" s="7" t="n">
        <v>53.43</v>
      </c>
      <c r="J412" s="7" t="n">
        <v>35.89</v>
      </c>
      <c r="K412" s="9" t="n">
        <v>71.61</v>
      </c>
      <c r="L412" s="7" t="n">
        <v>40.09</v>
      </c>
    </row>
    <row r="413" ht="15" customHeight="1">
      <c r="A413" s="13" t="n">
        <v>45637</v>
      </c>
      <c r="B413" s="7" t="n">
        <v>58.71</v>
      </c>
      <c r="C413" s="7" t="n">
        <v>52.25</v>
      </c>
      <c r="D413" s="7" t="n">
        <v>33.41</v>
      </c>
      <c r="E413" s="7" t="n">
        <v>36.77</v>
      </c>
      <c r="F413" s="7" t="n">
        <v>33.19</v>
      </c>
      <c r="G413" s="7" t="n">
        <v>43.39</v>
      </c>
      <c r="H413" s="9" t="n">
        <v>81.53</v>
      </c>
      <c r="I413" s="7" t="n">
        <v>51.22</v>
      </c>
      <c r="J413" s="7" t="n">
        <v>36.06</v>
      </c>
      <c r="K413" s="9" t="n">
        <v>71.09999999999999</v>
      </c>
      <c r="L413" s="7" t="n">
        <v>40.39</v>
      </c>
    </row>
    <row r="414" ht="15" customHeight="1">
      <c r="A414" s="13" t="n">
        <v>45636</v>
      </c>
      <c r="B414" s="7" t="n">
        <v>53.15</v>
      </c>
      <c r="C414" s="7" t="n">
        <v>51.08</v>
      </c>
      <c r="D414" s="7" t="n">
        <v>39.64</v>
      </c>
      <c r="E414" s="7" t="n">
        <v>35.81</v>
      </c>
      <c r="F414" s="7" t="n">
        <v>34.55</v>
      </c>
      <c r="G414" s="7" t="n">
        <v>44.55</v>
      </c>
      <c r="H414" s="9" t="n">
        <v>78.38</v>
      </c>
      <c r="I414" s="7" t="n">
        <v>57.9</v>
      </c>
      <c r="J414" s="7" t="n">
        <v>38.12</v>
      </c>
      <c r="K414" s="8" t="n">
        <v>66.19</v>
      </c>
      <c r="L414" s="7" t="n">
        <v>41.44</v>
      </c>
    </row>
    <row r="415" ht="15" customHeight="1">
      <c r="A415" s="13" t="n">
        <v>45635</v>
      </c>
      <c r="B415" s="8" t="n">
        <v>60.5</v>
      </c>
      <c r="C415" s="7" t="n">
        <v>51.19</v>
      </c>
      <c r="D415" s="7" t="n">
        <v>41.87</v>
      </c>
      <c r="E415" s="7" t="n">
        <v>38.04</v>
      </c>
      <c r="F415" s="7" t="n">
        <v>38.87</v>
      </c>
      <c r="G415" s="7" t="n">
        <v>45.77</v>
      </c>
      <c r="H415" s="9" t="n">
        <v>78.05</v>
      </c>
      <c r="I415" s="7" t="n">
        <v>54.49</v>
      </c>
      <c r="J415" s="7" t="n">
        <v>40.62</v>
      </c>
      <c r="K415" s="8" t="n">
        <v>60.28</v>
      </c>
      <c r="L415" s="7" t="n">
        <v>49.03</v>
      </c>
    </row>
    <row r="416" ht="15" customHeight="1">
      <c r="A416" s="13" t="n">
        <v>45632</v>
      </c>
      <c r="B416" s="8" t="n">
        <v>64.41</v>
      </c>
      <c r="C416" s="7" t="n">
        <v>59.98</v>
      </c>
      <c r="D416" s="7" t="n">
        <v>39.67</v>
      </c>
      <c r="E416" s="7" t="n">
        <v>38.58</v>
      </c>
      <c r="F416" s="7" t="n">
        <v>38.97</v>
      </c>
      <c r="G416" s="7" t="n">
        <v>50.34</v>
      </c>
      <c r="H416" s="9" t="n">
        <v>80.23</v>
      </c>
      <c r="I416" s="7" t="n">
        <v>55.89</v>
      </c>
      <c r="J416" s="7" t="n">
        <v>45.48</v>
      </c>
      <c r="K416" s="9" t="n">
        <v>77.81</v>
      </c>
      <c r="L416" s="7" t="n">
        <v>47.91</v>
      </c>
    </row>
    <row r="417" ht="15" customHeight="1">
      <c r="A417" s="13" t="n">
        <v>45631</v>
      </c>
      <c r="B417" s="8" t="n">
        <v>63.1</v>
      </c>
      <c r="C417" s="8" t="n">
        <v>60.12</v>
      </c>
      <c r="D417" s="7" t="n">
        <v>42.59</v>
      </c>
      <c r="E417" s="7" t="n">
        <v>44.77</v>
      </c>
      <c r="F417" s="7" t="n">
        <v>40.65</v>
      </c>
      <c r="G417" s="7" t="n">
        <v>51.76</v>
      </c>
      <c r="H417" s="9" t="n">
        <v>76.23999999999999</v>
      </c>
      <c r="I417" s="8" t="n">
        <v>60.44</v>
      </c>
      <c r="J417" s="7" t="n">
        <v>51.16</v>
      </c>
      <c r="K417" s="9" t="n">
        <v>74.91</v>
      </c>
      <c r="L417" s="7" t="n">
        <v>48.57</v>
      </c>
    </row>
    <row r="418" ht="15" customHeight="1">
      <c r="A418" s="13" t="n">
        <v>45630</v>
      </c>
      <c r="B418" s="8" t="n">
        <v>66.06999999999999</v>
      </c>
      <c r="C418" s="7" t="n">
        <v>58.79</v>
      </c>
      <c r="D418" s="7" t="n">
        <v>49.33</v>
      </c>
      <c r="E418" s="7" t="n">
        <v>42.81</v>
      </c>
      <c r="F418" s="7" t="n">
        <v>47.11</v>
      </c>
      <c r="G418" s="7" t="n">
        <v>59.19</v>
      </c>
      <c r="H418" s="9" t="n">
        <v>74.40000000000001</v>
      </c>
      <c r="I418" s="7" t="n">
        <v>57.88</v>
      </c>
      <c r="J418" s="7" t="n">
        <v>49.7</v>
      </c>
      <c r="K418" s="9" t="n">
        <v>77.25</v>
      </c>
      <c r="L418" s="7" t="n">
        <v>49.75</v>
      </c>
    </row>
    <row r="419" ht="15" customHeight="1">
      <c r="A419" s="13" t="n">
        <v>45629</v>
      </c>
      <c r="B419" s="7" t="n">
        <v>59.84</v>
      </c>
      <c r="C419" s="8" t="n">
        <v>61.19</v>
      </c>
      <c r="D419" s="7" t="n">
        <v>49.69</v>
      </c>
      <c r="E419" s="7" t="n">
        <v>54.05</v>
      </c>
      <c r="F419" s="7" t="n">
        <v>52.96</v>
      </c>
      <c r="G419" s="7" t="n">
        <v>57.15</v>
      </c>
      <c r="H419" s="9" t="n">
        <v>72.14</v>
      </c>
      <c r="I419" s="8" t="n">
        <v>60.42</v>
      </c>
      <c r="J419" s="7" t="n">
        <v>49.76</v>
      </c>
      <c r="K419" s="9" t="n">
        <v>76.56999999999999</v>
      </c>
      <c r="L419" s="7" t="n">
        <v>50.99</v>
      </c>
    </row>
    <row r="420" ht="15" customHeight="1">
      <c r="A420" s="13" t="n">
        <v>45628</v>
      </c>
      <c r="B420" s="7" t="n">
        <v>58.45</v>
      </c>
      <c r="C420" s="8" t="n">
        <v>66.2</v>
      </c>
      <c r="D420" s="7" t="n">
        <v>51.1</v>
      </c>
      <c r="E420" s="7" t="n">
        <v>54.11</v>
      </c>
      <c r="F420" s="7" t="n">
        <v>55.03</v>
      </c>
      <c r="G420" s="8" t="n">
        <v>61.29</v>
      </c>
      <c r="H420" s="9" t="n">
        <v>72.62</v>
      </c>
      <c r="I420" s="8" t="n">
        <v>65.39</v>
      </c>
      <c r="J420" s="7" t="n">
        <v>53.63</v>
      </c>
      <c r="K420" s="9" t="n">
        <v>74.06999999999999</v>
      </c>
      <c r="L420" s="7" t="n">
        <v>53.7</v>
      </c>
    </row>
    <row r="421" ht="15" customHeight="1">
      <c r="A421" s="13" t="n">
        <v>45625</v>
      </c>
      <c r="B421" s="7" t="n">
        <v>54.65</v>
      </c>
      <c r="C421" s="9" t="n">
        <v>73.73</v>
      </c>
      <c r="D421" s="7" t="n">
        <v>52.19</v>
      </c>
      <c r="E421" s="8" t="n">
        <v>60.14</v>
      </c>
      <c r="F421" s="7" t="n">
        <v>55.43</v>
      </c>
      <c r="G421" s="8" t="n">
        <v>66.58</v>
      </c>
      <c r="H421" s="9" t="n">
        <v>70.51000000000001</v>
      </c>
      <c r="I421" s="8" t="n">
        <v>66.56999999999999</v>
      </c>
      <c r="J421" s="8" t="n">
        <v>65.7</v>
      </c>
      <c r="K421" s="9" t="n">
        <v>71.17</v>
      </c>
      <c r="L421" s="8" t="n">
        <v>61.66</v>
      </c>
    </row>
    <row r="422" ht="15" customHeight="1">
      <c r="A422" s="13" t="n">
        <v>45624</v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 ht="15" customHeight="1">
      <c r="A423" s="13" t="n">
        <v>45623</v>
      </c>
      <c r="B423" s="7" t="n">
        <v>50.58</v>
      </c>
      <c r="C423" s="9" t="n">
        <v>73.29000000000001</v>
      </c>
      <c r="D423" s="7" t="n">
        <v>50.46</v>
      </c>
      <c r="E423" s="7" t="n">
        <v>58.39</v>
      </c>
      <c r="F423" s="7" t="n">
        <v>52.87</v>
      </c>
      <c r="G423" s="8" t="n">
        <v>64.40000000000001</v>
      </c>
      <c r="H423" s="8" t="n">
        <v>67.84</v>
      </c>
      <c r="I423" s="8" t="n">
        <v>64.03</v>
      </c>
      <c r="J423" s="8" t="n">
        <v>65.58</v>
      </c>
      <c r="K423" s="8" t="n">
        <v>69.06999999999999</v>
      </c>
      <c r="L423" s="8" t="n">
        <v>64.39</v>
      </c>
    </row>
    <row r="424" ht="15" customHeight="1">
      <c r="A424" s="13" t="n">
        <v>45622</v>
      </c>
      <c r="B424" s="7" t="n">
        <v>57.69</v>
      </c>
      <c r="C424" s="9" t="n">
        <v>72.75</v>
      </c>
      <c r="D424" s="7" t="n">
        <v>47.46</v>
      </c>
      <c r="E424" s="7" t="n">
        <v>58.98</v>
      </c>
      <c r="F424" s="7" t="n">
        <v>53.17</v>
      </c>
      <c r="G424" s="8" t="n">
        <v>67.06</v>
      </c>
      <c r="H424" s="9" t="n">
        <v>70.70999999999999</v>
      </c>
      <c r="I424" s="8" t="n">
        <v>62.98</v>
      </c>
      <c r="J424" s="8" t="n">
        <v>65.58</v>
      </c>
      <c r="K424" s="8" t="n">
        <v>68.55</v>
      </c>
      <c r="L424" s="8" t="n">
        <v>62.09</v>
      </c>
    </row>
    <row r="425" ht="15" customHeight="1">
      <c r="A425" s="13" t="n">
        <v>45621</v>
      </c>
      <c r="B425" s="7" t="n">
        <v>55.55</v>
      </c>
      <c r="C425" s="9" t="n">
        <v>72.23999999999999</v>
      </c>
      <c r="D425" s="7" t="n">
        <v>44.34</v>
      </c>
      <c r="E425" s="7" t="n">
        <v>59.7</v>
      </c>
      <c r="F425" s="7" t="n">
        <v>57.39</v>
      </c>
      <c r="G425" s="8" t="n">
        <v>66.65000000000001</v>
      </c>
      <c r="H425" s="8" t="n">
        <v>69.84</v>
      </c>
      <c r="I425" s="8" t="n">
        <v>60.84</v>
      </c>
      <c r="J425" s="8" t="n">
        <v>60.34</v>
      </c>
      <c r="K425" s="8" t="n">
        <v>67.12</v>
      </c>
      <c r="L425" s="8" t="n">
        <v>60.4</v>
      </c>
    </row>
    <row r="426" ht="15" customHeight="1">
      <c r="A426" s="13" t="n">
        <v>45618</v>
      </c>
      <c r="B426" s="7" t="n">
        <v>55.58</v>
      </c>
      <c r="C426" s="9" t="n">
        <v>70.54000000000001</v>
      </c>
      <c r="D426" s="7" t="n">
        <v>39.03</v>
      </c>
      <c r="E426" s="9" t="n">
        <v>71.78</v>
      </c>
      <c r="F426" s="7" t="n">
        <v>52.62</v>
      </c>
      <c r="G426" s="8" t="n">
        <v>64.5</v>
      </c>
      <c r="H426" s="8" t="n">
        <v>67.31999999999999</v>
      </c>
      <c r="I426" s="7" t="n">
        <v>57.85</v>
      </c>
      <c r="J426" s="7" t="n">
        <v>59.68</v>
      </c>
      <c r="K426" s="8" t="n">
        <v>65.08</v>
      </c>
      <c r="L426" s="7" t="n">
        <v>55.45</v>
      </c>
    </row>
    <row r="427" ht="15" customHeight="1">
      <c r="A427" s="13" t="n">
        <v>45617</v>
      </c>
      <c r="B427" s="7" t="n">
        <v>55.38</v>
      </c>
      <c r="C427" s="8" t="n">
        <v>67.38</v>
      </c>
      <c r="D427" s="7" t="n">
        <v>38.46</v>
      </c>
      <c r="E427" s="9" t="n">
        <v>71.36</v>
      </c>
      <c r="F427" s="7" t="n">
        <v>49.82</v>
      </c>
      <c r="G427" s="7" t="n">
        <v>59.12</v>
      </c>
      <c r="H427" s="8" t="n">
        <v>63.38</v>
      </c>
      <c r="I427" s="7" t="n">
        <v>52.21</v>
      </c>
      <c r="J427" s="8" t="n">
        <v>62.5</v>
      </c>
      <c r="K427" s="8" t="n">
        <v>66.69</v>
      </c>
      <c r="L427" s="7" t="n">
        <v>52.36</v>
      </c>
    </row>
    <row r="428" ht="15" customHeight="1">
      <c r="A428" s="13" t="n">
        <v>45616</v>
      </c>
      <c r="B428" s="7" t="n">
        <v>51.41</v>
      </c>
      <c r="C428" s="8" t="n">
        <v>63.28</v>
      </c>
      <c r="D428" s="7" t="n">
        <v>33.28</v>
      </c>
      <c r="E428" s="8" t="n">
        <v>69.14</v>
      </c>
      <c r="F428" s="7" t="n">
        <v>43.03</v>
      </c>
      <c r="G428" s="7" t="n">
        <v>53.29</v>
      </c>
      <c r="H428" s="8" t="n">
        <v>62.87</v>
      </c>
      <c r="I428" s="7" t="n">
        <v>44.15</v>
      </c>
      <c r="J428" s="7" t="n">
        <v>56.41</v>
      </c>
      <c r="K428" s="8" t="n">
        <v>68.56999999999999</v>
      </c>
      <c r="L428" s="7" t="n">
        <v>49.51</v>
      </c>
    </row>
    <row r="429" ht="15" customHeight="1">
      <c r="A429" s="13" t="n">
        <v>45615</v>
      </c>
      <c r="B429" s="7" t="n">
        <v>51.78</v>
      </c>
      <c r="C429" s="8" t="n">
        <v>65.09</v>
      </c>
      <c r="D429" s="10" t="n">
        <v>24.74</v>
      </c>
      <c r="E429" s="8" t="n">
        <v>66.14</v>
      </c>
      <c r="F429" s="7" t="n">
        <v>37.85</v>
      </c>
      <c r="G429" s="7" t="n">
        <v>52.75</v>
      </c>
      <c r="H429" s="8" t="n">
        <v>64.97</v>
      </c>
      <c r="I429" s="7" t="n">
        <v>47.67</v>
      </c>
      <c r="J429" s="7" t="n">
        <v>56.23</v>
      </c>
      <c r="K429" s="8" t="n">
        <v>66.39</v>
      </c>
      <c r="L429" s="7" t="n">
        <v>50.18</v>
      </c>
    </row>
    <row r="430" ht="15" customHeight="1">
      <c r="A430" s="13" t="n">
        <v>45614</v>
      </c>
      <c r="B430" s="7" t="n">
        <v>48.6</v>
      </c>
      <c r="C430" s="8" t="n">
        <v>69.13</v>
      </c>
      <c r="D430" s="10" t="n">
        <v>26.1</v>
      </c>
      <c r="E430" s="9" t="n">
        <v>70.16</v>
      </c>
      <c r="F430" s="7" t="n">
        <v>39.17</v>
      </c>
      <c r="G430" s="7" t="n">
        <v>53.21</v>
      </c>
      <c r="H430" s="8" t="n">
        <v>64.78</v>
      </c>
      <c r="I430" s="7" t="n">
        <v>46.61</v>
      </c>
      <c r="J430" s="7" t="n">
        <v>53.86</v>
      </c>
      <c r="K430" s="8" t="n">
        <v>64.03</v>
      </c>
      <c r="L430" s="7" t="n">
        <v>48.51</v>
      </c>
    </row>
    <row r="431" ht="15" customHeight="1">
      <c r="A431" s="13" t="n">
        <v>45611</v>
      </c>
      <c r="B431" s="7" t="n">
        <v>47.34</v>
      </c>
      <c r="C431" s="8" t="n">
        <v>68.3</v>
      </c>
      <c r="D431" s="10" t="n">
        <v>25.58</v>
      </c>
      <c r="E431" s="8" t="n">
        <v>66.22</v>
      </c>
      <c r="F431" s="7" t="n">
        <v>34.11</v>
      </c>
      <c r="G431" s="7" t="n">
        <v>53.89</v>
      </c>
      <c r="H431" s="8" t="n">
        <v>62.53</v>
      </c>
      <c r="I431" s="7" t="n">
        <v>40.96</v>
      </c>
      <c r="J431" s="7" t="n">
        <v>50.5</v>
      </c>
      <c r="K431" s="8" t="n">
        <v>60.15</v>
      </c>
      <c r="L431" s="7" t="n">
        <v>44.87</v>
      </c>
    </row>
    <row r="432" ht="15" customHeight="1">
      <c r="A432" s="13" t="n">
        <v>45610</v>
      </c>
      <c r="B432" s="7" t="n">
        <v>57.72</v>
      </c>
      <c r="C432" s="8" t="n">
        <v>67.04000000000001</v>
      </c>
      <c r="D432" s="7" t="n">
        <v>30.99</v>
      </c>
      <c r="E432" s="8" t="n">
        <v>67.14</v>
      </c>
      <c r="F432" s="7" t="n">
        <v>36.66</v>
      </c>
      <c r="G432" s="7" t="n">
        <v>56.57</v>
      </c>
      <c r="H432" s="8" t="n">
        <v>66.2</v>
      </c>
      <c r="I432" s="7" t="n">
        <v>46.78</v>
      </c>
      <c r="J432" s="7" t="n">
        <v>44.1</v>
      </c>
      <c r="K432" s="9" t="n">
        <v>75.81</v>
      </c>
      <c r="L432" s="7" t="n">
        <v>44.4</v>
      </c>
    </row>
    <row r="433" ht="15" customHeight="1">
      <c r="A433" s="13" t="n">
        <v>45609</v>
      </c>
      <c r="B433" s="7" t="n">
        <v>59.38</v>
      </c>
      <c r="C433" s="8" t="n">
        <v>68.47</v>
      </c>
      <c r="D433" s="7" t="n">
        <v>37.31</v>
      </c>
      <c r="E433" s="8" t="n">
        <v>66.02</v>
      </c>
      <c r="F433" s="7" t="n">
        <v>39.96</v>
      </c>
      <c r="G433" s="8" t="n">
        <v>66.34999999999999</v>
      </c>
      <c r="H433" s="9" t="n">
        <v>72.90000000000001</v>
      </c>
      <c r="I433" s="7" t="n">
        <v>48.59</v>
      </c>
      <c r="J433" s="7" t="n">
        <v>45.36</v>
      </c>
      <c r="K433" s="9" t="n">
        <v>76.86</v>
      </c>
      <c r="L433" s="7" t="n">
        <v>47.38</v>
      </c>
    </row>
    <row r="434" ht="15" customHeight="1">
      <c r="A434" s="13" t="n">
        <v>45608</v>
      </c>
      <c r="B434" s="8" t="n">
        <v>61.06</v>
      </c>
      <c r="C434" s="8" t="n">
        <v>68.31999999999999</v>
      </c>
      <c r="D434" s="7" t="n">
        <v>38.54</v>
      </c>
      <c r="E434" s="8" t="n">
        <v>63.69</v>
      </c>
      <c r="F434" s="7" t="n">
        <v>38.47</v>
      </c>
      <c r="G434" s="8" t="n">
        <v>65.66</v>
      </c>
      <c r="H434" s="9" t="n">
        <v>71.29000000000001</v>
      </c>
      <c r="I434" s="7" t="n">
        <v>46.28</v>
      </c>
      <c r="J434" s="7" t="n">
        <v>45.99</v>
      </c>
      <c r="K434" s="9" t="n">
        <v>76.75</v>
      </c>
      <c r="L434" s="7" t="n">
        <v>44.35</v>
      </c>
    </row>
    <row r="435" ht="15" customHeight="1">
      <c r="A435" s="13" t="n">
        <v>45607</v>
      </c>
      <c r="B435" s="8" t="n">
        <v>60.68</v>
      </c>
      <c r="C435" s="8" t="n">
        <v>69.81999999999999</v>
      </c>
      <c r="D435" s="7" t="n">
        <v>46.07</v>
      </c>
      <c r="E435" s="8" t="n">
        <v>66.59</v>
      </c>
      <c r="F435" s="7" t="n">
        <v>46.21</v>
      </c>
      <c r="G435" s="9" t="n">
        <v>71.20999999999999</v>
      </c>
      <c r="H435" s="9" t="n">
        <v>78.12</v>
      </c>
      <c r="I435" s="7" t="n">
        <v>45.42</v>
      </c>
      <c r="J435" s="7" t="n">
        <v>50.21</v>
      </c>
      <c r="K435" s="9" t="n">
        <v>75.58</v>
      </c>
      <c r="L435" s="7" t="n">
        <v>48.55</v>
      </c>
    </row>
    <row r="436" ht="15" customHeight="1">
      <c r="A436" s="13" t="n">
        <v>45604</v>
      </c>
      <c r="B436" s="8" t="n">
        <v>63.16</v>
      </c>
      <c r="C436" s="8" t="n">
        <v>66.66</v>
      </c>
      <c r="D436" s="7" t="n">
        <v>49.9</v>
      </c>
      <c r="E436" s="8" t="n">
        <v>65.02</v>
      </c>
      <c r="F436" s="7" t="n">
        <v>48.53</v>
      </c>
      <c r="G436" s="8" t="n">
        <v>69.04000000000001</v>
      </c>
      <c r="H436" s="9" t="n">
        <v>74.8</v>
      </c>
      <c r="I436" s="7" t="n">
        <v>47.61</v>
      </c>
      <c r="J436" s="7" t="n">
        <v>49.16</v>
      </c>
      <c r="K436" s="9" t="n">
        <v>74.08</v>
      </c>
      <c r="L436" s="7" t="n">
        <v>51.68</v>
      </c>
    </row>
    <row r="437" ht="15" customHeight="1">
      <c r="A437" s="13" t="n">
        <v>45603</v>
      </c>
      <c r="B437" s="8" t="n">
        <v>63.63</v>
      </c>
      <c r="C437" s="8" t="n">
        <v>64.5</v>
      </c>
      <c r="D437" s="7" t="n">
        <v>44.71</v>
      </c>
      <c r="E437" s="8" t="n">
        <v>63.14</v>
      </c>
      <c r="F437" s="7" t="n">
        <v>53.87</v>
      </c>
      <c r="G437" s="8" t="n">
        <v>65.73999999999999</v>
      </c>
      <c r="H437" s="9" t="n">
        <v>72.06999999999999</v>
      </c>
      <c r="I437" s="7" t="n">
        <v>37.99</v>
      </c>
      <c r="J437" s="7" t="n">
        <v>41.41</v>
      </c>
      <c r="K437" s="9" t="n">
        <v>77.93000000000001</v>
      </c>
      <c r="L437" s="7" t="n">
        <v>45.29</v>
      </c>
    </row>
    <row r="438" ht="15" customHeight="1">
      <c r="A438" s="13" t="n">
        <v>45602</v>
      </c>
      <c r="B438" s="7" t="n">
        <v>59.13</v>
      </c>
      <c r="C438" s="9" t="n">
        <v>72.44</v>
      </c>
      <c r="D438" s="7" t="n">
        <v>38.82</v>
      </c>
      <c r="E438" s="8" t="n">
        <v>65.41</v>
      </c>
      <c r="F438" s="7" t="n">
        <v>51.78</v>
      </c>
      <c r="G438" s="8" t="n">
        <v>69.61</v>
      </c>
      <c r="H438" s="8" t="n">
        <v>69.31999999999999</v>
      </c>
      <c r="I438" s="7" t="n">
        <v>34.66</v>
      </c>
      <c r="J438" s="7" t="n">
        <v>40.62</v>
      </c>
      <c r="K438" s="9" t="n">
        <v>74.68000000000001</v>
      </c>
      <c r="L438" s="7" t="n">
        <v>40.01</v>
      </c>
    </row>
    <row r="439" ht="15" customHeight="1">
      <c r="A439" s="13" t="n">
        <v>45601</v>
      </c>
      <c r="B439" s="7" t="n">
        <v>50.02</v>
      </c>
      <c r="C439" s="7" t="n">
        <v>53.61</v>
      </c>
      <c r="D439" s="7" t="n">
        <v>37.73</v>
      </c>
      <c r="E439" s="7" t="n">
        <v>53.07</v>
      </c>
      <c r="F439" s="7" t="n">
        <v>43.47</v>
      </c>
      <c r="G439" s="7" t="n">
        <v>53.72</v>
      </c>
      <c r="H439" s="8" t="n">
        <v>60.62</v>
      </c>
      <c r="I439" s="7" t="n">
        <v>44.84</v>
      </c>
      <c r="J439" s="7" t="n">
        <v>43.79</v>
      </c>
      <c r="K439" s="8" t="n">
        <v>66.20999999999999</v>
      </c>
      <c r="L439" s="7" t="n">
        <v>49.88</v>
      </c>
    </row>
    <row r="440" ht="15" customHeight="1">
      <c r="A440" s="13" t="n">
        <v>45600</v>
      </c>
      <c r="B440" s="7" t="n">
        <v>44.4</v>
      </c>
      <c r="C440" s="7" t="n">
        <v>48.68</v>
      </c>
      <c r="D440" s="7" t="n">
        <v>31.25</v>
      </c>
      <c r="E440" s="7" t="n">
        <v>50.15</v>
      </c>
      <c r="F440" s="7" t="n">
        <v>42.47</v>
      </c>
      <c r="G440" s="7" t="n">
        <v>41.86</v>
      </c>
      <c r="H440" s="7" t="n">
        <v>54.03</v>
      </c>
      <c r="I440" s="7" t="n">
        <v>38.35</v>
      </c>
      <c r="J440" s="7" t="n">
        <v>37.28</v>
      </c>
      <c r="K440" s="8" t="n">
        <v>60.79</v>
      </c>
      <c r="L440" s="7" t="n">
        <v>43.34</v>
      </c>
    </row>
    <row r="441" ht="15" customHeight="1">
      <c r="A441" s="13" t="n">
        <v>45597</v>
      </c>
      <c r="B441" s="7" t="n">
        <v>44.66</v>
      </c>
      <c r="C441" s="7" t="n">
        <v>53.06</v>
      </c>
      <c r="D441" s="7" t="n">
        <v>34.22</v>
      </c>
      <c r="E441" s="7" t="n">
        <v>41.46</v>
      </c>
      <c r="F441" s="7" t="n">
        <v>39.57</v>
      </c>
      <c r="G441" s="7" t="n">
        <v>42.54</v>
      </c>
      <c r="H441" s="7" t="n">
        <v>55.72</v>
      </c>
      <c r="I441" s="7" t="n">
        <v>35.29</v>
      </c>
      <c r="J441" s="7" t="n">
        <v>40.8</v>
      </c>
      <c r="K441" s="8" t="n">
        <v>63.68</v>
      </c>
      <c r="L441" s="7" t="n">
        <v>37.14</v>
      </c>
    </row>
    <row r="442" ht="15" customHeight="1">
      <c r="A442" s="13" t="n">
        <v>45596</v>
      </c>
      <c r="B442" s="7" t="n">
        <v>41.64</v>
      </c>
      <c r="C442" s="7" t="n">
        <v>51.25</v>
      </c>
      <c r="D442" s="10" t="n">
        <v>28.56</v>
      </c>
      <c r="E442" s="7" t="n">
        <v>44.05</v>
      </c>
      <c r="F442" s="7" t="n">
        <v>40.78</v>
      </c>
      <c r="G442" s="7" t="n">
        <v>41.48</v>
      </c>
      <c r="H442" s="7" t="n">
        <v>48.82</v>
      </c>
      <c r="I442" s="7" t="n">
        <v>34.89</v>
      </c>
      <c r="J442" s="7" t="n">
        <v>49.02</v>
      </c>
      <c r="K442" s="8" t="n">
        <v>61.72</v>
      </c>
      <c r="L442" s="7" t="n">
        <v>41.15</v>
      </c>
    </row>
    <row r="443" ht="15" customHeight="1">
      <c r="A443" s="13" t="n">
        <v>45595</v>
      </c>
      <c r="B443" s="7" t="n">
        <v>53.6</v>
      </c>
      <c r="C443" s="7" t="n">
        <v>59.99</v>
      </c>
      <c r="D443" s="7" t="n">
        <v>32.26</v>
      </c>
      <c r="E443" s="7" t="n">
        <v>40.67</v>
      </c>
      <c r="F443" s="7" t="n">
        <v>47.24</v>
      </c>
      <c r="G443" s="7" t="n">
        <v>48.68</v>
      </c>
      <c r="H443" s="7" t="n">
        <v>56.66</v>
      </c>
      <c r="I443" s="7" t="n">
        <v>36.01</v>
      </c>
      <c r="J443" s="7" t="n">
        <v>44.21</v>
      </c>
      <c r="K443" s="8" t="n">
        <v>69.55</v>
      </c>
      <c r="L443" s="7" t="n">
        <v>49.43</v>
      </c>
    </row>
    <row r="444" ht="15" customHeight="1">
      <c r="A444" s="13" t="n">
        <v>45594</v>
      </c>
      <c r="B444" s="8" t="n">
        <v>61.92</v>
      </c>
      <c r="C444" s="7" t="n">
        <v>57.83</v>
      </c>
      <c r="D444" s="7" t="n">
        <v>33.16</v>
      </c>
      <c r="E444" s="7" t="n">
        <v>39.43</v>
      </c>
      <c r="F444" s="7" t="n">
        <v>43.87</v>
      </c>
      <c r="G444" s="7" t="n">
        <v>49.87</v>
      </c>
      <c r="H444" s="7" t="n">
        <v>57.44</v>
      </c>
      <c r="I444" s="7" t="n">
        <v>36.91</v>
      </c>
      <c r="J444" s="7" t="n">
        <v>45.13</v>
      </c>
      <c r="K444" s="8" t="n">
        <v>66.84999999999999</v>
      </c>
      <c r="L444" s="7" t="n">
        <v>47.39</v>
      </c>
    </row>
    <row r="445" ht="15" customHeight="1">
      <c r="A445" s="13" t="n">
        <v>45593</v>
      </c>
      <c r="B445" s="7" t="n">
        <v>56.71</v>
      </c>
      <c r="C445" s="8" t="n">
        <v>62.12</v>
      </c>
      <c r="D445" s="7" t="n">
        <v>34.45</v>
      </c>
      <c r="E445" s="7" t="n">
        <v>45.4</v>
      </c>
      <c r="F445" s="7" t="n">
        <v>47.22</v>
      </c>
      <c r="G445" s="7" t="n">
        <v>50.77</v>
      </c>
      <c r="H445" s="8" t="n">
        <v>60.35</v>
      </c>
      <c r="I445" s="7" t="n">
        <v>43.04</v>
      </c>
      <c r="J445" s="7" t="n">
        <v>54.71</v>
      </c>
      <c r="K445" s="8" t="n">
        <v>62.05</v>
      </c>
      <c r="L445" s="7" t="n">
        <v>52.29</v>
      </c>
    </row>
    <row r="446" ht="15" customHeight="1">
      <c r="A446" s="13" t="n">
        <v>45590</v>
      </c>
      <c r="B446" s="7" t="n">
        <v>56.87</v>
      </c>
      <c r="C446" s="7" t="n">
        <v>56.07</v>
      </c>
      <c r="D446" s="7" t="n">
        <v>33.15</v>
      </c>
      <c r="E446" s="7" t="n">
        <v>48.25</v>
      </c>
      <c r="F446" s="7" t="n">
        <v>41.96</v>
      </c>
      <c r="G446" s="7" t="n">
        <v>48.87</v>
      </c>
      <c r="H446" s="7" t="n">
        <v>59.5</v>
      </c>
      <c r="I446" s="7" t="n">
        <v>41.35</v>
      </c>
      <c r="J446" s="7" t="n">
        <v>51.21</v>
      </c>
      <c r="K446" s="7" t="n">
        <v>58.26</v>
      </c>
      <c r="L446" s="7" t="n">
        <v>50.63</v>
      </c>
    </row>
    <row r="447" ht="15" customHeight="1">
      <c r="A447" s="13" t="n">
        <v>45589</v>
      </c>
      <c r="B447" s="7" t="n">
        <v>54.82</v>
      </c>
      <c r="C447" s="8" t="n">
        <v>64.67</v>
      </c>
      <c r="D447" s="7" t="n">
        <v>35.6</v>
      </c>
      <c r="E447" s="7" t="n">
        <v>48.4</v>
      </c>
      <c r="F447" s="7" t="n">
        <v>45.17</v>
      </c>
      <c r="G447" s="7" t="n">
        <v>50.5</v>
      </c>
      <c r="H447" s="7" t="n">
        <v>58.39</v>
      </c>
      <c r="I447" s="7" t="n">
        <v>47.28</v>
      </c>
      <c r="J447" s="7" t="n">
        <v>59.4</v>
      </c>
      <c r="K447" s="7" t="n">
        <v>56.66</v>
      </c>
      <c r="L447" s="7" t="n">
        <v>55.08</v>
      </c>
    </row>
    <row r="448" ht="15" customHeight="1">
      <c r="A448" s="13" t="n">
        <v>45588</v>
      </c>
      <c r="B448" s="7" t="n">
        <v>53.67</v>
      </c>
      <c r="C448" s="8" t="n">
        <v>64.28</v>
      </c>
      <c r="D448" s="7" t="n">
        <v>38.82</v>
      </c>
      <c r="E448" s="7" t="n">
        <v>48.45</v>
      </c>
      <c r="F448" s="7" t="n">
        <v>52.45</v>
      </c>
      <c r="G448" s="7" t="n">
        <v>54.94</v>
      </c>
      <c r="H448" s="7" t="n">
        <v>44.68</v>
      </c>
      <c r="I448" s="7" t="n">
        <v>48.32</v>
      </c>
      <c r="J448" s="8" t="n">
        <v>63.54</v>
      </c>
      <c r="K448" s="7" t="n">
        <v>54.49</v>
      </c>
      <c r="L448" s="7" t="n">
        <v>54.01</v>
      </c>
    </row>
    <row r="449" ht="15" customHeight="1">
      <c r="A449" s="13" t="n">
        <v>45587</v>
      </c>
      <c r="B449" s="8" t="n">
        <v>60.8</v>
      </c>
      <c r="C449" s="8" t="n">
        <v>64.95</v>
      </c>
      <c r="D449" s="7" t="n">
        <v>41.31</v>
      </c>
      <c r="E449" s="7" t="n">
        <v>50.55</v>
      </c>
      <c r="F449" s="7" t="n">
        <v>54.25</v>
      </c>
      <c r="G449" s="7" t="n">
        <v>56.91</v>
      </c>
      <c r="H449" s="7" t="n">
        <v>52.87</v>
      </c>
      <c r="I449" s="7" t="n">
        <v>49.8</v>
      </c>
      <c r="J449" s="7" t="n">
        <v>59.71</v>
      </c>
      <c r="K449" s="8" t="n">
        <v>60.79</v>
      </c>
      <c r="L449" s="7" t="n">
        <v>49.16</v>
      </c>
    </row>
    <row r="450" ht="15" customHeight="1">
      <c r="A450" s="13" t="n">
        <v>45586</v>
      </c>
      <c r="B450" s="8" t="n">
        <v>61.35</v>
      </c>
      <c r="C450" s="8" t="n">
        <v>66.39</v>
      </c>
      <c r="D450" s="7" t="n">
        <v>42.08</v>
      </c>
      <c r="E450" s="7" t="n">
        <v>49.64</v>
      </c>
      <c r="F450" s="8" t="n">
        <v>60.91</v>
      </c>
      <c r="G450" s="8" t="n">
        <v>66.20999999999999</v>
      </c>
      <c r="H450" s="7" t="n">
        <v>55.3</v>
      </c>
      <c r="I450" s="7" t="n">
        <v>45.33</v>
      </c>
      <c r="J450" s="8" t="n">
        <v>61.96</v>
      </c>
      <c r="K450" s="7" t="n">
        <v>59.98</v>
      </c>
      <c r="L450" s="7" t="n">
        <v>48.34</v>
      </c>
    </row>
    <row r="451" ht="15" customHeight="1">
      <c r="A451" s="13" t="n">
        <v>45583</v>
      </c>
      <c r="B451" s="7" t="n">
        <v>59.84</v>
      </c>
      <c r="C451" s="9" t="n">
        <v>72.73</v>
      </c>
      <c r="D451" s="7" t="n">
        <v>49.08</v>
      </c>
      <c r="E451" s="7" t="n">
        <v>50.75</v>
      </c>
      <c r="F451" s="8" t="n">
        <v>67.38</v>
      </c>
      <c r="G451" s="8" t="n">
        <v>69.28</v>
      </c>
      <c r="H451" s="8" t="n">
        <v>60.28</v>
      </c>
      <c r="I451" s="7" t="n">
        <v>51.75</v>
      </c>
      <c r="J451" s="8" t="n">
        <v>64.44</v>
      </c>
      <c r="K451" s="8" t="n">
        <v>63.35</v>
      </c>
      <c r="L451" s="8" t="n">
        <v>60.25</v>
      </c>
    </row>
    <row r="452" ht="15" customHeight="1">
      <c r="A452" s="13" t="n">
        <v>45582</v>
      </c>
      <c r="B452" s="7" t="n">
        <v>58.7</v>
      </c>
      <c r="C452" s="9" t="n">
        <v>72.66</v>
      </c>
      <c r="D452" s="7" t="n">
        <v>45.63</v>
      </c>
      <c r="E452" s="7" t="n">
        <v>51.95</v>
      </c>
      <c r="F452" s="8" t="n">
        <v>65.62</v>
      </c>
      <c r="G452" s="8" t="n">
        <v>68.09999999999999</v>
      </c>
      <c r="H452" s="7" t="n">
        <v>58.54</v>
      </c>
      <c r="I452" s="7" t="n">
        <v>50.04</v>
      </c>
      <c r="J452" s="8" t="n">
        <v>62.38</v>
      </c>
      <c r="K452" s="7" t="n">
        <v>59.41</v>
      </c>
      <c r="L452" s="7" t="n">
        <v>56.93</v>
      </c>
    </row>
    <row r="453" ht="15" customHeight="1">
      <c r="A453" s="13" t="n">
        <v>45581</v>
      </c>
      <c r="B453" s="7" t="n">
        <v>57.75</v>
      </c>
      <c r="C453" s="9" t="n">
        <v>71.87</v>
      </c>
      <c r="D453" s="7" t="n">
        <v>49.37</v>
      </c>
      <c r="E453" s="7" t="n">
        <v>50.39</v>
      </c>
      <c r="F453" s="8" t="n">
        <v>64.94</v>
      </c>
      <c r="G453" s="9" t="n">
        <v>70.48</v>
      </c>
      <c r="H453" s="7" t="n">
        <v>59.09</v>
      </c>
      <c r="I453" s="7" t="n">
        <v>53.68</v>
      </c>
      <c r="J453" s="8" t="n">
        <v>68.06999999999999</v>
      </c>
      <c r="K453" s="8" t="n">
        <v>63.48</v>
      </c>
      <c r="L453" s="8" t="n">
        <v>61.38</v>
      </c>
    </row>
    <row r="454" ht="15" customHeight="1">
      <c r="A454" s="13" t="n">
        <v>45580</v>
      </c>
      <c r="B454" s="7" t="n">
        <v>56.81</v>
      </c>
      <c r="C454" s="8" t="n">
        <v>68.03</v>
      </c>
      <c r="D454" s="7" t="n">
        <v>47.44</v>
      </c>
      <c r="E454" s="7" t="n">
        <v>48.85</v>
      </c>
      <c r="F454" s="8" t="n">
        <v>61.41</v>
      </c>
      <c r="G454" s="8" t="n">
        <v>67.67</v>
      </c>
      <c r="H454" s="7" t="n">
        <v>56.9</v>
      </c>
      <c r="I454" s="7" t="n">
        <v>54.28</v>
      </c>
      <c r="J454" s="8" t="n">
        <v>60.8</v>
      </c>
      <c r="K454" s="8" t="n">
        <v>64.04000000000001</v>
      </c>
      <c r="L454" s="7" t="n">
        <v>56.6</v>
      </c>
    </row>
    <row r="455" ht="15" customHeight="1">
      <c r="A455" s="13" t="n">
        <v>45579</v>
      </c>
      <c r="B455" s="8" t="n">
        <v>66.73999999999999</v>
      </c>
      <c r="C455" s="8" t="n">
        <v>67.31</v>
      </c>
      <c r="D455" s="7" t="n">
        <v>56.19</v>
      </c>
      <c r="E455" s="8" t="n">
        <v>61.1</v>
      </c>
      <c r="F455" s="8" t="n">
        <v>62.19</v>
      </c>
      <c r="G455" s="9" t="n">
        <v>74.23999999999999</v>
      </c>
      <c r="H455" s="7" t="n">
        <v>55.99</v>
      </c>
      <c r="I455" s="7" t="n">
        <v>49.8</v>
      </c>
      <c r="J455" s="7" t="n">
        <v>58.84</v>
      </c>
      <c r="K455" s="8" t="n">
        <v>63.02</v>
      </c>
      <c r="L455" s="7" t="n">
        <v>49.31</v>
      </c>
    </row>
    <row r="456" ht="15" customHeight="1">
      <c r="A456" s="13" t="n">
        <v>45576</v>
      </c>
      <c r="B456" s="8" t="n">
        <v>63.25</v>
      </c>
      <c r="C456" s="8" t="n">
        <v>65.20999999999999</v>
      </c>
      <c r="D456" s="7" t="n">
        <v>52.53</v>
      </c>
      <c r="E456" s="8" t="n">
        <v>61.29</v>
      </c>
      <c r="F456" s="7" t="n">
        <v>59.58</v>
      </c>
      <c r="G456" s="9" t="n">
        <v>72.3</v>
      </c>
      <c r="H456" s="7" t="n">
        <v>54.2</v>
      </c>
      <c r="I456" s="7" t="n">
        <v>46.72</v>
      </c>
      <c r="J456" s="7" t="n">
        <v>52.75</v>
      </c>
      <c r="K456" s="8" t="n">
        <v>60.85</v>
      </c>
      <c r="L456" s="7" t="n">
        <v>44.59</v>
      </c>
    </row>
    <row r="457" ht="15" customHeight="1">
      <c r="A457" s="13" t="n">
        <v>45575</v>
      </c>
      <c r="B457" s="8" t="n">
        <v>62.77</v>
      </c>
      <c r="C457" s="7" t="n">
        <v>57.55</v>
      </c>
      <c r="D457" s="7" t="n">
        <v>47.13</v>
      </c>
      <c r="E457" s="7" t="n">
        <v>59.62</v>
      </c>
      <c r="F457" s="7" t="n">
        <v>56.45</v>
      </c>
      <c r="G457" s="8" t="n">
        <v>65.19</v>
      </c>
      <c r="H457" s="7" t="n">
        <v>56.27</v>
      </c>
      <c r="I457" s="7" t="n">
        <v>42.24</v>
      </c>
      <c r="J457" s="7" t="n">
        <v>47.8</v>
      </c>
      <c r="K457" s="7" t="n">
        <v>57.42</v>
      </c>
      <c r="L457" s="7" t="n">
        <v>36.56</v>
      </c>
    </row>
    <row r="458" ht="15" customHeight="1">
      <c r="A458" s="13" t="n">
        <v>45574</v>
      </c>
      <c r="B458" s="8" t="n">
        <v>62.88</v>
      </c>
      <c r="C458" s="7" t="n">
        <v>59.48</v>
      </c>
      <c r="D458" s="7" t="n">
        <v>49.81</v>
      </c>
      <c r="E458" s="7" t="n">
        <v>57.78</v>
      </c>
      <c r="F458" s="7" t="n">
        <v>55.3</v>
      </c>
      <c r="G458" s="9" t="n">
        <v>70</v>
      </c>
      <c r="H458" s="7" t="n">
        <v>58.71</v>
      </c>
      <c r="I458" s="7" t="n">
        <v>45.06</v>
      </c>
      <c r="J458" s="7" t="n">
        <v>49.47</v>
      </c>
      <c r="K458" s="8" t="n">
        <v>62.95</v>
      </c>
      <c r="L458" s="7" t="n">
        <v>41.08</v>
      </c>
    </row>
    <row r="459" ht="15" customHeight="1">
      <c r="A459" s="13" t="n">
        <v>45573</v>
      </c>
      <c r="B459" s="7" t="n">
        <v>59.99</v>
      </c>
      <c r="C459" s="7" t="n">
        <v>55.29</v>
      </c>
      <c r="D459" s="7" t="n">
        <v>41.4</v>
      </c>
      <c r="E459" s="7" t="n">
        <v>56.14</v>
      </c>
      <c r="F459" s="7" t="n">
        <v>52.12</v>
      </c>
      <c r="G459" s="8" t="n">
        <v>65.97</v>
      </c>
      <c r="H459" s="7" t="n">
        <v>56.18</v>
      </c>
      <c r="I459" s="7" t="n">
        <v>40</v>
      </c>
      <c r="J459" s="7" t="n">
        <v>54.49</v>
      </c>
      <c r="K459" s="8" t="n">
        <v>62.8</v>
      </c>
      <c r="L459" s="7" t="n">
        <v>40.71</v>
      </c>
    </row>
    <row r="460" ht="15" customHeight="1">
      <c r="A460" s="13" t="n">
        <v>45572</v>
      </c>
      <c r="B460" s="7" t="n">
        <v>54.61</v>
      </c>
      <c r="C460" s="7" t="n">
        <v>52.46</v>
      </c>
      <c r="D460" s="7" t="n">
        <v>36.14</v>
      </c>
      <c r="E460" s="8" t="n">
        <v>66.88</v>
      </c>
      <c r="F460" s="7" t="n">
        <v>54.78</v>
      </c>
      <c r="G460" s="8" t="n">
        <v>64.89</v>
      </c>
      <c r="H460" s="7" t="n">
        <v>52.52</v>
      </c>
      <c r="I460" s="7" t="n">
        <v>35.5</v>
      </c>
      <c r="J460" s="7" t="n">
        <v>54.24</v>
      </c>
      <c r="K460" s="7" t="n">
        <v>58.75</v>
      </c>
      <c r="L460" s="7" t="n">
        <v>38.31</v>
      </c>
    </row>
    <row r="461" ht="15" customHeight="1">
      <c r="A461" s="13" t="n">
        <v>45569</v>
      </c>
      <c r="B461" s="7" t="n">
        <v>57.26</v>
      </c>
      <c r="C461" s="8" t="n">
        <v>60.06</v>
      </c>
      <c r="D461" s="7" t="n">
        <v>38.78</v>
      </c>
      <c r="E461" s="8" t="n">
        <v>66.06</v>
      </c>
      <c r="F461" s="7" t="n">
        <v>56.48</v>
      </c>
      <c r="G461" s="8" t="n">
        <v>67.06999999999999</v>
      </c>
      <c r="H461" s="8" t="n">
        <v>60.06</v>
      </c>
      <c r="I461" s="7" t="n">
        <v>41.33</v>
      </c>
      <c r="J461" s="9" t="n">
        <v>71.55</v>
      </c>
      <c r="K461" s="8" t="n">
        <v>69.63</v>
      </c>
      <c r="L461" s="7" t="n">
        <v>42.21</v>
      </c>
    </row>
    <row r="462" ht="15" customHeight="1">
      <c r="A462" s="13" t="n">
        <v>45568</v>
      </c>
      <c r="B462" s="7" t="n">
        <v>53.93</v>
      </c>
      <c r="C462" s="7" t="n">
        <v>51.14</v>
      </c>
      <c r="D462" s="7" t="n">
        <v>38.03</v>
      </c>
      <c r="E462" s="8" t="n">
        <v>63.91</v>
      </c>
      <c r="F462" s="7" t="n">
        <v>54.31</v>
      </c>
      <c r="G462" s="8" t="n">
        <v>63.85</v>
      </c>
      <c r="H462" s="7" t="n">
        <v>55.02</v>
      </c>
      <c r="I462" s="7" t="n">
        <v>38.19</v>
      </c>
      <c r="J462" s="9" t="n">
        <v>73.05</v>
      </c>
      <c r="K462" s="8" t="n">
        <v>64.64</v>
      </c>
      <c r="L462" s="7" t="n">
        <v>46.15</v>
      </c>
    </row>
    <row r="463" ht="15" customHeight="1">
      <c r="A463" s="13" t="n">
        <v>45567</v>
      </c>
      <c r="B463" s="7" t="n">
        <v>52.67</v>
      </c>
      <c r="C463" s="7" t="n">
        <v>54.73</v>
      </c>
      <c r="D463" s="7" t="n">
        <v>43.78</v>
      </c>
      <c r="E463" s="7" t="n">
        <v>59.48</v>
      </c>
      <c r="F463" s="8" t="n">
        <v>60.78</v>
      </c>
      <c r="G463" s="8" t="n">
        <v>68.41</v>
      </c>
      <c r="H463" s="8" t="n">
        <v>61.38</v>
      </c>
      <c r="I463" s="7" t="n">
        <v>44.98</v>
      </c>
      <c r="J463" s="9" t="n">
        <v>73.39</v>
      </c>
      <c r="K463" s="8" t="n">
        <v>67.84999999999999</v>
      </c>
      <c r="L463" s="7" t="n">
        <v>52.97</v>
      </c>
    </row>
    <row r="464" ht="15" customHeight="1">
      <c r="A464" s="13" t="n">
        <v>45566</v>
      </c>
      <c r="B464" s="7" t="n">
        <v>50.42</v>
      </c>
      <c r="C464" s="7" t="n">
        <v>54.1</v>
      </c>
      <c r="D464" s="7" t="n">
        <v>45.2</v>
      </c>
      <c r="E464" s="7" t="n">
        <v>56.63</v>
      </c>
      <c r="F464" s="8" t="n">
        <v>63.22</v>
      </c>
      <c r="G464" s="9" t="n">
        <v>70.09999999999999</v>
      </c>
      <c r="H464" s="8" t="n">
        <v>66.65000000000001</v>
      </c>
      <c r="I464" s="7" t="n">
        <v>52.35</v>
      </c>
      <c r="J464" s="9" t="n">
        <v>73.23999999999999</v>
      </c>
      <c r="K464" s="9" t="n">
        <v>70.8</v>
      </c>
      <c r="L464" s="7" t="n">
        <v>55.82</v>
      </c>
    </row>
    <row r="465" ht="15" customHeight="1">
      <c r="A465" s="13" t="n">
        <v>45565</v>
      </c>
      <c r="B465" s="7" t="n">
        <v>59.23</v>
      </c>
      <c r="C465" s="7" t="n">
        <v>57.63</v>
      </c>
      <c r="D465" s="7" t="n">
        <v>49.08</v>
      </c>
      <c r="E465" s="7" t="n">
        <v>49.46</v>
      </c>
      <c r="F465" s="8" t="n">
        <v>64.79000000000001</v>
      </c>
      <c r="G465" s="8" t="n">
        <v>69.90000000000001</v>
      </c>
      <c r="H465" s="8" t="n">
        <v>69.3</v>
      </c>
      <c r="I465" s="7" t="n">
        <v>55.75</v>
      </c>
      <c r="J465" s="9" t="n">
        <v>70.75</v>
      </c>
      <c r="K465" s="9" t="n">
        <v>70.5</v>
      </c>
      <c r="L465" s="8" t="n">
        <v>60.96</v>
      </c>
    </row>
    <row r="466" ht="15" customHeight="1">
      <c r="A466" s="13" t="n">
        <v>45562</v>
      </c>
      <c r="B466" s="7" t="n">
        <v>58.42</v>
      </c>
      <c r="C466" s="7" t="n">
        <v>55.73</v>
      </c>
      <c r="D466" s="7" t="n">
        <v>43.53</v>
      </c>
      <c r="E466" s="7" t="n">
        <v>46.98</v>
      </c>
      <c r="F466" s="8" t="n">
        <v>68.31999999999999</v>
      </c>
      <c r="G466" s="8" t="n">
        <v>68.25</v>
      </c>
      <c r="H466" s="9" t="n">
        <v>70.81999999999999</v>
      </c>
      <c r="I466" s="7" t="n">
        <v>55.99</v>
      </c>
      <c r="J466" s="8" t="n">
        <v>69.28</v>
      </c>
      <c r="K466" s="8" t="n">
        <v>68.86</v>
      </c>
      <c r="L466" s="7" t="n">
        <v>55.62</v>
      </c>
    </row>
    <row r="467" ht="15" customHeight="1">
      <c r="A467" s="13" t="n">
        <v>45561</v>
      </c>
      <c r="B467" s="8" t="n">
        <v>62.1</v>
      </c>
      <c r="C467" s="7" t="n">
        <v>54.28</v>
      </c>
      <c r="D467" s="7" t="n">
        <v>43.88</v>
      </c>
      <c r="E467" s="7" t="n">
        <v>39.05</v>
      </c>
      <c r="F467" s="8" t="n">
        <v>69.43000000000001</v>
      </c>
      <c r="G467" s="8" t="n">
        <v>67.73999999999999</v>
      </c>
      <c r="H467" s="9" t="n">
        <v>70.44</v>
      </c>
      <c r="I467" s="7" t="n">
        <v>54.62</v>
      </c>
      <c r="J467" s="8" t="n">
        <v>65.77</v>
      </c>
      <c r="K467" s="8" t="n">
        <v>66.45999999999999</v>
      </c>
      <c r="L467" s="7" t="n">
        <v>54.71</v>
      </c>
    </row>
    <row r="468" ht="15" customHeight="1">
      <c r="A468" s="13" t="n">
        <v>45560</v>
      </c>
      <c r="B468" s="7" t="n">
        <v>58.72</v>
      </c>
      <c r="C468" s="7" t="n">
        <v>51.67</v>
      </c>
      <c r="D468" s="7" t="n">
        <v>41.03</v>
      </c>
      <c r="E468" s="7" t="n">
        <v>45.22</v>
      </c>
      <c r="F468" s="8" t="n">
        <v>62.97</v>
      </c>
      <c r="G468" s="8" t="n">
        <v>65.93000000000001</v>
      </c>
      <c r="H468" s="8" t="n">
        <v>69.38</v>
      </c>
      <c r="I468" s="7" t="n">
        <v>52.9</v>
      </c>
      <c r="J468" s="9" t="n">
        <v>71.01000000000001</v>
      </c>
      <c r="K468" s="8" t="n">
        <v>64.09</v>
      </c>
      <c r="L468" s="8" t="n">
        <v>63.58</v>
      </c>
    </row>
    <row r="469" ht="15" customHeight="1">
      <c r="A469" s="13" t="n">
        <v>45559</v>
      </c>
      <c r="B469" s="7" t="n">
        <v>57.96</v>
      </c>
      <c r="C469" s="7" t="n">
        <v>55.1</v>
      </c>
      <c r="D469" s="7" t="n">
        <v>47.64</v>
      </c>
      <c r="E469" s="7" t="n">
        <v>53.16</v>
      </c>
      <c r="F469" s="8" t="n">
        <v>67.26000000000001</v>
      </c>
      <c r="G469" s="8" t="n">
        <v>69.31999999999999</v>
      </c>
      <c r="H469" s="9" t="n">
        <v>71.39</v>
      </c>
      <c r="I469" s="7" t="n">
        <v>55.04</v>
      </c>
      <c r="J469" s="8" t="n">
        <v>69.27</v>
      </c>
      <c r="K469" s="8" t="n">
        <v>66.54000000000001</v>
      </c>
      <c r="L469" s="8" t="n">
        <v>67.98999999999999</v>
      </c>
    </row>
    <row r="470" ht="15" customHeight="1">
      <c r="A470" s="13" t="n">
        <v>45558</v>
      </c>
      <c r="B470" s="7" t="n">
        <v>56.21</v>
      </c>
      <c r="C470" s="8" t="n">
        <v>60.33</v>
      </c>
      <c r="D470" s="7" t="n">
        <v>49.16</v>
      </c>
      <c r="E470" s="7" t="n">
        <v>54.28</v>
      </c>
      <c r="F470" s="8" t="n">
        <v>62.47</v>
      </c>
      <c r="G470" s="8" t="n">
        <v>66.91</v>
      </c>
      <c r="H470" s="8" t="n">
        <v>69.40000000000001</v>
      </c>
      <c r="I470" s="7" t="n">
        <v>57.08</v>
      </c>
      <c r="J470" s="9" t="n">
        <v>74.92</v>
      </c>
      <c r="K470" s="8" t="n">
        <v>64.65000000000001</v>
      </c>
      <c r="L470" s="8" t="n">
        <v>67.98999999999999</v>
      </c>
    </row>
    <row r="471" ht="15" customHeight="1">
      <c r="A471" s="13" t="n">
        <v>45555</v>
      </c>
      <c r="B471" s="7" t="n">
        <v>56.85</v>
      </c>
      <c r="C471" s="8" t="n">
        <v>63.58</v>
      </c>
      <c r="D471" s="7" t="n">
        <v>53.68</v>
      </c>
      <c r="E471" s="7" t="n">
        <v>52.77</v>
      </c>
      <c r="F471" s="8" t="n">
        <v>60.83</v>
      </c>
      <c r="G471" s="8" t="n">
        <v>65.72</v>
      </c>
      <c r="H471" s="8" t="n">
        <v>66.97</v>
      </c>
      <c r="I471" s="7" t="n">
        <v>56.79</v>
      </c>
      <c r="J471" s="9" t="n">
        <v>74.06</v>
      </c>
      <c r="K471" s="8" t="n">
        <v>65.22</v>
      </c>
      <c r="L471" s="8" t="n">
        <v>66.06999999999999</v>
      </c>
    </row>
    <row r="472" ht="15" customHeight="1">
      <c r="A472" s="13" t="n">
        <v>45554</v>
      </c>
      <c r="B472" s="7" t="n">
        <v>58.37</v>
      </c>
      <c r="C472" s="8" t="n">
        <v>64.01000000000001</v>
      </c>
      <c r="D472" s="7" t="n">
        <v>57.22</v>
      </c>
      <c r="E472" s="7" t="n">
        <v>53.68</v>
      </c>
      <c r="F472" s="8" t="n">
        <v>65.29000000000001</v>
      </c>
      <c r="G472" s="9" t="n">
        <v>70.55</v>
      </c>
      <c r="H472" s="8" t="n">
        <v>68.11</v>
      </c>
      <c r="I472" s="7" t="n">
        <v>53.81</v>
      </c>
      <c r="J472" s="8" t="n">
        <v>64.81999999999999</v>
      </c>
      <c r="K472" s="8" t="n">
        <v>65.22</v>
      </c>
      <c r="L472" s="8" t="n">
        <v>67.75</v>
      </c>
    </row>
    <row r="473" ht="15" customHeight="1">
      <c r="A473" s="13" t="n">
        <v>45553</v>
      </c>
      <c r="B473" s="7" t="n">
        <v>51.18</v>
      </c>
      <c r="C473" s="7" t="n">
        <v>59.74</v>
      </c>
      <c r="D473" s="7" t="n">
        <v>54.8</v>
      </c>
      <c r="E473" s="7" t="n">
        <v>49.41</v>
      </c>
      <c r="F473" s="7" t="n">
        <v>59.48</v>
      </c>
      <c r="G473" s="8" t="n">
        <v>64.73999999999999</v>
      </c>
      <c r="H473" s="8" t="n">
        <v>62.28</v>
      </c>
      <c r="I473" s="7" t="n">
        <v>58.38</v>
      </c>
      <c r="J473" s="8" t="n">
        <v>69.98999999999999</v>
      </c>
      <c r="K473" s="8" t="n">
        <v>60.08</v>
      </c>
      <c r="L473" s="9" t="n">
        <v>70.02</v>
      </c>
    </row>
    <row r="474" ht="15" customHeight="1">
      <c r="A474" s="13" t="n">
        <v>45552</v>
      </c>
      <c r="B474" s="7" t="n">
        <v>53.86</v>
      </c>
      <c r="C474" s="8" t="n">
        <v>61.64</v>
      </c>
      <c r="D474" s="7" t="n">
        <v>56.17</v>
      </c>
      <c r="E474" s="7" t="n">
        <v>48.7</v>
      </c>
      <c r="F474" s="8" t="n">
        <v>62.22</v>
      </c>
      <c r="G474" s="8" t="n">
        <v>65.31999999999999</v>
      </c>
      <c r="H474" s="8" t="n">
        <v>63.21</v>
      </c>
      <c r="I474" s="8" t="n">
        <v>61.55</v>
      </c>
      <c r="J474" s="9" t="n">
        <v>77.47</v>
      </c>
      <c r="K474" s="8" t="n">
        <v>60.57</v>
      </c>
      <c r="L474" s="9" t="n">
        <v>72.7</v>
      </c>
    </row>
    <row r="475" ht="15" customHeight="1">
      <c r="A475" s="13" t="n">
        <v>45551</v>
      </c>
      <c r="B475" s="7" t="n">
        <v>54.43</v>
      </c>
      <c r="C475" s="7" t="n">
        <v>59.59</v>
      </c>
      <c r="D475" s="8" t="n">
        <v>65.7</v>
      </c>
      <c r="E475" s="7" t="n">
        <v>43.63</v>
      </c>
      <c r="F475" s="8" t="n">
        <v>61.48</v>
      </c>
      <c r="G475" s="8" t="n">
        <v>63.33</v>
      </c>
      <c r="H475" s="8" t="n">
        <v>61.85</v>
      </c>
      <c r="I475" s="9" t="n">
        <v>70.43000000000001</v>
      </c>
      <c r="J475" s="9" t="n">
        <v>78.25</v>
      </c>
      <c r="K475" s="8" t="n">
        <v>60.57</v>
      </c>
      <c r="L475" s="9" t="n">
        <v>80.64</v>
      </c>
    </row>
    <row r="476" ht="15" customHeight="1">
      <c r="A476" s="13" t="n">
        <v>45548</v>
      </c>
      <c r="B476" s="7" t="n">
        <v>55.49</v>
      </c>
      <c r="C476" s="7" t="n">
        <v>54.09</v>
      </c>
      <c r="D476" s="8" t="n">
        <v>61.68</v>
      </c>
      <c r="E476" s="7" t="n">
        <v>38.94</v>
      </c>
      <c r="F476" s="7" t="n">
        <v>57.8</v>
      </c>
      <c r="G476" s="8" t="n">
        <v>61.41</v>
      </c>
      <c r="H476" s="8" t="n">
        <v>62.57</v>
      </c>
      <c r="I476" s="8" t="n">
        <v>68.7</v>
      </c>
      <c r="J476" s="9" t="n">
        <v>76.01000000000001</v>
      </c>
      <c r="K476" s="7" t="n">
        <v>56.61</v>
      </c>
      <c r="L476" s="9" t="n">
        <v>79.78</v>
      </c>
    </row>
    <row r="477" ht="15" customHeight="1">
      <c r="A477" s="13" t="n">
        <v>45547</v>
      </c>
      <c r="B477" s="7" t="n">
        <v>54.41</v>
      </c>
      <c r="C477" s="7" t="n">
        <v>52.75</v>
      </c>
      <c r="D477" s="8" t="n">
        <v>60.4</v>
      </c>
      <c r="E477" s="7" t="n">
        <v>36.54</v>
      </c>
      <c r="F477" s="7" t="n">
        <v>53.85</v>
      </c>
      <c r="G477" s="7" t="n">
        <v>57.36</v>
      </c>
      <c r="H477" s="8" t="n">
        <v>60.9</v>
      </c>
      <c r="I477" s="8" t="n">
        <v>65.34</v>
      </c>
      <c r="J477" s="9" t="n">
        <v>70.98999999999999</v>
      </c>
      <c r="K477" s="7" t="n">
        <v>52.58</v>
      </c>
      <c r="L477" s="9" t="n">
        <v>77.84999999999999</v>
      </c>
    </row>
    <row r="478" ht="15" customHeight="1">
      <c r="A478" s="13" t="n">
        <v>45546</v>
      </c>
      <c r="B478" s="7" t="n">
        <v>52.66</v>
      </c>
      <c r="C478" s="7" t="n">
        <v>51.74</v>
      </c>
      <c r="D478" s="7" t="n">
        <v>58.13</v>
      </c>
      <c r="E478" s="7" t="n">
        <v>32.64</v>
      </c>
      <c r="F478" s="7" t="n">
        <v>49.41</v>
      </c>
      <c r="G478" s="7" t="n">
        <v>53.97</v>
      </c>
      <c r="H478" s="7" t="n">
        <v>58.04</v>
      </c>
      <c r="I478" s="8" t="n">
        <v>62.06</v>
      </c>
      <c r="J478" s="9" t="n">
        <v>70.08</v>
      </c>
      <c r="K478" s="7" t="n">
        <v>43.25</v>
      </c>
      <c r="L478" s="9" t="n">
        <v>77.34</v>
      </c>
    </row>
    <row r="479" ht="15" customHeight="1">
      <c r="A479" s="13" t="n">
        <v>45545</v>
      </c>
      <c r="B479" s="7" t="n">
        <v>44.82</v>
      </c>
      <c r="C479" s="7" t="n">
        <v>53.98</v>
      </c>
      <c r="D479" s="8" t="n">
        <v>60.79</v>
      </c>
      <c r="E479" s="7" t="n">
        <v>34.7</v>
      </c>
      <c r="F479" s="7" t="n">
        <v>48.19</v>
      </c>
      <c r="G479" s="7" t="n">
        <v>53.16</v>
      </c>
      <c r="H479" s="7" t="n">
        <v>55.39</v>
      </c>
      <c r="I479" s="9" t="n">
        <v>71.68000000000001</v>
      </c>
      <c r="J479" s="8" t="n">
        <v>68.8</v>
      </c>
      <c r="K479" s="7" t="n">
        <v>40.86</v>
      </c>
      <c r="L479" s="9" t="n">
        <v>79.87</v>
      </c>
    </row>
    <row r="480" ht="15" customHeight="1">
      <c r="A480" s="13" t="n">
        <v>45544</v>
      </c>
      <c r="B480" s="7" t="n">
        <v>40.89</v>
      </c>
      <c r="C480" s="7" t="n">
        <v>59.2</v>
      </c>
      <c r="D480" s="7" t="n">
        <v>58.04</v>
      </c>
      <c r="E480" s="7" t="n">
        <v>39</v>
      </c>
      <c r="F480" s="7" t="n">
        <v>47.98</v>
      </c>
      <c r="G480" s="7" t="n">
        <v>52.43</v>
      </c>
      <c r="H480" s="7" t="n">
        <v>52.2</v>
      </c>
      <c r="I480" s="9" t="n">
        <v>71.94</v>
      </c>
      <c r="J480" s="8" t="n">
        <v>66.83</v>
      </c>
      <c r="K480" s="7" t="n">
        <v>40.95</v>
      </c>
      <c r="L480" s="9" t="n">
        <v>74.93000000000001</v>
      </c>
    </row>
    <row r="481" ht="15" customHeight="1">
      <c r="A481" s="13" t="n">
        <v>45541</v>
      </c>
      <c r="B481" s="7" t="n">
        <v>36.36</v>
      </c>
      <c r="C481" s="7" t="n">
        <v>53.17</v>
      </c>
      <c r="D481" s="7" t="n">
        <v>53.42</v>
      </c>
      <c r="E481" s="7" t="n">
        <v>35.93</v>
      </c>
      <c r="F481" s="7" t="n">
        <v>43.32</v>
      </c>
      <c r="G481" s="7" t="n">
        <v>45.43</v>
      </c>
      <c r="H481" s="7" t="n">
        <v>47.86</v>
      </c>
      <c r="I481" s="8" t="n">
        <v>68.47</v>
      </c>
      <c r="J481" s="8" t="n">
        <v>62.05</v>
      </c>
      <c r="K481" s="7" t="n">
        <v>38.65</v>
      </c>
      <c r="L481" s="9" t="n">
        <v>70.43000000000001</v>
      </c>
    </row>
    <row r="482" ht="15" customHeight="1">
      <c r="A482" s="13" t="n">
        <v>45540</v>
      </c>
      <c r="B482" s="7" t="n">
        <v>41.12</v>
      </c>
      <c r="C482" s="8" t="n">
        <v>61.62</v>
      </c>
      <c r="D482" s="7" t="n">
        <v>56.24</v>
      </c>
      <c r="E482" s="7" t="n">
        <v>39.14</v>
      </c>
      <c r="F482" s="7" t="n">
        <v>48.67</v>
      </c>
      <c r="G482" s="7" t="n">
        <v>49.99</v>
      </c>
      <c r="H482" s="7" t="n">
        <v>56.3</v>
      </c>
      <c r="I482" s="9" t="n">
        <v>70.63</v>
      </c>
      <c r="J482" s="9" t="n">
        <v>71.05</v>
      </c>
      <c r="K482" s="7" t="n">
        <v>47.12</v>
      </c>
      <c r="L482" s="9" t="n">
        <v>70.43000000000001</v>
      </c>
    </row>
    <row r="483" ht="15" customHeight="1">
      <c r="A483" s="13" t="n">
        <v>45539</v>
      </c>
      <c r="B483" s="7" t="n">
        <v>41.41</v>
      </c>
      <c r="C483" s="8" t="n">
        <v>69.38</v>
      </c>
      <c r="D483" s="9" t="n">
        <v>70.19</v>
      </c>
      <c r="E483" s="7" t="n">
        <v>41.28</v>
      </c>
      <c r="F483" s="7" t="n">
        <v>52.44</v>
      </c>
      <c r="G483" s="7" t="n">
        <v>56.08</v>
      </c>
      <c r="H483" s="7" t="n">
        <v>52.88</v>
      </c>
      <c r="I483" s="9" t="n">
        <v>74.73999999999999</v>
      </c>
      <c r="J483" s="9" t="n">
        <v>73.64</v>
      </c>
      <c r="K483" s="7" t="n">
        <v>45.57</v>
      </c>
      <c r="L483" s="9" t="n">
        <v>73.03</v>
      </c>
    </row>
    <row r="484" ht="15" customHeight="1">
      <c r="A484" s="13" t="n">
        <v>45538</v>
      </c>
      <c r="B484" s="7" t="n">
        <v>41.89</v>
      </c>
      <c r="C484" s="8" t="n">
        <v>69.01000000000001</v>
      </c>
      <c r="D484" s="9" t="n">
        <v>72.28</v>
      </c>
      <c r="E484" s="7" t="n">
        <v>45.46</v>
      </c>
      <c r="F484" s="7" t="n">
        <v>54.5</v>
      </c>
      <c r="G484" s="7" t="n">
        <v>55.64</v>
      </c>
      <c r="H484" s="7" t="n">
        <v>52.08</v>
      </c>
      <c r="I484" s="9" t="n">
        <v>72.95999999999999</v>
      </c>
      <c r="J484" s="9" t="n">
        <v>70.2</v>
      </c>
      <c r="K484" s="7" t="n">
        <v>47.7</v>
      </c>
      <c r="L484" s="9" t="n">
        <v>72.23999999999999</v>
      </c>
    </row>
    <row r="485" ht="15" customHeight="1">
      <c r="A485" s="13" t="n">
        <v>45537</v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 ht="15" customHeight="1">
      <c r="A486" s="13" t="n">
        <v>45534</v>
      </c>
      <c r="B486" s="7" t="n">
        <v>52.29</v>
      </c>
      <c r="C486" s="9" t="n">
        <v>74.58</v>
      </c>
      <c r="D486" s="9" t="n">
        <v>74.58</v>
      </c>
      <c r="E486" s="7" t="n">
        <v>54.99</v>
      </c>
      <c r="F486" s="8" t="n">
        <v>68.64</v>
      </c>
      <c r="G486" s="9" t="n">
        <v>70.04000000000001</v>
      </c>
      <c r="H486" s="7" t="n">
        <v>56.86</v>
      </c>
      <c r="I486" s="9" t="n">
        <v>70.04000000000001</v>
      </c>
      <c r="J486" s="9" t="n">
        <v>71.67</v>
      </c>
      <c r="K486" s="7" t="n">
        <v>57.39</v>
      </c>
      <c r="L486" s="9" t="n">
        <v>71.45999999999999</v>
      </c>
    </row>
    <row r="487" ht="15" customHeight="1">
      <c r="A487" s="13" t="n">
        <v>45533</v>
      </c>
      <c r="B487" s="7" t="n">
        <v>48.92</v>
      </c>
      <c r="C487" s="9" t="n">
        <v>71.92</v>
      </c>
      <c r="D487" s="9" t="n">
        <v>71.56</v>
      </c>
      <c r="E487" s="7" t="n">
        <v>53.64</v>
      </c>
      <c r="F487" s="8" t="n">
        <v>64.58</v>
      </c>
      <c r="G487" s="8" t="n">
        <v>66.16</v>
      </c>
      <c r="H487" s="7" t="n">
        <v>52.48</v>
      </c>
      <c r="I487" s="8" t="n">
        <v>66.26000000000001</v>
      </c>
      <c r="J487" s="8" t="n">
        <v>68.48999999999999</v>
      </c>
      <c r="K487" s="7" t="n">
        <v>54.26</v>
      </c>
      <c r="L487" s="8" t="n">
        <v>67.94</v>
      </c>
    </row>
    <row r="488" ht="15" customHeight="1">
      <c r="A488" s="13" t="n">
        <v>45532</v>
      </c>
      <c r="B488" s="7" t="n">
        <v>51.22</v>
      </c>
      <c r="C488" s="8" t="n">
        <v>69.13</v>
      </c>
      <c r="D488" s="9" t="n">
        <v>70.56999999999999</v>
      </c>
      <c r="E488" s="7" t="n">
        <v>48.72</v>
      </c>
      <c r="F488" s="8" t="n">
        <v>62.31</v>
      </c>
      <c r="G488" s="8" t="n">
        <v>63.26</v>
      </c>
      <c r="H488" s="7" t="n">
        <v>52.12</v>
      </c>
      <c r="I488" s="9" t="n">
        <v>71.55</v>
      </c>
      <c r="J488" s="8" t="n">
        <v>65.94</v>
      </c>
      <c r="K488" s="7" t="n">
        <v>55.44</v>
      </c>
      <c r="L488" s="9" t="n">
        <v>71.23999999999999</v>
      </c>
    </row>
    <row r="489" ht="15" customHeight="1">
      <c r="A489" s="13" t="n">
        <v>45531</v>
      </c>
      <c r="B489" s="7" t="n">
        <v>54.93</v>
      </c>
      <c r="C489" s="8" t="n">
        <v>68.33</v>
      </c>
      <c r="D489" s="9" t="n">
        <v>70.04000000000001</v>
      </c>
      <c r="E489" s="7" t="n">
        <v>51.22</v>
      </c>
      <c r="F489" s="8" t="n">
        <v>65.36</v>
      </c>
      <c r="G489" s="8" t="n">
        <v>63.59</v>
      </c>
      <c r="H489" s="7" t="n">
        <v>55.28</v>
      </c>
      <c r="I489" s="9" t="n">
        <v>76.39</v>
      </c>
      <c r="J489" s="8" t="n">
        <v>65.94</v>
      </c>
      <c r="K489" s="7" t="n">
        <v>59.27</v>
      </c>
      <c r="L489" s="9" t="n">
        <v>74.2</v>
      </c>
    </row>
    <row r="490" ht="15" customHeight="1">
      <c r="A490" s="13" t="n">
        <v>45530</v>
      </c>
      <c r="B490" s="7" t="n">
        <v>53.57</v>
      </c>
      <c r="C490" s="8" t="n">
        <v>66.64</v>
      </c>
      <c r="D490" s="8" t="n">
        <v>69.36</v>
      </c>
      <c r="E490" s="7" t="n">
        <v>55.07</v>
      </c>
      <c r="F490" s="8" t="n">
        <v>65.31999999999999</v>
      </c>
      <c r="G490" s="8" t="n">
        <v>63.36</v>
      </c>
      <c r="H490" s="7" t="n">
        <v>56.14</v>
      </c>
      <c r="I490" s="9" t="n">
        <v>75.51000000000001</v>
      </c>
      <c r="J490" s="9" t="n">
        <v>73.44</v>
      </c>
      <c r="K490" s="8" t="n">
        <v>60.61</v>
      </c>
      <c r="L490" s="9" t="n">
        <v>73.45</v>
      </c>
    </row>
    <row r="491" ht="15" customHeight="1">
      <c r="A491" s="13" t="n">
        <v>45527</v>
      </c>
      <c r="B491" s="7" t="n">
        <v>56.92</v>
      </c>
      <c r="C491" s="8" t="n">
        <v>65.61</v>
      </c>
      <c r="D491" s="8" t="n">
        <v>69.84999999999999</v>
      </c>
      <c r="E491" s="7" t="n">
        <v>51.87</v>
      </c>
      <c r="F491" s="8" t="n">
        <v>63.75</v>
      </c>
      <c r="G491" s="8" t="n">
        <v>64.04000000000001</v>
      </c>
      <c r="H491" s="7" t="n">
        <v>58.67</v>
      </c>
      <c r="I491" s="9" t="n">
        <v>72.78</v>
      </c>
      <c r="J491" s="9" t="n">
        <v>70.93000000000001</v>
      </c>
      <c r="K491" s="7" t="n">
        <v>59.77</v>
      </c>
      <c r="L491" s="9" t="n">
        <v>73.98999999999999</v>
      </c>
    </row>
    <row r="492" ht="15" customHeight="1">
      <c r="A492" s="13" t="n">
        <v>45526</v>
      </c>
      <c r="B492" s="7" t="n">
        <v>53.49</v>
      </c>
      <c r="C492" s="8" t="n">
        <v>62.69</v>
      </c>
      <c r="D492" s="8" t="n">
        <v>68.09</v>
      </c>
      <c r="E492" s="7" t="n">
        <v>46</v>
      </c>
      <c r="F492" s="7" t="n">
        <v>58.61</v>
      </c>
      <c r="G492" s="8" t="n">
        <v>60.42</v>
      </c>
      <c r="H492" s="7" t="n">
        <v>53.98</v>
      </c>
      <c r="I492" s="9" t="n">
        <v>71.62</v>
      </c>
      <c r="J492" s="8" t="n">
        <v>69.8</v>
      </c>
      <c r="K492" s="7" t="n">
        <v>57.16</v>
      </c>
      <c r="L492" s="8" t="n">
        <v>67.95999999999999</v>
      </c>
    </row>
    <row r="493" ht="15" customHeight="1">
      <c r="A493" s="13" t="n">
        <v>45525</v>
      </c>
      <c r="B493" s="7" t="n">
        <v>59.94</v>
      </c>
      <c r="C493" s="8" t="n">
        <v>60.65</v>
      </c>
      <c r="D493" s="8" t="n">
        <v>67.83</v>
      </c>
      <c r="E493" s="7" t="n">
        <v>44.92</v>
      </c>
      <c r="F493" s="7" t="n">
        <v>59.85</v>
      </c>
      <c r="G493" s="8" t="n">
        <v>61.13</v>
      </c>
      <c r="H493" s="7" t="n">
        <v>59.7</v>
      </c>
      <c r="I493" s="9" t="n">
        <v>73.14</v>
      </c>
      <c r="J493" s="9" t="n">
        <v>70.90000000000001</v>
      </c>
      <c r="K493" s="8" t="n">
        <v>61.14</v>
      </c>
      <c r="L493" s="8" t="n">
        <v>65.61</v>
      </c>
    </row>
    <row r="494" ht="15" customHeight="1">
      <c r="A494" s="13" t="n">
        <v>45524</v>
      </c>
      <c r="B494" s="7" t="n">
        <v>58.77</v>
      </c>
      <c r="C494" s="8" t="n">
        <v>61.52</v>
      </c>
      <c r="D494" s="8" t="n">
        <v>67.19</v>
      </c>
      <c r="E494" s="7" t="n">
        <v>44.25</v>
      </c>
      <c r="F494" s="7" t="n">
        <v>55.02</v>
      </c>
      <c r="G494" s="7" t="n">
        <v>58.96</v>
      </c>
      <c r="H494" s="7" t="n">
        <v>56.62</v>
      </c>
      <c r="I494" s="9" t="n">
        <v>70.48</v>
      </c>
      <c r="J494" s="8" t="n">
        <v>68.15000000000001</v>
      </c>
      <c r="K494" s="7" t="n">
        <v>59.68</v>
      </c>
      <c r="L494" s="8" t="n">
        <v>64.3</v>
      </c>
    </row>
    <row r="495" ht="15" customHeight="1">
      <c r="A495" s="13" t="n">
        <v>45523</v>
      </c>
      <c r="B495" s="7" t="n">
        <v>59.74</v>
      </c>
      <c r="C495" s="8" t="n">
        <v>63.21</v>
      </c>
      <c r="D495" s="8" t="n">
        <v>65.66</v>
      </c>
      <c r="E495" s="7" t="n">
        <v>54.08</v>
      </c>
      <c r="F495" s="7" t="n">
        <v>57.04</v>
      </c>
      <c r="G495" s="8" t="n">
        <v>60.38</v>
      </c>
      <c r="H495" s="7" t="n">
        <v>56.91</v>
      </c>
      <c r="I495" s="8" t="n">
        <v>68.36</v>
      </c>
      <c r="J495" s="9" t="n">
        <v>70.01000000000001</v>
      </c>
      <c r="K495" s="8" t="n">
        <v>60.02</v>
      </c>
      <c r="L495" s="8" t="n">
        <v>63.94</v>
      </c>
    </row>
    <row r="496" ht="15" customHeight="1">
      <c r="A496" s="13" t="n">
        <v>45520</v>
      </c>
      <c r="B496" s="7" t="n">
        <v>56.66</v>
      </c>
      <c r="C496" s="8" t="n">
        <v>61.53</v>
      </c>
      <c r="D496" s="8" t="n">
        <v>63.28</v>
      </c>
      <c r="E496" s="7" t="n">
        <v>51.54</v>
      </c>
      <c r="F496" s="7" t="n">
        <v>55.05</v>
      </c>
      <c r="G496" s="7" t="n">
        <v>58.33</v>
      </c>
      <c r="H496" s="7" t="n">
        <v>53.97</v>
      </c>
      <c r="I496" s="8" t="n">
        <v>66.87</v>
      </c>
      <c r="J496" s="8" t="n">
        <v>67.48999999999999</v>
      </c>
      <c r="K496" s="7" t="n">
        <v>56.24</v>
      </c>
      <c r="L496" s="8" t="n">
        <v>61.67</v>
      </c>
    </row>
    <row r="497" ht="15" customHeight="1">
      <c r="A497" s="13" t="n">
        <v>45519</v>
      </c>
      <c r="B497" s="7" t="n">
        <v>56.34</v>
      </c>
      <c r="C497" s="7" t="n">
        <v>59.21</v>
      </c>
      <c r="D497" s="8" t="n">
        <v>62.87</v>
      </c>
      <c r="E497" s="7" t="n">
        <v>51.98</v>
      </c>
      <c r="F497" s="7" t="n">
        <v>54.54</v>
      </c>
      <c r="G497" s="7" t="n">
        <v>58.99</v>
      </c>
      <c r="H497" s="7" t="n">
        <v>53.41</v>
      </c>
      <c r="I497" s="8" t="n">
        <v>65.65000000000001</v>
      </c>
      <c r="J497" s="8" t="n">
        <v>65.7</v>
      </c>
      <c r="K497" s="7" t="n">
        <v>55.2</v>
      </c>
      <c r="L497" s="8" t="n">
        <v>61.96</v>
      </c>
    </row>
    <row r="498" ht="15" customHeight="1">
      <c r="A498" s="13" t="n">
        <v>45518</v>
      </c>
      <c r="B498" s="7" t="n">
        <v>50.8</v>
      </c>
      <c r="C498" s="7" t="n">
        <v>56.15</v>
      </c>
      <c r="D498" s="8" t="n">
        <v>60.43</v>
      </c>
      <c r="E498" s="7" t="n">
        <v>47.55</v>
      </c>
      <c r="F498" s="7" t="n">
        <v>47.58</v>
      </c>
      <c r="G498" s="7" t="n">
        <v>54.47</v>
      </c>
      <c r="H498" s="7" t="n">
        <v>45.24</v>
      </c>
      <c r="I498" s="8" t="n">
        <v>60.62</v>
      </c>
      <c r="J498" s="8" t="n">
        <v>65.8</v>
      </c>
      <c r="K498" s="7" t="n">
        <v>52.05</v>
      </c>
      <c r="L498" s="8" t="n">
        <v>63.63</v>
      </c>
    </row>
    <row r="499" ht="15" customHeight="1">
      <c r="A499" s="13" t="n">
        <v>45517</v>
      </c>
      <c r="B499" s="7" t="n">
        <v>49.68</v>
      </c>
      <c r="C499" s="7" t="n">
        <v>51.79</v>
      </c>
      <c r="D499" s="7" t="n">
        <v>59.01</v>
      </c>
      <c r="E499" s="7" t="n">
        <v>45.27</v>
      </c>
      <c r="F499" s="7" t="n">
        <v>47.58</v>
      </c>
      <c r="G499" s="7" t="n">
        <v>53.02</v>
      </c>
      <c r="H499" s="7" t="n">
        <v>46.51</v>
      </c>
      <c r="I499" s="7" t="n">
        <v>58.12</v>
      </c>
      <c r="J499" s="8" t="n">
        <v>66.28</v>
      </c>
      <c r="K499" s="7" t="n">
        <v>54.3</v>
      </c>
      <c r="L499" s="8" t="n">
        <v>62.46</v>
      </c>
    </row>
    <row r="500" ht="15" customHeight="1">
      <c r="A500" s="13" t="n">
        <v>45516</v>
      </c>
      <c r="B500" s="7" t="n">
        <v>43.12</v>
      </c>
      <c r="C500" s="7" t="n">
        <v>48.59</v>
      </c>
      <c r="D500" s="7" t="n">
        <v>53.85</v>
      </c>
      <c r="E500" s="7" t="n">
        <v>48.55</v>
      </c>
      <c r="F500" s="7" t="n">
        <v>42.88</v>
      </c>
      <c r="G500" s="7" t="n">
        <v>49.19</v>
      </c>
      <c r="H500" s="7" t="n">
        <v>39.24</v>
      </c>
      <c r="I500" s="7" t="n">
        <v>55.5</v>
      </c>
      <c r="J500" s="8" t="n">
        <v>64.2</v>
      </c>
      <c r="K500" s="7" t="n">
        <v>49.78</v>
      </c>
      <c r="L500" s="8" t="n">
        <v>60.16</v>
      </c>
    </row>
    <row r="501" ht="15" customHeight="1">
      <c r="A501" s="13" t="n">
        <v>45513</v>
      </c>
      <c r="B501" s="7" t="n">
        <v>41.25</v>
      </c>
      <c r="C501" s="7" t="n">
        <v>50.54</v>
      </c>
      <c r="D501" s="7" t="n">
        <v>55.91</v>
      </c>
      <c r="E501" s="7" t="n">
        <v>46.74</v>
      </c>
      <c r="F501" s="7" t="n">
        <v>44.52</v>
      </c>
      <c r="G501" s="7" t="n">
        <v>51.07</v>
      </c>
      <c r="H501" s="7" t="n">
        <v>40.04</v>
      </c>
      <c r="I501" s="7" t="n">
        <v>59.33</v>
      </c>
      <c r="J501" s="8" t="n">
        <v>63.57</v>
      </c>
      <c r="K501" s="7" t="n">
        <v>52.36</v>
      </c>
      <c r="L501" s="8" t="n">
        <v>63.26</v>
      </c>
    </row>
    <row r="502" ht="15" customHeight="1">
      <c r="A502" s="13" t="n">
        <v>45512</v>
      </c>
      <c r="B502" s="7" t="n">
        <v>40.25</v>
      </c>
      <c r="C502" s="7" t="n">
        <v>48.98</v>
      </c>
      <c r="D502" s="7" t="n">
        <v>53.77</v>
      </c>
      <c r="E502" s="7" t="n">
        <v>45.94</v>
      </c>
      <c r="F502" s="7" t="n">
        <v>44.81</v>
      </c>
      <c r="G502" s="7" t="n">
        <v>51.01</v>
      </c>
      <c r="H502" s="7" t="n">
        <v>39.07</v>
      </c>
      <c r="I502" s="7" t="n">
        <v>58.53</v>
      </c>
      <c r="J502" s="8" t="n">
        <v>62.38</v>
      </c>
      <c r="K502" s="7" t="n">
        <v>49.38</v>
      </c>
      <c r="L502" s="8" t="n">
        <v>61.72</v>
      </c>
    </row>
    <row r="503" ht="15" customHeight="1">
      <c r="A503" s="13" t="n">
        <v>45511</v>
      </c>
      <c r="B503" s="7" t="n">
        <v>31.57</v>
      </c>
      <c r="C503" s="7" t="n">
        <v>42.73</v>
      </c>
      <c r="D503" s="7" t="n">
        <v>42.51</v>
      </c>
      <c r="E503" s="7" t="n">
        <v>37.75</v>
      </c>
      <c r="F503" s="7" t="n">
        <v>37.62</v>
      </c>
      <c r="G503" s="7" t="n">
        <v>42.63</v>
      </c>
      <c r="H503" s="7" t="n">
        <v>32.57</v>
      </c>
      <c r="I503" s="7" t="n">
        <v>53.52</v>
      </c>
      <c r="J503" s="8" t="n">
        <v>62.01</v>
      </c>
      <c r="K503" s="7" t="n">
        <v>41.61</v>
      </c>
      <c r="L503" s="7" t="n">
        <v>59.06</v>
      </c>
    </row>
    <row r="504" ht="15" customHeight="1">
      <c r="A504" s="13" t="n">
        <v>45510</v>
      </c>
      <c r="B504" s="7" t="n">
        <v>33.56</v>
      </c>
      <c r="C504" s="7" t="n">
        <v>42.24</v>
      </c>
      <c r="D504" s="7" t="n">
        <v>47.5</v>
      </c>
      <c r="E504" s="7" t="n">
        <v>36.08</v>
      </c>
      <c r="F504" s="7" t="n">
        <v>42.15</v>
      </c>
      <c r="G504" s="7" t="n">
        <v>44.1</v>
      </c>
      <c r="H504" s="7" t="n">
        <v>35.42</v>
      </c>
      <c r="I504" s="7" t="n">
        <v>52.93</v>
      </c>
      <c r="J504" s="8" t="n">
        <v>60.17</v>
      </c>
      <c r="K504" s="7" t="n">
        <v>43.26</v>
      </c>
      <c r="L504" s="8" t="n">
        <v>62.52</v>
      </c>
    </row>
    <row r="505" ht="15" customHeight="1">
      <c r="A505" s="13" t="n">
        <v>45509</v>
      </c>
      <c r="B505" s="7" t="n">
        <v>30.17</v>
      </c>
      <c r="C505" s="7" t="n">
        <v>35.46</v>
      </c>
      <c r="D505" s="7" t="n">
        <v>44.77</v>
      </c>
      <c r="E505" s="7" t="n">
        <v>33.57</v>
      </c>
      <c r="F505" s="7" t="n">
        <v>39.61</v>
      </c>
      <c r="G505" s="7" t="n">
        <v>39.3</v>
      </c>
      <c r="H505" s="7" t="n">
        <v>31.96</v>
      </c>
      <c r="I505" s="7" t="n">
        <v>48.82</v>
      </c>
      <c r="J505" s="7" t="n">
        <v>57.29</v>
      </c>
      <c r="K505" s="7" t="n">
        <v>38.27</v>
      </c>
      <c r="L505" s="7" t="n">
        <v>55.23</v>
      </c>
    </row>
    <row r="506" ht="15" customHeight="1">
      <c r="A506" s="13" t="n">
        <v>45506</v>
      </c>
      <c r="B506" s="7" t="n">
        <v>34.29</v>
      </c>
      <c r="C506" s="7" t="n">
        <v>44.4</v>
      </c>
      <c r="D506" s="8" t="n">
        <v>62.72</v>
      </c>
      <c r="E506" s="7" t="n">
        <v>38.77</v>
      </c>
      <c r="F506" s="7" t="n">
        <v>48.41</v>
      </c>
      <c r="G506" s="7" t="n">
        <v>44.52</v>
      </c>
      <c r="H506" s="7" t="n">
        <v>36.79</v>
      </c>
      <c r="I506" s="8" t="n">
        <v>63.74</v>
      </c>
      <c r="J506" s="9" t="n">
        <v>73</v>
      </c>
      <c r="K506" s="7" t="n">
        <v>48.11</v>
      </c>
      <c r="L506" s="9" t="n">
        <v>72.93000000000001</v>
      </c>
    </row>
    <row r="507" ht="15" customHeight="1">
      <c r="A507" s="13" t="n">
        <v>45505</v>
      </c>
      <c r="B507" s="7" t="n">
        <v>38.54</v>
      </c>
      <c r="C507" s="7" t="n">
        <v>55.74</v>
      </c>
      <c r="D507" s="8" t="n">
        <v>64.51000000000001</v>
      </c>
      <c r="E507" s="7" t="n">
        <v>46.86</v>
      </c>
      <c r="F507" s="7" t="n">
        <v>58.86</v>
      </c>
      <c r="G507" s="7" t="n">
        <v>52.98</v>
      </c>
      <c r="H507" s="7" t="n">
        <v>45.4</v>
      </c>
      <c r="I507" s="7" t="n">
        <v>58.54</v>
      </c>
      <c r="J507" s="9" t="n">
        <v>72.56999999999999</v>
      </c>
      <c r="K507" s="7" t="n">
        <v>55.79</v>
      </c>
      <c r="L507" s="9" t="n">
        <v>72.73</v>
      </c>
    </row>
    <row r="508" ht="15" customHeight="1">
      <c r="A508" s="13" t="n">
        <v>45504</v>
      </c>
      <c r="B508" s="7" t="n">
        <v>45.8</v>
      </c>
      <c r="C508" s="8" t="n">
        <v>64.72</v>
      </c>
      <c r="D508" s="7" t="n">
        <v>58.97</v>
      </c>
      <c r="E508" s="7" t="n">
        <v>58.9</v>
      </c>
      <c r="F508" s="8" t="n">
        <v>61.49</v>
      </c>
      <c r="G508" s="8" t="n">
        <v>62.44</v>
      </c>
      <c r="H508" s="7" t="n">
        <v>53.32</v>
      </c>
      <c r="I508" s="7" t="n">
        <v>51.84</v>
      </c>
      <c r="J508" s="8" t="n">
        <v>67.33</v>
      </c>
      <c r="K508" s="7" t="n">
        <v>54.09</v>
      </c>
      <c r="L508" s="8" t="n">
        <v>68.02</v>
      </c>
    </row>
    <row r="509" ht="15" customHeight="1">
      <c r="A509" s="13" t="n">
        <v>45503</v>
      </c>
      <c r="B509" s="7" t="n">
        <v>33.04</v>
      </c>
      <c r="C509" s="8" t="n">
        <v>66.48999999999999</v>
      </c>
      <c r="D509" s="8" t="n">
        <v>62.21</v>
      </c>
      <c r="E509" s="7" t="n">
        <v>57.3</v>
      </c>
      <c r="F509" s="7" t="n">
        <v>56.89</v>
      </c>
      <c r="G509" s="7" t="n">
        <v>58.32</v>
      </c>
      <c r="H509" s="7" t="n">
        <v>48.09</v>
      </c>
      <c r="I509" s="7" t="n">
        <v>53.4</v>
      </c>
      <c r="J509" s="8" t="n">
        <v>62.62</v>
      </c>
      <c r="K509" s="7" t="n">
        <v>48.81</v>
      </c>
      <c r="L509" s="8" t="n">
        <v>69.77</v>
      </c>
    </row>
    <row r="510" ht="15" customHeight="1">
      <c r="A510" s="13" t="n">
        <v>45502</v>
      </c>
      <c r="B510" s="7" t="n">
        <v>38.11</v>
      </c>
      <c r="C510" s="8" t="n">
        <v>62.13</v>
      </c>
      <c r="D510" s="8" t="n">
        <v>61.75</v>
      </c>
      <c r="E510" s="7" t="n">
        <v>50.78</v>
      </c>
      <c r="F510" s="7" t="n">
        <v>58.95</v>
      </c>
      <c r="G510" s="7" t="n">
        <v>57.18</v>
      </c>
      <c r="H510" s="7" t="n">
        <v>49.96</v>
      </c>
      <c r="I510" s="7" t="n">
        <v>59.7</v>
      </c>
      <c r="J510" s="8" t="n">
        <v>60.51</v>
      </c>
      <c r="K510" s="7" t="n">
        <v>46.9</v>
      </c>
      <c r="L510" s="8" t="n">
        <v>67.43000000000001</v>
      </c>
    </row>
    <row r="511" ht="15" customHeight="1">
      <c r="A511" s="13" t="n">
        <v>45499</v>
      </c>
      <c r="B511" s="7" t="n">
        <v>39.1</v>
      </c>
      <c r="C511" s="8" t="n">
        <v>63.04</v>
      </c>
      <c r="D511" s="8" t="n">
        <v>61.44</v>
      </c>
      <c r="E511" s="7" t="n">
        <v>55.12</v>
      </c>
      <c r="F511" s="7" t="n">
        <v>58.2</v>
      </c>
      <c r="G511" s="7" t="n">
        <v>58.06</v>
      </c>
      <c r="H511" s="7" t="n">
        <v>43.97</v>
      </c>
      <c r="I511" s="7" t="n">
        <v>59.45</v>
      </c>
      <c r="J511" s="7" t="n">
        <v>58.64</v>
      </c>
      <c r="K511" s="7" t="n">
        <v>42.58</v>
      </c>
      <c r="L511" s="8" t="n">
        <v>65.28</v>
      </c>
    </row>
    <row r="512" ht="15" customHeight="1">
      <c r="A512" s="13" t="n">
        <v>45498</v>
      </c>
      <c r="B512" s="7" t="n">
        <v>34.66</v>
      </c>
      <c r="C512" s="7" t="n">
        <v>56.4</v>
      </c>
      <c r="D512" s="7" t="n">
        <v>58.61</v>
      </c>
      <c r="E512" s="7" t="n">
        <v>53.78</v>
      </c>
      <c r="F512" s="7" t="n">
        <v>50.47</v>
      </c>
      <c r="G512" s="7" t="n">
        <v>51.38</v>
      </c>
      <c r="H512" s="7" t="n">
        <v>39.51</v>
      </c>
      <c r="I512" s="7" t="n">
        <v>52.14</v>
      </c>
      <c r="J512" s="7" t="n">
        <v>54.31</v>
      </c>
      <c r="K512" s="7" t="n">
        <v>31.85</v>
      </c>
      <c r="L512" s="7" t="n">
        <v>58.75</v>
      </c>
    </row>
    <row r="513" ht="15" customHeight="1">
      <c r="A513" s="13" t="n">
        <v>45497</v>
      </c>
      <c r="B513" s="7" t="n">
        <v>36.78</v>
      </c>
      <c r="C513" s="7" t="n">
        <v>54.58</v>
      </c>
      <c r="D513" s="8" t="n">
        <v>62.42</v>
      </c>
      <c r="E513" s="7" t="n">
        <v>45.61</v>
      </c>
      <c r="F513" s="7" t="n">
        <v>48.97</v>
      </c>
      <c r="G513" s="7" t="n">
        <v>47.77</v>
      </c>
      <c r="H513" s="7" t="n">
        <v>40.56</v>
      </c>
      <c r="I513" s="7" t="n">
        <v>53.16</v>
      </c>
      <c r="J513" s="7" t="n">
        <v>59.24</v>
      </c>
      <c r="K513" s="7" t="n">
        <v>35.71</v>
      </c>
      <c r="L513" s="8" t="n">
        <v>62.32</v>
      </c>
    </row>
    <row r="514" ht="15" customHeight="1">
      <c r="A514" s="13" t="n">
        <v>45496</v>
      </c>
      <c r="B514" s="7" t="n">
        <v>47.75</v>
      </c>
      <c r="C514" s="8" t="n">
        <v>63.64</v>
      </c>
      <c r="D514" s="7" t="n">
        <v>58.25</v>
      </c>
      <c r="E514" s="7" t="n">
        <v>45.56</v>
      </c>
      <c r="F514" s="7" t="n">
        <v>56.28</v>
      </c>
      <c r="G514" s="7" t="n">
        <v>58.88</v>
      </c>
      <c r="H514" s="7" t="n">
        <v>55.53</v>
      </c>
      <c r="I514" s="7" t="n">
        <v>53.91</v>
      </c>
      <c r="J514" s="7" t="n">
        <v>54.06</v>
      </c>
      <c r="K514" s="7" t="n">
        <v>48.36</v>
      </c>
      <c r="L514" s="9" t="n">
        <v>72.79000000000001</v>
      </c>
    </row>
    <row r="515" ht="15" customHeight="1">
      <c r="A515" s="13" t="n">
        <v>45495</v>
      </c>
      <c r="B515" s="7" t="n">
        <v>49.06</v>
      </c>
      <c r="C515" s="8" t="n">
        <v>62.86</v>
      </c>
      <c r="D515" s="7" t="n">
        <v>58.69</v>
      </c>
      <c r="E515" s="7" t="n">
        <v>53.14</v>
      </c>
      <c r="F515" s="7" t="n">
        <v>54.31</v>
      </c>
      <c r="G515" s="8" t="n">
        <v>60.02</v>
      </c>
      <c r="H515" s="7" t="n">
        <v>57.7</v>
      </c>
      <c r="I515" s="7" t="n">
        <v>56.92</v>
      </c>
      <c r="J515" s="7" t="n">
        <v>57.86</v>
      </c>
      <c r="K515" s="7" t="n">
        <v>49.23</v>
      </c>
      <c r="L515" s="9" t="n">
        <v>74.23999999999999</v>
      </c>
    </row>
    <row r="516" ht="15" customHeight="1">
      <c r="A516" s="13" t="n">
        <v>45492</v>
      </c>
      <c r="B516" s="7" t="n">
        <v>40.2</v>
      </c>
      <c r="C516" s="8" t="n">
        <v>60.51</v>
      </c>
      <c r="D516" s="7" t="n">
        <v>55.77</v>
      </c>
      <c r="E516" s="7" t="n">
        <v>56.61</v>
      </c>
      <c r="F516" s="7" t="n">
        <v>52.67</v>
      </c>
      <c r="G516" s="7" t="n">
        <v>55.79</v>
      </c>
      <c r="H516" s="7" t="n">
        <v>53.59</v>
      </c>
      <c r="I516" s="7" t="n">
        <v>56.52</v>
      </c>
      <c r="J516" s="7" t="n">
        <v>53.82</v>
      </c>
      <c r="K516" s="7" t="n">
        <v>46.55</v>
      </c>
      <c r="L516" s="9" t="n">
        <v>71.2</v>
      </c>
    </row>
    <row r="517" ht="15" customHeight="1">
      <c r="A517" s="13" t="n">
        <v>45491</v>
      </c>
      <c r="B517" s="7" t="n">
        <v>45.09</v>
      </c>
      <c r="C517" s="8" t="n">
        <v>67.8</v>
      </c>
      <c r="D517" s="7" t="n">
        <v>53.05</v>
      </c>
      <c r="E517" s="8" t="n">
        <v>63.38</v>
      </c>
      <c r="F517" s="7" t="n">
        <v>57.89</v>
      </c>
      <c r="G517" s="7" t="n">
        <v>58.94</v>
      </c>
      <c r="H517" s="7" t="n">
        <v>57.85</v>
      </c>
      <c r="I517" s="7" t="n">
        <v>59.19</v>
      </c>
      <c r="J517" s="7" t="n">
        <v>53.25</v>
      </c>
      <c r="K517" s="7" t="n">
        <v>49.09</v>
      </c>
      <c r="L517" s="9" t="n">
        <v>72.19</v>
      </c>
    </row>
    <row r="518" ht="15" customHeight="1">
      <c r="A518" s="13" t="n">
        <v>45490</v>
      </c>
      <c r="B518" s="7" t="n">
        <v>45.05</v>
      </c>
      <c r="C518" s="9" t="n">
        <v>78.36</v>
      </c>
      <c r="D518" s="9" t="n">
        <v>71.70999999999999</v>
      </c>
      <c r="E518" s="8" t="n">
        <v>62.69</v>
      </c>
      <c r="F518" s="8" t="n">
        <v>64.56999999999999</v>
      </c>
      <c r="G518" s="8" t="n">
        <v>63.73</v>
      </c>
      <c r="H518" s="8" t="n">
        <v>63.24</v>
      </c>
      <c r="I518" s="8" t="n">
        <v>63.36</v>
      </c>
      <c r="J518" s="7" t="n">
        <v>53.71</v>
      </c>
      <c r="K518" s="7" t="n">
        <v>49.42</v>
      </c>
      <c r="L518" s="9" t="n">
        <v>79.12</v>
      </c>
    </row>
    <row r="519" ht="15" customHeight="1">
      <c r="A519" s="13" t="n">
        <v>45489</v>
      </c>
      <c r="B519" s="8" t="n">
        <v>61.84</v>
      </c>
      <c r="C519" s="9" t="n">
        <v>76.22</v>
      </c>
      <c r="D519" s="8" t="n">
        <v>69.73999999999999</v>
      </c>
      <c r="E519" s="7" t="n">
        <v>58.78</v>
      </c>
      <c r="F519" s="8" t="n">
        <v>66.05</v>
      </c>
      <c r="G519" s="9" t="n">
        <v>72.84999999999999</v>
      </c>
      <c r="H519" s="9" t="n">
        <v>73.88</v>
      </c>
      <c r="I519" s="7" t="n">
        <v>55.98</v>
      </c>
      <c r="J519" s="7" t="n">
        <v>53.46</v>
      </c>
      <c r="K519" s="7" t="n">
        <v>59.08</v>
      </c>
      <c r="L519" s="9" t="n">
        <v>76.94</v>
      </c>
    </row>
    <row r="520" ht="15" customHeight="1">
      <c r="A520" s="13" t="n">
        <v>45488</v>
      </c>
      <c r="B520" s="8" t="n">
        <v>63.73</v>
      </c>
      <c r="C520" s="9" t="n">
        <v>72.47</v>
      </c>
      <c r="D520" s="8" t="n">
        <v>62.18</v>
      </c>
      <c r="E520" s="7" t="n">
        <v>56.92</v>
      </c>
      <c r="F520" s="7" t="n">
        <v>57.79</v>
      </c>
      <c r="G520" s="8" t="n">
        <v>63.67</v>
      </c>
      <c r="H520" s="8" t="n">
        <v>68.72</v>
      </c>
      <c r="I520" s="7" t="n">
        <v>48.9</v>
      </c>
      <c r="J520" s="7" t="n">
        <v>50.12</v>
      </c>
      <c r="K520" s="7" t="n">
        <v>57.73</v>
      </c>
      <c r="L520" s="9" t="n">
        <v>74.31999999999999</v>
      </c>
    </row>
    <row r="521" ht="15" customHeight="1">
      <c r="A521" s="13" t="n">
        <v>45485</v>
      </c>
      <c r="B521" s="8" t="n">
        <v>63.17</v>
      </c>
      <c r="C521" s="8" t="n">
        <v>66.19</v>
      </c>
      <c r="D521" s="8" t="n">
        <v>65.95</v>
      </c>
      <c r="E521" s="7" t="n">
        <v>49.88</v>
      </c>
      <c r="F521" s="7" t="n">
        <v>59.56</v>
      </c>
      <c r="G521" s="8" t="n">
        <v>60.1</v>
      </c>
      <c r="H521" s="8" t="n">
        <v>69.54000000000001</v>
      </c>
      <c r="I521" s="7" t="n">
        <v>53.78</v>
      </c>
      <c r="J521" s="8" t="n">
        <v>63.75</v>
      </c>
      <c r="K521" s="7" t="n">
        <v>55.92</v>
      </c>
      <c r="L521" s="9" t="n">
        <v>73.04000000000001</v>
      </c>
    </row>
    <row r="522" ht="15" customHeight="1">
      <c r="A522" s="13" t="n">
        <v>45484</v>
      </c>
      <c r="B522" s="8" t="n">
        <v>60.35</v>
      </c>
      <c r="C522" s="8" t="n">
        <v>64.48999999999999</v>
      </c>
      <c r="D522" s="8" t="n">
        <v>62.18</v>
      </c>
      <c r="E522" s="7" t="n">
        <v>48.57</v>
      </c>
      <c r="F522" s="7" t="n">
        <v>54.75</v>
      </c>
      <c r="G522" s="7" t="n">
        <v>56.96</v>
      </c>
      <c r="H522" s="8" t="n">
        <v>65.22</v>
      </c>
      <c r="I522" s="7" t="n">
        <v>50.3</v>
      </c>
      <c r="J522" s="8" t="n">
        <v>60.77</v>
      </c>
      <c r="K522" s="7" t="n">
        <v>58.01</v>
      </c>
      <c r="L522" s="9" t="n">
        <v>70.73999999999999</v>
      </c>
    </row>
    <row r="523" ht="15" customHeight="1">
      <c r="A523" s="13" t="n">
        <v>45483</v>
      </c>
      <c r="B523" s="9" t="n">
        <v>75.87</v>
      </c>
      <c r="C523" s="8" t="n">
        <v>60.11</v>
      </c>
      <c r="D523" s="7" t="n">
        <v>57.26</v>
      </c>
      <c r="E523" s="7" t="n">
        <v>42.98</v>
      </c>
      <c r="F523" s="7" t="n">
        <v>46.42</v>
      </c>
      <c r="G523" s="7" t="n">
        <v>48.81</v>
      </c>
      <c r="H523" s="9" t="n">
        <v>74.92</v>
      </c>
      <c r="I523" s="7" t="n">
        <v>53.49</v>
      </c>
      <c r="J523" s="7" t="n">
        <v>51.79</v>
      </c>
      <c r="K523" s="8" t="n">
        <v>68.14</v>
      </c>
      <c r="L523" s="7" t="n">
        <v>59.28</v>
      </c>
    </row>
    <row r="524" ht="15" customHeight="1">
      <c r="A524" s="13" t="n">
        <v>45482</v>
      </c>
      <c r="B524" s="9" t="n">
        <v>72.06</v>
      </c>
      <c r="C524" s="7" t="n">
        <v>57.77</v>
      </c>
      <c r="D524" s="7" t="n">
        <v>49.08</v>
      </c>
      <c r="E524" s="7" t="n">
        <v>39</v>
      </c>
      <c r="F524" s="7" t="n">
        <v>35.82</v>
      </c>
      <c r="G524" s="7" t="n">
        <v>41.66</v>
      </c>
      <c r="H524" s="9" t="n">
        <v>72.7</v>
      </c>
      <c r="I524" s="7" t="n">
        <v>50.04</v>
      </c>
      <c r="J524" s="7" t="n">
        <v>45.9</v>
      </c>
      <c r="K524" s="8" t="n">
        <v>65.58</v>
      </c>
      <c r="L524" s="7" t="n">
        <v>54.99</v>
      </c>
    </row>
    <row r="525" ht="15" customHeight="1">
      <c r="A525" s="13" t="n">
        <v>45481</v>
      </c>
      <c r="B525" s="9" t="n">
        <v>72.65000000000001</v>
      </c>
      <c r="C525" s="7" t="n">
        <v>52.59</v>
      </c>
      <c r="D525" s="7" t="n">
        <v>43.99</v>
      </c>
      <c r="E525" s="7" t="n">
        <v>42.64</v>
      </c>
      <c r="F525" s="7" t="n">
        <v>41.72</v>
      </c>
      <c r="G525" s="7" t="n">
        <v>44.49</v>
      </c>
      <c r="H525" s="9" t="n">
        <v>71.68000000000001</v>
      </c>
      <c r="I525" s="7" t="n">
        <v>52.16</v>
      </c>
      <c r="J525" s="7" t="n">
        <v>43.95</v>
      </c>
      <c r="K525" s="8" t="n">
        <v>64.27</v>
      </c>
      <c r="L525" s="7" t="n">
        <v>54.82</v>
      </c>
    </row>
    <row r="526" ht="15" customHeight="1">
      <c r="A526" s="13" t="n">
        <v>45478</v>
      </c>
      <c r="B526" s="9" t="n">
        <v>70.77</v>
      </c>
      <c r="C526" s="7" t="n">
        <v>54.73</v>
      </c>
      <c r="D526" s="7" t="n">
        <v>44.94</v>
      </c>
      <c r="E526" s="7" t="n">
        <v>45.37</v>
      </c>
      <c r="F526" s="7" t="n">
        <v>39.03</v>
      </c>
      <c r="G526" s="7" t="n">
        <v>43.48</v>
      </c>
      <c r="H526" s="9" t="n">
        <v>71.53</v>
      </c>
      <c r="I526" s="7" t="n">
        <v>53.41</v>
      </c>
      <c r="J526" s="7" t="n">
        <v>43.28</v>
      </c>
      <c r="K526" s="9" t="n">
        <v>71.68000000000001</v>
      </c>
      <c r="L526" s="7" t="n">
        <v>53.41</v>
      </c>
    </row>
    <row r="527" ht="15" customHeight="1">
      <c r="A527" s="13" t="n">
        <v>45477</v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</row>
    <row r="528" ht="15" customHeight="1">
      <c r="A528" s="13" t="n">
        <v>45476</v>
      </c>
      <c r="B528" s="8" t="n">
        <v>69.92</v>
      </c>
      <c r="C528" s="7" t="n">
        <v>54.92</v>
      </c>
      <c r="D528" s="7" t="n">
        <v>36.01</v>
      </c>
      <c r="E528" s="7" t="n">
        <v>53.67</v>
      </c>
      <c r="F528" s="7" t="n">
        <v>37.59</v>
      </c>
      <c r="G528" s="7" t="n">
        <v>45.75</v>
      </c>
      <c r="H528" s="8" t="n">
        <v>69.09</v>
      </c>
      <c r="I528" s="7" t="n">
        <v>43.51</v>
      </c>
      <c r="J528" s="7" t="n">
        <v>42.19</v>
      </c>
      <c r="K528" s="8" t="n">
        <v>63.4</v>
      </c>
      <c r="L528" s="7" t="n">
        <v>51.2</v>
      </c>
    </row>
    <row r="529" ht="15" customHeight="1">
      <c r="A529" s="13" t="n">
        <v>45475</v>
      </c>
      <c r="B529" s="8" t="n">
        <v>65.88</v>
      </c>
      <c r="C529" s="7" t="n">
        <v>57.31</v>
      </c>
      <c r="D529" s="7" t="n">
        <v>42.33</v>
      </c>
      <c r="E529" s="7" t="n">
        <v>51.36</v>
      </c>
      <c r="F529" s="7" t="n">
        <v>30.5</v>
      </c>
      <c r="G529" s="7" t="n">
        <v>42.99</v>
      </c>
      <c r="H529" s="8" t="n">
        <v>67.05</v>
      </c>
      <c r="I529" s="7" t="n">
        <v>44.73</v>
      </c>
      <c r="J529" s="7" t="n">
        <v>38.42</v>
      </c>
      <c r="K529" s="8" t="n">
        <v>63.22</v>
      </c>
      <c r="L529" s="7" t="n">
        <v>51.85</v>
      </c>
    </row>
    <row r="530" ht="15" customHeight="1">
      <c r="A530" s="13" t="n">
        <v>45474</v>
      </c>
      <c r="B530" s="8" t="n">
        <v>64.23</v>
      </c>
      <c r="C530" s="7" t="n">
        <v>49.83</v>
      </c>
      <c r="D530" s="7" t="n">
        <v>45.93</v>
      </c>
      <c r="E530" s="7" t="n">
        <v>51.78</v>
      </c>
      <c r="F530" s="10" t="n">
        <v>28.65</v>
      </c>
      <c r="G530" s="7" t="n">
        <v>38.64</v>
      </c>
      <c r="H530" s="7" t="n">
        <v>59.65</v>
      </c>
      <c r="I530" s="7" t="n">
        <v>38.16</v>
      </c>
      <c r="J530" s="7" t="n">
        <v>35.07</v>
      </c>
      <c r="K530" s="7" t="n">
        <v>58.44</v>
      </c>
      <c r="L530" s="7" t="n">
        <v>49.45</v>
      </c>
    </row>
    <row r="531" ht="15" customHeight="1">
      <c r="A531" s="13" t="n">
        <v>45471</v>
      </c>
      <c r="B531" s="8" t="n">
        <v>61.65</v>
      </c>
      <c r="C531" s="7" t="n">
        <v>48.25</v>
      </c>
      <c r="D531" s="7" t="n">
        <v>52.34</v>
      </c>
      <c r="E531" s="7" t="n">
        <v>51.52</v>
      </c>
      <c r="F531" s="7" t="n">
        <v>36.28</v>
      </c>
      <c r="G531" s="7" t="n">
        <v>44.96</v>
      </c>
      <c r="H531" s="7" t="n">
        <v>58.13</v>
      </c>
      <c r="I531" s="7" t="n">
        <v>43</v>
      </c>
      <c r="J531" s="7" t="n">
        <v>37.62</v>
      </c>
      <c r="K531" s="8" t="n">
        <v>61.99</v>
      </c>
      <c r="L531" s="7" t="n">
        <v>55.36</v>
      </c>
    </row>
    <row r="532" ht="15" customHeight="1">
      <c r="A532" s="13" t="n">
        <v>45470</v>
      </c>
      <c r="B532" s="8" t="n">
        <v>61.94</v>
      </c>
      <c r="C532" s="7" t="n">
        <v>45.79</v>
      </c>
      <c r="D532" s="7" t="n">
        <v>53.35</v>
      </c>
      <c r="E532" s="7" t="n">
        <v>49.74</v>
      </c>
      <c r="F532" s="7" t="n">
        <v>36.48</v>
      </c>
      <c r="G532" s="7" t="n">
        <v>44.64</v>
      </c>
      <c r="H532" s="8" t="n">
        <v>65.73999999999999</v>
      </c>
      <c r="I532" s="7" t="n">
        <v>46.44</v>
      </c>
      <c r="J532" s="7" t="n">
        <v>42.31</v>
      </c>
      <c r="K532" s="9" t="n">
        <v>70.73999999999999</v>
      </c>
      <c r="L532" s="7" t="n">
        <v>50.79</v>
      </c>
    </row>
    <row r="533" ht="15" customHeight="1">
      <c r="A533" s="13" t="n">
        <v>45469</v>
      </c>
      <c r="B533" s="8" t="n">
        <v>61.79</v>
      </c>
      <c r="C533" s="7" t="n">
        <v>46.52</v>
      </c>
      <c r="D533" s="7" t="n">
        <v>55.34</v>
      </c>
      <c r="E533" s="7" t="n">
        <v>48.68</v>
      </c>
      <c r="F533" s="7" t="n">
        <v>38.09</v>
      </c>
      <c r="G533" s="7" t="n">
        <v>43.85</v>
      </c>
      <c r="H533" s="8" t="n">
        <v>63.3</v>
      </c>
      <c r="I533" s="7" t="n">
        <v>50.05</v>
      </c>
      <c r="J533" s="7" t="n">
        <v>41.25</v>
      </c>
      <c r="K533" s="8" t="n">
        <v>68.15000000000001</v>
      </c>
      <c r="L533" s="7" t="n">
        <v>45.05</v>
      </c>
    </row>
    <row r="534" ht="15" customHeight="1">
      <c r="A534" s="13" t="n">
        <v>45468</v>
      </c>
      <c r="B534" s="8" t="n">
        <v>62.34</v>
      </c>
      <c r="C534" s="7" t="n">
        <v>50.42</v>
      </c>
      <c r="D534" s="7" t="n">
        <v>59.82</v>
      </c>
      <c r="E534" s="7" t="n">
        <v>53.1</v>
      </c>
      <c r="F534" s="7" t="n">
        <v>38.47</v>
      </c>
      <c r="G534" s="7" t="n">
        <v>45.38</v>
      </c>
      <c r="H534" s="7" t="n">
        <v>56.6</v>
      </c>
      <c r="I534" s="7" t="n">
        <v>51.86</v>
      </c>
      <c r="J534" s="7" t="n">
        <v>43.03</v>
      </c>
      <c r="K534" s="8" t="n">
        <v>68.09999999999999</v>
      </c>
      <c r="L534" s="7" t="n">
        <v>45.78</v>
      </c>
    </row>
    <row r="535" ht="15" customHeight="1">
      <c r="A535" s="13" t="n">
        <v>45467</v>
      </c>
      <c r="B535" s="7" t="n">
        <v>56.71</v>
      </c>
      <c r="C535" s="7" t="n">
        <v>55.59</v>
      </c>
      <c r="D535" s="8" t="n">
        <v>64.08</v>
      </c>
      <c r="E535" s="7" t="n">
        <v>52.16</v>
      </c>
      <c r="F535" s="7" t="n">
        <v>46.68</v>
      </c>
      <c r="G535" s="7" t="n">
        <v>50.58</v>
      </c>
      <c r="H535" s="7" t="n">
        <v>59.41</v>
      </c>
      <c r="I535" s="7" t="n">
        <v>57.96</v>
      </c>
      <c r="J535" s="7" t="n">
        <v>47.33</v>
      </c>
      <c r="K535" s="8" t="n">
        <v>62.54</v>
      </c>
      <c r="L535" s="7" t="n">
        <v>54.65</v>
      </c>
    </row>
    <row r="536" ht="15" customHeight="1">
      <c r="A536" s="13" t="n">
        <v>45464</v>
      </c>
      <c r="B536" s="9" t="n">
        <v>71.23</v>
      </c>
      <c r="C536" s="7" t="n">
        <v>51.74</v>
      </c>
      <c r="D536" s="8" t="n">
        <v>62.57</v>
      </c>
      <c r="E536" s="7" t="n">
        <v>44.65</v>
      </c>
      <c r="F536" s="7" t="n">
        <v>45.25</v>
      </c>
      <c r="G536" s="7" t="n">
        <v>50.08</v>
      </c>
      <c r="H536" s="8" t="n">
        <v>64.14</v>
      </c>
      <c r="I536" s="7" t="n">
        <v>55.63</v>
      </c>
      <c r="J536" s="7" t="n">
        <v>44.6</v>
      </c>
      <c r="K536" s="8" t="n">
        <v>62.16</v>
      </c>
      <c r="L536" s="7" t="n">
        <v>57.12</v>
      </c>
    </row>
    <row r="537" ht="15" customHeight="1">
      <c r="A537" s="13" t="n">
        <v>45463</v>
      </c>
      <c r="B537" s="9" t="n">
        <v>72.38</v>
      </c>
      <c r="C537" s="7" t="n">
        <v>54.44</v>
      </c>
      <c r="D537" s="8" t="n">
        <v>60.31</v>
      </c>
      <c r="E537" s="7" t="n">
        <v>46.98</v>
      </c>
      <c r="F537" s="7" t="n">
        <v>45.16</v>
      </c>
      <c r="G537" s="7" t="n">
        <v>51.35</v>
      </c>
      <c r="H537" s="8" t="n">
        <v>60.3</v>
      </c>
      <c r="I537" s="7" t="n">
        <v>55.06</v>
      </c>
      <c r="J537" s="7" t="n">
        <v>47.26</v>
      </c>
      <c r="K537" s="7" t="n">
        <v>58.52</v>
      </c>
      <c r="L537" s="7" t="n">
        <v>55.69</v>
      </c>
    </row>
    <row r="538" ht="15" customHeight="1">
      <c r="A538" s="13" t="n">
        <v>45462</v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</row>
    <row r="539" ht="15" customHeight="1">
      <c r="A539" s="13" t="n">
        <v>45461</v>
      </c>
      <c r="B539" s="9" t="n">
        <v>80.18000000000001</v>
      </c>
      <c r="C539" s="7" t="n">
        <v>51.19</v>
      </c>
      <c r="D539" s="7" t="n">
        <v>57.51</v>
      </c>
      <c r="E539" s="7" t="n">
        <v>37.5</v>
      </c>
      <c r="F539" s="7" t="n">
        <v>44.39</v>
      </c>
      <c r="G539" s="7" t="n">
        <v>50.99</v>
      </c>
      <c r="H539" s="7" t="n">
        <v>59.7</v>
      </c>
      <c r="I539" s="7" t="n">
        <v>57.01</v>
      </c>
      <c r="J539" s="7" t="n">
        <v>42.61</v>
      </c>
      <c r="K539" s="7" t="n">
        <v>55.94</v>
      </c>
      <c r="L539" s="7" t="n">
        <v>57.47</v>
      </c>
    </row>
    <row r="540" ht="15" customHeight="1">
      <c r="A540" s="13" t="n">
        <v>45460</v>
      </c>
      <c r="B540" s="9" t="n">
        <v>79.95999999999999</v>
      </c>
      <c r="C540" s="7" t="n">
        <v>47.04</v>
      </c>
      <c r="D540" s="7" t="n">
        <v>56.39</v>
      </c>
      <c r="E540" s="7" t="n">
        <v>35.05</v>
      </c>
      <c r="F540" s="7" t="n">
        <v>45.04</v>
      </c>
      <c r="G540" s="7" t="n">
        <v>48.09</v>
      </c>
      <c r="H540" s="8" t="n">
        <v>62.02</v>
      </c>
      <c r="I540" s="7" t="n">
        <v>56.16</v>
      </c>
      <c r="J540" s="7" t="n">
        <v>42.37</v>
      </c>
      <c r="K540" s="8" t="n">
        <v>60.81</v>
      </c>
      <c r="L540" s="7" t="n">
        <v>55.48</v>
      </c>
    </row>
    <row r="541" ht="15" customHeight="1">
      <c r="A541" s="13" t="n">
        <v>45457</v>
      </c>
      <c r="B541" s="9" t="n">
        <v>77.09999999999999</v>
      </c>
      <c r="C541" s="7" t="n">
        <v>40.56</v>
      </c>
      <c r="D541" s="7" t="n">
        <v>57.5</v>
      </c>
      <c r="E541" s="7" t="n">
        <v>33.55</v>
      </c>
      <c r="F541" s="7" t="n">
        <v>39.59</v>
      </c>
      <c r="G541" s="7" t="n">
        <v>41.56</v>
      </c>
      <c r="H541" s="7" t="n">
        <v>53.39</v>
      </c>
      <c r="I541" s="7" t="n">
        <v>49.39</v>
      </c>
      <c r="J541" s="7" t="n">
        <v>46.98</v>
      </c>
      <c r="K541" s="7" t="n">
        <v>58.1</v>
      </c>
      <c r="L541" s="7" t="n">
        <v>58.89</v>
      </c>
    </row>
    <row r="542" ht="15" customHeight="1">
      <c r="A542" s="13" t="n">
        <v>45456</v>
      </c>
      <c r="B542" s="9" t="n">
        <v>76.33</v>
      </c>
      <c r="C542" s="7" t="n">
        <v>42.29</v>
      </c>
      <c r="D542" s="7" t="n">
        <v>57.86</v>
      </c>
      <c r="E542" s="7" t="n">
        <v>35.75</v>
      </c>
      <c r="F542" s="7" t="n">
        <v>44.78</v>
      </c>
      <c r="G542" s="7" t="n">
        <v>46.55</v>
      </c>
      <c r="H542" s="7" t="n">
        <v>59.04</v>
      </c>
      <c r="I542" s="7" t="n">
        <v>47.96</v>
      </c>
      <c r="J542" s="7" t="n">
        <v>48.05</v>
      </c>
      <c r="K542" s="7" t="n">
        <v>56.2</v>
      </c>
      <c r="L542" s="7" t="n">
        <v>58.53</v>
      </c>
    </row>
    <row r="543" ht="15" customHeight="1">
      <c r="A543" s="13" t="n">
        <v>45455</v>
      </c>
      <c r="B543" s="9" t="n">
        <v>74.67</v>
      </c>
      <c r="C543" s="7" t="n">
        <v>42.69</v>
      </c>
      <c r="D543" s="7" t="n">
        <v>58.67</v>
      </c>
      <c r="E543" s="7" t="n">
        <v>38.68</v>
      </c>
      <c r="F543" s="7" t="n">
        <v>44.98</v>
      </c>
      <c r="G543" s="7" t="n">
        <v>50.14</v>
      </c>
      <c r="H543" s="7" t="n">
        <v>58.64</v>
      </c>
      <c r="I543" s="7" t="n">
        <v>46.97</v>
      </c>
      <c r="J543" s="7" t="n">
        <v>46.99</v>
      </c>
      <c r="K543" s="8" t="n">
        <v>63.42</v>
      </c>
      <c r="L543" s="7" t="n">
        <v>56.32</v>
      </c>
    </row>
    <row r="544" ht="15" customHeight="1">
      <c r="A544" s="13" t="n">
        <v>45454</v>
      </c>
      <c r="B544" s="8" t="n">
        <v>69.17</v>
      </c>
      <c r="C544" s="7" t="n">
        <v>43.18</v>
      </c>
      <c r="D544" s="8" t="n">
        <v>60.7</v>
      </c>
      <c r="E544" s="7" t="n">
        <v>42.51</v>
      </c>
      <c r="F544" s="7" t="n">
        <v>43.67</v>
      </c>
      <c r="G544" s="7" t="n">
        <v>44.28</v>
      </c>
      <c r="H544" s="7" t="n">
        <v>53</v>
      </c>
      <c r="I544" s="7" t="n">
        <v>55.31</v>
      </c>
      <c r="J544" s="7" t="n">
        <v>49.69</v>
      </c>
      <c r="K544" s="8" t="n">
        <v>65.34</v>
      </c>
      <c r="L544" s="7" t="n">
        <v>53.01</v>
      </c>
    </row>
    <row r="545" ht="15" customHeight="1">
      <c r="A545" s="13" t="n">
        <v>45453</v>
      </c>
      <c r="B545" s="8" t="n">
        <v>63.02</v>
      </c>
      <c r="C545" s="7" t="n">
        <v>49.44</v>
      </c>
      <c r="D545" s="8" t="n">
        <v>64.81</v>
      </c>
      <c r="E545" s="7" t="n">
        <v>43.25</v>
      </c>
      <c r="F545" s="7" t="n">
        <v>43.84</v>
      </c>
      <c r="G545" s="7" t="n">
        <v>47.4</v>
      </c>
      <c r="H545" s="7" t="n">
        <v>54.76</v>
      </c>
      <c r="I545" s="7" t="n">
        <v>55.74</v>
      </c>
      <c r="J545" s="7" t="n">
        <v>52.29</v>
      </c>
      <c r="K545" s="8" t="n">
        <v>64.45</v>
      </c>
      <c r="L545" s="7" t="n">
        <v>54.72</v>
      </c>
    </row>
    <row r="546" ht="15" customHeight="1">
      <c r="A546" s="13" t="n">
        <v>45450</v>
      </c>
      <c r="B546" s="8" t="n">
        <v>62.06</v>
      </c>
      <c r="C546" s="7" t="n">
        <v>51.82</v>
      </c>
      <c r="D546" s="8" t="n">
        <v>62.74</v>
      </c>
      <c r="E546" s="7" t="n">
        <v>39.57</v>
      </c>
      <c r="F546" s="7" t="n">
        <v>44.32</v>
      </c>
      <c r="G546" s="7" t="n">
        <v>45.47</v>
      </c>
      <c r="H546" s="7" t="n">
        <v>53</v>
      </c>
      <c r="I546" s="7" t="n">
        <v>56.35</v>
      </c>
      <c r="J546" s="7" t="n">
        <v>46.88</v>
      </c>
      <c r="K546" s="8" t="n">
        <v>63.3</v>
      </c>
      <c r="L546" s="7" t="n">
        <v>52.47</v>
      </c>
    </row>
    <row r="547" ht="15" customHeight="1">
      <c r="A547" s="13" t="n">
        <v>45449</v>
      </c>
      <c r="B547" s="8" t="n">
        <v>61.21</v>
      </c>
      <c r="C547" s="7" t="n">
        <v>49.12</v>
      </c>
      <c r="D547" s="8" t="n">
        <v>62.12</v>
      </c>
      <c r="E547" s="7" t="n">
        <v>40.87</v>
      </c>
      <c r="F547" s="7" t="n">
        <v>49.44</v>
      </c>
      <c r="G547" s="7" t="n">
        <v>44.82</v>
      </c>
      <c r="H547" s="7" t="n">
        <v>55.57</v>
      </c>
      <c r="I547" s="8" t="n">
        <v>60.37</v>
      </c>
      <c r="J547" s="7" t="n">
        <v>51.52</v>
      </c>
      <c r="K547" s="8" t="n">
        <v>69.01000000000001</v>
      </c>
      <c r="L547" s="7" t="n">
        <v>56.6</v>
      </c>
    </row>
    <row r="548" ht="15" customHeight="1">
      <c r="A548" s="13" t="n">
        <v>45448</v>
      </c>
      <c r="B548" s="8" t="n">
        <v>63.1</v>
      </c>
      <c r="C548" s="7" t="n">
        <v>49.39</v>
      </c>
      <c r="D548" s="8" t="n">
        <v>60.3</v>
      </c>
      <c r="E548" s="7" t="n">
        <v>38.42</v>
      </c>
      <c r="F548" s="7" t="n">
        <v>48.84</v>
      </c>
      <c r="G548" s="7" t="n">
        <v>47.77</v>
      </c>
      <c r="H548" s="7" t="n">
        <v>51.73</v>
      </c>
      <c r="I548" s="7" t="n">
        <v>58.69</v>
      </c>
      <c r="J548" s="7" t="n">
        <v>56.52</v>
      </c>
      <c r="K548" s="8" t="n">
        <v>68.78</v>
      </c>
      <c r="L548" s="7" t="n">
        <v>55.95</v>
      </c>
    </row>
    <row r="549" ht="15" customHeight="1">
      <c r="A549" s="13" t="n">
        <v>45447</v>
      </c>
      <c r="B549" s="7" t="n">
        <v>54.61</v>
      </c>
      <c r="C549" s="7" t="n">
        <v>47.79</v>
      </c>
      <c r="D549" s="7" t="n">
        <v>57.71</v>
      </c>
      <c r="E549" s="7" t="n">
        <v>38.45</v>
      </c>
      <c r="F549" s="7" t="n">
        <v>45.07</v>
      </c>
      <c r="G549" s="7" t="n">
        <v>41.78</v>
      </c>
      <c r="H549" s="7" t="n">
        <v>48.43</v>
      </c>
      <c r="I549" s="8" t="n">
        <v>60.37</v>
      </c>
      <c r="J549" s="7" t="n">
        <v>59.48</v>
      </c>
      <c r="K549" s="8" t="n">
        <v>63.8</v>
      </c>
      <c r="L549" s="7" t="n">
        <v>56.6</v>
      </c>
    </row>
    <row r="550" ht="15" customHeight="1">
      <c r="A550" s="13" t="n">
        <v>45446</v>
      </c>
      <c r="B550" s="7" t="n">
        <v>53.68</v>
      </c>
      <c r="C550" s="7" t="n">
        <v>50.12</v>
      </c>
      <c r="D550" s="7" t="n">
        <v>56.01</v>
      </c>
      <c r="E550" s="7" t="n">
        <v>41.18</v>
      </c>
      <c r="F550" s="7" t="n">
        <v>50.72</v>
      </c>
      <c r="G550" s="7" t="n">
        <v>42.89</v>
      </c>
      <c r="H550" s="7" t="n">
        <v>47.85</v>
      </c>
      <c r="I550" s="7" t="n">
        <v>55.72</v>
      </c>
      <c r="J550" s="7" t="n">
        <v>59.7</v>
      </c>
      <c r="K550" s="8" t="n">
        <v>62.03</v>
      </c>
      <c r="L550" s="7" t="n">
        <v>52.95</v>
      </c>
    </row>
    <row r="551" ht="15" customHeight="1">
      <c r="A551" s="13" t="n">
        <v>45443</v>
      </c>
      <c r="B551" s="7" t="n">
        <v>52.6</v>
      </c>
      <c r="C551" s="7" t="n">
        <v>53.43</v>
      </c>
      <c r="D551" s="7" t="n">
        <v>51.67</v>
      </c>
      <c r="E551" s="7" t="n">
        <v>50.54</v>
      </c>
      <c r="F551" s="7" t="n">
        <v>54.09</v>
      </c>
      <c r="G551" s="7" t="n">
        <v>49</v>
      </c>
      <c r="H551" s="7" t="n">
        <v>48.07</v>
      </c>
      <c r="I551" s="7" t="n">
        <v>55.99</v>
      </c>
      <c r="J551" s="8" t="n">
        <v>65.73999999999999</v>
      </c>
      <c r="K551" s="8" t="n">
        <v>60.17</v>
      </c>
      <c r="L551" s="7" t="n">
        <v>54.73</v>
      </c>
    </row>
    <row r="552" ht="15" customHeight="1">
      <c r="A552" s="13" t="n">
        <v>45442</v>
      </c>
      <c r="B552" s="7" t="n">
        <v>51.95</v>
      </c>
      <c r="C552" s="7" t="n">
        <v>45.76</v>
      </c>
      <c r="D552" s="7" t="n">
        <v>40.5</v>
      </c>
      <c r="E552" s="7" t="n">
        <v>38.52</v>
      </c>
      <c r="F552" s="7" t="n">
        <v>47.56</v>
      </c>
      <c r="G552" s="7" t="n">
        <v>41.41</v>
      </c>
      <c r="H552" s="7" t="n">
        <v>45.16</v>
      </c>
      <c r="I552" s="7" t="n">
        <v>46.29</v>
      </c>
      <c r="J552" s="8" t="n">
        <v>60.04</v>
      </c>
      <c r="K552" s="7" t="n">
        <v>54.67</v>
      </c>
      <c r="L552" s="7" t="n">
        <v>46.47</v>
      </c>
    </row>
    <row r="553" ht="15" customHeight="1">
      <c r="A553" s="13" t="n">
        <v>45441</v>
      </c>
      <c r="B553" s="8" t="n">
        <v>64.08</v>
      </c>
      <c r="C553" s="7" t="n">
        <v>42.54</v>
      </c>
      <c r="D553" s="7" t="n">
        <v>40.07</v>
      </c>
      <c r="E553" s="7" t="n">
        <v>36.88</v>
      </c>
      <c r="F553" s="7" t="n">
        <v>42.47</v>
      </c>
      <c r="G553" s="7" t="n">
        <v>36.49</v>
      </c>
      <c r="H553" s="7" t="n">
        <v>42</v>
      </c>
      <c r="I553" s="7" t="n">
        <v>44.38</v>
      </c>
      <c r="J553" s="7" t="n">
        <v>54.76</v>
      </c>
      <c r="K553" s="7" t="n">
        <v>56.91</v>
      </c>
      <c r="L553" s="7" t="n">
        <v>39.08</v>
      </c>
    </row>
    <row r="554" ht="15" customHeight="1">
      <c r="A554" s="13" t="n">
        <v>45440</v>
      </c>
      <c r="B554" s="8" t="n">
        <v>68.20999999999999</v>
      </c>
      <c r="C554" s="7" t="n">
        <v>46.37</v>
      </c>
      <c r="D554" s="7" t="n">
        <v>44.9</v>
      </c>
      <c r="E554" s="7" t="n">
        <v>43.66</v>
      </c>
      <c r="F554" s="7" t="n">
        <v>50.59</v>
      </c>
      <c r="G554" s="7" t="n">
        <v>43.62</v>
      </c>
      <c r="H554" s="7" t="n">
        <v>44.67</v>
      </c>
      <c r="I554" s="7" t="n">
        <v>48.82</v>
      </c>
      <c r="J554" s="8" t="n">
        <v>62.14</v>
      </c>
      <c r="K554" s="8" t="n">
        <v>60.67</v>
      </c>
      <c r="L554" s="7" t="n">
        <v>42.7</v>
      </c>
    </row>
    <row r="555" ht="15" customHeight="1">
      <c r="A555" s="13" t="n">
        <v>45439</v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</row>
    <row r="556" ht="15" customHeight="1">
      <c r="A556" s="13" t="n">
        <v>45436</v>
      </c>
      <c r="B556" s="8" t="n">
        <v>66.89</v>
      </c>
      <c r="C556" s="7" t="n">
        <v>52.5</v>
      </c>
      <c r="D556" s="7" t="n">
        <v>54.52</v>
      </c>
      <c r="E556" s="7" t="n">
        <v>37.51</v>
      </c>
      <c r="F556" s="7" t="n">
        <v>53.13</v>
      </c>
      <c r="G556" s="7" t="n">
        <v>51.84</v>
      </c>
      <c r="H556" s="7" t="n">
        <v>45.68</v>
      </c>
      <c r="I556" s="7" t="n">
        <v>54.33</v>
      </c>
      <c r="J556" s="8" t="n">
        <v>62.74</v>
      </c>
      <c r="K556" s="7" t="n">
        <v>59.89</v>
      </c>
      <c r="L556" s="7" t="n">
        <v>45.13</v>
      </c>
    </row>
    <row r="557" ht="15" customHeight="1">
      <c r="A557" s="13" t="n">
        <v>45435</v>
      </c>
      <c r="B557" s="8" t="n">
        <v>64.16</v>
      </c>
      <c r="C557" s="7" t="n">
        <v>49.11</v>
      </c>
      <c r="D557" s="7" t="n">
        <v>57.74</v>
      </c>
      <c r="E557" s="7" t="n">
        <v>36.63</v>
      </c>
      <c r="F557" s="7" t="n">
        <v>47.62</v>
      </c>
      <c r="G557" s="7" t="n">
        <v>48.07</v>
      </c>
      <c r="H557" s="7" t="n">
        <v>40.6</v>
      </c>
      <c r="I557" s="7" t="n">
        <v>52.67</v>
      </c>
      <c r="J557" s="7" t="n">
        <v>59.03</v>
      </c>
      <c r="K557" s="7" t="n">
        <v>53.43</v>
      </c>
      <c r="L557" s="7" t="n">
        <v>45.13</v>
      </c>
    </row>
    <row r="558" ht="15" customHeight="1">
      <c r="A558" s="13" t="n">
        <v>45434</v>
      </c>
      <c r="B558" s="8" t="n">
        <v>69.31999999999999</v>
      </c>
      <c r="C558" s="7" t="n">
        <v>58.05</v>
      </c>
      <c r="D558" s="9" t="n">
        <v>70.33</v>
      </c>
      <c r="E558" s="7" t="n">
        <v>40.04</v>
      </c>
      <c r="F558" s="7" t="n">
        <v>53.62</v>
      </c>
      <c r="G558" s="7" t="n">
        <v>57.96</v>
      </c>
      <c r="H558" s="7" t="n">
        <v>47.32</v>
      </c>
      <c r="I558" s="8" t="n">
        <v>62.3</v>
      </c>
      <c r="J558" s="9" t="n">
        <v>70.16</v>
      </c>
      <c r="K558" s="8" t="n">
        <v>61.69</v>
      </c>
      <c r="L558" s="7" t="n">
        <v>55.12</v>
      </c>
    </row>
    <row r="559" ht="15" customHeight="1">
      <c r="A559" s="13" t="n">
        <v>45433</v>
      </c>
      <c r="B559" s="8" t="n">
        <v>68.68000000000001</v>
      </c>
      <c r="C559" s="8" t="n">
        <v>62.41</v>
      </c>
      <c r="D559" s="8" t="n">
        <v>69.31999999999999</v>
      </c>
      <c r="E559" s="7" t="n">
        <v>49.15</v>
      </c>
      <c r="F559" s="8" t="n">
        <v>61.63</v>
      </c>
      <c r="G559" s="7" t="n">
        <v>57.13</v>
      </c>
      <c r="H559" s="7" t="n">
        <v>52.57</v>
      </c>
      <c r="I559" s="8" t="n">
        <v>66.08</v>
      </c>
      <c r="J559" s="9" t="n">
        <v>80.04000000000001</v>
      </c>
      <c r="K559" s="8" t="n">
        <v>61.09</v>
      </c>
      <c r="L559" s="8" t="n">
        <v>60.16</v>
      </c>
    </row>
    <row r="560" ht="15" customHeight="1">
      <c r="A560" s="13" t="n">
        <v>45432</v>
      </c>
      <c r="B560" s="8" t="n">
        <v>68.23</v>
      </c>
      <c r="C560" s="7" t="n">
        <v>59.21</v>
      </c>
      <c r="D560" s="8" t="n">
        <v>68.36</v>
      </c>
      <c r="E560" s="7" t="n">
        <v>51.96</v>
      </c>
      <c r="F560" s="8" t="n">
        <v>61.63</v>
      </c>
      <c r="G560" s="8" t="n">
        <v>60.14</v>
      </c>
      <c r="H560" s="7" t="n">
        <v>49.37</v>
      </c>
      <c r="I560" s="8" t="n">
        <v>62.99</v>
      </c>
      <c r="J560" s="9" t="n">
        <v>77.86</v>
      </c>
      <c r="K560" s="8" t="n">
        <v>62.07</v>
      </c>
      <c r="L560" s="8" t="n">
        <v>60.63</v>
      </c>
    </row>
    <row r="561" ht="15" customHeight="1">
      <c r="A561" s="13" t="n">
        <v>45429</v>
      </c>
      <c r="B561" s="8" t="n">
        <v>64.90000000000001</v>
      </c>
      <c r="C561" s="9" t="n">
        <v>71.33</v>
      </c>
      <c r="D561" s="9" t="n">
        <v>70.91</v>
      </c>
      <c r="E561" s="7" t="n">
        <v>55.96</v>
      </c>
      <c r="F561" s="8" t="n">
        <v>60.91</v>
      </c>
      <c r="G561" s="7" t="n">
        <v>58.97</v>
      </c>
      <c r="H561" s="7" t="n">
        <v>53.26</v>
      </c>
      <c r="I561" s="8" t="n">
        <v>69.94</v>
      </c>
      <c r="J561" s="9" t="n">
        <v>79.34999999999999</v>
      </c>
      <c r="K561" s="8" t="n">
        <v>60.8</v>
      </c>
      <c r="L561" s="8" t="n">
        <v>64.34999999999999</v>
      </c>
    </row>
    <row r="562" ht="15" customHeight="1">
      <c r="A562" s="13" t="n">
        <v>45428</v>
      </c>
      <c r="B562" s="8" t="n">
        <v>66.12</v>
      </c>
      <c r="C562" s="8" t="n">
        <v>68.09</v>
      </c>
      <c r="D562" s="8" t="n">
        <v>69.97</v>
      </c>
      <c r="E562" s="7" t="n">
        <v>48.12</v>
      </c>
      <c r="F562" s="7" t="n">
        <v>56.29</v>
      </c>
      <c r="G562" s="7" t="n">
        <v>58.3</v>
      </c>
      <c r="H562" s="7" t="n">
        <v>50.8</v>
      </c>
      <c r="I562" s="9" t="n">
        <v>72.56</v>
      </c>
      <c r="J562" s="9" t="n">
        <v>79.16</v>
      </c>
      <c r="K562" s="8" t="n">
        <v>60.07</v>
      </c>
      <c r="L562" s="8" t="n">
        <v>64.34999999999999</v>
      </c>
    </row>
    <row r="563" ht="15" customHeight="1">
      <c r="A563" s="13" t="n">
        <v>45427</v>
      </c>
      <c r="B563" s="8" t="n">
        <v>67.98</v>
      </c>
      <c r="C563" s="8" t="n">
        <v>68.09</v>
      </c>
      <c r="D563" s="9" t="n">
        <v>71.27</v>
      </c>
      <c r="E563" s="7" t="n">
        <v>49.75</v>
      </c>
      <c r="F563" s="8" t="n">
        <v>62.05</v>
      </c>
      <c r="G563" s="8" t="n">
        <v>63.43</v>
      </c>
      <c r="H563" s="7" t="n">
        <v>54.17</v>
      </c>
      <c r="I563" s="8" t="n">
        <v>65.65000000000001</v>
      </c>
      <c r="J563" s="9" t="n">
        <v>82.01000000000001</v>
      </c>
      <c r="K563" s="8" t="n">
        <v>60.52</v>
      </c>
      <c r="L563" s="8" t="n">
        <v>65.34999999999999</v>
      </c>
    </row>
    <row r="564" ht="15" customHeight="1">
      <c r="A564" s="13" t="n">
        <v>45426</v>
      </c>
      <c r="B564" s="8" t="n">
        <v>61.63</v>
      </c>
      <c r="C564" s="8" t="n">
        <v>64.64</v>
      </c>
      <c r="D564" s="8" t="n">
        <v>63.29</v>
      </c>
      <c r="E564" s="7" t="n">
        <v>48.44</v>
      </c>
      <c r="F564" s="8" t="n">
        <v>61.15</v>
      </c>
      <c r="G564" s="7" t="n">
        <v>59.84</v>
      </c>
      <c r="H564" s="7" t="n">
        <v>53.5</v>
      </c>
      <c r="I564" s="8" t="n">
        <v>65.28</v>
      </c>
      <c r="J564" s="9" t="n">
        <v>79.01000000000001</v>
      </c>
      <c r="K564" s="7" t="n">
        <v>58</v>
      </c>
      <c r="L564" s="7" t="n">
        <v>59.95</v>
      </c>
    </row>
    <row r="565" ht="15" customHeight="1">
      <c r="A565" s="13" t="n">
        <v>45425</v>
      </c>
      <c r="B565" s="7" t="n">
        <v>58.65</v>
      </c>
      <c r="C565" s="8" t="n">
        <v>62.06</v>
      </c>
      <c r="D565" s="8" t="n">
        <v>60.38</v>
      </c>
      <c r="E565" s="7" t="n">
        <v>47.72</v>
      </c>
      <c r="F565" s="8" t="n">
        <v>60.67</v>
      </c>
      <c r="G565" s="8" t="n">
        <v>60.04</v>
      </c>
      <c r="H565" s="7" t="n">
        <v>51.54</v>
      </c>
      <c r="I565" s="8" t="n">
        <v>67.3</v>
      </c>
      <c r="J565" s="9" t="n">
        <v>78.42</v>
      </c>
      <c r="K565" s="7" t="n">
        <v>56.15</v>
      </c>
      <c r="L565" s="7" t="n">
        <v>57.38</v>
      </c>
    </row>
    <row r="566" ht="15" customHeight="1">
      <c r="A566" s="13" t="n">
        <v>45422</v>
      </c>
      <c r="B566" s="7" t="n">
        <v>57.02</v>
      </c>
      <c r="C566" s="8" t="n">
        <v>65.66</v>
      </c>
      <c r="D566" s="8" t="n">
        <v>61.42</v>
      </c>
      <c r="E566" s="7" t="n">
        <v>49.05</v>
      </c>
      <c r="F566" s="8" t="n">
        <v>61.14</v>
      </c>
      <c r="G566" s="8" t="n">
        <v>63.52</v>
      </c>
      <c r="H566" s="7" t="n">
        <v>52.12</v>
      </c>
      <c r="I566" s="9" t="n">
        <v>70.25</v>
      </c>
      <c r="J566" s="9" t="n">
        <v>78.42</v>
      </c>
      <c r="K566" s="7" t="n">
        <v>57.09</v>
      </c>
      <c r="L566" s="7" t="n">
        <v>56.42</v>
      </c>
    </row>
    <row r="567" ht="15" customHeight="1">
      <c r="A567" s="13" t="n">
        <v>45421</v>
      </c>
      <c r="B567" s="7" t="n">
        <v>55.74</v>
      </c>
      <c r="C567" s="8" t="n">
        <v>63.83</v>
      </c>
      <c r="D567" s="8" t="n">
        <v>60.1</v>
      </c>
      <c r="E567" s="7" t="n">
        <v>51.84</v>
      </c>
      <c r="F567" s="8" t="n">
        <v>60.62</v>
      </c>
      <c r="G567" s="8" t="n">
        <v>63.19</v>
      </c>
      <c r="H567" s="7" t="n">
        <v>54.5</v>
      </c>
      <c r="I567" s="8" t="n">
        <v>67.61</v>
      </c>
      <c r="J567" s="9" t="n">
        <v>79.13</v>
      </c>
      <c r="K567" s="7" t="n">
        <v>56.55</v>
      </c>
      <c r="L567" s="7" t="n">
        <v>58.12</v>
      </c>
    </row>
    <row r="568" ht="15" customHeight="1">
      <c r="A568" s="13" t="n">
        <v>45420</v>
      </c>
      <c r="B568" s="7" t="n">
        <v>55.86</v>
      </c>
      <c r="C568" s="7" t="n">
        <v>59.98</v>
      </c>
      <c r="D568" s="7" t="n">
        <v>53.94</v>
      </c>
      <c r="E568" s="7" t="n">
        <v>44.83</v>
      </c>
      <c r="F568" s="7" t="n">
        <v>55.53</v>
      </c>
      <c r="G568" s="7" t="n">
        <v>58.26</v>
      </c>
      <c r="H568" s="7" t="n">
        <v>51.93</v>
      </c>
      <c r="I568" s="8" t="n">
        <v>63.04</v>
      </c>
      <c r="J568" s="9" t="n">
        <v>76.04000000000001</v>
      </c>
      <c r="K568" s="7" t="n">
        <v>54.73</v>
      </c>
      <c r="L568" s="7" t="n">
        <v>49.17</v>
      </c>
    </row>
    <row r="569" ht="15" customHeight="1">
      <c r="A569" s="13" t="n">
        <v>45419</v>
      </c>
      <c r="B569" s="7" t="n">
        <v>54.98</v>
      </c>
      <c r="C569" s="7" t="n">
        <v>57.97</v>
      </c>
      <c r="D569" s="7" t="n">
        <v>57.23</v>
      </c>
      <c r="E569" s="7" t="n">
        <v>45.37</v>
      </c>
      <c r="F569" s="7" t="n">
        <v>58.45</v>
      </c>
      <c r="G569" s="7" t="n">
        <v>58.26</v>
      </c>
      <c r="H569" s="7" t="n">
        <v>53.48</v>
      </c>
      <c r="I569" s="8" t="n">
        <v>66.06</v>
      </c>
      <c r="J569" s="9" t="n">
        <v>73.56999999999999</v>
      </c>
      <c r="K569" s="7" t="n">
        <v>55.41</v>
      </c>
      <c r="L569" s="7" t="n">
        <v>53.39</v>
      </c>
    </row>
    <row r="570" ht="15" customHeight="1">
      <c r="A570" s="13" t="n">
        <v>45418</v>
      </c>
      <c r="B570" s="7" t="n">
        <v>56.18</v>
      </c>
      <c r="C570" s="7" t="n">
        <v>56.06</v>
      </c>
      <c r="D570" s="7" t="n">
        <v>50.53</v>
      </c>
      <c r="E570" s="7" t="n">
        <v>45.79</v>
      </c>
      <c r="F570" s="7" t="n">
        <v>52.55</v>
      </c>
      <c r="G570" s="7" t="n">
        <v>56.89</v>
      </c>
      <c r="H570" s="7" t="n">
        <v>56.51</v>
      </c>
      <c r="I570" s="7" t="n">
        <v>59.58</v>
      </c>
      <c r="J570" s="9" t="n">
        <v>70.55</v>
      </c>
      <c r="K570" s="7" t="n">
        <v>55.05</v>
      </c>
      <c r="L570" s="7" t="n">
        <v>48.85</v>
      </c>
    </row>
    <row r="571" ht="15" customHeight="1">
      <c r="A571" s="13" t="n">
        <v>45415</v>
      </c>
      <c r="B571" s="7" t="n">
        <v>52.78</v>
      </c>
      <c r="C571" s="7" t="n">
        <v>47.89</v>
      </c>
      <c r="D571" s="7" t="n">
        <v>46.76</v>
      </c>
      <c r="E571" s="7" t="n">
        <v>41.74</v>
      </c>
      <c r="F571" s="7" t="n">
        <v>49.17</v>
      </c>
      <c r="G571" s="7" t="n">
        <v>51.53</v>
      </c>
      <c r="H571" s="7" t="n">
        <v>52.86</v>
      </c>
      <c r="I571" s="7" t="n">
        <v>59.24</v>
      </c>
      <c r="J571" s="8" t="n">
        <v>69.08</v>
      </c>
      <c r="K571" s="7" t="n">
        <v>50.55</v>
      </c>
      <c r="L571" s="7" t="n">
        <v>48.73</v>
      </c>
    </row>
    <row r="572" ht="15" customHeight="1">
      <c r="A572" s="13" t="n">
        <v>45414</v>
      </c>
      <c r="B572" s="7" t="n">
        <v>43.34</v>
      </c>
      <c r="C572" s="7" t="n">
        <v>46.28</v>
      </c>
      <c r="D572" s="7" t="n">
        <v>44.34</v>
      </c>
      <c r="E572" s="7" t="n">
        <v>41.68</v>
      </c>
      <c r="F572" s="7" t="n">
        <v>42.88</v>
      </c>
      <c r="G572" s="7" t="n">
        <v>47.36</v>
      </c>
      <c r="H572" s="7" t="n">
        <v>50.44</v>
      </c>
      <c r="I572" s="7" t="n">
        <v>57.27</v>
      </c>
      <c r="J572" s="8" t="n">
        <v>66.7</v>
      </c>
      <c r="K572" s="7" t="n">
        <v>46.73</v>
      </c>
      <c r="L572" s="7" t="n">
        <v>45.31</v>
      </c>
    </row>
    <row r="573" ht="15" customHeight="1">
      <c r="A573" s="13" t="n">
        <v>45413</v>
      </c>
      <c r="B573" s="7" t="n">
        <v>37.41</v>
      </c>
      <c r="C573" s="7" t="n">
        <v>44.52</v>
      </c>
      <c r="D573" s="7" t="n">
        <v>44.88</v>
      </c>
      <c r="E573" s="7" t="n">
        <v>38.82</v>
      </c>
      <c r="F573" s="7" t="n">
        <v>45.55</v>
      </c>
      <c r="G573" s="7" t="n">
        <v>43.66</v>
      </c>
      <c r="H573" s="7" t="n">
        <v>45.66</v>
      </c>
      <c r="I573" s="7" t="n">
        <v>51.3</v>
      </c>
      <c r="J573" s="8" t="n">
        <v>65.03</v>
      </c>
      <c r="K573" s="7" t="n">
        <v>42.88</v>
      </c>
      <c r="L573" s="7" t="n">
        <v>38.48</v>
      </c>
    </row>
    <row r="574" ht="15" customHeight="1">
      <c r="A574" s="13" t="n">
        <v>45412</v>
      </c>
      <c r="B574" s="7" t="n">
        <v>40.21</v>
      </c>
      <c r="C574" s="7" t="n">
        <v>44.52</v>
      </c>
      <c r="D574" s="7" t="n">
        <v>43.28</v>
      </c>
      <c r="E574" s="7" t="n">
        <v>44.53</v>
      </c>
      <c r="F574" s="7" t="n">
        <v>42.2</v>
      </c>
      <c r="G574" s="7" t="n">
        <v>44.92</v>
      </c>
      <c r="H574" s="7" t="n">
        <v>47.8</v>
      </c>
      <c r="I574" s="7" t="n">
        <v>56.93</v>
      </c>
      <c r="J574" s="8" t="n">
        <v>61.16</v>
      </c>
      <c r="K574" s="7" t="n">
        <v>39.16</v>
      </c>
      <c r="L574" s="7" t="n">
        <v>38.21</v>
      </c>
    </row>
    <row r="575" ht="15" customHeight="1">
      <c r="A575" s="13" t="n">
        <v>45411</v>
      </c>
      <c r="B575" s="7" t="n">
        <v>47.48</v>
      </c>
      <c r="C575" s="7" t="n">
        <v>50.2</v>
      </c>
      <c r="D575" s="7" t="n">
        <v>43.75</v>
      </c>
      <c r="E575" s="8" t="n">
        <v>60.44</v>
      </c>
      <c r="F575" s="7" t="n">
        <v>53</v>
      </c>
      <c r="G575" s="7" t="n">
        <v>54.43</v>
      </c>
      <c r="H575" s="7" t="n">
        <v>57.84</v>
      </c>
      <c r="I575" s="8" t="n">
        <v>61.21</v>
      </c>
      <c r="J575" s="8" t="n">
        <v>64.16</v>
      </c>
      <c r="K575" s="7" t="n">
        <v>44.05</v>
      </c>
      <c r="L575" s="7" t="n">
        <v>44.5</v>
      </c>
    </row>
    <row r="576" ht="15" customHeight="1">
      <c r="A576" s="13" t="n">
        <v>45408</v>
      </c>
      <c r="B576" s="7" t="n">
        <v>45.71</v>
      </c>
      <c r="C576" s="7" t="n">
        <v>51.11</v>
      </c>
      <c r="D576" s="7" t="n">
        <v>40.93</v>
      </c>
      <c r="E576" s="7" t="n">
        <v>57.22</v>
      </c>
      <c r="F576" s="7" t="n">
        <v>47.27</v>
      </c>
      <c r="G576" s="7" t="n">
        <v>50.35</v>
      </c>
      <c r="H576" s="7" t="n">
        <v>48.45</v>
      </c>
      <c r="I576" s="7" t="n">
        <v>59.14</v>
      </c>
      <c r="J576" s="7" t="n">
        <v>59.41</v>
      </c>
      <c r="K576" s="7" t="n">
        <v>47.96</v>
      </c>
      <c r="L576" s="7" t="n">
        <v>38.86</v>
      </c>
    </row>
    <row r="577" ht="15" customHeight="1">
      <c r="A577" s="13" t="n">
        <v>45407</v>
      </c>
      <c r="B577" s="7" t="n">
        <v>40.91</v>
      </c>
      <c r="C577" s="7" t="n">
        <v>51.98</v>
      </c>
      <c r="D577" s="7" t="n">
        <v>40.69</v>
      </c>
      <c r="E577" s="8" t="n">
        <v>63.82</v>
      </c>
      <c r="F577" s="7" t="n">
        <v>42.5</v>
      </c>
      <c r="G577" s="7" t="n">
        <v>49.32</v>
      </c>
      <c r="H577" s="7" t="n">
        <v>44.01</v>
      </c>
      <c r="I577" s="8" t="n">
        <v>61.16</v>
      </c>
      <c r="J577" s="8" t="n">
        <v>65.98999999999999</v>
      </c>
      <c r="K577" s="7" t="n">
        <v>35.69</v>
      </c>
      <c r="L577" s="7" t="n">
        <v>38.44</v>
      </c>
    </row>
    <row r="578" ht="15" customHeight="1">
      <c r="A578" s="13" t="n">
        <v>45406</v>
      </c>
      <c r="B578" s="7" t="n">
        <v>41.56</v>
      </c>
      <c r="C578" s="7" t="n">
        <v>55.51</v>
      </c>
      <c r="D578" s="7" t="n">
        <v>44.56</v>
      </c>
      <c r="E578" s="8" t="n">
        <v>61.8</v>
      </c>
      <c r="F578" s="7" t="n">
        <v>36.37</v>
      </c>
      <c r="G578" s="7" t="n">
        <v>47.44</v>
      </c>
      <c r="H578" s="7" t="n">
        <v>43.58</v>
      </c>
      <c r="I578" s="8" t="n">
        <v>63.44</v>
      </c>
      <c r="J578" s="8" t="n">
        <v>65.09999999999999</v>
      </c>
      <c r="K578" s="7" t="n">
        <v>50.5</v>
      </c>
      <c r="L578" s="7" t="n">
        <v>40.26</v>
      </c>
    </row>
    <row r="579" ht="15" customHeight="1">
      <c r="A579" s="13" t="n">
        <v>45405</v>
      </c>
      <c r="B579" s="7" t="n">
        <v>39.68</v>
      </c>
      <c r="C579" s="7" t="n">
        <v>55.66</v>
      </c>
      <c r="D579" s="7" t="n">
        <v>46.49</v>
      </c>
      <c r="E579" s="8" t="n">
        <v>61.48</v>
      </c>
      <c r="F579" s="7" t="n">
        <v>35.76</v>
      </c>
      <c r="G579" s="7" t="n">
        <v>52.19</v>
      </c>
      <c r="H579" s="7" t="n">
        <v>38.76</v>
      </c>
      <c r="I579" s="7" t="n">
        <v>58.95</v>
      </c>
      <c r="J579" s="8" t="n">
        <v>63.13</v>
      </c>
      <c r="K579" s="7" t="n">
        <v>50.17</v>
      </c>
      <c r="L579" s="7" t="n">
        <v>38.45</v>
      </c>
    </row>
    <row r="580" ht="15" customHeight="1">
      <c r="A580" s="13" t="n">
        <v>45404</v>
      </c>
      <c r="B580" s="7" t="n">
        <v>33.28</v>
      </c>
      <c r="C580" s="7" t="n">
        <v>52.65</v>
      </c>
      <c r="D580" s="7" t="n">
        <v>35.86</v>
      </c>
      <c r="E580" s="7" t="n">
        <v>59.09</v>
      </c>
      <c r="F580" s="7" t="n">
        <v>40.33</v>
      </c>
      <c r="G580" s="7" t="n">
        <v>43.07</v>
      </c>
      <c r="H580" s="7" t="n">
        <v>32.13</v>
      </c>
      <c r="I580" s="7" t="n">
        <v>57.15</v>
      </c>
      <c r="J580" s="8" t="n">
        <v>61.56</v>
      </c>
      <c r="K580" s="7" t="n">
        <v>41.28</v>
      </c>
      <c r="L580" s="7" t="n">
        <v>34.1</v>
      </c>
    </row>
    <row r="581" ht="15" customHeight="1">
      <c r="A581" s="13" t="n">
        <v>45401</v>
      </c>
      <c r="B581" s="10" t="n">
        <v>29.11</v>
      </c>
      <c r="C581" s="7" t="n">
        <v>46.27</v>
      </c>
      <c r="D581" s="7" t="n">
        <v>32.22</v>
      </c>
      <c r="E581" s="7" t="n">
        <v>56.13</v>
      </c>
      <c r="F581" s="7" t="n">
        <v>39.49</v>
      </c>
      <c r="G581" s="7" t="n">
        <v>37.08</v>
      </c>
      <c r="H581" s="10" t="n">
        <v>29.52</v>
      </c>
      <c r="I581" s="7" t="n">
        <v>50.33</v>
      </c>
      <c r="J581" s="7" t="n">
        <v>58.38</v>
      </c>
      <c r="K581" s="7" t="n">
        <v>40.39</v>
      </c>
      <c r="L581" s="7" t="n">
        <v>30.06</v>
      </c>
    </row>
    <row r="582" ht="15" customHeight="1">
      <c r="A582" s="13" t="n">
        <v>45400</v>
      </c>
      <c r="B582" s="7" t="n">
        <v>33.72</v>
      </c>
      <c r="C582" s="7" t="n">
        <v>37.49</v>
      </c>
      <c r="D582" s="10" t="n">
        <v>28.52</v>
      </c>
      <c r="E582" s="7" t="n">
        <v>50.01</v>
      </c>
      <c r="F582" s="7" t="n">
        <v>39.9</v>
      </c>
      <c r="G582" s="7" t="n">
        <v>37.98</v>
      </c>
      <c r="H582" s="7" t="n">
        <v>31.79</v>
      </c>
      <c r="I582" s="7" t="n">
        <v>41.56</v>
      </c>
      <c r="J582" s="7" t="n">
        <v>52.34</v>
      </c>
      <c r="K582" s="7" t="n">
        <v>45.56</v>
      </c>
      <c r="L582" s="10" t="n">
        <v>28.09</v>
      </c>
    </row>
    <row r="583" ht="15" customHeight="1">
      <c r="A583" s="13" t="n">
        <v>45399</v>
      </c>
      <c r="B583" s="7" t="n">
        <v>36.75</v>
      </c>
      <c r="C583" s="7" t="n">
        <v>34.98</v>
      </c>
      <c r="D583" s="10" t="n">
        <v>28.55</v>
      </c>
      <c r="E583" s="7" t="n">
        <v>51.72</v>
      </c>
      <c r="F583" s="7" t="n">
        <v>39.65</v>
      </c>
      <c r="G583" s="7" t="n">
        <v>39.68</v>
      </c>
      <c r="H583" s="7" t="n">
        <v>33.51</v>
      </c>
      <c r="I583" s="7" t="n">
        <v>36.65</v>
      </c>
      <c r="J583" s="7" t="n">
        <v>49.88</v>
      </c>
      <c r="K583" s="7" t="n">
        <v>42.53</v>
      </c>
      <c r="L583" s="10" t="n">
        <v>27.95</v>
      </c>
    </row>
    <row r="584" ht="15" customHeight="1">
      <c r="A584" s="13" t="n">
        <v>45398</v>
      </c>
      <c r="B584" s="7" t="n">
        <v>41.14</v>
      </c>
      <c r="C584" s="7" t="n">
        <v>33.2</v>
      </c>
      <c r="D584" s="10" t="n">
        <v>29.18</v>
      </c>
      <c r="E584" s="7" t="n">
        <v>53.31</v>
      </c>
      <c r="F584" s="7" t="n">
        <v>38.08</v>
      </c>
      <c r="G584" s="7" t="n">
        <v>42.32</v>
      </c>
      <c r="H584" s="7" t="n">
        <v>34.87</v>
      </c>
      <c r="I584" s="7" t="n">
        <v>32.48</v>
      </c>
      <c r="J584" s="7" t="n">
        <v>39.31</v>
      </c>
      <c r="K584" s="7" t="n">
        <v>42.93</v>
      </c>
      <c r="L584" s="10" t="n">
        <v>29.49</v>
      </c>
    </row>
    <row r="585" ht="15" customHeight="1">
      <c r="A585" s="13" t="n">
        <v>45397</v>
      </c>
      <c r="B585" s="7" t="n">
        <v>40.6</v>
      </c>
      <c r="C585" s="7" t="n">
        <v>35.65</v>
      </c>
      <c r="D585" s="10" t="n">
        <v>28.88</v>
      </c>
      <c r="E585" s="7" t="n">
        <v>58.42</v>
      </c>
      <c r="F585" s="7" t="n">
        <v>41.55</v>
      </c>
      <c r="G585" s="7" t="n">
        <v>43.52</v>
      </c>
      <c r="H585" s="7" t="n">
        <v>36.5</v>
      </c>
      <c r="I585" s="7" t="n">
        <v>32.01</v>
      </c>
      <c r="J585" s="7" t="n">
        <v>44.95</v>
      </c>
      <c r="K585" s="7" t="n">
        <v>44.42</v>
      </c>
      <c r="L585" s="7" t="n">
        <v>32.61</v>
      </c>
    </row>
    <row r="586" ht="15" customHeight="1">
      <c r="A586" s="13" t="n">
        <v>45394</v>
      </c>
      <c r="B586" s="7" t="n">
        <v>47.18</v>
      </c>
      <c r="C586" s="7" t="n">
        <v>37.55</v>
      </c>
      <c r="D586" s="10" t="n">
        <v>29.54</v>
      </c>
      <c r="E586" s="8" t="n">
        <v>64.66</v>
      </c>
      <c r="F586" s="7" t="n">
        <v>43.87</v>
      </c>
      <c r="G586" s="7" t="n">
        <v>47.44</v>
      </c>
      <c r="H586" s="7" t="n">
        <v>41.93</v>
      </c>
      <c r="I586" s="7" t="n">
        <v>34.19</v>
      </c>
      <c r="J586" s="7" t="n">
        <v>49.6</v>
      </c>
      <c r="K586" s="7" t="n">
        <v>50.64</v>
      </c>
      <c r="L586" s="7" t="n">
        <v>36.81</v>
      </c>
    </row>
    <row r="587" ht="15" customHeight="1">
      <c r="A587" s="13" t="n">
        <v>45393</v>
      </c>
      <c r="B587" s="7" t="n">
        <v>54.26</v>
      </c>
      <c r="C587" s="7" t="n">
        <v>43.35</v>
      </c>
      <c r="D587" s="7" t="n">
        <v>35.16</v>
      </c>
      <c r="E587" s="9" t="n">
        <v>78.40000000000001</v>
      </c>
      <c r="F587" s="7" t="n">
        <v>54.48</v>
      </c>
      <c r="G587" s="7" t="n">
        <v>54.29</v>
      </c>
      <c r="H587" s="7" t="n">
        <v>48.57</v>
      </c>
      <c r="I587" s="7" t="n">
        <v>40.59</v>
      </c>
      <c r="J587" s="7" t="n">
        <v>53.89</v>
      </c>
      <c r="K587" s="8" t="n">
        <v>61.15</v>
      </c>
      <c r="L587" s="7" t="n">
        <v>39.65</v>
      </c>
    </row>
    <row r="588" ht="15" customHeight="1">
      <c r="A588" s="13" t="n">
        <v>45392</v>
      </c>
      <c r="B588" s="7" t="n">
        <v>44.98</v>
      </c>
      <c r="C588" s="7" t="n">
        <v>46.97</v>
      </c>
      <c r="D588" s="7" t="n">
        <v>36.96</v>
      </c>
      <c r="E588" s="9" t="n">
        <v>79.09</v>
      </c>
      <c r="F588" s="7" t="n">
        <v>55.01</v>
      </c>
      <c r="G588" s="7" t="n">
        <v>53.63</v>
      </c>
      <c r="H588" s="7" t="n">
        <v>44.55</v>
      </c>
      <c r="I588" s="7" t="n">
        <v>42.36</v>
      </c>
      <c r="J588" s="7" t="n">
        <v>55.07</v>
      </c>
      <c r="K588" s="7" t="n">
        <v>56.73</v>
      </c>
      <c r="L588" s="7" t="n">
        <v>39.2</v>
      </c>
    </row>
    <row r="589" ht="15" customHeight="1">
      <c r="A589" s="13" t="n">
        <v>45391</v>
      </c>
      <c r="B589" s="7" t="n">
        <v>50.94</v>
      </c>
      <c r="C589" s="7" t="n">
        <v>56.3</v>
      </c>
      <c r="D589" s="7" t="n">
        <v>42.88</v>
      </c>
      <c r="E589" s="9" t="n">
        <v>78.33</v>
      </c>
      <c r="F589" s="8" t="n">
        <v>67.8</v>
      </c>
      <c r="G589" s="7" t="n">
        <v>59.7</v>
      </c>
      <c r="H589" s="7" t="n">
        <v>51.86</v>
      </c>
      <c r="I589" s="7" t="n">
        <v>45.09</v>
      </c>
      <c r="J589" s="8" t="n">
        <v>66.83</v>
      </c>
      <c r="K589" s="8" t="n">
        <v>62.7</v>
      </c>
      <c r="L589" s="7" t="n">
        <v>54.21</v>
      </c>
    </row>
    <row r="590" ht="15" customHeight="1">
      <c r="A590" s="13" t="n">
        <v>45390</v>
      </c>
      <c r="B590" s="7" t="n">
        <v>48.34</v>
      </c>
      <c r="C590" s="8" t="n">
        <v>60.63</v>
      </c>
      <c r="D590" s="7" t="n">
        <v>40.18</v>
      </c>
      <c r="E590" s="9" t="n">
        <v>78.26000000000001</v>
      </c>
      <c r="F590" s="8" t="n">
        <v>66.70999999999999</v>
      </c>
      <c r="G590" s="8" t="n">
        <v>61.45</v>
      </c>
      <c r="H590" s="7" t="n">
        <v>49.53</v>
      </c>
      <c r="I590" s="7" t="n">
        <v>40.32</v>
      </c>
      <c r="J590" s="8" t="n">
        <v>64.59</v>
      </c>
      <c r="K590" s="8" t="n">
        <v>62.19</v>
      </c>
      <c r="L590" s="7" t="n">
        <v>48.65</v>
      </c>
    </row>
    <row r="591" ht="15" customHeight="1">
      <c r="A591" s="13" t="n">
        <v>45387</v>
      </c>
      <c r="B591" s="7" t="n">
        <v>48.9</v>
      </c>
      <c r="C591" s="7" t="n">
        <v>58.4</v>
      </c>
      <c r="D591" s="7" t="n">
        <v>41.83</v>
      </c>
      <c r="E591" s="9" t="n">
        <v>83.66</v>
      </c>
      <c r="F591" s="8" t="n">
        <v>66.37</v>
      </c>
      <c r="G591" s="8" t="n">
        <v>62.75</v>
      </c>
      <c r="H591" s="7" t="n">
        <v>44.53</v>
      </c>
      <c r="I591" s="7" t="n">
        <v>41.34</v>
      </c>
      <c r="J591" s="8" t="n">
        <v>61.73</v>
      </c>
      <c r="K591" s="8" t="n">
        <v>62.14</v>
      </c>
      <c r="L591" s="7" t="n">
        <v>44.44</v>
      </c>
    </row>
    <row r="592" ht="15" customHeight="1">
      <c r="A592" s="13" t="n">
        <v>45386</v>
      </c>
      <c r="B592" s="7" t="n">
        <v>42.96</v>
      </c>
      <c r="C592" s="7" t="n">
        <v>53.06</v>
      </c>
      <c r="D592" s="7" t="n">
        <v>34.96</v>
      </c>
      <c r="E592" s="9" t="n">
        <v>81.69</v>
      </c>
      <c r="F592" s="8" t="n">
        <v>62.16</v>
      </c>
      <c r="G592" s="7" t="n">
        <v>56.02</v>
      </c>
      <c r="H592" s="7" t="n">
        <v>41.39</v>
      </c>
      <c r="I592" s="7" t="n">
        <v>39.8</v>
      </c>
      <c r="J592" s="8" t="n">
        <v>60.41</v>
      </c>
      <c r="K592" s="7" t="n">
        <v>57.5</v>
      </c>
      <c r="L592" s="7" t="n">
        <v>41.03</v>
      </c>
    </row>
    <row r="593" ht="15" customHeight="1">
      <c r="A593" s="13" t="n">
        <v>45385</v>
      </c>
      <c r="B593" s="7" t="n">
        <v>50.61</v>
      </c>
      <c r="C593" s="8" t="n">
        <v>61.97</v>
      </c>
      <c r="D593" s="7" t="n">
        <v>42.62</v>
      </c>
      <c r="E593" s="9" t="n">
        <v>82.23</v>
      </c>
      <c r="F593" s="9" t="n">
        <v>71.58</v>
      </c>
      <c r="G593" s="8" t="n">
        <v>62.75</v>
      </c>
      <c r="H593" s="7" t="n">
        <v>46.61</v>
      </c>
      <c r="I593" s="7" t="n">
        <v>42.57</v>
      </c>
      <c r="J593" s="8" t="n">
        <v>61.76</v>
      </c>
      <c r="K593" s="8" t="n">
        <v>67.93000000000001</v>
      </c>
      <c r="L593" s="7" t="n">
        <v>44.04</v>
      </c>
    </row>
    <row r="594" ht="15" customHeight="1">
      <c r="A594" s="13" t="n">
        <v>45384</v>
      </c>
      <c r="B594" s="7" t="n">
        <v>49.2</v>
      </c>
      <c r="C594" s="8" t="n">
        <v>62.38</v>
      </c>
      <c r="D594" s="7" t="n">
        <v>43.3</v>
      </c>
      <c r="E594" s="9" t="n">
        <v>80.95999999999999</v>
      </c>
      <c r="F594" s="8" t="n">
        <v>69.03</v>
      </c>
      <c r="G594" s="8" t="n">
        <v>60.16</v>
      </c>
      <c r="H594" s="7" t="n">
        <v>46.22</v>
      </c>
      <c r="I594" s="7" t="n">
        <v>51.14</v>
      </c>
      <c r="J594" s="8" t="n">
        <v>64.43000000000001</v>
      </c>
      <c r="K594" s="8" t="n">
        <v>64.45</v>
      </c>
      <c r="L594" s="7" t="n">
        <v>43.78</v>
      </c>
    </row>
    <row r="595" ht="15" customHeight="1">
      <c r="A595" s="13" t="n">
        <v>45383</v>
      </c>
      <c r="B595" s="7" t="n">
        <v>54.48</v>
      </c>
      <c r="C595" s="8" t="n">
        <v>66.95</v>
      </c>
      <c r="D595" s="7" t="n">
        <v>54.82</v>
      </c>
      <c r="E595" s="9" t="n">
        <v>78.04000000000001</v>
      </c>
      <c r="F595" s="9" t="n">
        <v>72.78</v>
      </c>
      <c r="G595" s="8" t="n">
        <v>63.9</v>
      </c>
      <c r="H595" s="7" t="n">
        <v>53.73</v>
      </c>
      <c r="I595" s="7" t="n">
        <v>56.07</v>
      </c>
      <c r="J595" s="8" t="n">
        <v>63.81</v>
      </c>
      <c r="K595" s="8" t="n">
        <v>65.78</v>
      </c>
      <c r="L595" s="7" t="n">
        <v>48.17</v>
      </c>
    </row>
    <row r="596" ht="15" customHeight="1">
      <c r="A596" s="13" t="n">
        <v>45380</v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</row>
    <row r="597" ht="15" customHeight="1">
      <c r="A597" s="13" t="n">
        <v>45379</v>
      </c>
      <c r="B597" s="7" t="n">
        <v>53.13</v>
      </c>
      <c r="C597" s="9" t="n">
        <v>72.06999999999999</v>
      </c>
      <c r="D597" s="8" t="n">
        <v>63.49</v>
      </c>
      <c r="E597" s="9" t="n">
        <v>76.26000000000001</v>
      </c>
      <c r="F597" s="9" t="n">
        <v>75.23999999999999</v>
      </c>
      <c r="G597" s="9" t="n">
        <v>70.70999999999999</v>
      </c>
      <c r="H597" s="7" t="n">
        <v>58.2</v>
      </c>
      <c r="I597" s="8" t="n">
        <v>65.2</v>
      </c>
      <c r="J597" s="8" t="n">
        <v>67.76000000000001</v>
      </c>
      <c r="K597" s="8" t="n">
        <v>62.29</v>
      </c>
      <c r="L597" s="7" t="n">
        <v>56.61</v>
      </c>
    </row>
    <row r="598" ht="15" customHeight="1">
      <c r="A598" s="13" t="n">
        <v>45378</v>
      </c>
      <c r="B598" s="7" t="n">
        <v>54.29</v>
      </c>
      <c r="C598" s="8" t="n">
        <v>69.94</v>
      </c>
      <c r="D598" s="8" t="n">
        <v>63.4</v>
      </c>
      <c r="E598" s="9" t="n">
        <v>73.37</v>
      </c>
      <c r="F598" s="9" t="n">
        <v>74.31999999999999</v>
      </c>
      <c r="G598" s="9" t="n">
        <v>70.65000000000001</v>
      </c>
      <c r="H598" s="8" t="n">
        <v>60.13</v>
      </c>
      <c r="I598" s="8" t="n">
        <v>64.31</v>
      </c>
      <c r="J598" s="8" t="n">
        <v>65.53</v>
      </c>
      <c r="K598" s="8" t="n">
        <v>63.53</v>
      </c>
      <c r="L598" s="7" t="n">
        <v>53.89</v>
      </c>
    </row>
    <row r="599" ht="15" customHeight="1">
      <c r="A599" s="13" t="n">
        <v>45377</v>
      </c>
      <c r="B599" s="7" t="n">
        <v>52</v>
      </c>
      <c r="C599" s="8" t="n">
        <v>64.58</v>
      </c>
      <c r="D599" s="7" t="n">
        <v>53.65</v>
      </c>
      <c r="E599" s="9" t="n">
        <v>70.52</v>
      </c>
      <c r="F599" s="8" t="n">
        <v>68.7</v>
      </c>
      <c r="G599" s="8" t="n">
        <v>63.81</v>
      </c>
      <c r="H599" s="7" t="n">
        <v>54.99</v>
      </c>
      <c r="I599" s="7" t="n">
        <v>56.14</v>
      </c>
      <c r="J599" s="7" t="n">
        <v>53.91</v>
      </c>
      <c r="K599" s="8" t="n">
        <v>61.21</v>
      </c>
      <c r="L599" s="7" t="n">
        <v>40.44</v>
      </c>
    </row>
    <row r="600" ht="15" customHeight="1">
      <c r="A600" s="13" t="n">
        <v>45376</v>
      </c>
      <c r="B600" s="7" t="n">
        <v>54.04</v>
      </c>
      <c r="C600" s="8" t="n">
        <v>62.82</v>
      </c>
      <c r="D600" s="7" t="n">
        <v>50.28</v>
      </c>
      <c r="E600" s="9" t="n">
        <v>76.90000000000001</v>
      </c>
      <c r="F600" s="8" t="n">
        <v>69.45999999999999</v>
      </c>
      <c r="G600" s="8" t="n">
        <v>67.09999999999999</v>
      </c>
      <c r="H600" s="7" t="n">
        <v>54.4</v>
      </c>
      <c r="I600" s="7" t="n">
        <v>55.66</v>
      </c>
      <c r="J600" s="8" t="n">
        <v>61.9</v>
      </c>
      <c r="K600" s="8" t="n">
        <v>62.71</v>
      </c>
      <c r="L600" s="7" t="n">
        <v>42.33</v>
      </c>
    </row>
    <row r="601" ht="15" customHeight="1">
      <c r="A601" s="13" t="n">
        <v>45373</v>
      </c>
      <c r="B601" s="7" t="n">
        <v>57.41</v>
      </c>
      <c r="C601" s="8" t="n">
        <v>66.31</v>
      </c>
      <c r="D601" s="7" t="n">
        <v>51.6</v>
      </c>
      <c r="E601" s="9" t="n">
        <v>74.33</v>
      </c>
      <c r="F601" s="8" t="n">
        <v>69.31999999999999</v>
      </c>
      <c r="G601" s="9" t="n">
        <v>73.42</v>
      </c>
      <c r="H601" s="7" t="n">
        <v>56.19</v>
      </c>
      <c r="I601" s="7" t="n">
        <v>58.78</v>
      </c>
      <c r="J601" s="7" t="n">
        <v>59.61</v>
      </c>
      <c r="K601" s="8" t="n">
        <v>65.15000000000001</v>
      </c>
      <c r="L601" s="7" t="n">
        <v>44.13</v>
      </c>
    </row>
    <row r="602" ht="15" customHeight="1">
      <c r="A602" s="13" t="n">
        <v>45372</v>
      </c>
      <c r="B602" s="7" t="n">
        <v>57.28</v>
      </c>
      <c r="C602" s="9" t="n">
        <v>78.47</v>
      </c>
      <c r="D602" s="7" t="n">
        <v>52.88</v>
      </c>
      <c r="E602" s="9" t="n">
        <v>76.16</v>
      </c>
      <c r="F602" s="9" t="n">
        <v>75.14</v>
      </c>
      <c r="G602" s="9" t="n">
        <v>76.98999999999999</v>
      </c>
      <c r="H602" s="8" t="n">
        <v>61.24</v>
      </c>
      <c r="I602" s="8" t="n">
        <v>64.70999999999999</v>
      </c>
      <c r="J602" s="7" t="n">
        <v>58.93</v>
      </c>
      <c r="K602" s="8" t="n">
        <v>64.37</v>
      </c>
      <c r="L602" s="7" t="n">
        <v>50.19</v>
      </c>
    </row>
    <row r="603" ht="15" customHeight="1">
      <c r="A603" s="13" t="n">
        <v>45371</v>
      </c>
      <c r="B603" s="7" t="n">
        <v>57.03</v>
      </c>
      <c r="C603" s="9" t="n">
        <v>75.51000000000001</v>
      </c>
      <c r="D603" s="7" t="n">
        <v>51.82</v>
      </c>
      <c r="E603" s="9" t="n">
        <v>74.56</v>
      </c>
      <c r="F603" s="9" t="n">
        <v>73.78</v>
      </c>
      <c r="G603" s="9" t="n">
        <v>73.56999999999999</v>
      </c>
      <c r="H603" s="7" t="n">
        <v>58.97</v>
      </c>
      <c r="I603" s="8" t="n">
        <v>64.34999999999999</v>
      </c>
      <c r="J603" s="7" t="n">
        <v>59.98</v>
      </c>
      <c r="K603" s="8" t="n">
        <v>64.23999999999999</v>
      </c>
      <c r="L603" s="7" t="n">
        <v>48.03</v>
      </c>
    </row>
    <row r="604" ht="15" customHeight="1">
      <c r="A604" s="13" t="n">
        <v>45370</v>
      </c>
      <c r="B604" s="7" t="n">
        <v>53.09</v>
      </c>
      <c r="C604" s="9" t="n">
        <v>70.01000000000001</v>
      </c>
      <c r="D604" s="7" t="n">
        <v>53.76</v>
      </c>
      <c r="E604" s="9" t="n">
        <v>75.67</v>
      </c>
      <c r="F604" s="9" t="n">
        <v>70.14</v>
      </c>
      <c r="G604" s="8" t="n">
        <v>68.31</v>
      </c>
      <c r="H604" s="7" t="n">
        <v>52.46</v>
      </c>
      <c r="I604" s="8" t="n">
        <v>62.29</v>
      </c>
      <c r="J604" s="7" t="n">
        <v>59.44</v>
      </c>
      <c r="K604" s="7" t="n">
        <v>59.89</v>
      </c>
      <c r="L604" s="7" t="n">
        <v>45.69</v>
      </c>
    </row>
    <row r="605" ht="15" customHeight="1">
      <c r="A605" s="13" t="n">
        <v>45369</v>
      </c>
      <c r="B605" s="7" t="n">
        <v>51.17</v>
      </c>
      <c r="C605" s="8" t="n">
        <v>67.22</v>
      </c>
      <c r="D605" s="7" t="n">
        <v>48.56</v>
      </c>
      <c r="E605" s="9" t="n">
        <v>72.63</v>
      </c>
      <c r="F605" s="9" t="n">
        <v>70.09999999999999</v>
      </c>
      <c r="G605" s="8" t="n">
        <v>63.53</v>
      </c>
      <c r="H605" s="7" t="n">
        <v>48.04</v>
      </c>
      <c r="I605" s="7" t="n">
        <v>59.65</v>
      </c>
      <c r="J605" s="7" t="n">
        <v>55.56</v>
      </c>
      <c r="K605" s="8" t="n">
        <v>60.11</v>
      </c>
      <c r="L605" s="7" t="n">
        <v>45.69</v>
      </c>
    </row>
    <row r="606" ht="15" customHeight="1">
      <c r="A606" s="13" t="n">
        <v>45366</v>
      </c>
      <c r="B606" s="7" t="n">
        <v>49.98</v>
      </c>
      <c r="C606" s="8" t="n">
        <v>66.05</v>
      </c>
      <c r="D606" s="7" t="n">
        <v>51.59</v>
      </c>
      <c r="E606" s="9" t="n">
        <v>76.2</v>
      </c>
      <c r="F606" s="9" t="n">
        <v>71.59999999999999</v>
      </c>
      <c r="G606" s="8" t="n">
        <v>64.92</v>
      </c>
      <c r="H606" s="7" t="n">
        <v>45.08</v>
      </c>
      <c r="I606" s="8" t="n">
        <v>60.64</v>
      </c>
      <c r="J606" s="7" t="n">
        <v>57.67</v>
      </c>
      <c r="K606" s="7" t="n">
        <v>52.73</v>
      </c>
      <c r="L606" s="7" t="n">
        <v>48.89</v>
      </c>
    </row>
    <row r="607" ht="15" customHeight="1">
      <c r="A607" s="13" t="n">
        <v>45365</v>
      </c>
      <c r="B607" s="7" t="n">
        <v>55.93</v>
      </c>
      <c r="C607" s="8" t="n">
        <v>67.17</v>
      </c>
      <c r="D607" s="7" t="n">
        <v>55.02</v>
      </c>
      <c r="E607" s="9" t="n">
        <v>75.48</v>
      </c>
      <c r="F607" s="9" t="n">
        <v>71.45999999999999</v>
      </c>
      <c r="G607" s="8" t="n">
        <v>64.83</v>
      </c>
      <c r="H607" s="7" t="n">
        <v>49.96</v>
      </c>
      <c r="I607" s="8" t="n">
        <v>61.04</v>
      </c>
      <c r="J607" s="7" t="n">
        <v>57.07</v>
      </c>
      <c r="K607" s="7" t="n">
        <v>58.42</v>
      </c>
      <c r="L607" s="7" t="n">
        <v>49.13</v>
      </c>
    </row>
    <row r="608" ht="15" customHeight="1">
      <c r="A608" s="13" t="n">
        <v>45364</v>
      </c>
      <c r="B608" s="7" t="n">
        <v>55.87</v>
      </c>
      <c r="C608" s="9" t="n">
        <v>77.16</v>
      </c>
      <c r="D608" s="7" t="n">
        <v>58.24</v>
      </c>
      <c r="E608" s="9" t="n">
        <v>72.86</v>
      </c>
      <c r="F608" s="9" t="n">
        <v>75.7</v>
      </c>
      <c r="G608" s="8" t="n">
        <v>69.06</v>
      </c>
      <c r="H608" s="7" t="n">
        <v>53.41</v>
      </c>
      <c r="I608" s="8" t="n">
        <v>69.42</v>
      </c>
      <c r="J608" s="8" t="n">
        <v>61.6</v>
      </c>
      <c r="K608" s="7" t="n">
        <v>59.85</v>
      </c>
      <c r="L608" s="7" t="n">
        <v>56.19</v>
      </c>
    </row>
    <row r="609" ht="15" customHeight="1">
      <c r="A609" s="13" t="n">
        <v>45363</v>
      </c>
      <c r="B609" s="8" t="n">
        <v>60.36</v>
      </c>
      <c r="C609" s="9" t="n">
        <v>73.88</v>
      </c>
      <c r="D609" s="8" t="n">
        <v>61.93</v>
      </c>
      <c r="E609" s="8" t="n">
        <v>67.98999999999999</v>
      </c>
      <c r="F609" s="9" t="n">
        <v>72.94</v>
      </c>
      <c r="G609" s="8" t="n">
        <v>67.83</v>
      </c>
      <c r="H609" s="7" t="n">
        <v>54.57</v>
      </c>
      <c r="I609" s="8" t="n">
        <v>68.11</v>
      </c>
      <c r="J609" s="7" t="n">
        <v>59.06</v>
      </c>
      <c r="K609" s="7" t="n">
        <v>59.16</v>
      </c>
      <c r="L609" s="7" t="n">
        <v>59.76</v>
      </c>
    </row>
    <row r="610" ht="15" customHeight="1">
      <c r="A610" s="13" t="n">
        <v>45362</v>
      </c>
      <c r="B610" s="7" t="n">
        <v>53.97</v>
      </c>
      <c r="C610" s="9" t="n">
        <v>71.73999999999999</v>
      </c>
      <c r="D610" s="7" t="n">
        <v>59.06</v>
      </c>
      <c r="E610" s="8" t="n">
        <v>69.12</v>
      </c>
      <c r="F610" s="9" t="n">
        <v>73.02</v>
      </c>
      <c r="G610" s="8" t="n">
        <v>65.73999999999999</v>
      </c>
      <c r="H610" s="7" t="n">
        <v>50.51</v>
      </c>
      <c r="I610" s="8" t="n">
        <v>65.27</v>
      </c>
      <c r="J610" s="8" t="n">
        <v>64.8</v>
      </c>
      <c r="K610" s="7" t="n">
        <v>55.68</v>
      </c>
      <c r="L610" s="8" t="n">
        <v>61.2</v>
      </c>
    </row>
    <row r="611" ht="15" customHeight="1">
      <c r="A611" s="13" t="n">
        <v>45359</v>
      </c>
      <c r="B611" s="7" t="n">
        <v>55.08</v>
      </c>
      <c r="C611" s="9" t="n">
        <v>70.83</v>
      </c>
      <c r="D611" s="7" t="n">
        <v>59.55</v>
      </c>
      <c r="E611" s="8" t="n">
        <v>65.66</v>
      </c>
      <c r="F611" s="8" t="n">
        <v>69.64</v>
      </c>
      <c r="G611" s="9" t="n">
        <v>70.7</v>
      </c>
      <c r="H611" s="7" t="n">
        <v>51.87</v>
      </c>
      <c r="I611" s="8" t="n">
        <v>61.98</v>
      </c>
      <c r="J611" s="8" t="n">
        <v>63.08</v>
      </c>
      <c r="K611" s="7" t="n">
        <v>56.64</v>
      </c>
      <c r="L611" s="8" t="n">
        <v>64.06999999999999</v>
      </c>
    </row>
    <row r="612" ht="15" customHeight="1">
      <c r="A612" s="13" t="n">
        <v>45358</v>
      </c>
      <c r="B612" s="8" t="n">
        <v>61.52</v>
      </c>
      <c r="C612" s="8" t="n">
        <v>69.93000000000001</v>
      </c>
      <c r="D612" s="8" t="n">
        <v>61.14</v>
      </c>
      <c r="E612" s="8" t="n">
        <v>64.40000000000001</v>
      </c>
      <c r="F612" s="9" t="n">
        <v>74.08</v>
      </c>
      <c r="G612" s="9" t="n">
        <v>72.89</v>
      </c>
      <c r="H612" s="7" t="n">
        <v>53.7</v>
      </c>
      <c r="I612" s="9" t="n">
        <v>71.16</v>
      </c>
      <c r="J612" s="8" t="n">
        <v>62.22</v>
      </c>
      <c r="K612" s="7" t="n">
        <v>57.38</v>
      </c>
      <c r="L612" s="7" t="n">
        <v>59.97</v>
      </c>
    </row>
    <row r="613" ht="15" customHeight="1">
      <c r="A613" s="13" t="n">
        <v>45357</v>
      </c>
      <c r="B613" s="7" t="n">
        <v>56.6</v>
      </c>
      <c r="C613" s="9" t="n">
        <v>71.69</v>
      </c>
      <c r="D613" s="7" t="n">
        <v>58.55</v>
      </c>
      <c r="E613" s="8" t="n">
        <v>61.25</v>
      </c>
      <c r="F613" s="9" t="n">
        <v>70.41</v>
      </c>
      <c r="G613" s="8" t="n">
        <v>69.73</v>
      </c>
      <c r="H613" s="7" t="n">
        <v>50.37</v>
      </c>
      <c r="I613" s="8" t="n">
        <v>68</v>
      </c>
      <c r="J613" s="8" t="n">
        <v>60.01</v>
      </c>
      <c r="K613" s="7" t="n">
        <v>51.12</v>
      </c>
      <c r="L613" s="7" t="n">
        <v>59.97</v>
      </c>
    </row>
    <row r="614" ht="15" customHeight="1">
      <c r="A614" s="13" t="n">
        <v>45356</v>
      </c>
      <c r="B614" s="7" t="n">
        <v>53.86</v>
      </c>
      <c r="C614" s="8" t="n">
        <v>69.17</v>
      </c>
      <c r="D614" s="7" t="n">
        <v>54.44</v>
      </c>
      <c r="E614" s="8" t="n">
        <v>60.05</v>
      </c>
      <c r="F614" s="8" t="n">
        <v>67.90000000000001</v>
      </c>
      <c r="G614" s="8" t="n">
        <v>67.47</v>
      </c>
      <c r="H614" s="7" t="n">
        <v>52</v>
      </c>
      <c r="I614" s="8" t="n">
        <v>62.41</v>
      </c>
      <c r="J614" s="7" t="n">
        <v>56.56</v>
      </c>
      <c r="K614" s="7" t="n">
        <v>50.54</v>
      </c>
      <c r="L614" s="7" t="n">
        <v>58.04</v>
      </c>
    </row>
    <row r="615" ht="15" customHeight="1">
      <c r="A615" s="13" t="n">
        <v>45355</v>
      </c>
      <c r="B615" s="8" t="n">
        <v>66.17</v>
      </c>
      <c r="C615" s="8" t="n">
        <v>69.04000000000001</v>
      </c>
      <c r="D615" s="8" t="n">
        <v>60.58</v>
      </c>
      <c r="E615" s="7" t="n">
        <v>57.13</v>
      </c>
      <c r="F615" s="9" t="n">
        <v>72</v>
      </c>
      <c r="G615" s="9" t="n">
        <v>75.81999999999999</v>
      </c>
      <c r="H615" s="7" t="n">
        <v>58.17</v>
      </c>
      <c r="I615" s="8" t="n">
        <v>60.59</v>
      </c>
      <c r="J615" s="7" t="n">
        <v>57.96</v>
      </c>
      <c r="K615" s="7" t="n">
        <v>54.03</v>
      </c>
      <c r="L615" s="8" t="n">
        <v>64.77</v>
      </c>
    </row>
    <row r="616" ht="15" customHeight="1">
      <c r="A616" s="13" t="n">
        <v>45352</v>
      </c>
      <c r="B616" s="8" t="n">
        <v>66.17</v>
      </c>
      <c r="C616" s="8" t="n">
        <v>67.86</v>
      </c>
      <c r="D616" s="8" t="n">
        <v>61.89</v>
      </c>
      <c r="E616" s="8" t="n">
        <v>63.38</v>
      </c>
      <c r="F616" s="8" t="n">
        <v>69.68000000000001</v>
      </c>
      <c r="G616" s="9" t="n">
        <v>74.53</v>
      </c>
      <c r="H616" s="8" t="n">
        <v>66.22</v>
      </c>
      <c r="I616" s="7" t="n">
        <v>59.99</v>
      </c>
      <c r="J616" s="7" t="n">
        <v>51.55</v>
      </c>
      <c r="K616" s="8" t="n">
        <v>60.36</v>
      </c>
      <c r="L616" s="8" t="n">
        <v>61.07</v>
      </c>
    </row>
    <row r="617" ht="15" customHeight="1">
      <c r="A617" s="13" t="n">
        <v>45351</v>
      </c>
      <c r="B617" s="8" t="n">
        <v>60.49</v>
      </c>
      <c r="C617" s="8" t="n">
        <v>69.09</v>
      </c>
      <c r="D617" s="7" t="n">
        <v>55.75</v>
      </c>
      <c r="E617" s="7" t="n">
        <v>58.89</v>
      </c>
      <c r="F617" s="8" t="n">
        <v>68.15000000000001</v>
      </c>
      <c r="G617" s="9" t="n">
        <v>72.95</v>
      </c>
      <c r="H617" s="8" t="n">
        <v>65.12</v>
      </c>
      <c r="I617" s="7" t="n">
        <v>59.89</v>
      </c>
      <c r="J617" s="7" t="n">
        <v>54.36</v>
      </c>
      <c r="K617" s="7" t="n">
        <v>57.45</v>
      </c>
      <c r="L617" s="7" t="n">
        <v>57.08</v>
      </c>
    </row>
    <row r="618" ht="15" customHeight="1">
      <c r="A618" s="13" t="n">
        <v>45350</v>
      </c>
      <c r="B618" s="7" t="n">
        <v>56.38</v>
      </c>
      <c r="C618" s="8" t="n">
        <v>69.55</v>
      </c>
      <c r="D618" s="8" t="n">
        <v>63.14</v>
      </c>
      <c r="E618" s="7" t="n">
        <v>56.82</v>
      </c>
      <c r="F618" s="8" t="n">
        <v>65.48</v>
      </c>
      <c r="G618" s="9" t="n">
        <v>71.79000000000001</v>
      </c>
      <c r="H618" s="8" t="n">
        <v>62.86</v>
      </c>
      <c r="I618" s="8" t="n">
        <v>61.51</v>
      </c>
      <c r="J618" s="7" t="n">
        <v>54.24</v>
      </c>
      <c r="K618" s="7" t="n">
        <v>54.13</v>
      </c>
      <c r="L618" s="7" t="n">
        <v>53.91</v>
      </c>
    </row>
    <row r="619" ht="15" customHeight="1">
      <c r="A619" s="13" t="n">
        <v>45349</v>
      </c>
      <c r="B619" s="7" t="n">
        <v>58.79</v>
      </c>
      <c r="C619" s="8" t="n">
        <v>68.05</v>
      </c>
      <c r="D619" s="8" t="n">
        <v>68.3</v>
      </c>
      <c r="E619" s="7" t="n">
        <v>57.91</v>
      </c>
      <c r="F619" s="8" t="n">
        <v>64.34</v>
      </c>
      <c r="G619" s="9" t="n">
        <v>70.5</v>
      </c>
      <c r="H619" s="8" t="n">
        <v>61.51</v>
      </c>
      <c r="I619" s="8" t="n">
        <v>60.86</v>
      </c>
      <c r="J619" s="7" t="n">
        <v>53.14</v>
      </c>
      <c r="K619" s="7" t="n">
        <v>57.33</v>
      </c>
      <c r="L619" s="7" t="n">
        <v>48.32</v>
      </c>
    </row>
    <row r="620" ht="15" customHeight="1">
      <c r="A620" s="13" t="n">
        <v>45348</v>
      </c>
      <c r="B620" s="7" t="n">
        <v>58.49</v>
      </c>
      <c r="C620" s="8" t="n">
        <v>66.94</v>
      </c>
      <c r="D620" s="9" t="n">
        <v>70.95</v>
      </c>
      <c r="E620" s="8" t="n">
        <v>60.26</v>
      </c>
      <c r="F620" s="8" t="n">
        <v>63</v>
      </c>
      <c r="G620" s="8" t="n">
        <v>69.93000000000001</v>
      </c>
      <c r="H620" s="8" t="n">
        <v>60.39</v>
      </c>
      <c r="I620" s="8" t="n">
        <v>60.78</v>
      </c>
      <c r="J620" s="7" t="n">
        <v>45.79</v>
      </c>
      <c r="K620" s="7" t="n">
        <v>54.36</v>
      </c>
      <c r="L620" s="7" t="n">
        <v>47.96</v>
      </c>
    </row>
    <row r="621" ht="15" customHeight="1">
      <c r="A621" s="13" t="n">
        <v>45345</v>
      </c>
      <c r="B621" s="7" t="n">
        <v>58.17</v>
      </c>
      <c r="C621" s="9" t="n">
        <v>71.11</v>
      </c>
      <c r="D621" s="9" t="n">
        <v>76.8</v>
      </c>
      <c r="E621" s="7" t="n">
        <v>59.01</v>
      </c>
      <c r="F621" s="8" t="n">
        <v>66.79000000000001</v>
      </c>
      <c r="G621" s="9" t="n">
        <v>71.19</v>
      </c>
      <c r="H621" s="7" t="n">
        <v>59.37</v>
      </c>
      <c r="I621" s="8" t="n">
        <v>64.34</v>
      </c>
      <c r="J621" s="7" t="n">
        <v>54.15</v>
      </c>
      <c r="K621" s="8" t="n">
        <v>61.59</v>
      </c>
      <c r="L621" s="7" t="n">
        <v>52.97</v>
      </c>
    </row>
    <row r="622" ht="15" customHeight="1">
      <c r="A622" s="13" t="n">
        <v>45344</v>
      </c>
      <c r="B622" s="7" t="n">
        <v>59.19</v>
      </c>
      <c r="C622" s="8" t="n">
        <v>69.34</v>
      </c>
      <c r="D622" s="9" t="n">
        <v>75.04000000000001</v>
      </c>
      <c r="E622" s="8" t="n">
        <v>62.47</v>
      </c>
      <c r="F622" s="8" t="n">
        <v>64.87</v>
      </c>
      <c r="G622" s="8" t="n">
        <v>69.40000000000001</v>
      </c>
      <c r="H622" s="8" t="n">
        <v>61.53</v>
      </c>
      <c r="I622" s="8" t="n">
        <v>62.79</v>
      </c>
      <c r="J622" s="7" t="n">
        <v>51.17</v>
      </c>
      <c r="K622" s="8" t="n">
        <v>62.93</v>
      </c>
      <c r="L622" s="7" t="n">
        <v>52.45</v>
      </c>
    </row>
    <row r="623" ht="15" customHeight="1">
      <c r="A623" s="13" t="n">
        <v>45343</v>
      </c>
      <c r="B623" s="7" t="n">
        <v>47.62</v>
      </c>
      <c r="C623" s="8" t="n">
        <v>64.70999999999999</v>
      </c>
      <c r="D623" s="8" t="n">
        <v>69.86</v>
      </c>
      <c r="E623" s="8" t="n">
        <v>61.93</v>
      </c>
      <c r="F623" s="8" t="n">
        <v>61.36</v>
      </c>
      <c r="G623" s="8" t="n">
        <v>64.66</v>
      </c>
      <c r="H623" s="7" t="n">
        <v>55.14</v>
      </c>
      <c r="I623" s="8" t="n">
        <v>61.22</v>
      </c>
      <c r="J623" s="7" t="n">
        <v>54.78</v>
      </c>
      <c r="K623" s="7" t="n">
        <v>57.91</v>
      </c>
      <c r="L623" s="7" t="n">
        <v>51.44</v>
      </c>
    </row>
    <row r="624" ht="15" customHeight="1">
      <c r="A624" s="13" t="n">
        <v>45342</v>
      </c>
      <c r="B624" s="7" t="n">
        <v>50.17</v>
      </c>
      <c r="C624" s="8" t="n">
        <v>63.37</v>
      </c>
      <c r="D624" s="8" t="n">
        <v>68.73</v>
      </c>
      <c r="E624" s="7" t="n">
        <v>55.56</v>
      </c>
      <c r="F624" s="7" t="n">
        <v>59.3</v>
      </c>
      <c r="G624" s="8" t="n">
        <v>62.94</v>
      </c>
      <c r="H624" s="7" t="n">
        <v>52.37</v>
      </c>
      <c r="I624" s="7" t="n">
        <v>59.36</v>
      </c>
      <c r="J624" s="7" t="n">
        <v>49.15</v>
      </c>
      <c r="K624" s="7" t="n">
        <v>58.47</v>
      </c>
      <c r="L624" s="7" t="n">
        <v>48.62</v>
      </c>
    </row>
    <row r="625" ht="15" customHeight="1">
      <c r="A625" s="13" t="n">
        <v>45341</v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</row>
    <row r="626" ht="15" customHeight="1">
      <c r="A626" s="13" t="n">
        <v>45338</v>
      </c>
      <c r="B626" s="7" t="n">
        <v>54.61</v>
      </c>
      <c r="C626" s="8" t="n">
        <v>65.48</v>
      </c>
      <c r="D626" s="9" t="n">
        <v>72.59999999999999</v>
      </c>
      <c r="E626" s="8" t="n">
        <v>60.14</v>
      </c>
      <c r="F626" s="8" t="n">
        <v>60.45</v>
      </c>
      <c r="G626" s="8" t="n">
        <v>65.26000000000001</v>
      </c>
      <c r="H626" s="7" t="n">
        <v>56.55</v>
      </c>
      <c r="I626" s="7" t="n">
        <v>53.43</v>
      </c>
      <c r="J626" s="7" t="n">
        <v>49.43</v>
      </c>
      <c r="K626" s="7" t="n">
        <v>59.18</v>
      </c>
      <c r="L626" s="7" t="n">
        <v>49.19</v>
      </c>
    </row>
    <row r="627" ht="15" customHeight="1">
      <c r="A627" s="13" t="n">
        <v>45337</v>
      </c>
      <c r="B627" s="7" t="n">
        <v>59.04</v>
      </c>
      <c r="C627" s="8" t="n">
        <v>68.18000000000001</v>
      </c>
      <c r="D627" s="9" t="n">
        <v>71.15000000000001</v>
      </c>
      <c r="E627" s="8" t="n">
        <v>60.44</v>
      </c>
      <c r="F627" s="7" t="n">
        <v>58.59</v>
      </c>
      <c r="G627" s="8" t="n">
        <v>69.84</v>
      </c>
      <c r="H627" s="7" t="n">
        <v>59.34</v>
      </c>
      <c r="I627" s="7" t="n">
        <v>52.51</v>
      </c>
      <c r="J627" s="7" t="n">
        <v>49.9</v>
      </c>
      <c r="K627" s="8" t="n">
        <v>67.04000000000001</v>
      </c>
      <c r="L627" s="7" t="n">
        <v>53.03</v>
      </c>
    </row>
    <row r="628" ht="15" customHeight="1">
      <c r="A628" s="13" t="n">
        <v>45336</v>
      </c>
      <c r="B628" s="8" t="n">
        <v>60.08</v>
      </c>
      <c r="C628" s="8" t="n">
        <v>61.06</v>
      </c>
      <c r="D628" s="8" t="n">
        <v>67.59999999999999</v>
      </c>
      <c r="E628" s="7" t="n">
        <v>49.75</v>
      </c>
      <c r="F628" s="7" t="n">
        <v>51.15</v>
      </c>
      <c r="G628" s="8" t="n">
        <v>67.19</v>
      </c>
      <c r="H628" s="7" t="n">
        <v>55.41</v>
      </c>
      <c r="I628" s="7" t="n">
        <v>48.47</v>
      </c>
      <c r="J628" s="7" t="n">
        <v>42.66</v>
      </c>
      <c r="K628" s="8" t="n">
        <v>64.78</v>
      </c>
      <c r="L628" s="7" t="n">
        <v>43.74</v>
      </c>
    </row>
    <row r="629" ht="15" customHeight="1">
      <c r="A629" s="13" t="n">
        <v>45335</v>
      </c>
      <c r="B629" s="7" t="n">
        <v>56.6</v>
      </c>
      <c r="C629" s="7" t="n">
        <v>56.02</v>
      </c>
      <c r="D629" s="8" t="n">
        <v>62.56</v>
      </c>
      <c r="E629" s="7" t="n">
        <v>50.19</v>
      </c>
      <c r="F629" s="7" t="n">
        <v>48.24</v>
      </c>
      <c r="G629" s="7" t="n">
        <v>59.99</v>
      </c>
      <c r="H629" s="7" t="n">
        <v>51.48</v>
      </c>
      <c r="I629" s="7" t="n">
        <v>49.64</v>
      </c>
      <c r="J629" s="7" t="n">
        <v>40.03</v>
      </c>
      <c r="K629" s="7" t="n">
        <v>59.87</v>
      </c>
      <c r="L629" s="7" t="n">
        <v>40.75</v>
      </c>
    </row>
    <row r="630" ht="15" customHeight="1">
      <c r="A630" s="13" t="n">
        <v>45334</v>
      </c>
      <c r="B630" s="8" t="n">
        <v>65.34</v>
      </c>
      <c r="C630" s="8" t="n">
        <v>67.67</v>
      </c>
      <c r="D630" s="9" t="n">
        <v>74.15000000000001</v>
      </c>
      <c r="E630" s="7" t="n">
        <v>54.91</v>
      </c>
      <c r="F630" s="7" t="n">
        <v>55.03</v>
      </c>
      <c r="G630" s="8" t="n">
        <v>68.64</v>
      </c>
      <c r="H630" s="8" t="n">
        <v>61.11</v>
      </c>
      <c r="I630" s="7" t="n">
        <v>56.8</v>
      </c>
      <c r="J630" s="7" t="n">
        <v>46.03</v>
      </c>
      <c r="K630" s="8" t="n">
        <v>67.73</v>
      </c>
      <c r="L630" s="7" t="n">
        <v>47.29</v>
      </c>
    </row>
    <row r="631" ht="15" customHeight="1">
      <c r="A631" s="13" t="n">
        <v>45331</v>
      </c>
      <c r="B631" s="8" t="n">
        <v>69.86</v>
      </c>
      <c r="C631" s="8" t="n">
        <v>65.41</v>
      </c>
      <c r="D631" s="9" t="n">
        <v>73.5</v>
      </c>
      <c r="E631" s="7" t="n">
        <v>50.2</v>
      </c>
      <c r="F631" s="7" t="n">
        <v>51.48</v>
      </c>
      <c r="G631" s="8" t="n">
        <v>68.03</v>
      </c>
      <c r="H631" s="8" t="n">
        <v>61.56</v>
      </c>
      <c r="I631" s="7" t="n">
        <v>52.62</v>
      </c>
      <c r="J631" s="7" t="n">
        <v>40.27</v>
      </c>
      <c r="K631" s="8" t="n">
        <v>66.83</v>
      </c>
      <c r="L631" s="7" t="n">
        <v>48.52</v>
      </c>
    </row>
    <row r="632" ht="15" customHeight="1">
      <c r="A632" s="13" t="n">
        <v>45330</v>
      </c>
      <c r="B632" s="8" t="n">
        <v>66.05</v>
      </c>
      <c r="C632" s="8" t="n">
        <v>63.97</v>
      </c>
      <c r="D632" s="9" t="n">
        <v>74.5</v>
      </c>
      <c r="E632" s="7" t="n">
        <v>58.18</v>
      </c>
      <c r="F632" s="7" t="n">
        <v>50.49</v>
      </c>
      <c r="G632" s="8" t="n">
        <v>67.41</v>
      </c>
      <c r="H632" s="7" t="n">
        <v>59.21</v>
      </c>
      <c r="I632" s="7" t="n">
        <v>59.63</v>
      </c>
      <c r="J632" s="7" t="n">
        <v>38.26</v>
      </c>
      <c r="K632" s="8" t="n">
        <v>66.51000000000001</v>
      </c>
      <c r="L632" s="7" t="n">
        <v>47.46</v>
      </c>
    </row>
    <row r="633" ht="15" customHeight="1">
      <c r="A633" s="13" t="n">
        <v>45329</v>
      </c>
      <c r="B633" s="8" t="n">
        <v>65.09999999999999</v>
      </c>
      <c r="C633" s="8" t="n">
        <v>67.52</v>
      </c>
      <c r="D633" s="9" t="n">
        <v>76.70999999999999</v>
      </c>
      <c r="E633" s="7" t="n">
        <v>53.65</v>
      </c>
      <c r="F633" s="7" t="n">
        <v>51.08</v>
      </c>
      <c r="G633" s="8" t="n">
        <v>67.34999999999999</v>
      </c>
      <c r="H633" s="7" t="n">
        <v>57.73</v>
      </c>
      <c r="I633" s="7" t="n">
        <v>59.84</v>
      </c>
      <c r="J633" s="7" t="n">
        <v>40.63</v>
      </c>
      <c r="K633" s="8" t="n">
        <v>65.51000000000001</v>
      </c>
      <c r="L633" s="7" t="n">
        <v>45.25</v>
      </c>
    </row>
    <row r="634" ht="15" customHeight="1">
      <c r="A634" s="13" t="n">
        <v>45328</v>
      </c>
      <c r="B634" s="8" t="n">
        <v>60.85</v>
      </c>
      <c r="C634" s="8" t="n">
        <v>63.93</v>
      </c>
      <c r="D634" s="9" t="n">
        <v>75.67</v>
      </c>
      <c r="E634" s="7" t="n">
        <v>52.71</v>
      </c>
      <c r="F634" s="7" t="n">
        <v>47.67</v>
      </c>
      <c r="G634" s="8" t="n">
        <v>64.83</v>
      </c>
      <c r="H634" s="7" t="n">
        <v>53.81</v>
      </c>
      <c r="I634" s="8" t="n">
        <v>60.56</v>
      </c>
      <c r="J634" s="7" t="n">
        <v>40.31</v>
      </c>
      <c r="K634" s="8" t="n">
        <v>64.17</v>
      </c>
      <c r="L634" s="7" t="n">
        <v>45.42</v>
      </c>
    </row>
    <row r="635" ht="15" customHeight="1">
      <c r="A635" s="13" t="n">
        <v>45327</v>
      </c>
      <c r="B635" s="8" t="n">
        <v>63.34</v>
      </c>
      <c r="C635" s="8" t="n">
        <v>62.88</v>
      </c>
      <c r="D635" s="9" t="n">
        <v>70.84</v>
      </c>
      <c r="E635" s="7" t="n">
        <v>51.26</v>
      </c>
      <c r="F635" s="7" t="n">
        <v>39.14</v>
      </c>
      <c r="G635" s="8" t="n">
        <v>61.1</v>
      </c>
      <c r="H635" s="7" t="n">
        <v>51.57</v>
      </c>
      <c r="I635" s="7" t="n">
        <v>59.46</v>
      </c>
      <c r="J635" s="7" t="n">
        <v>38.62</v>
      </c>
      <c r="K635" s="8" t="n">
        <v>65.59</v>
      </c>
      <c r="L635" s="7" t="n">
        <v>39.44</v>
      </c>
    </row>
    <row r="636" ht="15" customHeight="1">
      <c r="A636" s="13" t="n">
        <v>45324</v>
      </c>
      <c r="B636" s="8" t="n">
        <v>62.64</v>
      </c>
      <c r="C636" s="8" t="n">
        <v>68.18000000000001</v>
      </c>
      <c r="D636" s="8" t="n">
        <v>69.23999999999999</v>
      </c>
      <c r="E636" s="7" t="n">
        <v>52.42</v>
      </c>
      <c r="F636" s="7" t="n">
        <v>50.4</v>
      </c>
      <c r="G636" s="8" t="n">
        <v>65.01000000000001</v>
      </c>
      <c r="H636" s="7" t="n">
        <v>57.71</v>
      </c>
      <c r="I636" s="8" t="n">
        <v>63.93</v>
      </c>
      <c r="J636" s="7" t="n">
        <v>45.59</v>
      </c>
      <c r="K636" s="9" t="n">
        <v>72.51000000000001</v>
      </c>
      <c r="L636" s="7" t="n">
        <v>45.63</v>
      </c>
    </row>
    <row r="637" ht="15" customHeight="1">
      <c r="A637" s="13" t="n">
        <v>45323</v>
      </c>
      <c r="B637" s="7" t="n">
        <v>59.39</v>
      </c>
      <c r="C637" s="8" t="n">
        <v>66.34999999999999</v>
      </c>
      <c r="D637" s="9" t="n">
        <v>70.97</v>
      </c>
      <c r="E637" s="7" t="n">
        <v>51.84</v>
      </c>
      <c r="F637" s="7" t="n">
        <v>53.74</v>
      </c>
      <c r="G637" s="8" t="n">
        <v>62.27</v>
      </c>
      <c r="H637" s="7" t="n">
        <v>50.97</v>
      </c>
      <c r="I637" s="8" t="n">
        <v>66.34999999999999</v>
      </c>
      <c r="J637" s="7" t="n">
        <v>53.51</v>
      </c>
      <c r="K637" s="8" t="n">
        <v>62.37</v>
      </c>
      <c r="L637" s="7" t="n">
        <v>50.36</v>
      </c>
    </row>
    <row r="638" ht="15" customHeight="1">
      <c r="A638" s="13" t="n">
        <v>45322</v>
      </c>
      <c r="B638" s="7" t="n">
        <v>55.01</v>
      </c>
      <c r="C638" s="8" t="n">
        <v>65.66</v>
      </c>
      <c r="D638" s="8" t="n">
        <v>63.65</v>
      </c>
      <c r="E638" s="7" t="n">
        <v>51.89</v>
      </c>
      <c r="F638" s="7" t="n">
        <v>44.14</v>
      </c>
      <c r="G638" s="7" t="n">
        <v>53.9</v>
      </c>
      <c r="H638" s="7" t="n">
        <v>41.87</v>
      </c>
      <c r="I638" s="7" t="n">
        <v>56.98</v>
      </c>
      <c r="J638" s="7" t="n">
        <v>44.19</v>
      </c>
      <c r="K638" s="7" t="n">
        <v>58.79</v>
      </c>
      <c r="L638" s="7" t="n">
        <v>42.84</v>
      </c>
    </row>
    <row r="639" ht="15" customHeight="1">
      <c r="A639" s="13" t="n">
        <v>45321</v>
      </c>
      <c r="B639" s="8" t="n">
        <v>66.31</v>
      </c>
      <c r="C639" s="9" t="n">
        <v>77.43000000000001</v>
      </c>
      <c r="D639" s="8" t="n">
        <v>65.23999999999999</v>
      </c>
      <c r="E639" s="8" t="n">
        <v>60.33</v>
      </c>
      <c r="F639" s="7" t="n">
        <v>52.13</v>
      </c>
      <c r="G639" s="8" t="n">
        <v>62.79</v>
      </c>
      <c r="H639" s="7" t="n">
        <v>50.21</v>
      </c>
      <c r="I639" s="8" t="n">
        <v>62.87</v>
      </c>
      <c r="J639" s="7" t="n">
        <v>45.13</v>
      </c>
      <c r="K639" s="9" t="n">
        <v>75.09999999999999</v>
      </c>
      <c r="L639" s="7" t="n">
        <v>45.52</v>
      </c>
    </row>
    <row r="640" ht="15" customHeight="1">
      <c r="A640" s="13" t="n">
        <v>45320</v>
      </c>
      <c r="B640" s="9" t="n">
        <v>71.73999999999999</v>
      </c>
      <c r="C640" s="9" t="n">
        <v>72.81</v>
      </c>
      <c r="D640" s="8" t="n">
        <v>63.83</v>
      </c>
      <c r="E640" s="7" t="n">
        <v>56.75</v>
      </c>
      <c r="F640" s="7" t="n">
        <v>49.15</v>
      </c>
      <c r="G640" s="8" t="n">
        <v>62.62</v>
      </c>
      <c r="H640" s="7" t="n">
        <v>50.5</v>
      </c>
      <c r="I640" s="7" t="n">
        <v>59.95</v>
      </c>
      <c r="J640" s="7" t="n">
        <v>45.26</v>
      </c>
      <c r="K640" s="9" t="n">
        <v>80.84</v>
      </c>
      <c r="L640" s="7" t="n">
        <v>49.18</v>
      </c>
    </row>
    <row r="641" ht="15" customHeight="1">
      <c r="A641" s="13" t="n">
        <v>45317</v>
      </c>
      <c r="B641" s="8" t="n">
        <v>69.16</v>
      </c>
      <c r="C641" s="9" t="n">
        <v>71.70999999999999</v>
      </c>
      <c r="D641" s="7" t="n">
        <v>59.08</v>
      </c>
      <c r="E641" s="7" t="n">
        <v>57.42</v>
      </c>
      <c r="F641" s="7" t="n">
        <v>45.77</v>
      </c>
      <c r="G641" s="7" t="n">
        <v>59.36</v>
      </c>
      <c r="H641" s="7" t="n">
        <v>42.66</v>
      </c>
      <c r="I641" s="7" t="n">
        <v>56.71</v>
      </c>
      <c r="J641" s="7" t="n">
        <v>42.09</v>
      </c>
      <c r="K641" s="9" t="n">
        <v>79.02</v>
      </c>
      <c r="L641" s="7" t="n">
        <v>46.04</v>
      </c>
    </row>
    <row r="642" ht="15" customHeight="1">
      <c r="A642" s="13" t="n">
        <v>45316</v>
      </c>
      <c r="B642" s="9" t="n">
        <v>77.5</v>
      </c>
      <c r="C642" s="9" t="n">
        <v>70.14</v>
      </c>
      <c r="D642" s="7" t="n">
        <v>54.62</v>
      </c>
      <c r="E642" s="7" t="n">
        <v>54.89</v>
      </c>
      <c r="F642" s="7" t="n">
        <v>45.53</v>
      </c>
      <c r="G642" s="8" t="n">
        <v>60.55</v>
      </c>
      <c r="H642" s="7" t="n">
        <v>39.91</v>
      </c>
      <c r="I642" s="7" t="n">
        <v>53.82</v>
      </c>
      <c r="J642" s="7" t="n">
        <v>40.62</v>
      </c>
      <c r="K642" s="9" t="n">
        <v>78.27</v>
      </c>
      <c r="L642" s="7" t="n">
        <v>47.71</v>
      </c>
    </row>
    <row r="643" ht="15" customHeight="1">
      <c r="A643" s="13" t="n">
        <v>45315</v>
      </c>
      <c r="B643" s="9" t="n">
        <v>76.55</v>
      </c>
      <c r="C643" s="8" t="n">
        <v>67.90000000000001</v>
      </c>
      <c r="D643" s="7" t="n">
        <v>56.13</v>
      </c>
      <c r="E643" s="7" t="n">
        <v>46.08</v>
      </c>
      <c r="F643" s="7" t="n">
        <v>38.05</v>
      </c>
      <c r="G643" s="7" t="n">
        <v>55.59</v>
      </c>
      <c r="H643" s="7" t="n">
        <v>45.46</v>
      </c>
      <c r="I643" s="7" t="n">
        <v>47.4</v>
      </c>
      <c r="J643" s="7" t="n">
        <v>30.8</v>
      </c>
      <c r="K643" s="9" t="n">
        <v>74.06</v>
      </c>
      <c r="L643" s="7" t="n">
        <v>41.73</v>
      </c>
    </row>
    <row r="644" ht="15" customHeight="1">
      <c r="A644" s="13" t="n">
        <v>45314</v>
      </c>
      <c r="B644" s="9" t="n">
        <v>74.94</v>
      </c>
      <c r="C644" s="8" t="n">
        <v>66.03</v>
      </c>
      <c r="D644" s="8" t="n">
        <v>66.54000000000001</v>
      </c>
      <c r="E644" s="7" t="n">
        <v>39.19</v>
      </c>
      <c r="F644" s="7" t="n">
        <v>45.62</v>
      </c>
      <c r="G644" s="8" t="n">
        <v>60.14</v>
      </c>
      <c r="H644" s="7" t="n">
        <v>47.34</v>
      </c>
      <c r="I644" s="7" t="n">
        <v>56.88</v>
      </c>
      <c r="J644" s="7" t="n">
        <v>34.92</v>
      </c>
      <c r="K644" s="9" t="n">
        <v>72.15000000000001</v>
      </c>
      <c r="L644" s="7" t="n">
        <v>46.79</v>
      </c>
    </row>
    <row r="645" ht="15" customHeight="1">
      <c r="A645" s="13" t="n">
        <v>45313</v>
      </c>
      <c r="B645" s="9" t="n">
        <v>73.98</v>
      </c>
      <c r="C645" s="8" t="n">
        <v>65.28</v>
      </c>
      <c r="D645" s="8" t="n">
        <v>67.44</v>
      </c>
      <c r="E645" s="7" t="n">
        <v>38.1</v>
      </c>
      <c r="F645" s="7" t="n">
        <v>43.09</v>
      </c>
      <c r="G645" s="8" t="n">
        <v>60.74</v>
      </c>
      <c r="H645" s="7" t="n">
        <v>48.53</v>
      </c>
      <c r="I645" s="7" t="n">
        <v>48.5</v>
      </c>
      <c r="J645" s="7" t="n">
        <v>33.84</v>
      </c>
      <c r="K645" s="8" t="n">
        <v>68.81</v>
      </c>
      <c r="L645" s="7" t="n">
        <v>48.98</v>
      </c>
    </row>
    <row r="646" ht="15" customHeight="1">
      <c r="A646" s="13" t="n">
        <v>45310</v>
      </c>
      <c r="B646" s="9" t="n">
        <v>72.92</v>
      </c>
      <c r="C646" s="8" t="n">
        <v>63</v>
      </c>
      <c r="D646" s="8" t="n">
        <v>64.72</v>
      </c>
      <c r="E646" s="7" t="n">
        <v>36.24</v>
      </c>
      <c r="F646" s="7" t="n">
        <v>40.81</v>
      </c>
      <c r="G646" s="7" t="n">
        <v>56.92</v>
      </c>
      <c r="H646" s="7" t="n">
        <v>50.7</v>
      </c>
      <c r="I646" s="7" t="n">
        <v>52.77</v>
      </c>
      <c r="J646" s="7" t="n">
        <v>35.38</v>
      </c>
      <c r="K646" s="8" t="n">
        <v>68.09</v>
      </c>
      <c r="L646" s="7" t="n">
        <v>47.01</v>
      </c>
    </row>
    <row r="647" ht="15" customHeight="1">
      <c r="A647" s="13" t="n">
        <v>45309</v>
      </c>
      <c r="B647" s="8" t="n">
        <v>66.48</v>
      </c>
      <c r="C647" s="7" t="n">
        <v>53.57</v>
      </c>
      <c r="D647" s="8" t="n">
        <v>64.36</v>
      </c>
      <c r="E647" s="7" t="n">
        <v>34.65</v>
      </c>
      <c r="F647" s="7" t="n">
        <v>40.06</v>
      </c>
      <c r="G647" s="7" t="n">
        <v>53.38</v>
      </c>
      <c r="H647" s="7" t="n">
        <v>45.83</v>
      </c>
      <c r="I647" s="7" t="n">
        <v>55.49</v>
      </c>
      <c r="J647" s="7" t="n">
        <v>35.78</v>
      </c>
      <c r="K647" s="8" t="n">
        <v>62.75</v>
      </c>
      <c r="L647" s="7" t="n">
        <v>42.79</v>
      </c>
    </row>
    <row r="648" ht="15" customHeight="1">
      <c r="A648" s="13" t="n">
        <v>45308</v>
      </c>
      <c r="B648" s="7" t="n">
        <v>58.58</v>
      </c>
      <c r="C648" s="7" t="n">
        <v>52.45</v>
      </c>
      <c r="D648" s="8" t="n">
        <v>64.51000000000001</v>
      </c>
      <c r="E648" s="7" t="n">
        <v>35.06</v>
      </c>
      <c r="F648" s="7" t="n">
        <v>37.7</v>
      </c>
      <c r="G648" s="7" t="n">
        <v>44.79</v>
      </c>
      <c r="H648" s="7" t="n">
        <v>42.75</v>
      </c>
      <c r="I648" s="7" t="n">
        <v>56.66</v>
      </c>
      <c r="J648" s="7" t="n">
        <v>39.1</v>
      </c>
      <c r="K648" s="7" t="n">
        <v>56.78</v>
      </c>
      <c r="L648" s="7" t="n">
        <v>45.04</v>
      </c>
    </row>
    <row r="649" ht="15" customHeight="1">
      <c r="A649" s="13" t="n">
        <v>45307</v>
      </c>
      <c r="B649" s="8" t="n">
        <v>61.89</v>
      </c>
      <c r="C649" s="7" t="n">
        <v>53.86</v>
      </c>
      <c r="D649" s="8" t="n">
        <v>66.58</v>
      </c>
      <c r="E649" s="7" t="n">
        <v>37.13</v>
      </c>
      <c r="F649" s="7" t="n">
        <v>41.18</v>
      </c>
      <c r="G649" s="7" t="n">
        <v>49.01</v>
      </c>
      <c r="H649" s="7" t="n">
        <v>46.56</v>
      </c>
      <c r="I649" s="7" t="n">
        <v>57.28</v>
      </c>
      <c r="J649" s="7" t="n">
        <v>44.38</v>
      </c>
      <c r="K649" s="8" t="n">
        <v>61.4</v>
      </c>
      <c r="L649" s="7" t="n">
        <v>52.4</v>
      </c>
    </row>
    <row r="650" ht="15" customHeight="1">
      <c r="A650" s="13" t="n">
        <v>45306</v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</row>
    <row r="651" ht="15" customHeight="1">
      <c r="A651" s="13" t="n">
        <v>45303</v>
      </c>
      <c r="B651" s="8" t="n">
        <v>60.85</v>
      </c>
      <c r="C651" s="7" t="n">
        <v>59.39</v>
      </c>
      <c r="D651" s="9" t="n">
        <v>73.14</v>
      </c>
      <c r="E651" s="7" t="n">
        <v>44.29</v>
      </c>
      <c r="F651" s="7" t="n">
        <v>47.71</v>
      </c>
      <c r="G651" s="7" t="n">
        <v>56.45</v>
      </c>
      <c r="H651" s="7" t="n">
        <v>47.08</v>
      </c>
      <c r="I651" s="8" t="n">
        <v>62.34</v>
      </c>
      <c r="J651" s="7" t="n">
        <v>49.03</v>
      </c>
      <c r="K651" s="8" t="n">
        <v>66.06</v>
      </c>
      <c r="L651" s="7" t="n">
        <v>55.19</v>
      </c>
    </row>
    <row r="652" ht="15" customHeight="1">
      <c r="A652" s="13" t="n">
        <v>45302</v>
      </c>
      <c r="B652" s="7" t="n">
        <v>59.53</v>
      </c>
      <c r="C652" s="8" t="n">
        <v>60.95</v>
      </c>
      <c r="D652" s="9" t="n">
        <v>76.03</v>
      </c>
      <c r="E652" s="7" t="n">
        <v>39.21</v>
      </c>
      <c r="F652" s="7" t="n">
        <v>47.06</v>
      </c>
      <c r="G652" s="7" t="n">
        <v>56.52</v>
      </c>
      <c r="H652" s="7" t="n">
        <v>52.81</v>
      </c>
      <c r="I652" s="8" t="n">
        <v>60.48</v>
      </c>
      <c r="J652" s="7" t="n">
        <v>46.3</v>
      </c>
      <c r="K652" s="8" t="n">
        <v>63.88</v>
      </c>
      <c r="L652" s="7" t="n">
        <v>52.24</v>
      </c>
    </row>
    <row r="653" ht="15" customHeight="1">
      <c r="A653" s="13" t="n">
        <v>45301</v>
      </c>
      <c r="B653" s="7" t="n">
        <v>57.44</v>
      </c>
      <c r="C653" s="8" t="n">
        <v>64.08</v>
      </c>
      <c r="D653" s="9" t="n">
        <v>76.84</v>
      </c>
      <c r="E653" s="7" t="n">
        <v>38.01</v>
      </c>
      <c r="F653" s="7" t="n">
        <v>48.82</v>
      </c>
      <c r="G653" s="7" t="n">
        <v>58.28</v>
      </c>
      <c r="H653" s="7" t="n">
        <v>53.47</v>
      </c>
      <c r="I653" s="8" t="n">
        <v>60.6</v>
      </c>
      <c r="J653" s="7" t="n">
        <v>58.42</v>
      </c>
      <c r="K653" s="8" t="n">
        <v>66.53</v>
      </c>
      <c r="L653" s="7" t="n">
        <v>56.51</v>
      </c>
    </row>
    <row r="654" ht="15" customHeight="1">
      <c r="A654" s="13" t="n">
        <v>45300</v>
      </c>
      <c r="B654" s="7" t="n">
        <v>53.77</v>
      </c>
      <c r="C654" s="8" t="n">
        <v>63.33</v>
      </c>
      <c r="D654" s="9" t="n">
        <v>75.28</v>
      </c>
      <c r="E654" s="7" t="n">
        <v>40.9</v>
      </c>
      <c r="F654" s="7" t="n">
        <v>49.58</v>
      </c>
      <c r="G654" s="7" t="n">
        <v>55.46</v>
      </c>
      <c r="H654" s="7" t="n">
        <v>49.95</v>
      </c>
      <c r="I654" s="8" t="n">
        <v>62.34</v>
      </c>
      <c r="J654" s="7" t="n">
        <v>58.51</v>
      </c>
      <c r="K654" s="8" t="n">
        <v>62.43</v>
      </c>
      <c r="L654" s="7" t="n">
        <v>55.96</v>
      </c>
    </row>
    <row r="655">
      <c r="A655" s="13" t="n">
        <v>45299</v>
      </c>
      <c r="B655" s="7" t="n">
        <v>53.07</v>
      </c>
      <c r="C655" s="8" t="n">
        <v>68.66</v>
      </c>
      <c r="D655" s="9" t="n">
        <v>75.42</v>
      </c>
      <c r="E655" s="7" t="n">
        <v>46.31</v>
      </c>
      <c r="F655" s="7" t="n">
        <v>56.8</v>
      </c>
      <c r="G655" s="7" t="n">
        <v>57.68</v>
      </c>
      <c r="H655" s="7" t="n">
        <v>51.63</v>
      </c>
      <c r="I655" s="8" t="n">
        <v>61.02</v>
      </c>
      <c r="J655" s="8" t="n">
        <v>63.59</v>
      </c>
      <c r="K655" s="8" t="n">
        <v>64.04000000000001</v>
      </c>
      <c r="L655" s="7" t="n">
        <v>59.16</v>
      </c>
    </row>
    <row r="656">
      <c r="A656" s="13" t="n">
        <v>45296</v>
      </c>
      <c r="B656" s="7" t="n">
        <v>40.09</v>
      </c>
      <c r="C656" s="8" t="n">
        <v>66</v>
      </c>
      <c r="D656" s="9" t="n">
        <v>72.33</v>
      </c>
      <c r="E656" s="7" t="n">
        <v>50.87</v>
      </c>
      <c r="F656" s="7" t="n">
        <v>54.52</v>
      </c>
      <c r="G656" s="7" t="n">
        <v>54.12</v>
      </c>
      <c r="H656" s="7" t="n">
        <v>43.67</v>
      </c>
      <c r="I656" s="7" t="n">
        <v>57.14</v>
      </c>
      <c r="J656" s="8" t="n">
        <v>60.79</v>
      </c>
      <c r="K656" s="7" t="n">
        <v>56.24</v>
      </c>
      <c r="L656" s="7" t="n">
        <v>54.51</v>
      </c>
    </row>
    <row r="657">
      <c r="A657" s="13" t="n">
        <v>45295</v>
      </c>
      <c r="B657" s="7" t="n">
        <v>40.2</v>
      </c>
      <c r="C657" s="8" t="n">
        <v>64.12</v>
      </c>
      <c r="D657" s="9" t="n">
        <v>73.17</v>
      </c>
      <c r="E657" s="7" t="n">
        <v>50.55</v>
      </c>
      <c r="F657" s="7" t="n">
        <v>53.63</v>
      </c>
      <c r="G657" s="7" t="n">
        <v>53.48</v>
      </c>
      <c r="H657" s="7" t="n">
        <v>42.87</v>
      </c>
      <c r="I657" s="7" t="n">
        <v>58.78</v>
      </c>
      <c r="J657" s="7" t="n">
        <v>59.3</v>
      </c>
      <c r="K657" s="7" t="n">
        <v>53.74</v>
      </c>
      <c r="L657" s="7" t="n">
        <v>55.38</v>
      </c>
    </row>
    <row r="658">
      <c r="A658" s="13" t="n">
        <v>45294</v>
      </c>
      <c r="B658" s="7" t="n">
        <v>43.25</v>
      </c>
      <c r="C658" s="8" t="n">
        <v>62.31</v>
      </c>
      <c r="D658" s="9" t="n">
        <v>71.41</v>
      </c>
      <c r="E658" s="7" t="n">
        <v>58.23</v>
      </c>
      <c r="F658" s="7" t="n">
        <v>55.57</v>
      </c>
      <c r="G658" s="7" t="n">
        <v>52.81</v>
      </c>
      <c r="H658" s="7" t="n">
        <v>45.59</v>
      </c>
      <c r="I658" s="7" t="n">
        <v>59.78</v>
      </c>
      <c r="J658" s="8" t="n">
        <v>61.09</v>
      </c>
      <c r="K658" s="7" t="n">
        <v>56.12</v>
      </c>
      <c r="L658" s="7" t="n">
        <v>56.42</v>
      </c>
    </row>
    <row r="659">
      <c r="A659" s="13" t="n">
        <v>45293</v>
      </c>
      <c r="B659" s="7" t="n">
        <v>47.99</v>
      </c>
      <c r="C659" s="8" t="n">
        <v>69.23999999999999</v>
      </c>
      <c r="D659" s="9" t="n">
        <v>72.89</v>
      </c>
      <c r="E659" s="7" t="n">
        <v>52.05</v>
      </c>
      <c r="F659" s="8" t="n">
        <v>62.73</v>
      </c>
      <c r="G659" s="8" t="n">
        <v>62.83</v>
      </c>
      <c r="H659" s="7" t="n">
        <v>55.14</v>
      </c>
      <c r="I659" s="8" t="n">
        <v>65.67</v>
      </c>
      <c r="J659" s="7" t="n">
        <v>59.74</v>
      </c>
      <c r="K659" s="7" t="n">
        <v>58.84</v>
      </c>
      <c r="L659" s="8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65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1" t="inlineStr">
        <is>
          <t>날짜</t>
        </is>
      </c>
      <c r="B1" s="11" t="inlineStr">
        <is>
          <t>음식료·담배</t>
        </is>
      </c>
      <c r="C1" s="11" t="inlineStr">
        <is>
          <t>섬유·의류</t>
        </is>
      </c>
      <c r="D1" s="11" t="inlineStr">
        <is>
          <t>종이·목재</t>
        </is>
      </c>
      <c r="E1" s="11" t="inlineStr">
        <is>
          <t>화학</t>
        </is>
      </c>
      <c r="F1" s="11" t="inlineStr">
        <is>
          <t>제약</t>
        </is>
      </c>
      <c r="G1" s="11" t="inlineStr">
        <is>
          <t>비금속</t>
        </is>
      </c>
      <c r="H1" s="11" t="inlineStr">
        <is>
          <t>금속</t>
        </is>
      </c>
      <c r="I1" s="11" t="inlineStr">
        <is>
          <t>기계·장비</t>
        </is>
      </c>
      <c r="J1" s="11" t="inlineStr">
        <is>
          <t>전기전자</t>
        </is>
      </c>
      <c r="K1" s="11" t="inlineStr">
        <is>
          <t>의료·정밀</t>
        </is>
      </c>
      <c r="L1" s="11" t="inlineStr">
        <is>
          <t>운송장비</t>
        </is>
      </c>
      <c r="M1" s="11" t="inlineStr">
        <is>
          <t>유통</t>
        </is>
      </c>
      <c r="N1" s="11" t="inlineStr">
        <is>
          <t>전기·가스</t>
        </is>
      </c>
      <c r="O1" s="11" t="inlineStr">
        <is>
          <t>건설</t>
        </is>
      </c>
      <c r="P1" s="11" t="inlineStr">
        <is>
          <t>운송·창고</t>
        </is>
      </c>
      <c r="Q1" s="11" t="inlineStr">
        <is>
          <t>통신</t>
        </is>
      </c>
      <c r="R1" s="11" t="inlineStr">
        <is>
          <t>금융</t>
        </is>
      </c>
      <c r="S1" s="11" t="inlineStr">
        <is>
          <t>증권</t>
        </is>
      </c>
      <c r="T1" s="11" t="inlineStr">
        <is>
          <t>보험</t>
        </is>
      </c>
      <c r="U1" s="11" t="inlineStr">
        <is>
          <t>일반서비스</t>
        </is>
      </c>
      <c r="V1" s="11" t="inlineStr">
        <is>
          <t>제조</t>
        </is>
      </c>
      <c r="W1" s="11" t="inlineStr">
        <is>
          <t>부동산</t>
        </is>
      </c>
      <c r="X1" s="11" t="inlineStr">
        <is>
          <t>IT서비스</t>
        </is>
      </c>
      <c r="Y1" s="11" t="inlineStr">
        <is>
          <t>오락·문화</t>
        </is>
      </c>
    </row>
    <row r="2" ht="28" customHeight="1">
      <c r="A2" s="12" t="inlineStr">
        <is>
          <t>대표종목1</t>
        </is>
      </c>
      <c r="B2" s="12" t="inlineStr">
        <is>
          <t>KT&amp;G</t>
        </is>
      </c>
      <c r="C2" s="12" t="inlineStr">
        <is>
          <t>F&amp;F</t>
        </is>
      </c>
      <c r="D2" s="12" t="inlineStr">
        <is>
          <t>신대양제지</t>
        </is>
      </c>
      <c r="E2" s="12" t="inlineStr">
        <is>
          <t>LG화학</t>
        </is>
      </c>
      <c r="F2" s="12" t="inlineStr">
        <is>
          <t>삼성바이오로직스</t>
        </is>
      </c>
      <c r="G2" s="12" t="inlineStr">
        <is>
          <t>한일시멘트</t>
        </is>
      </c>
      <c r="H2" s="12" t="inlineStr">
        <is>
          <t>POSCO홀딩스</t>
        </is>
      </c>
      <c r="I2" s="12" t="inlineStr">
        <is>
          <t>두산에너빌리티</t>
        </is>
      </c>
      <c r="J2" s="12" t="inlineStr">
        <is>
          <t>삼성전자</t>
        </is>
      </c>
      <c r="K2" s="12" t="inlineStr">
        <is>
          <t>케이씨텍</t>
        </is>
      </c>
      <c r="L2" s="12" t="inlineStr">
        <is>
          <t>현대차</t>
        </is>
      </c>
      <c r="M2" s="12" t="inlineStr">
        <is>
          <t>삼성물산</t>
        </is>
      </c>
      <c r="N2" s="12" t="inlineStr">
        <is>
          <t>한국전력</t>
        </is>
      </c>
      <c r="O2" s="12" t="inlineStr">
        <is>
          <t>현대건설</t>
        </is>
      </c>
      <c r="P2" s="12" t="inlineStr">
        <is>
          <t>HMM</t>
        </is>
      </c>
      <c r="Q2" s="12" t="inlineStr">
        <is>
          <t>SK텔레콤</t>
        </is>
      </c>
      <c r="R2" s="12" t="inlineStr">
        <is>
          <t>SK스퀘어</t>
        </is>
      </c>
      <c r="S2" s="12" t="inlineStr">
        <is>
          <t>미래에셋증권</t>
        </is>
      </c>
      <c r="T2" s="12" t="inlineStr">
        <is>
          <t>삼성생명</t>
        </is>
      </c>
      <c r="U2" s="12" t="inlineStr">
        <is>
          <t>HD현대마린솔루션</t>
        </is>
      </c>
      <c r="V2" s="12" t="inlineStr">
        <is>
          <t>삼성전자</t>
        </is>
      </c>
      <c r="W2" s="12" t="inlineStr">
        <is>
          <t>SK리츠</t>
        </is>
      </c>
      <c r="X2" s="12" t="inlineStr">
        <is>
          <t>NAVER</t>
        </is>
      </c>
      <c r="Y2" s="12" t="inlineStr">
        <is>
          <t>하이브</t>
        </is>
      </c>
    </row>
    <row r="3" ht="28" customHeight="1">
      <c r="A3" s="12" t="inlineStr">
        <is>
          <t>대표종목2</t>
        </is>
      </c>
      <c r="B3" s="12" t="inlineStr">
        <is>
          <t>삼양식품</t>
        </is>
      </c>
      <c r="C3" s="12" t="inlineStr">
        <is>
          <t>LF</t>
        </is>
      </c>
      <c r="D3" s="12" t="inlineStr">
        <is>
          <t>아세아제지</t>
        </is>
      </c>
      <c r="E3" s="12" t="inlineStr">
        <is>
          <t>SK이노베이션</t>
        </is>
      </c>
      <c r="F3" s="12" t="inlineStr">
        <is>
          <t>셀트리온</t>
        </is>
      </c>
      <c r="G3" s="12" t="inlineStr">
        <is>
          <t>아이에스동서</t>
        </is>
      </c>
      <c r="H3" s="12" t="inlineStr">
        <is>
          <t>고려아연</t>
        </is>
      </c>
      <c r="I3" s="12" t="inlineStr">
        <is>
          <t>한미반도체</t>
        </is>
      </c>
      <c r="J3" s="12" t="inlineStr">
        <is>
          <t>SK하이닉스</t>
        </is>
      </c>
      <c r="K3" s="12" t="inlineStr">
        <is>
          <t>에스디바이오센서</t>
        </is>
      </c>
      <c r="L3" s="12" t="inlineStr">
        <is>
          <t>기아</t>
        </is>
      </c>
      <c r="M3" s="12" t="inlineStr">
        <is>
          <t>포스코인터내셔널</t>
        </is>
      </c>
      <c r="N3" s="12" t="inlineStr">
        <is>
          <t>한국가스공사</t>
        </is>
      </c>
      <c r="O3" s="12" t="inlineStr">
        <is>
          <t>대우건설</t>
        </is>
      </c>
      <c r="P3" s="12" t="inlineStr">
        <is>
          <t>현대글로비스</t>
        </is>
      </c>
      <c r="Q3" s="12" t="inlineStr">
        <is>
          <t>KT</t>
        </is>
      </c>
      <c r="R3" s="12" t="inlineStr">
        <is>
          <t>삼성생명</t>
        </is>
      </c>
      <c r="S3" s="12" t="inlineStr">
        <is>
          <t>NH투자증권</t>
        </is>
      </c>
      <c r="T3" s="12" t="inlineStr">
        <is>
          <t>삼성화재</t>
        </is>
      </c>
      <c r="U3" s="12" t="inlineStr">
        <is>
          <t>삼성E&amp;A</t>
        </is>
      </c>
      <c r="V3" s="12" t="inlineStr">
        <is>
          <t>SK하이닉스</t>
        </is>
      </c>
      <c r="W3" s="12" t="inlineStr">
        <is>
          <t>롯데리츠</t>
        </is>
      </c>
      <c r="X3" s="12" t="inlineStr">
        <is>
          <t>카카오</t>
        </is>
      </c>
      <c r="Y3" s="12" t="inlineStr">
        <is>
          <t>강원랜드</t>
        </is>
      </c>
    </row>
    <row r="4" ht="28" customHeight="1">
      <c r="A4" s="12" t="inlineStr">
        <is>
          <t>대표종목3</t>
        </is>
      </c>
      <c r="B4" s="12" t="inlineStr">
        <is>
          <t>한성기업</t>
        </is>
      </c>
      <c r="C4" s="12" t="inlineStr">
        <is>
          <t>우성머티리얼스</t>
        </is>
      </c>
      <c r="D4" s="12" t="inlineStr">
        <is>
          <t>블루산업개발</t>
        </is>
      </c>
      <c r="E4" s="12" t="inlineStr">
        <is>
          <t>금호타이어</t>
        </is>
      </c>
      <c r="F4" s="12" t="inlineStr">
        <is>
          <t>일양약품</t>
        </is>
      </c>
      <c r="G4" s="12" t="inlineStr">
        <is>
          <t>성신양회</t>
        </is>
      </c>
      <c r="H4" s="12" t="inlineStr">
        <is>
          <t>다스코</t>
        </is>
      </c>
      <c r="I4" s="12" t="inlineStr">
        <is>
          <t>화천기공</t>
        </is>
      </c>
      <c r="J4" s="12" t="inlineStr">
        <is>
          <t>금호전기</t>
        </is>
      </c>
      <c r="K4" s="12" t="inlineStr">
        <is>
          <t>덴티움</t>
        </is>
      </c>
      <c r="L4" s="12" t="inlineStr">
        <is>
          <t>금호에이치티</t>
        </is>
      </c>
      <c r="M4" s="12" t="inlineStr">
        <is>
          <t>모나미</t>
        </is>
      </c>
      <c r="N4" s="12" t="inlineStr">
        <is>
          <t>SGC에너지</t>
        </is>
      </c>
      <c r="O4" s="12" t="inlineStr">
        <is>
          <t>금호건설</t>
        </is>
      </c>
      <c r="P4" s="12" t="inlineStr">
        <is>
          <t>흥아해운</t>
        </is>
      </c>
      <c r="Q4" s="12" t="inlineStr">
        <is>
          <t>LG유플러스</t>
        </is>
      </c>
      <c r="R4" s="12" t="inlineStr">
        <is>
          <t>한국전자홀딩스</t>
        </is>
      </c>
      <c r="S4" s="12" t="inlineStr">
        <is>
          <t>유화증권</t>
        </is>
      </c>
      <c r="T4" s="12" t="inlineStr">
        <is>
          <t>DB손해보험</t>
        </is>
      </c>
      <c r="U4" s="12" t="inlineStr">
        <is>
          <t>롯데렌탈</t>
        </is>
      </c>
      <c r="V4" s="12" t="inlineStr">
        <is>
          <t>금호에이치티</t>
        </is>
      </c>
      <c r="W4" s="12" t="inlineStr">
        <is>
          <t>마스턴프리미어리츠</t>
        </is>
      </c>
      <c r="X4" s="12" t="inlineStr">
        <is>
          <t>키다리스튜디오</t>
        </is>
      </c>
      <c r="Y4" s="12" t="inlineStr">
        <is>
          <t>하이브</t>
        </is>
      </c>
    </row>
    <row r="5" ht="28" customHeight="1">
      <c r="A5" s="12" t="inlineStr">
        <is>
          <t>한국ETF</t>
        </is>
      </c>
      <c r="B5" s="12" t="inlineStr">
        <is>
          <t>TIGER 음식료&amp;생활용품(157450)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KODEX 에너지화학(117460)</t>
        </is>
      </c>
      <c r="F5" s="12" t="inlineStr">
        <is>
          <t>KODEX 바이오(244580)</t>
        </is>
      </c>
      <c r="G5" s="12" t="inlineStr">
        <is>
          <t>-</t>
        </is>
      </c>
      <c r="H5" s="12" t="inlineStr">
        <is>
          <t>KODEX 철강(139230)</t>
        </is>
      </c>
      <c r="I5" s="12" t="inlineStr">
        <is>
          <t>-</t>
        </is>
      </c>
      <c r="J5" s="12" t="inlineStr">
        <is>
          <t>KODEX 반도체(091160)</t>
        </is>
      </c>
      <c r="K5" s="12" t="inlineStr">
        <is>
          <t>TIGER 헬스케어(143850)</t>
        </is>
      </c>
      <c r="L5" s="12" t="inlineStr">
        <is>
          <t>KODEX 자동차(091180)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KODEX 건설(104520)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KODEX 은행(091170)</t>
        </is>
      </c>
      <c r="S5" s="12" t="inlineStr">
        <is>
          <t>TIGER 증권(266410)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TIGER 부동산인프라(329200)</t>
        </is>
      </c>
      <c r="X5" s="12" t="inlineStr">
        <is>
          <t>-</t>
        </is>
      </c>
      <c r="Y5" s="12" t="inlineStr">
        <is>
          <t>KODEX 미디어&amp;엔터(091230)</t>
        </is>
      </c>
    </row>
    <row r="6" ht="28" customHeight="1">
      <c r="A6" s="12" t="inlineStr">
        <is>
          <t>대응미국</t>
        </is>
      </c>
      <c r="B6" s="12" t="inlineStr">
        <is>
          <t>XLP</t>
        </is>
      </c>
      <c r="C6" s="12" t="inlineStr">
        <is>
          <t>XLY</t>
        </is>
      </c>
      <c r="D6" s="12" t="inlineStr">
        <is>
          <t>XLB</t>
        </is>
      </c>
      <c r="E6" s="12" t="inlineStr">
        <is>
          <t>XLB</t>
        </is>
      </c>
      <c r="F6" s="12" t="inlineStr">
        <is>
          <t>XLV</t>
        </is>
      </c>
      <c r="G6" s="12" t="inlineStr">
        <is>
          <t>XLB</t>
        </is>
      </c>
      <c r="H6" s="12" t="inlineStr">
        <is>
          <t>XLB</t>
        </is>
      </c>
      <c r="I6" s="12" t="inlineStr">
        <is>
          <t>XLI</t>
        </is>
      </c>
      <c r="J6" s="12" t="inlineStr">
        <is>
          <t>XLK</t>
        </is>
      </c>
      <c r="K6" s="12" t="inlineStr">
        <is>
          <t>XLV</t>
        </is>
      </c>
      <c r="L6" s="12" t="inlineStr">
        <is>
          <t>XLI</t>
        </is>
      </c>
      <c r="M6" s="12" t="inlineStr">
        <is>
          <t>XLY</t>
        </is>
      </c>
      <c r="N6" s="12" t="inlineStr">
        <is>
          <t>XLU</t>
        </is>
      </c>
      <c r="O6" s="12" t="inlineStr">
        <is>
          <t>XLI</t>
        </is>
      </c>
      <c r="P6" s="12" t="inlineStr">
        <is>
          <t>XLI</t>
        </is>
      </c>
      <c r="Q6" s="12" t="inlineStr">
        <is>
          <t>XLC</t>
        </is>
      </c>
      <c r="R6" s="12" t="inlineStr">
        <is>
          <t>XLF</t>
        </is>
      </c>
      <c r="S6" s="12" t="inlineStr">
        <is>
          <t>XLF</t>
        </is>
      </c>
      <c r="T6" s="12" t="inlineStr">
        <is>
          <t>XLF</t>
        </is>
      </c>
      <c r="U6" s="12" t="inlineStr">
        <is>
          <t>XLI</t>
        </is>
      </c>
      <c r="V6" s="12" t="inlineStr">
        <is>
          <t>XLI</t>
        </is>
      </c>
      <c r="W6" s="12" t="inlineStr">
        <is>
          <t>XLRE</t>
        </is>
      </c>
      <c r="X6" s="12" t="inlineStr">
        <is>
          <t>XLK</t>
        </is>
      </c>
      <c r="Y6" s="12" t="inlineStr">
        <is>
          <t>XLC</t>
        </is>
      </c>
    </row>
    <row r="8" ht="15" customHeight="1">
      <c r="A8" s="13" t="n">
        <v>46220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15" customHeight="1">
      <c r="A9" s="13" t="n">
        <v>46219</v>
      </c>
      <c r="B9" s="7" t="n">
        <v>47.24</v>
      </c>
      <c r="C9" s="7" t="n">
        <v>51.52</v>
      </c>
      <c r="D9" s="7" t="n">
        <v>46.32</v>
      </c>
      <c r="E9" s="7" t="n">
        <v>49.04</v>
      </c>
      <c r="F9" s="7" t="n">
        <v>49.17</v>
      </c>
      <c r="G9" s="7" t="n">
        <v>39.17</v>
      </c>
      <c r="H9" s="7" t="n">
        <v>39.83</v>
      </c>
      <c r="I9" s="7" t="n">
        <v>38.46</v>
      </c>
      <c r="J9" s="7" t="n">
        <v>39.23</v>
      </c>
      <c r="K9" s="7" t="n">
        <v>49.79</v>
      </c>
      <c r="L9" s="7" t="n">
        <v>35.99</v>
      </c>
      <c r="M9" s="7" t="n">
        <v>37.91</v>
      </c>
      <c r="N9" s="7" t="n">
        <v>37.56</v>
      </c>
      <c r="O9" s="7" t="n">
        <v>38.61</v>
      </c>
      <c r="P9" s="7" t="n">
        <v>46.35</v>
      </c>
      <c r="Q9" s="7" t="n">
        <v>45.27</v>
      </c>
      <c r="R9" s="7" t="n">
        <v>44.68</v>
      </c>
      <c r="S9" s="7" t="n">
        <v>42.55</v>
      </c>
      <c r="T9" s="7" t="n">
        <v>46.3</v>
      </c>
      <c r="U9" s="7" t="n">
        <v>39.02</v>
      </c>
      <c r="V9" s="7" t="n">
        <v>38.37</v>
      </c>
      <c r="W9" s="7" t="n">
        <v>40.01</v>
      </c>
      <c r="X9" s="7" t="n">
        <v>38.49</v>
      </c>
      <c r="Y9" s="7" t="n">
        <v>42.46</v>
      </c>
    </row>
    <row r="10" ht="15" customHeight="1">
      <c r="A10" s="13" t="n">
        <v>46218</v>
      </c>
      <c r="B10" s="7" t="n">
        <v>41.35</v>
      </c>
      <c r="C10" s="7" t="n">
        <v>48.74</v>
      </c>
      <c r="D10" s="7" t="n">
        <v>41.26</v>
      </c>
      <c r="E10" s="7" t="n">
        <v>48.76</v>
      </c>
      <c r="F10" s="7" t="n">
        <v>48.24</v>
      </c>
      <c r="G10" s="7" t="n">
        <v>39.85</v>
      </c>
      <c r="H10" s="7" t="n">
        <v>41.94</v>
      </c>
      <c r="I10" s="7" t="n">
        <v>40.97</v>
      </c>
      <c r="J10" s="7" t="n">
        <v>44.22</v>
      </c>
      <c r="K10" s="7" t="n">
        <v>52.45</v>
      </c>
      <c r="L10" s="7" t="n">
        <v>36.19</v>
      </c>
      <c r="M10" s="7" t="n">
        <v>39.81</v>
      </c>
      <c r="N10" s="7" t="n">
        <v>37.48</v>
      </c>
      <c r="O10" s="7" t="n">
        <v>39.76</v>
      </c>
      <c r="P10" s="7" t="n">
        <v>47.86</v>
      </c>
      <c r="Q10" s="7" t="n">
        <v>36.07</v>
      </c>
      <c r="R10" s="7" t="n">
        <v>47.8</v>
      </c>
      <c r="S10" s="7" t="n">
        <v>44.76</v>
      </c>
      <c r="T10" s="7" t="n">
        <v>45.14</v>
      </c>
      <c r="U10" s="7" t="n">
        <v>39.78</v>
      </c>
      <c r="V10" s="7" t="n">
        <v>43.16</v>
      </c>
      <c r="W10" s="7" t="n">
        <v>39.92</v>
      </c>
      <c r="X10" s="7" t="n">
        <v>38.98</v>
      </c>
      <c r="Y10" s="7" t="n">
        <v>42.31</v>
      </c>
    </row>
    <row r="11" ht="15" customHeight="1">
      <c r="A11" s="13" t="n">
        <v>46217</v>
      </c>
      <c r="B11" s="7" t="n">
        <v>41.67</v>
      </c>
      <c r="C11" s="7" t="n">
        <v>47.3</v>
      </c>
      <c r="D11" s="7" t="n">
        <v>40.21</v>
      </c>
      <c r="E11" s="7" t="n">
        <v>42.67</v>
      </c>
      <c r="F11" s="7" t="n">
        <v>45.01</v>
      </c>
      <c r="G11" s="7" t="n">
        <v>40.49</v>
      </c>
      <c r="H11" s="7" t="n">
        <v>35.82</v>
      </c>
      <c r="I11" s="7" t="n">
        <v>32.51</v>
      </c>
      <c r="J11" s="7" t="n">
        <v>39.22</v>
      </c>
      <c r="K11" s="7" t="n">
        <v>46.03</v>
      </c>
      <c r="L11" s="7" t="n">
        <v>31.47</v>
      </c>
      <c r="M11" s="7" t="n">
        <v>36.45</v>
      </c>
      <c r="N11" s="7" t="n">
        <v>36.86</v>
      </c>
      <c r="O11" s="7" t="n">
        <v>38.86</v>
      </c>
      <c r="P11" s="7" t="n">
        <v>44.21</v>
      </c>
      <c r="Q11" s="7" t="n">
        <v>35.4</v>
      </c>
      <c r="R11" s="7" t="n">
        <v>39.52</v>
      </c>
      <c r="S11" s="7" t="n">
        <v>38.58</v>
      </c>
      <c r="T11" s="7" t="n">
        <v>39.61</v>
      </c>
      <c r="U11" s="7" t="n">
        <v>37.41</v>
      </c>
      <c r="V11" s="7" t="n">
        <v>37.49</v>
      </c>
      <c r="W11" s="7" t="n">
        <v>40.49</v>
      </c>
      <c r="X11" s="7" t="n">
        <v>34.43</v>
      </c>
      <c r="Y11" s="7" t="n">
        <v>43.26</v>
      </c>
    </row>
    <row r="12" ht="15" customHeight="1">
      <c r="A12" s="13" t="n">
        <v>46216</v>
      </c>
      <c r="B12" s="7" t="n">
        <v>46.29</v>
      </c>
      <c r="C12" s="7" t="n">
        <v>50.54</v>
      </c>
      <c r="D12" s="7" t="n">
        <v>43.28</v>
      </c>
      <c r="E12" s="7" t="n">
        <v>46.11</v>
      </c>
      <c r="F12" s="7" t="n">
        <v>48.72</v>
      </c>
      <c r="G12" s="7" t="n">
        <v>41.28</v>
      </c>
      <c r="H12" s="7" t="n">
        <v>37.58</v>
      </c>
      <c r="I12" s="7" t="n">
        <v>32.83</v>
      </c>
      <c r="J12" s="7" t="n">
        <v>36.82</v>
      </c>
      <c r="K12" s="7" t="n">
        <v>45.32</v>
      </c>
      <c r="L12" s="7" t="n">
        <v>33.1</v>
      </c>
      <c r="M12" s="7" t="n">
        <v>37.74</v>
      </c>
      <c r="N12" s="7" t="n">
        <v>37.85</v>
      </c>
      <c r="O12" s="7" t="n">
        <v>38.28</v>
      </c>
      <c r="P12" s="7" t="n">
        <v>43.94</v>
      </c>
      <c r="Q12" s="7" t="n">
        <v>36.8</v>
      </c>
      <c r="R12" s="7" t="n">
        <v>41.05</v>
      </c>
      <c r="S12" s="7" t="n">
        <v>40.86</v>
      </c>
      <c r="T12" s="7" t="n">
        <v>41.21</v>
      </c>
      <c r="U12" s="7" t="n">
        <v>36.98</v>
      </c>
      <c r="V12" s="7" t="n">
        <v>35.67</v>
      </c>
      <c r="W12" s="7" t="n">
        <v>43.61</v>
      </c>
      <c r="X12" s="7" t="n">
        <v>36.7</v>
      </c>
      <c r="Y12" s="7" t="n">
        <v>46.17</v>
      </c>
    </row>
    <row r="13" ht="15" customHeight="1">
      <c r="A13" s="13" t="n">
        <v>46213</v>
      </c>
      <c r="B13" s="7" t="n">
        <v>47.91</v>
      </c>
      <c r="C13" s="7" t="n">
        <v>50.22</v>
      </c>
      <c r="D13" s="7" t="n">
        <v>45.37</v>
      </c>
      <c r="E13" s="7" t="n">
        <v>45.54</v>
      </c>
      <c r="F13" s="7" t="n">
        <v>49.26</v>
      </c>
      <c r="G13" s="7" t="n">
        <v>46.58</v>
      </c>
      <c r="H13" s="7" t="n">
        <v>39.31</v>
      </c>
      <c r="I13" s="7" t="n">
        <v>36.44</v>
      </c>
      <c r="J13" s="7" t="n">
        <v>43.76</v>
      </c>
      <c r="K13" s="7" t="n">
        <v>49.84</v>
      </c>
      <c r="L13" s="7" t="n">
        <v>35.43</v>
      </c>
      <c r="M13" s="7" t="n">
        <v>41.75</v>
      </c>
      <c r="N13" s="7" t="n">
        <v>43.35</v>
      </c>
      <c r="O13" s="7" t="n">
        <v>42.78</v>
      </c>
      <c r="P13" s="7" t="n">
        <v>46.78</v>
      </c>
      <c r="Q13" s="7" t="n">
        <v>44.17</v>
      </c>
      <c r="R13" s="7" t="n">
        <v>47.73</v>
      </c>
      <c r="S13" s="7" t="n">
        <v>44.37</v>
      </c>
      <c r="T13" s="7" t="n">
        <v>43.82</v>
      </c>
      <c r="U13" s="7" t="n">
        <v>40.39</v>
      </c>
      <c r="V13" s="7" t="n">
        <v>42.44</v>
      </c>
      <c r="W13" s="7" t="n">
        <v>45.11</v>
      </c>
      <c r="X13" s="7" t="n">
        <v>39.55</v>
      </c>
      <c r="Y13" s="7" t="n">
        <v>49.33</v>
      </c>
    </row>
    <row r="14" ht="15" customHeight="1">
      <c r="A14" s="13" t="n">
        <v>46212</v>
      </c>
      <c r="B14" s="7" t="n">
        <v>47.32</v>
      </c>
      <c r="C14" s="7" t="n">
        <v>48.74</v>
      </c>
      <c r="D14" s="7" t="n">
        <v>39.77</v>
      </c>
      <c r="E14" s="7" t="n">
        <v>40.5</v>
      </c>
      <c r="F14" s="7" t="n">
        <v>44.49</v>
      </c>
      <c r="G14" s="7" t="n">
        <v>43.09</v>
      </c>
      <c r="H14" s="7" t="n">
        <v>32.37</v>
      </c>
      <c r="I14" s="10" t="n">
        <v>29.46</v>
      </c>
      <c r="J14" s="7" t="n">
        <v>42.33</v>
      </c>
      <c r="K14" s="7" t="n">
        <v>42.12</v>
      </c>
      <c r="L14" s="7" t="n">
        <v>31.85</v>
      </c>
      <c r="M14" s="7" t="n">
        <v>38.85</v>
      </c>
      <c r="N14" s="7" t="n">
        <v>38.9</v>
      </c>
      <c r="O14" s="7" t="n">
        <v>36.54</v>
      </c>
      <c r="P14" s="7" t="n">
        <v>42.36</v>
      </c>
      <c r="Q14" s="7" t="n">
        <v>47.83</v>
      </c>
      <c r="R14" s="7" t="n">
        <v>39.46</v>
      </c>
      <c r="S14" s="7" t="n">
        <v>38.28</v>
      </c>
      <c r="T14" s="7" t="n">
        <v>38.44</v>
      </c>
      <c r="U14" s="7" t="n">
        <v>35.77</v>
      </c>
      <c r="V14" s="7" t="n">
        <v>40.37</v>
      </c>
      <c r="W14" s="7" t="n">
        <v>42.05</v>
      </c>
      <c r="X14" s="7" t="n">
        <v>34.22</v>
      </c>
      <c r="Y14" s="7" t="n">
        <v>47.46</v>
      </c>
    </row>
    <row r="15" ht="15" customHeight="1">
      <c r="A15" s="13" t="n">
        <v>46211</v>
      </c>
      <c r="B15" s="7" t="n">
        <v>54.67</v>
      </c>
      <c r="C15" s="7" t="n">
        <v>52.16</v>
      </c>
      <c r="D15" s="7" t="n">
        <v>42.9</v>
      </c>
      <c r="E15" s="7" t="n">
        <v>42.26</v>
      </c>
      <c r="F15" s="7" t="n">
        <v>47.9</v>
      </c>
      <c r="G15" s="7" t="n">
        <v>46.13</v>
      </c>
      <c r="H15" s="7" t="n">
        <v>34.09</v>
      </c>
      <c r="I15" s="10" t="n">
        <v>29.12</v>
      </c>
      <c r="J15" s="7" t="n">
        <v>40.62</v>
      </c>
      <c r="K15" s="7" t="n">
        <v>41.76</v>
      </c>
      <c r="L15" s="7" t="n">
        <v>35.03</v>
      </c>
      <c r="M15" s="7" t="n">
        <v>41.01</v>
      </c>
      <c r="N15" s="7" t="n">
        <v>43.33</v>
      </c>
      <c r="O15" s="7" t="n">
        <v>36.25</v>
      </c>
      <c r="P15" s="7" t="n">
        <v>48.06</v>
      </c>
      <c r="Q15" s="7" t="n">
        <v>36.9</v>
      </c>
      <c r="R15" s="7" t="n">
        <v>40.44</v>
      </c>
      <c r="S15" s="7" t="n">
        <v>40.46</v>
      </c>
      <c r="T15" s="7" t="n">
        <v>43.09</v>
      </c>
      <c r="U15" s="7" t="n">
        <v>37.53</v>
      </c>
      <c r="V15" s="7" t="n">
        <v>39.24</v>
      </c>
      <c r="W15" s="7" t="n">
        <v>49.48</v>
      </c>
      <c r="X15" s="7" t="n">
        <v>37.18</v>
      </c>
      <c r="Y15" s="7" t="n">
        <v>53.18</v>
      </c>
    </row>
    <row r="16" ht="15" customHeight="1">
      <c r="A16" s="13" t="n">
        <v>46210</v>
      </c>
      <c r="B16" s="7" t="n">
        <v>57.7</v>
      </c>
      <c r="C16" s="7" t="n">
        <v>58.28</v>
      </c>
      <c r="D16" s="7" t="n">
        <v>44.39</v>
      </c>
      <c r="E16" s="7" t="n">
        <v>46.68</v>
      </c>
      <c r="F16" s="7" t="n">
        <v>52.1</v>
      </c>
      <c r="G16" s="7" t="n">
        <v>47.46</v>
      </c>
      <c r="H16" s="7" t="n">
        <v>38.77</v>
      </c>
      <c r="I16" s="7" t="n">
        <v>33.48</v>
      </c>
      <c r="J16" s="7" t="n">
        <v>44.22</v>
      </c>
      <c r="K16" s="7" t="n">
        <v>46.91</v>
      </c>
      <c r="L16" s="7" t="n">
        <v>38.81</v>
      </c>
      <c r="M16" s="7" t="n">
        <v>46.05</v>
      </c>
      <c r="N16" s="7" t="n">
        <v>48.04</v>
      </c>
      <c r="O16" s="7" t="n">
        <v>40.05</v>
      </c>
      <c r="P16" s="7" t="n">
        <v>49.68</v>
      </c>
      <c r="Q16" s="7" t="n">
        <v>38.87</v>
      </c>
      <c r="R16" s="7" t="n">
        <v>45.81</v>
      </c>
      <c r="S16" s="7" t="n">
        <v>43.71</v>
      </c>
      <c r="T16" s="7" t="n">
        <v>48.18</v>
      </c>
      <c r="U16" s="7" t="n">
        <v>42.34</v>
      </c>
      <c r="V16" s="7" t="n">
        <v>43.23</v>
      </c>
      <c r="W16" s="7" t="n">
        <v>51.42</v>
      </c>
      <c r="X16" s="7" t="n">
        <v>40.39</v>
      </c>
      <c r="Y16" s="7" t="n">
        <v>55.19</v>
      </c>
    </row>
    <row r="17" ht="15" customHeight="1">
      <c r="A17" s="13" t="n">
        <v>46209</v>
      </c>
      <c r="B17" s="7" t="n">
        <v>46.05</v>
      </c>
      <c r="C17" s="7" t="n">
        <v>54.4</v>
      </c>
      <c r="D17" s="7" t="n">
        <v>43.9</v>
      </c>
      <c r="E17" s="7" t="n">
        <v>43.7</v>
      </c>
      <c r="F17" s="7" t="n">
        <v>50.2</v>
      </c>
      <c r="G17" s="7" t="n">
        <v>46.77</v>
      </c>
      <c r="H17" s="7" t="n">
        <v>40.46</v>
      </c>
      <c r="I17" s="7" t="n">
        <v>36.72</v>
      </c>
      <c r="J17" s="7" t="n">
        <v>48.74</v>
      </c>
      <c r="K17" s="7" t="n">
        <v>49.93</v>
      </c>
      <c r="L17" s="7" t="n">
        <v>44.95</v>
      </c>
      <c r="M17" s="7" t="n">
        <v>49.37</v>
      </c>
      <c r="N17" s="7" t="n">
        <v>51.07</v>
      </c>
      <c r="O17" s="7" t="n">
        <v>42.81</v>
      </c>
      <c r="P17" s="7" t="n">
        <v>48.44</v>
      </c>
      <c r="Q17" s="7" t="n">
        <v>35.59</v>
      </c>
      <c r="R17" s="7" t="n">
        <v>50.2</v>
      </c>
      <c r="S17" s="7" t="n">
        <v>47.77</v>
      </c>
      <c r="T17" s="7" t="n">
        <v>50.8</v>
      </c>
      <c r="U17" s="7" t="n">
        <v>43.11</v>
      </c>
      <c r="V17" s="7" t="n">
        <v>47.94</v>
      </c>
      <c r="W17" s="7" t="n">
        <v>47.75</v>
      </c>
      <c r="X17" s="7" t="n">
        <v>38.49</v>
      </c>
      <c r="Y17" s="7" t="n">
        <v>48.49</v>
      </c>
    </row>
    <row r="18" ht="15" customHeight="1">
      <c r="A18" s="13" t="n">
        <v>46206</v>
      </c>
      <c r="B18" s="7" t="n">
        <v>47.09</v>
      </c>
      <c r="C18" s="7" t="n">
        <v>50.96</v>
      </c>
      <c r="D18" s="7" t="n">
        <v>43.15</v>
      </c>
      <c r="E18" s="7" t="n">
        <v>42.59</v>
      </c>
      <c r="F18" s="7" t="n">
        <v>53.84</v>
      </c>
      <c r="G18" s="7" t="n">
        <v>44.79</v>
      </c>
      <c r="H18" s="7" t="n">
        <v>39.81</v>
      </c>
      <c r="I18" s="7" t="n">
        <v>37.23</v>
      </c>
      <c r="J18" s="7" t="n">
        <v>49.31</v>
      </c>
      <c r="K18" s="7" t="n">
        <v>54.88</v>
      </c>
      <c r="L18" s="7" t="n">
        <v>41.49</v>
      </c>
      <c r="M18" s="7" t="n">
        <v>46.94</v>
      </c>
      <c r="N18" s="7" t="n">
        <v>47.81</v>
      </c>
      <c r="O18" s="7" t="n">
        <v>42.32</v>
      </c>
      <c r="P18" s="7" t="n">
        <v>48.03</v>
      </c>
      <c r="Q18" s="7" t="n">
        <v>34.15</v>
      </c>
      <c r="R18" s="7" t="n">
        <v>51.7</v>
      </c>
      <c r="S18" s="7" t="n">
        <v>44</v>
      </c>
      <c r="T18" s="7" t="n">
        <v>47.7</v>
      </c>
      <c r="U18" s="7" t="n">
        <v>44.41</v>
      </c>
      <c r="V18" s="7" t="n">
        <v>48.36</v>
      </c>
      <c r="W18" s="7" t="n">
        <v>44.69</v>
      </c>
      <c r="X18" s="7" t="n">
        <v>38.88</v>
      </c>
      <c r="Y18" s="7" t="n">
        <v>44.66</v>
      </c>
    </row>
    <row r="19" ht="15" customHeight="1">
      <c r="A19" s="13" t="n">
        <v>46205</v>
      </c>
      <c r="B19" s="7" t="n">
        <v>48.76</v>
      </c>
      <c r="C19" s="7" t="n">
        <v>51.39</v>
      </c>
      <c r="D19" s="7" t="n">
        <v>42.12</v>
      </c>
      <c r="E19" s="7" t="n">
        <v>42.9</v>
      </c>
      <c r="F19" s="7" t="n">
        <v>51.04</v>
      </c>
      <c r="G19" s="7" t="n">
        <v>46.9</v>
      </c>
      <c r="H19" s="7" t="n">
        <v>37.14</v>
      </c>
      <c r="I19" s="7" t="n">
        <v>35.48</v>
      </c>
      <c r="J19" s="7" t="n">
        <v>43.36</v>
      </c>
      <c r="K19" s="7" t="n">
        <v>56.69</v>
      </c>
      <c r="L19" s="7" t="n">
        <v>38.36</v>
      </c>
      <c r="M19" s="7" t="n">
        <v>43.3</v>
      </c>
      <c r="N19" s="7" t="n">
        <v>47.24</v>
      </c>
      <c r="O19" s="7" t="n">
        <v>43.03</v>
      </c>
      <c r="P19" s="7" t="n">
        <v>47.07</v>
      </c>
      <c r="Q19" s="7" t="n">
        <v>36.13</v>
      </c>
      <c r="R19" s="7" t="n">
        <v>46.84</v>
      </c>
      <c r="S19" s="7" t="n">
        <v>35.53</v>
      </c>
      <c r="T19" s="7" t="n">
        <v>44.06</v>
      </c>
      <c r="U19" s="7" t="n">
        <v>45.51</v>
      </c>
      <c r="V19" s="7" t="n">
        <v>42.18</v>
      </c>
      <c r="W19" s="7" t="n">
        <v>43.98</v>
      </c>
      <c r="X19" s="7" t="n">
        <v>40.52</v>
      </c>
      <c r="Y19" s="7" t="n">
        <v>48.47</v>
      </c>
    </row>
    <row r="20" ht="15" customHeight="1">
      <c r="A20" s="13" t="n">
        <v>46204</v>
      </c>
      <c r="B20" s="7" t="n">
        <v>42.39</v>
      </c>
      <c r="C20" s="7" t="n">
        <v>46.68</v>
      </c>
      <c r="D20" s="7" t="n">
        <v>42.46</v>
      </c>
      <c r="E20" s="7" t="n">
        <v>43.89</v>
      </c>
      <c r="F20" s="7" t="n">
        <v>49.88</v>
      </c>
      <c r="G20" s="7" t="n">
        <v>47.74</v>
      </c>
      <c r="H20" s="7" t="n">
        <v>37.83</v>
      </c>
      <c r="I20" s="7" t="n">
        <v>38.96</v>
      </c>
      <c r="J20" s="7" t="n">
        <v>52.06</v>
      </c>
      <c r="K20" s="8" t="n">
        <v>64.13</v>
      </c>
      <c r="L20" s="7" t="n">
        <v>38.59</v>
      </c>
      <c r="M20" s="7" t="n">
        <v>46.86</v>
      </c>
      <c r="N20" s="7" t="n">
        <v>45.44</v>
      </c>
      <c r="O20" s="7" t="n">
        <v>45.77</v>
      </c>
      <c r="P20" s="7" t="n">
        <v>45.31</v>
      </c>
      <c r="Q20" s="7" t="n">
        <v>36.25</v>
      </c>
      <c r="R20" s="7" t="n">
        <v>53.5</v>
      </c>
      <c r="S20" s="7" t="n">
        <v>39.87</v>
      </c>
      <c r="T20" s="7" t="n">
        <v>46.19</v>
      </c>
      <c r="U20" s="7" t="n">
        <v>48.06</v>
      </c>
      <c r="V20" s="7" t="n">
        <v>50.55</v>
      </c>
      <c r="W20" s="7" t="n">
        <v>44.8</v>
      </c>
      <c r="X20" s="7" t="n">
        <v>39.51</v>
      </c>
      <c r="Y20" s="7" t="n">
        <v>43.8</v>
      </c>
    </row>
    <row r="21" ht="15" customHeight="1">
      <c r="A21" s="13" t="n">
        <v>46203</v>
      </c>
      <c r="B21" s="7" t="n">
        <v>39.77</v>
      </c>
      <c r="C21" s="7" t="n">
        <v>44.59</v>
      </c>
      <c r="D21" s="7" t="n">
        <v>37.48</v>
      </c>
      <c r="E21" s="7" t="n">
        <v>40.3</v>
      </c>
      <c r="F21" s="7" t="n">
        <v>48.78</v>
      </c>
      <c r="G21" s="7" t="n">
        <v>40.4</v>
      </c>
      <c r="H21" s="7" t="n">
        <v>35.39</v>
      </c>
      <c r="I21" s="7" t="n">
        <v>37.71</v>
      </c>
      <c r="J21" s="7" t="n">
        <v>55.75</v>
      </c>
      <c r="K21" s="8" t="n">
        <v>61.92</v>
      </c>
      <c r="L21" s="7" t="n">
        <v>34.85</v>
      </c>
      <c r="M21" s="7" t="n">
        <v>50.32</v>
      </c>
      <c r="N21" s="7" t="n">
        <v>42.84</v>
      </c>
      <c r="O21" s="7" t="n">
        <v>40.92</v>
      </c>
      <c r="P21" s="7" t="n">
        <v>41.39</v>
      </c>
      <c r="Q21" s="7" t="n">
        <v>33.84</v>
      </c>
      <c r="R21" s="7" t="n">
        <v>52.09</v>
      </c>
      <c r="S21" s="7" t="n">
        <v>37.41</v>
      </c>
      <c r="T21" s="7" t="n">
        <v>48.33</v>
      </c>
      <c r="U21" s="7" t="n">
        <v>42.94</v>
      </c>
      <c r="V21" s="7" t="n">
        <v>53.6</v>
      </c>
      <c r="W21" s="7" t="n">
        <v>39.99</v>
      </c>
      <c r="X21" s="7" t="n">
        <v>38.82</v>
      </c>
      <c r="Y21" s="7" t="n">
        <v>37.98</v>
      </c>
    </row>
    <row r="22" ht="15" customHeight="1">
      <c r="A22" s="13" t="n">
        <v>46202</v>
      </c>
      <c r="B22" s="7" t="n">
        <v>44.98</v>
      </c>
      <c r="C22" s="7" t="n">
        <v>47.13</v>
      </c>
      <c r="D22" s="7" t="n">
        <v>38.02</v>
      </c>
      <c r="E22" s="7" t="n">
        <v>43.39</v>
      </c>
      <c r="F22" s="7" t="n">
        <v>54.45</v>
      </c>
      <c r="G22" s="7" t="n">
        <v>45.66</v>
      </c>
      <c r="H22" s="7" t="n">
        <v>38.11</v>
      </c>
      <c r="I22" s="7" t="n">
        <v>38.41</v>
      </c>
      <c r="J22" s="7" t="n">
        <v>54.16</v>
      </c>
      <c r="K22" s="7" t="n">
        <v>52.42</v>
      </c>
      <c r="L22" s="7" t="n">
        <v>36.31</v>
      </c>
      <c r="M22" s="7" t="n">
        <v>51.13</v>
      </c>
      <c r="N22" s="7" t="n">
        <v>46.67</v>
      </c>
      <c r="O22" s="7" t="n">
        <v>42.53</v>
      </c>
      <c r="P22" s="7" t="n">
        <v>44.81</v>
      </c>
      <c r="Q22" s="7" t="n">
        <v>36.19</v>
      </c>
      <c r="R22" s="7" t="n">
        <v>50.75</v>
      </c>
      <c r="S22" s="7" t="n">
        <v>37.78</v>
      </c>
      <c r="T22" s="7" t="n">
        <v>49.69</v>
      </c>
      <c r="U22" s="7" t="n">
        <v>44.64</v>
      </c>
      <c r="V22" s="7" t="n">
        <v>52.43</v>
      </c>
      <c r="W22" s="7" t="n">
        <v>41.6</v>
      </c>
      <c r="X22" s="7" t="n">
        <v>40</v>
      </c>
      <c r="Y22" s="7" t="n">
        <v>39.96</v>
      </c>
    </row>
    <row r="23" ht="15" customHeight="1">
      <c r="A23" s="13" t="n">
        <v>46199</v>
      </c>
      <c r="B23" s="10" t="n">
        <v>29.18</v>
      </c>
      <c r="C23" s="7" t="n">
        <v>36.18</v>
      </c>
      <c r="D23" s="10" t="n">
        <v>27.09</v>
      </c>
      <c r="E23" s="7" t="n">
        <v>30.21</v>
      </c>
      <c r="F23" s="7" t="n">
        <v>42.05</v>
      </c>
      <c r="G23" s="10" t="n">
        <v>27.13</v>
      </c>
      <c r="H23" s="10" t="n">
        <v>29.84</v>
      </c>
      <c r="I23" s="7" t="n">
        <v>31.14</v>
      </c>
      <c r="J23" s="7" t="n">
        <v>56.07</v>
      </c>
      <c r="K23" s="7" t="n">
        <v>43.31</v>
      </c>
      <c r="L23" s="7" t="n">
        <v>30.12</v>
      </c>
      <c r="M23" s="7" t="n">
        <v>52.56</v>
      </c>
      <c r="N23" s="7" t="n">
        <v>41.97</v>
      </c>
      <c r="O23" s="7" t="n">
        <v>33.85</v>
      </c>
      <c r="P23" s="7" t="n">
        <v>38.65</v>
      </c>
      <c r="Q23" s="7" t="n">
        <v>34.79</v>
      </c>
      <c r="R23" s="7" t="n">
        <v>50.09</v>
      </c>
      <c r="S23" s="10" t="n">
        <v>29.45</v>
      </c>
      <c r="T23" s="7" t="n">
        <v>53.2</v>
      </c>
      <c r="U23" s="7" t="n">
        <v>32.92</v>
      </c>
      <c r="V23" s="7" t="n">
        <v>53.06</v>
      </c>
      <c r="W23" s="7" t="n">
        <v>41.39</v>
      </c>
      <c r="X23" s="7" t="n">
        <v>32.59</v>
      </c>
      <c r="Y23" s="10" t="n">
        <v>26.36</v>
      </c>
    </row>
    <row r="24" ht="15" customHeight="1">
      <c r="A24" s="13" t="n">
        <v>46198</v>
      </c>
      <c r="B24" s="7" t="n">
        <v>31.75</v>
      </c>
      <c r="C24" s="7" t="n">
        <v>37.59</v>
      </c>
      <c r="D24" s="10" t="n">
        <v>29.09</v>
      </c>
      <c r="E24" s="7" t="n">
        <v>33.53</v>
      </c>
      <c r="F24" s="7" t="n">
        <v>47.47</v>
      </c>
      <c r="G24" s="10" t="n">
        <v>28.45</v>
      </c>
      <c r="H24" s="7" t="n">
        <v>33.32</v>
      </c>
      <c r="I24" s="7" t="n">
        <v>35.31</v>
      </c>
      <c r="J24" s="8" t="n">
        <v>63.06</v>
      </c>
      <c r="K24" s="7" t="n">
        <v>42.26</v>
      </c>
      <c r="L24" s="7" t="n">
        <v>33.35</v>
      </c>
      <c r="M24" s="7" t="n">
        <v>56.82</v>
      </c>
      <c r="N24" s="7" t="n">
        <v>46.77</v>
      </c>
      <c r="O24" s="7" t="n">
        <v>37.18</v>
      </c>
      <c r="P24" s="7" t="n">
        <v>42.08</v>
      </c>
      <c r="Q24" s="7" t="n">
        <v>34.89</v>
      </c>
      <c r="R24" s="7" t="n">
        <v>59.24</v>
      </c>
      <c r="S24" s="7" t="n">
        <v>33.72</v>
      </c>
      <c r="T24" s="7" t="n">
        <v>56.96</v>
      </c>
      <c r="U24" s="7" t="n">
        <v>36.85</v>
      </c>
      <c r="V24" s="8" t="n">
        <v>60.15</v>
      </c>
      <c r="W24" s="7" t="n">
        <v>42.46</v>
      </c>
      <c r="X24" s="7" t="n">
        <v>34.42</v>
      </c>
      <c r="Y24" s="10" t="n">
        <v>29.42</v>
      </c>
    </row>
    <row r="25" ht="15" customHeight="1">
      <c r="A25" s="13" t="n">
        <v>46197</v>
      </c>
      <c r="B25" s="7" t="n">
        <v>31.27</v>
      </c>
      <c r="C25" s="7" t="n">
        <v>38.13</v>
      </c>
      <c r="D25" s="7" t="n">
        <v>33</v>
      </c>
      <c r="E25" s="7" t="n">
        <v>35.08</v>
      </c>
      <c r="F25" s="7" t="n">
        <v>47.75</v>
      </c>
      <c r="G25" s="10" t="n">
        <v>29.62</v>
      </c>
      <c r="H25" s="7" t="n">
        <v>34.78</v>
      </c>
      <c r="I25" s="7" t="n">
        <v>36.77</v>
      </c>
      <c r="J25" s="7" t="n">
        <v>57.62</v>
      </c>
      <c r="K25" s="7" t="n">
        <v>43.6</v>
      </c>
      <c r="L25" s="7" t="n">
        <v>34.29</v>
      </c>
      <c r="M25" s="7" t="n">
        <v>52.13</v>
      </c>
      <c r="N25" s="7" t="n">
        <v>40.04</v>
      </c>
      <c r="O25" s="7" t="n">
        <v>36.79</v>
      </c>
      <c r="P25" s="7" t="n">
        <v>41.09</v>
      </c>
      <c r="Q25" s="7" t="n">
        <v>33.81</v>
      </c>
      <c r="R25" s="7" t="n">
        <v>54.37</v>
      </c>
      <c r="S25" s="10" t="n">
        <v>29.11</v>
      </c>
      <c r="T25" s="7" t="n">
        <v>54.43</v>
      </c>
      <c r="U25" s="7" t="n">
        <v>36.56</v>
      </c>
      <c r="V25" s="7" t="n">
        <v>54.9</v>
      </c>
      <c r="W25" s="7" t="n">
        <v>38.71</v>
      </c>
      <c r="X25" s="7" t="n">
        <v>34.93</v>
      </c>
      <c r="Y25" s="7" t="n">
        <v>31.36</v>
      </c>
    </row>
    <row r="26" ht="15" customHeight="1">
      <c r="A26" s="13" t="n">
        <v>46196</v>
      </c>
      <c r="B26" s="7" t="n">
        <v>30.82</v>
      </c>
      <c r="C26" s="7" t="n">
        <v>36.5</v>
      </c>
      <c r="D26" s="10" t="n">
        <v>28.95</v>
      </c>
      <c r="E26" s="7" t="n">
        <v>31.12</v>
      </c>
      <c r="F26" s="7" t="n">
        <v>34.04</v>
      </c>
      <c r="G26" s="10" t="n">
        <v>28.65</v>
      </c>
      <c r="H26" s="7" t="n">
        <v>32.49</v>
      </c>
      <c r="I26" s="7" t="n">
        <v>34.53</v>
      </c>
      <c r="J26" s="7" t="n">
        <v>54.07</v>
      </c>
      <c r="K26" s="7" t="n">
        <v>44.01</v>
      </c>
      <c r="L26" s="7" t="n">
        <v>33.44</v>
      </c>
      <c r="M26" s="7" t="n">
        <v>48.84</v>
      </c>
      <c r="N26" s="7" t="n">
        <v>38.22</v>
      </c>
      <c r="O26" s="7" t="n">
        <v>36.01</v>
      </c>
      <c r="P26" s="7" t="n">
        <v>37.44</v>
      </c>
      <c r="Q26" s="7" t="n">
        <v>33.85</v>
      </c>
      <c r="R26" s="7" t="n">
        <v>55.42</v>
      </c>
      <c r="S26" s="10" t="n">
        <v>29.52</v>
      </c>
      <c r="T26" s="7" t="n">
        <v>53.94</v>
      </c>
      <c r="U26" s="7" t="n">
        <v>33.1</v>
      </c>
      <c r="V26" s="7" t="n">
        <v>51.04</v>
      </c>
      <c r="W26" s="7" t="n">
        <v>38.77</v>
      </c>
      <c r="X26" s="7" t="n">
        <v>35.53</v>
      </c>
      <c r="Y26" s="7" t="n">
        <v>31.94</v>
      </c>
    </row>
    <row r="27" ht="15" customHeight="1">
      <c r="A27" s="13" t="n">
        <v>46195</v>
      </c>
      <c r="B27" s="7" t="n">
        <v>33.17</v>
      </c>
      <c r="C27" s="7" t="n">
        <v>39.92</v>
      </c>
      <c r="D27" s="7" t="n">
        <v>33.86</v>
      </c>
      <c r="E27" s="7" t="n">
        <v>37.4</v>
      </c>
      <c r="F27" s="7" t="n">
        <v>38.13</v>
      </c>
      <c r="G27" s="7" t="n">
        <v>34.22</v>
      </c>
      <c r="H27" s="7" t="n">
        <v>36.8</v>
      </c>
      <c r="I27" s="7" t="n">
        <v>40.9</v>
      </c>
      <c r="J27" s="9" t="n">
        <v>70.26000000000001</v>
      </c>
      <c r="K27" s="7" t="n">
        <v>54.87</v>
      </c>
      <c r="L27" s="7" t="n">
        <v>41.65</v>
      </c>
      <c r="M27" s="7" t="n">
        <v>59.81</v>
      </c>
      <c r="N27" s="7" t="n">
        <v>43.29</v>
      </c>
      <c r="O27" s="7" t="n">
        <v>41.88</v>
      </c>
      <c r="P27" s="7" t="n">
        <v>43.49</v>
      </c>
      <c r="Q27" s="7" t="n">
        <v>37.18</v>
      </c>
      <c r="R27" s="8" t="n">
        <v>66.36</v>
      </c>
      <c r="S27" s="7" t="n">
        <v>34.13</v>
      </c>
      <c r="T27" s="8" t="n">
        <v>60.39</v>
      </c>
      <c r="U27" s="7" t="n">
        <v>37.94</v>
      </c>
      <c r="V27" s="8" t="n">
        <v>67.33</v>
      </c>
      <c r="W27" s="7" t="n">
        <v>42.42</v>
      </c>
      <c r="X27" s="7" t="n">
        <v>41.82</v>
      </c>
      <c r="Y27" s="7" t="n">
        <v>39.51</v>
      </c>
    </row>
    <row r="28" ht="15" customHeight="1">
      <c r="A28" s="13" t="n">
        <v>46192</v>
      </c>
      <c r="B28" s="7" t="n">
        <v>38.87</v>
      </c>
      <c r="C28" s="7" t="n">
        <v>46.74</v>
      </c>
      <c r="D28" s="7" t="n">
        <v>35.4</v>
      </c>
      <c r="E28" s="7" t="n">
        <v>40.14</v>
      </c>
      <c r="F28" s="7" t="n">
        <v>43.92</v>
      </c>
      <c r="G28" s="7" t="n">
        <v>36.01</v>
      </c>
      <c r="H28" s="7" t="n">
        <v>38.98</v>
      </c>
      <c r="I28" s="7" t="n">
        <v>43.08</v>
      </c>
      <c r="J28" s="8" t="n">
        <v>68.81999999999999</v>
      </c>
      <c r="K28" s="7" t="n">
        <v>51.75</v>
      </c>
      <c r="L28" s="7" t="n">
        <v>47.07</v>
      </c>
      <c r="M28" s="7" t="n">
        <v>57.49</v>
      </c>
      <c r="N28" s="7" t="n">
        <v>43.63</v>
      </c>
      <c r="O28" s="7" t="n">
        <v>42.26</v>
      </c>
      <c r="P28" s="7" t="n">
        <v>50.33</v>
      </c>
      <c r="Q28" s="7" t="n">
        <v>38.88</v>
      </c>
      <c r="R28" s="8" t="n">
        <v>66.94</v>
      </c>
      <c r="S28" s="7" t="n">
        <v>37.74</v>
      </c>
      <c r="T28" s="9" t="n">
        <v>72.59</v>
      </c>
      <c r="U28" s="7" t="n">
        <v>41.41</v>
      </c>
      <c r="V28" s="8" t="n">
        <v>66.43000000000001</v>
      </c>
      <c r="W28" s="7" t="n">
        <v>45.64</v>
      </c>
      <c r="X28" s="7" t="n">
        <v>45.01</v>
      </c>
      <c r="Y28" s="7" t="n">
        <v>45.18</v>
      </c>
    </row>
    <row r="29" ht="15" customHeight="1">
      <c r="A29" s="13" t="n">
        <v>46191</v>
      </c>
      <c r="B29" s="7" t="n">
        <v>40.17</v>
      </c>
      <c r="C29" s="7" t="n">
        <v>48.06</v>
      </c>
      <c r="D29" s="7" t="n">
        <v>39.57</v>
      </c>
      <c r="E29" s="7" t="n">
        <v>42.09</v>
      </c>
      <c r="F29" s="7" t="n">
        <v>50.16</v>
      </c>
      <c r="G29" s="7" t="n">
        <v>38.68</v>
      </c>
      <c r="H29" s="7" t="n">
        <v>41.53</v>
      </c>
      <c r="I29" s="7" t="n">
        <v>46.06</v>
      </c>
      <c r="J29" s="8" t="n">
        <v>68.7</v>
      </c>
      <c r="K29" s="7" t="n">
        <v>57.21</v>
      </c>
      <c r="L29" s="7" t="n">
        <v>48.25</v>
      </c>
      <c r="M29" s="7" t="n">
        <v>57.78</v>
      </c>
      <c r="N29" s="7" t="n">
        <v>48.21</v>
      </c>
      <c r="O29" s="7" t="n">
        <v>45.62</v>
      </c>
      <c r="P29" s="7" t="n">
        <v>50.25</v>
      </c>
      <c r="Q29" s="7" t="n">
        <v>40.27</v>
      </c>
      <c r="R29" s="8" t="n">
        <v>65.76000000000001</v>
      </c>
      <c r="S29" s="7" t="n">
        <v>39.51</v>
      </c>
      <c r="T29" s="9" t="n">
        <v>70.23</v>
      </c>
      <c r="U29" s="7" t="n">
        <v>45.56</v>
      </c>
      <c r="V29" s="8" t="n">
        <v>66.73</v>
      </c>
      <c r="W29" s="7" t="n">
        <v>49.62</v>
      </c>
      <c r="X29" s="7" t="n">
        <v>46.88</v>
      </c>
      <c r="Y29" s="7" t="n">
        <v>47.77</v>
      </c>
    </row>
    <row r="30" ht="15" customHeight="1">
      <c r="A30" s="13" t="n">
        <v>46190</v>
      </c>
      <c r="B30" s="7" t="n">
        <v>47.27</v>
      </c>
      <c r="C30" s="7" t="n">
        <v>54.22</v>
      </c>
      <c r="D30" s="7" t="n">
        <v>44.54</v>
      </c>
      <c r="E30" s="7" t="n">
        <v>49.4</v>
      </c>
      <c r="F30" s="7" t="n">
        <v>47.54</v>
      </c>
      <c r="G30" s="7" t="n">
        <v>44.15</v>
      </c>
      <c r="H30" s="7" t="n">
        <v>47.04</v>
      </c>
      <c r="I30" s="7" t="n">
        <v>50.07</v>
      </c>
      <c r="J30" s="8" t="n">
        <v>65.54000000000001</v>
      </c>
      <c r="K30" s="7" t="n">
        <v>59.52</v>
      </c>
      <c r="L30" s="7" t="n">
        <v>53.88</v>
      </c>
      <c r="M30" s="8" t="n">
        <v>60.69</v>
      </c>
      <c r="N30" s="7" t="n">
        <v>52.94</v>
      </c>
      <c r="O30" s="7" t="n">
        <v>49.63</v>
      </c>
      <c r="P30" s="7" t="n">
        <v>57.84</v>
      </c>
      <c r="Q30" s="7" t="n">
        <v>45.37</v>
      </c>
      <c r="R30" s="8" t="n">
        <v>65.04000000000001</v>
      </c>
      <c r="S30" s="7" t="n">
        <v>41.42</v>
      </c>
      <c r="T30" s="8" t="n">
        <v>67.7</v>
      </c>
      <c r="U30" s="7" t="n">
        <v>50.06</v>
      </c>
      <c r="V30" s="8" t="n">
        <v>64.23999999999999</v>
      </c>
      <c r="W30" s="7" t="n">
        <v>49.85</v>
      </c>
      <c r="X30" s="7" t="n">
        <v>50.81</v>
      </c>
      <c r="Y30" s="7" t="n">
        <v>53.43</v>
      </c>
    </row>
    <row r="31" ht="15" customHeight="1">
      <c r="A31" s="13" t="n">
        <v>46189</v>
      </c>
      <c r="B31" s="7" t="n">
        <v>46.31</v>
      </c>
      <c r="C31" s="7" t="n">
        <v>51.35</v>
      </c>
      <c r="D31" s="7" t="n">
        <v>44.09</v>
      </c>
      <c r="E31" s="7" t="n">
        <v>51.29</v>
      </c>
      <c r="F31" s="7" t="n">
        <v>43.43</v>
      </c>
      <c r="G31" s="7" t="n">
        <v>46.2</v>
      </c>
      <c r="H31" s="7" t="n">
        <v>50.55</v>
      </c>
      <c r="I31" s="7" t="n">
        <v>50.83</v>
      </c>
      <c r="J31" s="8" t="n">
        <v>63.56</v>
      </c>
      <c r="K31" s="7" t="n">
        <v>58.69</v>
      </c>
      <c r="L31" s="7" t="n">
        <v>55.41</v>
      </c>
      <c r="M31" s="8" t="n">
        <v>63.45</v>
      </c>
      <c r="N31" s="7" t="n">
        <v>51.13</v>
      </c>
      <c r="O31" s="7" t="n">
        <v>54.94</v>
      </c>
      <c r="P31" s="7" t="n">
        <v>59.39</v>
      </c>
      <c r="Q31" s="7" t="n">
        <v>48.94</v>
      </c>
      <c r="R31" s="8" t="n">
        <v>64.42</v>
      </c>
      <c r="S31" s="7" t="n">
        <v>43.36</v>
      </c>
      <c r="T31" s="8" t="n">
        <v>66.03</v>
      </c>
      <c r="U31" s="7" t="n">
        <v>54.75</v>
      </c>
      <c r="V31" s="8" t="n">
        <v>62.53</v>
      </c>
      <c r="W31" s="7" t="n">
        <v>47.72</v>
      </c>
      <c r="X31" s="7" t="n">
        <v>51.19</v>
      </c>
      <c r="Y31" s="7" t="n">
        <v>49.2</v>
      </c>
    </row>
    <row r="32" ht="15" customHeight="1">
      <c r="A32" s="13" t="n">
        <v>46188</v>
      </c>
      <c r="B32" s="7" t="n">
        <v>48.79</v>
      </c>
      <c r="C32" s="7" t="n">
        <v>53.78</v>
      </c>
      <c r="D32" s="7" t="n">
        <v>44.04</v>
      </c>
      <c r="E32" s="7" t="n">
        <v>51.14</v>
      </c>
      <c r="F32" s="7" t="n">
        <v>43.39</v>
      </c>
      <c r="G32" s="7" t="n">
        <v>42.58</v>
      </c>
      <c r="H32" s="7" t="n">
        <v>44.02</v>
      </c>
      <c r="I32" s="7" t="n">
        <v>50.95</v>
      </c>
      <c r="J32" s="8" t="n">
        <v>61.82</v>
      </c>
      <c r="K32" s="7" t="n">
        <v>56.79</v>
      </c>
      <c r="L32" s="7" t="n">
        <v>53.13</v>
      </c>
      <c r="M32" s="8" t="n">
        <v>61.98</v>
      </c>
      <c r="N32" s="7" t="n">
        <v>56.68</v>
      </c>
      <c r="O32" s="7" t="n">
        <v>48.96</v>
      </c>
      <c r="P32" s="7" t="n">
        <v>57.19</v>
      </c>
      <c r="Q32" s="7" t="n">
        <v>51.77</v>
      </c>
      <c r="R32" s="8" t="n">
        <v>61.55</v>
      </c>
      <c r="S32" s="7" t="n">
        <v>41.65</v>
      </c>
      <c r="T32" s="8" t="n">
        <v>64.77</v>
      </c>
      <c r="U32" s="7" t="n">
        <v>52.22</v>
      </c>
      <c r="V32" s="8" t="n">
        <v>60.71</v>
      </c>
      <c r="W32" s="7" t="n">
        <v>46.24</v>
      </c>
      <c r="X32" s="7" t="n">
        <v>53.14</v>
      </c>
      <c r="Y32" s="7" t="n">
        <v>46.55</v>
      </c>
    </row>
    <row r="33" ht="15" customHeight="1">
      <c r="A33" s="13" t="n">
        <v>46185</v>
      </c>
      <c r="B33" s="7" t="n">
        <v>48.27</v>
      </c>
      <c r="C33" s="7" t="n">
        <v>56.29</v>
      </c>
      <c r="D33" s="7" t="n">
        <v>38.76</v>
      </c>
      <c r="E33" s="7" t="n">
        <v>44.05</v>
      </c>
      <c r="F33" s="7" t="n">
        <v>38.64</v>
      </c>
      <c r="G33" s="7" t="n">
        <v>38.27</v>
      </c>
      <c r="H33" s="7" t="n">
        <v>36.49</v>
      </c>
      <c r="I33" s="7" t="n">
        <v>46.27</v>
      </c>
      <c r="J33" s="7" t="n">
        <v>57.61</v>
      </c>
      <c r="K33" s="7" t="n">
        <v>56.73</v>
      </c>
      <c r="L33" s="7" t="n">
        <v>45.79</v>
      </c>
      <c r="M33" s="7" t="n">
        <v>55.05</v>
      </c>
      <c r="N33" s="7" t="n">
        <v>43.62</v>
      </c>
      <c r="O33" s="7" t="n">
        <v>50.26</v>
      </c>
      <c r="P33" s="7" t="n">
        <v>47.46</v>
      </c>
      <c r="Q33" s="7" t="n">
        <v>49.21</v>
      </c>
      <c r="R33" s="7" t="n">
        <v>55.93</v>
      </c>
      <c r="S33" s="7" t="n">
        <v>40.88</v>
      </c>
      <c r="T33" s="7" t="n">
        <v>59.28</v>
      </c>
      <c r="U33" s="7" t="n">
        <v>50.14</v>
      </c>
      <c r="V33" s="7" t="n">
        <v>55.99</v>
      </c>
      <c r="W33" s="7" t="n">
        <v>41.86</v>
      </c>
      <c r="X33" s="7" t="n">
        <v>51.72</v>
      </c>
      <c r="Y33" s="7" t="n">
        <v>47.99</v>
      </c>
    </row>
    <row r="34" ht="15" customHeight="1">
      <c r="A34" s="13" t="n">
        <v>46184</v>
      </c>
      <c r="B34" s="7" t="n">
        <v>47.42</v>
      </c>
      <c r="C34" s="7" t="n">
        <v>51.28</v>
      </c>
      <c r="D34" s="10" t="n">
        <v>28.5</v>
      </c>
      <c r="E34" s="7" t="n">
        <v>40.87</v>
      </c>
      <c r="F34" s="7" t="n">
        <v>34.68</v>
      </c>
      <c r="G34" s="10" t="n">
        <v>28.3</v>
      </c>
      <c r="H34" s="7" t="n">
        <v>30.23</v>
      </c>
      <c r="I34" s="7" t="n">
        <v>35.93</v>
      </c>
      <c r="J34" s="7" t="n">
        <v>53.79</v>
      </c>
      <c r="K34" s="7" t="n">
        <v>51.63</v>
      </c>
      <c r="L34" s="7" t="n">
        <v>38.79</v>
      </c>
      <c r="M34" s="7" t="n">
        <v>52.06</v>
      </c>
      <c r="N34" s="7" t="n">
        <v>33.98</v>
      </c>
      <c r="O34" s="7" t="n">
        <v>35.41</v>
      </c>
      <c r="P34" s="7" t="n">
        <v>35.86</v>
      </c>
      <c r="Q34" s="7" t="n">
        <v>50.97</v>
      </c>
      <c r="R34" s="7" t="n">
        <v>49.22</v>
      </c>
      <c r="S34" s="7" t="n">
        <v>36</v>
      </c>
      <c r="T34" s="7" t="n">
        <v>56.08</v>
      </c>
      <c r="U34" s="7" t="n">
        <v>43.16</v>
      </c>
      <c r="V34" s="7" t="n">
        <v>51.57</v>
      </c>
      <c r="W34" s="7" t="n">
        <v>46.16</v>
      </c>
      <c r="X34" s="7" t="n">
        <v>48.1</v>
      </c>
      <c r="Y34" s="7" t="n">
        <v>43.54</v>
      </c>
    </row>
    <row r="35" ht="15" customHeight="1">
      <c r="A35" s="13" t="n">
        <v>46183</v>
      </c>
      <c r="B35" s="7" t="n">
        <v>42.71</v>
      </c>
      <c r="C35" s="7" t="n">
        <v>46.54</v>
      </c>
      <c r="D35" s="10" t="n">
        <v>22.77</v>
      </c>
      <c r="E35" s="7" t="n">
        <v>38.42</v>
      </c>
      <c r="F35" s="7" t="n">
        <v>35.17</v>
      </c>
      <c r="G35" s="10" t="n">
        <v>28.63</v>
      </c>
      <c r="H35" s="7" t="n">
        <v>31.72</v>
      </c>
      <c r="I35" s="7" t="n">
        <v>35.57</v>
      </c>
      <c r="J35" s="7" t="n">
        <v>53.4</v>
      </c>
      <c r="K35" s="7" t="n">
        <v>44.55</v>
      </c>
      <c r="L35" s="7" t="n">
        <v>39.82</v>
      </c>
      <c r="M35" s="7" t="n">
        <v>50.91</v>
      </c>
      <c r="N35" s="7" t="n">
        <v>34.93</v>
      </c>
      <c r="O35" s="7" t="n">
        <v>37.13</v>
      </c>
      <c r="P35" s="7" t="n">
        <v>34.97</v>
      </c>
      <c r="Q35" s="7" t="n">
        <v>50.61</v>
      </c>
      <c r="R35" s="7" t="n">
        <v>48.06</v>
      </c>
      <c r="S35" s="7" t="n">
        <v>35.74</v>
      </c>
      <c r="T35" s="7" t="n">
        <v>54.41</v>
      </c>
      <c r="U35" s="7" t="n">
        <v>39.4</v>
      </c>
      <c r="V35" s="7" t="n">
        <v>51.26</v>
      </c>
      <c r="W35" s="7" t="n">
        <v>36.43</v>
      </c>
      <c r="X35" s="7" t="n">
        <v>46.85</v>
      </c>
      <c r="Y35" s="7" t="n">
        <v>33.88</v>
      </c>
    </row>
    <row r="36" ht="15" customHeight="1">
      <c r="A36" s="13" t="n">
        <v>46182</v>
      </c>
      <c r="B36" s="7" t="n">
        <v>42.25</v>
      </c>
      <c r="C36" s="7" t="n">
        <v>40.34</v>
      </c>
      <c r="D36" s="10" t="n">
        <v>23.31</v>
      </c>
      <c r="E36" s="7" t="n">
        <v>38.9</v>
      </c>
      <c r="F36" s="7" t="n">
        <v>36.03</v>
      </c>
      <c r="G36" s="10" t="n">
        <v>26.92</v>
      </c>
      <c r="H36" s="10" t="n">
        <v>29.84</v>
      </c>
      <c r="I36" s="7" t="n">
        <v>36.63</v>
      </c>
      <c r="J36" s="7" t="n">
        <v>59.8</v>
      </c>
      <c r="K36" s="7" t="n">
        <v>45.86</v>
      </c>
      <c r="L36" s="7" t="n">
        <v>40.64</v>
      </c>
      <c r="M36" s="7" t="n">
        <v>52.61</v>
      </c>
      <c r="N36" s="7" t="n">
        <v>32.44</v>
      </c>
      <c r="O36" s="7" t="n">
        <v>33.53</v>
      </c>
      <c r="P36" s="7" t="n">
        <v>36.59</v>
      </c>
      <c r="Q36" s="7" t="n">
        <v>50.81</v>
      </c>
      <c r="R36" s="7" t="n">
        <v>52.05</v>
      </c>
      <c r="S36" s="7" t="n">
        <v>37.24</v>
      </c>
      <c r="T36" s="8" t="n">
        <v>61.19</v>
      </c>
      <c r="U36" s="7" t="n">
        <v>38.13</v>
      </c>
      <c r="V36" s="7" t="n">
        <v>56.94</v>
      </c>
      <c r="W36" s="10" t="n">
        <v>27.31</v>
      </c>
      <c r="X36" s="7" t="n">
        <v>53.69</v>
      </c>
      <c r="Y36" s="7" t="n">
        <v>33.74</v>
      </c>
    </row>
    <row r="37" ht="15" customHeight="1">
      <c r="A37" s="13" t="n">
        <v>46181</v>
      </c>
      <c r="B37" s="7" t="n">
        <v>32.96</v>
      </c>
      <c r="C37" s="10" t="n">
        <v>27.71</v>
      </c>
      <c r="D37" s="10" t="n">
        <v>13.71</v>
      </c>
      <c r="E37" s="7" t="n">
        <v>31.23</v>
      </c>
      <c r="F37" s="10" t="n">
        <v>24.92</v>
      </c>
      <c r="G37" s="10" t="n">
        <v>22.65</v>
      </c>
      <c r="H37" s="10" t="n">
        <v>24.85</v>
      </c>
      <c r="I37" s="10" t="n">
        <v>29.54</v>
      </c>
      <c r="J37" s="7" t="n">
        <v>51.03</v>
      </c>
      <c r="K37" s="7" t="n">
        <v>34.63</v>
      </c>
      <c r="L37" s="7" t="n">
        <v>39.34</v>
      </c>
      <c r="M37" s="7" t="n">
        <v>48.16</v>
      </c>
      <c r="N37" s="7" t="n">
        <v>31.04</v>
      </c>
      <c r="O37" s="10" t="n">
        <v>29.02</v>
      </c>
      <c r="P37" s="7" t="n">
        <v>30.12</v>
      </c>
      <c r="Q37" s="7" t="n">
        <v>51.01</v>
      </c>
      <c r="R37" s="7" t="n">
        <v>43.72</v>
      </c>
      <c r="S37" s="7" t="n">
        <v>31.25</v>
      </c>
      <c r="T37" s="7" t="n">
        <v>57.91</v>
      </c>
      <c r="U37" s="10" t="n">
        <v>29.81</v>
      </c>
      <c r="V37" s="7" t="n">
        <v>47.91</v>
      </c>
      <c r="W37" s="10" t="n">
        <v>21.58</v>
      </c>
      <c r="X37" s="7" t="n">
        <v>57.1</v>
      </c>
      <c r="Y37" s="10" t="n">
        <v>25.77</v>
      </c>
    </row>
    <row r="38" ht="15" customHeight="1">
      <c r="A38" s="13" t="n">
        <v>46178</v>
      </c>
      <c r="B38" s="7" t="n">
        <v>37.81</v>
      </c>
      <c r="C38" s="7" t="n">
        <v>34.24</v>
      </c>
      <c r="D38" s="10" t="n">
        <v>16</v>
      </c>
      <c r="E38" s="7" t="n">
        <v>38.9</v>
      </c>
      <c r="F38" s="7" t="n">
        <v>34.08</v>
      </c>
      <c r="G38" s="10" t="n">
        <v>27.68</v>
      </c>
      <c r="H38" s="7" t="n">
        <v>30.14</v>
      </c>
      <c r="I38" s="7" t="n">
        <v>36.49</v>
      </c>
      <c r="J38" s="8" t="n">
        <v>62.03</v>
      </c>
      <c r="K38" s="7" t="n">
        <v>41.31</v>
      </c>
      <c r="L38" s="7" t="n">
        <v>49.23</v>
      </c>
      <c r="M38" s="7" t="n">
        <v>57</v>
      </c>
      <c r="N38" s="7" t="n">
        <v>36.93</v>
      </c>
      <c r="O38" s="7" t="n">
        <v>33.95</v>
      </c>
      <c r="P38" s="7" t="n">
        <v>36.83</v>
      </c>
      <c r="Q38" s="7" t="n">
        <v>50.37</v>
      </c>
      <c r="R38" s="7" t="n">
        <v>59.85</v>
      </c>
      <c r="S38" s="7" t="n">
        <v>38.92</v>
      </c>
      <c r="T38" s="8" t="n">
        <v>67.95999999999999</v>
      </c>
      <c r="U38" s="7" t="n">
        <v>37.81</v>
      </c>
      <c r="V38" s="7" t="n">
        <v>59.61</v>
      </c>
      <c r="W38" s="10" t="n">
        <v>24.66</v>
      </c>
      <c r="X38" s="7" t="n">
        <v>59.98</v>
      </c>
      <c r="Y38" s="7" t="n">
        <v>31.4</v>
      </c>
    </row>
    <row r="39" ht="15" customHeight="1">
      <c r="A39" s="13" t="n">
        <v>46177</v>
      </c>
      <c r="B39" s="7" t="n">
        <v>35.7</v>
      </c>
      <c r="C39" s="7" t="n">
        <v>30.84</v>
      </c>
      <c r="D39" s="10" t="n">
        <v>16.34</v>
      </c>
      <c r="E39" s="7" t="n">
        <v>43.52</v>
      </c>
      <c r="F39" s="7" t="n">
        <v>36.59</v>
      </c>
      <c r="G39" s="10" t="n">
        <v>29.64</v>
      </c>
      <c r="H39" s="7" t="n">
        <v>32.94</v>
      </c>
      <c r="I39" s="7" t="n">
        <v>40.86</v>
      </c>
      <c r="J39" s="9" t="n">
        <v>75.25</v>
      </c>
      <c r="K39" s="7" t="n">
        <v>44.62</v>
      </c>
      <c r="L39" s="7" t="n">
        <v>51.59</v>
      </c>
      <c r="M39" s="9" t="n">
        <v>72.14</v>
      </c>
      <c r="N39" s="7" t="n">
        <v>38.71</v>
      </c>
      <c r="O39" s="7" t="n">
        <v>36.21</v>
      </c>
      <c r="P39" s="7" t="n">
        <v>37.98</v>
      </c>
      <c r="Q39" s="7" t="n">
        <v>53.01</v>
      </c>
      <c r="R39" s="8" t="n">
        <v>66.75</v>
      </c>
      <c r="S39" s="7" t="n">
        <v>40.72</v>
      </c>
      <c r="T39" s="9" t="n">
        <v>77.43000000000001</v>
      </c>
      <c r="U39" s="7" t="n">
        <v>40.05</v>
      </c>
      <c r="V39" s="9" t="n">
        <v>72.17</v>
      </c>
      <c r="W39" s="10" t="n">
        <v>24.66</v>
      </c>
      <c r="X39" s="8" t="n">
        <v>64.62</v>
      </c>
      <c r="Y39" s="7" t="n">
        <v>32.4</v>
      </c>
    </row>
    <row r="40" ht="15" customHeight="1">
      <c r="A40" s="13" t="n">
        <v>46176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15" customHeight="1">
      <c r="A41" s="13" t="n">
        <v>46175</v>
      </c>
      <c r="B41" s="7" t="n">
        <v>40.03</v>
      </c>
      <c r="C41" s="7" t="n">
        <v>31.33</v>
      </c>
      <c r="D41" s="10" t="n">
        <v>16.36</v>
      </c>
      <c r="E41" s="7" t="n">
        <v>38.59</v>
      </c>
      <c r="F41" s="7" t="n">
        <v>38.95</v>
      </c>
      <c r="G41" s="10" t="n">
        <v>29.73</v>
      </c>
      <c r="H41" s="7" t="n">
        <v>32.18</v>
      </c>
      <c r="I41" s="7" t="n">
        <v>38.96</v>
      </c>
      <c r="J41" s="9" t="n">
        <v>81.63</v>
      </c>
      <c r="K41" s="7" t="n">
        <v>36.13</v>
      </c>
      <c r="L41" s="7" t="n">
        <v>55.61</v>
      </c>
      <c r="M41" s="8" t="n">
        <v>65.59999999999999</v>
      </c>
      <c r="N41" s="7" t="n">
        <v>33.96</v>
      </c>
      <c r="O41" s="7" t="n">
        <v>34.78</v>
      </c>
      <c r="P41" s="7" t="n">
        <v>39.91</v>
      </c>
      <c r="Q41" s="8" t="n">
        <v>67.19</v>
      </c>
      <c r="R41" s="8" t="n">
        <v>65.7</v>
      </c>
      <c r="S41" s="7" t="n">
        <v>37.66</v>
      </c>
      <c r="T41" s="9" t="n">
        <v>83.64</v>
      </c>
      <c r="U41" s="7" t="n">
        <v>41.69</v>
      </c>
      <c r="V41" s="9" t="n">
        <v>78.2</v>
      </c>
      <c r="W41" s="10" t="n">
        <v>26.09</v>
      </c>
      <c r="X41" s="9" t="n">
        <v>73.68000000000001</v>
      </c>
      <c r="Y41" s="10" t="n">
        <v>29.85</v>
      </c>
    </row>
    <row r="42" ht="15" customHeight="1">
      <c r="A42" s="13" t="n">
        <v>46174</v>
      </c>
      <c r="B42" s="7" t="n">
        <v>41.22</v>
      </c>
      <c r="C42" s="7" t="n">
        <v>31.24</v>
      </c>
      <c r="D42" s="10" t="n">
        <v>17.57</v>
      </c>
      <c r="E42" s="7" t="n">
        <v>42.17</v>
      </c>
      <c r="F42" s="7" t="n">
        <v>41.99</v>
      </c>
      <c r="G42" s="10" t="n">
        <v>29.74</v>
      </c>
      <c r="H42" s="7" t="n">
        <v>36.02</v>
      </c>
      <c r="I42" s="7" t="n">
        <v>42.76</v>
      </c>
      <c r="J42" s="9" t="n">
        <v>81.40000000000001</v>
      </c>
      <c r="K42" s="7" t="n">
        <v>39.26</v>
      </c>
      <c r="L42" s="8" t="n">
        <v>61.09</v>
      </c>
      <c r="M42" s="8" t="n">
        <v>60.43</v>
      </c>
      <c r="N42" s="7" t="n">
        <v>37.14</v>
      </c>
      <c r="O42" s="7" t="n">
        <v>37.39</v>
      </c>
      <c r="P42" s="7" t="n">
        <v>43.97</v>
      </c>
      <c r="Q42" s="7" t="n">
        <v>59.01</v>
      </c>
      <c r="R42" s="8" t="n">
        <v>61.61</v>
      </c>
      <c r="S42" s="7" t="n">
        <v>40.71</v>
      </c>
      <c r="T42" s="9" t="n">
        <v>76.51000000000001</v>
      </c>
      <c r="U42" s="7" t="n">
        <v>44.39</v>
      </c>
      <c r="V42" s="9" t="n">
        <v>78.76000000000001</v>
      </c>
      <c r="W42" s="10" t="n">
        <v>27.52</v>
      </c>
      <c r="X42" s="9" t="n">
        <v>78.73999999999999</v>
      </c>
      <c r="Y42" s="7" t="n">
        <v>30.5</v>
      </c>
    </row>
    <row r="43" ht="15" customHeight="1">
      <c r="A43" s="13" t="n">
        <v>46171</v>
      </c>
      <c r="B43" s="7" t="n">
        <v>43.24</v>
      </c>
      <c r="C43" s="7" t="n">
        <v>34.66</v>
      </c>
      <c r="D43" s="10" t="n">
        <v>20.45</v>
      </c>
      <c r="E43" s="7" t="n">
        <v>42.85</v>
      </c>
      <c r="F43" s="7" t="n">
        <v>41.66</v>
      </c>
      <c r="G43" s="7" t="n">
        <v>33.22</v>
      </c>
      <c r="H43" s="7" t="n">
        <v>38</v>
      </c>
      <c r="I43" s="7" t="n">
        <v>39.73</v>
      </c>
      <c r="J43" s="9" t="n">
        <v>78.59</v>
      </c>
      <c r="K43" s="7" t="n">
        <v>42</v>
      </c>
      <c r="L43" s="8" t="n">
        <v>60.45</v>
      </c>
      <c r="M43" s="7" t="n">
        <v>57.74</v>
      </c>
      <c r="N43" s="7" t="n">
        <v>38.08</v>
      </c>
      <c r="O43" s="7" t="n">
        <v>41.26</v>
      </c>
      <c r="P43" s="7" t="n">
        <v>48.42</v>
      </c>
      <c r="Q43" s="7" t="n">
        <v>47.48</v>
      </c>
      <c r="R43" s="7" t="n">
        <v>59.47</v>
      </c>
      <c r="S43" s="7" t="n">
        <v>39.58</v>
      </c>
      <c r="T43" s="9" t="n">
        <v>72.83</v>
      </c>
      <c r="U43" s="7" t="n">
        <v>42.22</v>
      </c>
      <c r="V43" s="9" t="n">
        <v>75.83</v>
      </c>
      <c r="W43" s="7" t="n">
        <v>32.11</v>
      </c>
      <c r="X43" s="9" t="n">
        <v>72.88</v>
      </c>
      <c r="Y43" s="7" t="n">
        <v>31.88</v>
      </c>
    </row>
    <row r="44" ht="15" customHeight="1">
      <c r="A44" s="13" t="n">
        <v>46170</v>
      </c>
      <c r="B44" s="7" t="n">
        <v>44.53</v>
      </c>
      <c r="C44" s="7" t="n">
        <v>36.07</v>
      </c>
      <c r="D44" s="10" t="n">
        <v>22.59</v>
      </c>
      <c r="E44" s="7" t="n">
        <v>41.52</v>
      </c>
      <c r="F44" s="7" t="n">
        <v>41.33</v>
      </c>
      <c r="G44" s="7" t="n">
        <v>35.52</v>
      </c>
      <c r="H44" s="7" t="n">
        <v>39.57</v>
      </c>
      <c r="I44" s="7" t="n">
        <v>40.44</v>
      </c>
      <c r="J44" s="9" t="n">
        <v>75.76000000000001</v>
      </c>
      <c r="K44" s="7" t="n">
        <v>45.81</v>
      </c>
      <c r="L44" s="7" t="n">
        <v>56.8</v>
      </c>
      <c r="M44" s="7" t="n">
        <v>52.81</v>
      </c>
      <c r="N44" s="7" t="n">
        <v>38.5</v>
      </c>
      <c r="O44" s="7" t="n">
        <v>38.4</v>
      </c>
      <c r="P44" s="7" t="n">
        <v>46.87</v>
      </c>
      <c r="Q44" s="7" t="n">
        <v>38.8</v>
      </c>
      <c r="R44" s="7" t="n">
        <v>57.3</v>
      </c>
      <c r="S44" s="7" t="n">
        <v>40.37</v>
      </c>
      <c r="T44" s="8" t="n">
        <v>67.31</v>
      </c>
      <c r="U44" s="7" t="n">
        <v>42.41</v>
      </c>
      <c r="V44" s="9" t="n">
        <v>72.75</v>
      </c>
      <c r="W44" s="7" t="n">
        <v>35.84</v>
      </c>
      <c r="X44" s="8" t="n">
        <v>60.56</v>
      </c>
      <c r="Y44" s="7" t="n">
        <v>32.94</v>
      </c>
    </row>
    <row r="45" ht="15" customHeight="1">
      <c r="A45" s="13" t="n">
        <v>46169</v>
      </c>
      <c r="B45" s="7" t="n">
        <v>43.3</v>
      </c>
      <c r="C45" s="7" t="n">
        <v>36.44</v>
      </c>
      <c r="D45" s="10" t="n">
        <v>24.4</v>
      </c>
      <c r="E45" s="7" t="n">
        <v>41.71</v>
      </c>
      <c r="F45" s="7" t="n">
        <v>44.61</v>
      </c>
      <c r="G45" s="7" t="n">
        <v>37.09</v>
      </c>
      <c r="H45" s="7" t="n">
        <v>41.87</v>
      </c>
      <c r="I45" s="7" t="n">
        <v>44.62</v>
      </c>
      <c r="J45" s="9" t="n">
        <v>75.48999999999999</v>
      </c>
      <c r="K45" s="7" t="n">
        <v>49.06</v>
      </c>
      <c r="L45" s="8" t="n">
        <v>60.93</v>
      </c>
      <c r="M45" s="7" t="n">
        <v>55.54</v>
      </c>
      <c r="N45" s="7" t="n">
        <v>40.08</v>
      </c>
      <c r="O45" s="7" t="n">
        <v>40.46</v>
      </c>
      <c r="P45" s="7" t="n">
        <v>46.6</v>
      </c>
      <c r="Q45" s="7" t="n">
        <v>44.15</v>
      </c>
      <c r="R45" s="8" t="n">
        <v>63.42</v>
      </c>
      <c r="S45" s="7" t="n">
        <v>43.41</v>
      </c>
      <c r="T45" s="8" t="n">
        <v>68.98999999999999</v>
      </c>
      <c r="U45" s="7" t="n">
        <v>45.27</v>
      </c>
      <c r="V45" s="9" t="n">
        <v>73.03</v>
      </c>
      <c r="W45" s="7" t="n">
        <v>39.09</v>
      </c>
      <c r="X45" s="8" t="n">
        <v>62.18</v>
      </c>
      <c r="Y45" s="7" t="n">
        <v>36.84</v>
      </c>
    </row>
    <row r="46" ht="15" customHeight="1">
      <c r="A46" s="13" t="n">
        <v>46168</v>
      </c>
      <c r="B46" s="7" t="n">
        <v>48.83</v>
      </c>
      <c r="C46" s="7" t="n">
        <v>37.88</v>
      </c>
      <c r="D46" s="10" t="n">
        <v>28.03</v>
      </c>
      <c r="E46" s="7" t="n">
        <v>47.22</v>
      </c>
      <c r="F46" s="7" t="n">
        <v>46.61</v>
      </c>
      <c r="G46" s="7" t="n">
        <v>43.16</v>
      </c>
      <c r="H46" s="7" t="n">
        <v>47.22</v>
      </c>
      <c r="I46" s="7" t="n">
        <v>48.78</v>
      </c>
      <c r="J46" s="9" t="n">
        <v>72.64</v>
      </c>
      <c r="K46" s="7" t="n">
        <v>57.64</v>
      </c>
      <c r="L46" s="8" t="n">
        <v>62.14</v>
      </c>
      <c r="M46" s="7" t="n">
        <v>57.55</v>
      </c>
      <c r="N46" s="7" t="n">
        <v>43.22</v>
      </c>
      <c r="O46" s="7" t="n">
        <v>46.27</v>
      </c>
      <c r="P46" s="7" t="n">
        <v>51.49</v>
      </c>
      <c r="Q46" s="7" t="n">
        <v>48.01</v>
      </c>
      <c r="R46" s="8" t="n">
        <v>62.83</v>
      </c>
      <c r="S46" s="7" t="n">
        <v>46.39</v>
      </c>
      <c r="T46" s="8" t="n">
        <v>68.70999999999999</v>
      </c>
      <c r="U46" s="7" t="n">
        <v>51.39</v>
      </c>
      <c r="V46" s="9" t="n">
        <v>70.68000000000001</v>
      </c>
      <c r="W46" s="7" t="n">
        <v>39.79</v>
      </c>
      <c r="X46" s="7" t="n">
        <v>53.26</v>
      </c>
      <c r="Y46" s="7" t="n">
        <v>39.24</v>
      </c>
    </row>
    <row r="47" ht="15" customHeight="1">
      <c r="A47" s="13" t="n">
        <v>46164</v>
      </c>
      <c r="B47" s="7" t="n">
        <v>54.61</v>
      </c>
      <c r="C47" s="7" t="n">
        <v>45.21</v>
      </c>
      <c r="D47" s="10" t="n">
        <v>29.37</v>
      </c>
      <c r="E47" s="7" t="n">
        <v>45.98</v>
      </c>
      <c r="F47" s="7" t="n">
        <v>47.2</v>
      </c>
      <c r="G47" s="7" t="n">
        <v>45.07</v>
      </c>
      <c r="H47" s="7" t="n">
        <v>47.9</v>
      </c>
      <c r="I47" s="7" t="n">
        <v>47.3</v>
      </c>
      <c r="J47" s="8" t="n">
        <v>69.75</v>
      </c>
      <c r="K47" s="7" t="n">
        <v>55.94</v>
      </c>
      <c r="L47" s="7" t="n">
        <v>57.26</v>
      </c>
      <c r="M47" s="8" t="n">
        <v>60.79</v>
      </c>
      <c r="N47" s="7" t="n">
        <v>41.01</v>
      </c>
      <c r="O47" s="7" t="n">
        <v>45.28</v>
      </c>
      <c r="P47" s="7" t="n">
        <v>52.16</v>
      </c>
      <c r="Q47" s="7" t="n">
        <v>51.83</v>
      </c>
      <c r="R47" s="8" t="n">
        <v>64.45999999999999</v>
      </c>
      <c r="S47" s="7" t="n">
        <v>47.94</v>
      </c>
      <c r="T47" s="9" t="n">
        <v>75.81999999999999</v>
      </c>
      <c r="U47" s="7" t="n">
        <v>50.74</v>
      </c>
      <c r="V47" s="8" t="n">
        <v>67.59</v>
      </c>
      <c r="W47" s="7" t="n">
        <v>36.94</v>
      </c>
      <c r="X47" s="7" t="n">
        <v>54.49</v>
      </c>
      <c r="Y47" s="7" t="n">
        <v>39.89</v>
      </c>
    </row>
    <row r="48" ht="15" customHeight="1">
      <c r="A48" s="13" t="n">
        <v>46163</v>
      </c>
      <c r="B48" s="7" t="n">
        <v>49.39</v>
      </c>
      <c r="C48" s="7" t="n">
        <v>41.14</v>
      </c>
      <c r="D48" s="10" t="n">
        <v>24.68</v>
      </c>
      <c r="E48" s="7" t="n">
        <v>41.41</v>
      </c>
      <c r="F48" s="7" t="n">
        <v>39.98</v>
      </c>
      <c r="G48" s="7" t="n">
        <v>38.29</v>
      </c>
      <c r="H48" s="7" t="n">
        <v>43.26</v>
      </c>
      <c r="I48" s="7" t="n">
        <v>45.36</v>
      </c>
      <c r="J48" s="9" t="n">
        <v>70.64</v>
      </c>
      <c r="K48" s="7" t="n">
        <v>51.98</v>
      </c>
      <c r="L48" s="7" t="n">
        <v>56.85</v>
      </c>
      <c r="M48" s="8" t="n">
        <v>60.15</v>
      </c>
      <c r="N48" s="7" t="n">
        <v>39.6</v>
      </c>
      <c r="O48" s="7" t="n">
        <v>43.04</v>
      </c>
      <c r="P48" s="7" t="n">
        <v>49.56</v>
      </c>
      <c r="Q48" s="7" t="n">
        <v>51.38</v>
      </c>
      <c r="R48" s="8" t="n">
        <v>61.33</v>
      </c>
      <c r="S48" s="7" t="n">
        <v>45.76</v>
      </c>
      <c r="T48" s="9" t="n">
        <v>74.22</v>
      </c>
      <c r="U48" s="7" t="n">
        <v>45.24</v>
      </c>
      <c r="V48" s="8" t="n">
        <v>67.64</v>
      </c>
      <c r="W48" s="10" t="n">
        <v>28.28</v>
      </c>
      <c r="X48" s="7" t="n">
        <v>50.89</v>
      </c>
      <c r="Y48" s="7" t="n">
        <v>35.74</v>
      </c>
    </row>
    <row r="49" ht="15" customHeight="1">
      <c r="A49" s="13" t="n">
        <v>46162</v>
      </c>
      <c r="B49" s="7" t="n">
        <v>49.17</v>
      </c>
      <c r="C49" s="7" t="n">
        <v>39.87</v>
      </c>
      <c r="D49" s="10" t="n">
        <v>24.38</v>
      </c>
      <c r="E49" s="7" t="n">
        <v>34.48</v>
      </c>
      <c r="F49" s="10" t="n">
        <v>27.27</v>
      </c>
      <c r="G49" s="7" t="n">
        <v>31.38</v>
      </c>
      <c r="H49" s="7" t="n">
        <v>33.95</v>
      </c>
      <c r="I49" s="7" t="n">
        <v>33.63</v>
      </c>
      <c r="J49" s="8" t="n">
        <v>62.93</v>
      </c>
      <c r="K49" s="7" t="n">
        <v>43.59</v>
      </c>
      <c r="L49" s="7" t="n">
        <v>44.27</v>
      </c>
      <c r="M49" s="7" t="n">
        <v>50.16</v>
      </c>
      <c r="N49" s="10" t="n">
        <v>28.19</v>
      </c>
      <c r="O49" s="7" t="n">
        <v>35.59</v>
      </c>
      <c r="P49" s="7" t="n">
        <v>38.49</v>
      </c>
      <c r="Q49" s="7" t="n">
        <v>44.77</v>
      </c>
      <c r="R49" s="7" t="n">
        <v>49.42</v>
      </c>
      <c r="S49" s="7" t="n">
        <v>37.47</v>
      </c>
      <c r="T49" s="8" t="n">
        <v>64.91</v>
      </c>
      <c r="U49" s="7" t="n">
        <v>36.57</v>
      </c>
      <c r="V49" s="7" t="n">
        <v>58.64</v>
      </c>
      <c r="W49" s="10" t="n">
        <v>29.77</v>
      </c>
      <c r="X49" s="7" t="n">
        <v>41.49</v>
      </c>
      <c r="Y49" s="7" t="n">
        <v>32.72</v>
      </c>
    </row>
    <row r="50" ht="15" customHeight="1">
      <c r="A50" s="13" t="n">
        <v>46161</v>
      </c>
      <c r="B50" s="7" t="n">
        <v>52.18</v>
      </c>
      <c r="C50" s="7" t="n">
        <v>45.49</v>
      </c>
      <c r="D50" s="10" t="n">
        <v>26.28</v>
      </c>
      <c r="E50" s="7" t="n">
        <v>38.39</v>
      </c>
      <c r="F50" s="10" t="n">
        <v>29.09</v>
      </c>
      <c r="G50" s="7" t="n">
        <v>36.1</v>
      </c>
      <c r="H50" s="7" t="n">
        <v>39.61</v>
      </c>
      <c r="I50" s="7" t="n">
        <v>36.32</v>
      </c>
      <c r="J50" s="8" t="n">
        <v>63.16</v>
      </c>
      <c r="K50" s="7" t="n">
        <v>45.26</v>
      </c>
      <c r="L50" s="7" t="n">
        <v>45.56</v>
      </c>
      <c r="M50" s="7" t="n">
        <v>54.52</v>
      </c>
      <c r="N50" s="7" t="n">
        <v>33.8</v>
      </c>
      <c r="O50" s="7" t="n">
        <v>37.46</v>
      </c>
      <c r="P50" s="7" t="n">
        <v>41.65</v>
      </c>
      <c r="Q50" s="7" t="n">
        <v>45.53</v>
      </c>
      <c r="R50" s="7" t="n">
        <v>52.32</v>
      </c>
      <c r="S50" s="7" t="n">
        <v>41.11</v>
      </c>
      <c r="T50" s="8" t="n">
        <v>69.39</v>
      </c>
      <c r="U50" s="7" t="n">
        <v>39.54</v>
      </c>
      <c r="V50" s="7" t="n">
        <v>59.68</v>
      </c>
      <c r="W50" s="7" t="n">
        <v>32.9</v>
      </c>
      <c r="X50" s="7" t="n">
        <v>45.03</v>
      </c>
      <c r="Y50" s="7" t="n">
        <v>37.02</v>
      </c>
    </row>
    <row r="51" ht="15" customHeight="1">
      <c r="A51" s="13" t="n">
        <v>46160</v>
      </c>
      <c r="B51" s="7" t="n">
        <v>52.03</v>
      </c>
      <c r="C51" s="7" t="n">
        <v>51.32</v>
      </c>
      <c r="D51" s="10" t="n">
        <v>29.35</v>
      </c>
      <c r="E51" s="7" t="n">
        <v>42.9</v>
      </c>
      <c r="F51" s="7" t="n">
        <v>31.13</v>
      </c>
      <c r="G51" s="7" t="n">
        <v>40.65</v>
      </c>
      <c r="H51" s="7" t="n">
        <v>43.96</v>
      </c>
      <c r="I51" s="7" t="n">
        <v>43.04</v>
      </c>
      <c r="J51" s="8" t="n">
        <v>69.03</v>
      </c>
      <c r="K51" s="7" t="n">
        <v>48.98</v>
      </c>
      <c r="L51" s="7" t="n">
        <v>52.32</v>
      </c>
      <c r="M51" s="8" t="n">
        <v>60.28</v>
      </c>
      <c r="N51" s="10" t="n">
        <v>25.47</v>
      </c>
      <c r="O51" s="7" t="n">
        <v>41.42</v>
      </c>
      <c r="P51" s="7" t="n">
        <v>45.58</v>
      </c>
      <c r="Q51" s="7" t="n">
        <v>49.82</v>
      </c>
      <c r="R51" s="7" t="n">
        <v>57.57</v>
      </c>
      <c r="S51" s="7" t="n">
        <v>45.71</v>
      </c>
      <c r="T51" s="8" t="n">
        <v>69.18000000000001</v>
      </c>
      <c r="U51" s="7" t="n">
        <v>42.43</v>
      </c>
      <c r="V51" s="8" t="n">
        <v>66.33</v>
      </c>
      <c r="W51" s="7" t="n">
        <v>30.92</v>
      </c>
      <c r="X51" s="7" t="n">
        <v>50.42</v>
      </c>
      <c r="Y51" s="7" t="n">
        <v>37.23</v>
      </c>
    </row>
    <row r="52" ht="15" customHeight="1">
      <c r="A52" s="13" t="n">
        <v>46157</v>
      </c>
      <c r="B52" s="7" t="n">
        <v>59.17</v>
      </c>
      <c r="C52" s="7" t="n">
        <v>59.29</v>
      </c>
      <c r="D52" s="7" t="n">
        <v>31.21</v>
      </c>
      <c r="E52" s="7" t="n">
        <v>45.09</v>
      </c>
      <c r="F52" s="7" t="n">
        <v>35.82</v>
      </c>
      <c r="G52" s="7" t="n">
        <v>43.99</v>
      </c>
      <c r="H52" s="7" t="n">
        <v>45.47</v>
      </c>
      <c r="I52" s="7" t="n">
        <v>48.37</v>
      </c>
      <c r="J52" s="8" t="n">
        <v>67.45</v>
      </c>
      <c r="K52" s="7" t="n">
        <v>49.1</v>
      </c>
      <c r="L52" s="7" t="n">
        <v>59.25</v>
      </c>
      <c r="M52" s="8" t="n">
        <v>62.73</v>
      </c>
      <c r="N52" s="10" t="n">
        <v>28.24</v>
      </c>
      <c r="O52" s="7" t="n">
        <v>43.62</v>
      </c>
      <c r="P52" s="7" t="n">
        <v>50.02</v>
      </c>
      <c r="Q52" s="7" t="n">
        <v>54.82</v>
      </c>
      <c r="R52" s="7" t="n">
        <v>59.71</v>
      </c>
      <c r="S52" s="7" t="n">
        <v>46.35</v>
      </c>
      <c r="T52" s="8" t="n">
        <v>67.72</v>
      </c>
      <c r="U52" s="7" t="n">
        <v>43.94</v>
      </c>
      <c r="V52" s="8" t="n">
        <v>65.55</v>
      </c>
      <c r="W52" s="7" t="n">
        <v>34.31</v>
      </c>
      <c r="X52" s="7" t="n">
        <v>57.34</v>
      </c>
      <c r="Y52" s="7" t="n">
        <v>42.06</v>
      </c>
    </row>
    <row r="53" ht="15" customHeight="1">
      <c r="A53" s="13" t="n">
        <v>46156</v>
      </c>
      <c r="B53" s="8" t="n">
        <v>65.86</v>
      </c>
      <c r="C53" s="8" t="n">
        <v>61.25</v>
      </c>
      <c r="D53" s="7" t="n">
        <v>33.74</v>
      </c>
      <c r="E53" s="7" t="n">
        <v>54.76</v>
      </c>
      <c r="F53" s="7" t="n">
        <v>40.46</v>
      </c>
      <c r="G53" s="7" t="n">
        <v>46.52</v>
      </c>
      <c r="H53" s="7" t="n">
        <v>53.77</v>
      </c>
      <c r="I53" s="7" t="n">
        <v>58.06</v>
      </c>
      <c r="J53" s="9" t="n">
        <v>83.81999999999999</v>
      </c>
      <c r="K53" s="8" t="n">
        <v>66.08</v>
      </c>
      <c r="L53" s="8" t="n">
        <v>68.70999999999999</v>
      </c>
      <c r="M53" s="9" t="n">
        <v>78.31999999999999</v>
      </c>
      <c r="N53" s="7" t="n">
        <v>30.27</v>
      </c>
      <c r="O53" s="7" t="n">
        <v>53.72</v>
      </c>
      <c r="P53" s="8" t="n">
        <v>60.13</v>
      </c>
      <c r="Q53" s="8" t="n">
        <v>63.06</v>
      </c>
      <c r="R53" s="9" t="n">
        <v>71.20999999999999</v>
      </c>
      <c r="S53" s="7" t="n">
        <v>51.5</v>
      </c>
      <c r="T53" s="9" t="n">
        <v>76.75</v>
      </c>
      <c r="U53" s="7" t="n">
        <v>51.52</v>
      </c>
      <c r="V53" s="9" t="n">
        <v>81.84</v>
      </c>
      <c r="W53" s="7" t="n">
        <v>34.75</v>
      </c>
      <c r="X53" s="8" t="n">
        <v>65.3</v>
      </c>
      <c r="Y53" s="7" t="n">
        <v>43.69</v>
      </c>
    </row>
    <row r="54" ht="15" customHeight="1">
      <c r="A54" s="13" t="n">
        <v>46155</v>
      </c>
      <c r="B54" s="7" t="n">
        <v>48.77</v>
      </c>
      <c r="C54" s="7" t="n">
        <v>54.97</v>
      </c>
      <c r="D54" s="10" t="n">
        <v>28.8</v>
      </c>
      <c r="E54" s="7" t="n">
        <v>48.67</v>
      </c>
      <c r="F54" s="7" t="n">
        <v>30.61</v>
      </c>
      <c r="G54" s="7" t="n">
        <v>37.67</v>
      </c>
      <c r="H54" s="7" t="n">
        <v>51.25</v>
      </c>
      <c r="I54" s="7" t="n">
        <v>59.73</v>
      </c>
      <c r="J54" s="9" t="n">
        <v>82.86</v>
      </c>
      <c r="K54" s="7" t="n">
        <v>57.81</v>
      </c>
      <c r="L54" s="9" t="n">
        <v>71.97</v>
      </c>
      <c r="M54" s="9" t="n">
        <v>74.17</v>
      </c>
      <c r="N54" s="7" t="n">
        <v>32.8</v>
      </c>
      <c r="O54" s="7" t="n">
        <v>45.45</v>
      </c>
      <c r="P54" s="8" t="n">
        <v>61.43</v>
      </c>
      <c r="Q54" s="8" t="n">
        <v>61.34</v>
      </c>
      <c r="R54" s="8" t="n">
        <v>68.53</v>
      </c>
      <c r="S54" s="7" t="n">
        <v>50.55</v>
      </c>
      <c r="T54" s="8" t="n">
        <v>67.93000000000001</v>
      </c>
      <c r="U54" s="7" t="n">
        <v>48.09</v>
      </c>
      <c r="V54" s="9" t="n">
        <v>80.8</v>
      </c>
      <c r="W54" s="7" t="n">
        <v>30.71</v>
      </c>
      <c r="X54" s="7" t="n">
        <v>57.28</v>
      </c>
      <c r="Y54" s="10" t="n">
        <v>29.48</v>
      </c>
    </row>
    <row r="55" ht="15" customHeight="1">
      <c r="A55" s="13" t="n">
        <v>46154</v>
      </c>
      <c r="B55" s="7" t="n">
        <v>55.63</v>
      </c>
      <c r="C55" s="8" t="n">
        <v>60.08</v>
      </c>
      <c r="D55" s="10" t="n">
        <v>29.95</v>
      </c>
      <c r="E55" s="7" t="n">
        <v>50.42</v>
      </c>
      <c r="F55" s="7" t="n">
        <v>33.99</v>
      </c>
      <c r="G55" s="7" t="n">
        <v>33.88</v>
      </c>
      <c r="H55" s="7" t="n">
        <v>51.38</v>
      </c>
      <c r="I55" s="8" t="n">
        <v>61.99</v>
      </c>
      <c r="J55" s="9" t="n">
        <v>80.90000000000001</v>
      </c>
      <c r="K55" s="7" t="n">
        <v>52.14</v>
      </c>
      <c r="L55" s="8" t="n">
        <v>64.72</v>
      </c>
      <c r="M55" s="9" t="n">
        <v>75.68000000000001</v>
      </c>
      <c r="N55" s="7" t="n">
        <v>34.34</v>
      </c>
      <c r="O55" s="7" t="n">
        <v>46.53</v>
      </c>
      <c r="P55" s="7" t="n">
        <v>55.02</v>
      </c>
      <c r="Q55" s="8" t="n">
        <v>60.15</v>
      </c>
      <c r="R55" s="8" t="n">
        <v>67.81</v>
      </c>
      <c r="S55" s="7" t="n">
        <v>52.4</v>
      </c>
      <c r="T55" s="8" t="n">
        <v>66.75</v>
      </c>
      <c r="U55" s="7" t="n">
        <v>53.18</v>
      </c>
      <c r="V55" s="9" t="n">
        <v>78.54000000000001</v>
      </c>
      <c r="W55" s="7" t="n">
        <v>34.33</v>
      </c>
      <c r="X55" s="7" t="n">
        <v>53.82</v>
      </c>
      <c r="Y55" s="7" t="n">
        <v>30.18</v>
      </c>
    </row>
    <row r="56" ht="15" customHeight="1">
      <c r="A56" s="13" t="n">
        <v>46153</v>
      </c>
      <c r="B56" s="7" t="n">
        <v>56.99</v>
      </c>
      <c r="C56" s="8" t="n">
        <v>68.09999999999999</v>
      </c>
      <c r="D56" s="7" t="n">
        <v>33.07</v>
      </c>
      <c r="E56" s="7" t="n">
        <v>59.89</v>
      </c>
      <c r="F56" s="7" t="n">
        <v>33.2</v>
      </c>
      <c r="G56" s="7" t="n">
        <v>38.73</v>
      </c>
      <c r="H56" s="7" t="n">
        <v>57.84</v>
      </c>
      <c r="I56" s="8" t="n">
        <v>69.31</v>
      </c>
      <c r="J56" s="9" t="n">
        <v>86.67</v>
      </c>
      <c r="K56" s="8" t="n">
        <v>61.31</v>
      </c>
      <c r="L56" s="8" t="n">
        <v>69.55</v>
      </c>
      <c r="M56" s="9" t="n">
        <v>84.05</v>
      </c>
      <c r="N56" s="7" t="n">
        <v>40.8</v>
      </c>
      <c r="O56" s="7" t="n">
        <v>53.8</v>
      </c>
      <c r="P56" s="7" t="n">
        <v>53.77</v>
      </c>
      <c r="Q56" s="7" t="n">
        <v>52.12</v>
      </c>
      <c r="R56" s="9" t="n">
        <v>78.66</v>
      </c>
      <c r="S56" s="8" t="n">
        <v>60.73</v>
      </c>
      <c r="T56" s="8" t="n">
        <v>67.01000000000001</v>
      </c>
      <c r="U56" s="7" t="n">
        <v>58.28</v>
      </c>
      <c r="V56" s="9" t="n">
        <v>84.98</v>
      </c>
      <c r="W56" s="7" t="n">
        <v>37.98</v>
      </c>
      <c r="X56" s="7" t="n">
        <v>58.96</v>
      </c>
      <c r="Y56" s="7" t="n">
        <v>33.91</v>
      </c>
    </row>
    <row r="57" ht="15" customHeight="1">
      <c r="A57" s="13" t="n">
        <v>46150</v>
      </c>
      <c r="B57" s="8" t="n">
        <v>63.38</v>
      </c>
      <c r="C57" s="8" t="n">
        <v>69.03</v>
      </c>
      <c r="D57" s="7" t="n">
        <v>36.17</v>
      </c>
      <c r="E57" s="8" t="n">
        <v>64.48</v>
      </c>
      <c r="F57" s="7" t="n">
        <v>37.14</v>
      </c>
      <c r="G57" s="7" t="n">
        <v>43.11</v>
      </c>
      <c r="H57" s="8" t="n">
        <v>60.32</v>
      </c>
      <c r="I57" s="8" t="n">
        <v>69.13</v>
      </c>
      <c r="J57" s="9" t="n">
        <v>83.63</v>
      </c>
      <c r="K57" s="8" t="n">
        <v>60.43</v>
      </c>
      <c r="L57" s="8" t="n">
        <v>63.25</v>
      </c>
      <c r="M57" s="9" t="n">
        <v>81.84999999999999</v>
      </c>
      <c r="N57" s="7" t="n">
        <v>45.15</v>
      </c>
      <c r="O57" s="7" t="n">
        <v>55.86</v>
      </c>
      <c r="P57" s="7" t="n">
        <v>59.52</v>
      </c>
      <c r="Q57" s="7" t="n">
        <v>45.7</v>
      </c>
      <c r="R57" s="9" t="n">
        <v>77.25</v>
      </c>
      <c r="S57" s="8" t="n">
        <v>61.67</v>
      </c>
      <c r="T57" s="8" t="n">
        <v>66.29000000000001</v>
      </c>
      <c r="U57" s="7" t="n">
        <v>59.15</v>
      </c>
      <c r="V57" s="9" t="n">
        <v>81.81999999999999</v>
      </c>
      <c r="W57" s="7" t="n">
        <v>41.6</v>
      </c>
      <c r="X57" s="7" t="n">
        <v>58.59</v>
      </c>
      <c r="Y57" s="7" t="n">
        <v>37.59</v>
      </c>
    </row>
    <row r="58" ht="15" customHeight="1">
      <c r="A58" s="13" t="n">
        <v>46149</v>
      </c>
      <c r="B58" s="7" t="n">
        <v>54.57</v>
      </c>
      <c r="C58" s="8" t="n">
        <v>66.92</v>
      </c>
      <c r="D58" s="7" t="n">
        <v>37.44</v>
      </c>
      <c r="E58" s="8" t="n">
        <v>64.33</v>
      </c>
      <c r="F58" s="7" t="n">
        <v>38.21</v>
      </c>
      <c r="G58" s="7" t="n">
        <v>43.54</v>
      </c>
      <c r="H58" s="8" t="n">
        <v>63.19</v>
      </c>
      <c r="I58" s="9" t="n">
        <v>78.68000000000001</v>
      </c>
      <c r="J58" s="9" t="n">
        <v>83.61</v>
      </c>
      <c r="K58" s="8" t="n">
        <v>66.03</v>
      </c>
      <c r="L58" s="7" t="n">
        <v>59.95</v>
      </c>
      <c r="M58" s="9" t="n">
        <v>80.09</v>
      </c>
      <c r="N58" s="7" t="n">
        <v>48</v>
      </c>
      <c r="O58" s="7" t="n">
        <v>59.58</v>
      </c>
      <c r="P58" s="7" t="n">
        <v>54.66</v>
      </c>
      <c r="Q58" s="7" t="n">
        <v>46.41</v>
      </c>
      <c r="R58" s="9" t="n">
        <v>78.59999999999999</v>
      </c>
      <c r="S58" s="8" t="n">
        <v>63.61</v>
      </c>
      <c r="T58" s="8" t="n">
        <v>68.09999999999999</v>
      </c>
      <c r="U58" s="8" t="n">
        <v>67.27</v>
      </c>
      <c r="V58" s="9" t="n">
        <v>81.77</v>
      </c>
      <c r="W58" s="7" t="n">
        <v>36.62</v>
      </c>
      <c r="X58" s="7" t="n">
        <v>49.11</v>
      </c>
      <c r="Y58" s="7" t="n">
        <v>35.4</v>
      </c>
    </row>
    <row r="59" ht="15" customHeight="1">
      <c r="A59" s="13" t="n">
        <v>46148</v>
      </c>
      <c r="B59" s="7" t="n">
        <v>55.23</v>
      </c>
      <c r="C59" s="8" t="n">
        <v>65.09999999999999</v>
      </c>
      <c r="D59" s="7" t="n">
        <v>39.03</v>
      </c>
      <c r="E59" s="8" t="n">
        <v>68.77</v>
      </c>
      <c r="F59" s="7" t="n">
        <v>36.08</v>
      </c>
      <c r="G59" s="7" t="n">
        <v>42.61</v>
      </c>
      <c r="H59" s="9" t="n">
        <v>72.77</v>
      </c>
      <c r="I59" s="9" t="n">
        <v>75.72</v>
      </c>
      <c r="J59" s="9" t="n">
        <v>82.61</v>
      </c>
      <c r="K59" s="8" t="n">
        <v>68.06999999999999</v>
      </c>
      <c r="L59" s="7" t="n">
        <v>58.67</v>
      </c>
      <c r="M59" s="9" t="n">
        <v>76.17</v>
      </c>
      <c r="N59" s="7" t="n">
        <v>48.66</v>
      </c>
      <c r="O59" s="7" t="n">
        <v>55.99</v>
      </c>
      <c r="P59" s="7" t="n">
        <v>45.23</v>
      </c>
      <c r="Q59" s="7" t="n">
        <v>47.89</v>
      </c>
      <c r="R59" s="9" t="n">
        <v>78.37</v>
      </c>
      <c r="S59" s="9" t="n">
        <v>70.98</v>
      </c>
      <c r="T59" s="8" t="n">
        <v>67.45</v>
      </c>
      <c r="U59" s="7" t="n">
        <v>59.02</v>
      </c>
      <c r="V59" s="9" t="n">
        <v>80.76000000000001</v>
      </c>
      <c r="W59" s="7" t="n">
        <v>32</v>
      </c>
      <c r="X59" s="7" t="n">
        <v>50.43</v>
      </c>
      <c r="Y59" s="7" t="n">
        <v>36.18</v>
      </c>
    </row>
    <row r="60" ht="15" customHeight="1">
      <c r="A60" s="13" t="n">
        <v>46147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15" customHeight="1">
      <c r="A61" s="13" t="n">
        <v>46146</v>
      </c>
      <c r="B61" s="8" t="n">
        <v>67.70999999999999</v>
      </c>
      <c r="C61" s="8" t="n">
        <v>67.95</v>
      </c>
      <c r="D61" s="7" t="n">
        <v>44.61</v>
      </c>
      <c r="E61" s="9" t="n">
        <v>70.34</v>
      </c>
      <c r="F61" s="7" t="n">
        <v>38.37</v>
      </c>
      <c r="G61" s="7" t="n">
        <v>49.29</v>
      </c>
      <c r="H61" s="9" t="n">
        <v>70.81</v>
      </c>
      <c r="I61" s="9" t="n">
        <v>75.31999999999999</v>
      </c>
      <c r="J61" s="9" t="n">
        <v>76.05</v>
      </c>
      <c r="K61" s="8" t="n">
        <v>66.36</v>
      </c>
      <c r="L61" s="8" t="n">
        <v>61.56</v>
      </c>
      <c r="M61" s="8" t="n">
        <v>67.88</v>
      </c>
      <c r="N61" s="7" t="n">
        <v>47.5</v>
      </c>
      <c r="O61" s="7" t="n">
        <v>55.37</v>
      </c>
      <c r="P61" s="7" t="n">
        <v>50.23</v>
      </c>
      <c r="Q61" s="7" t="n">
        <v>55.42</v>
      </c>
      <c r="R61" s="9" t="n">
        <v>73.89</v>
      </c>
      <c r="S61" s="7" t="n">
        <v>59.67</v>
      </c>
      <c r="T61" s="7" t="n">
        <v>58.76</v>
      </c>
      <c r="U61" s="8" t="n">
        <v>68.98</v>
      </c>
      <c r="V61" s="9" t="n">
        <v>74.90000000000001</v>
      </c>
      <c r="W61" s="7" t="n">
        <v>39.25</v>
      </c>
      <c r="X61" s="7" t="n">
        <v>51.94</v>
      </c>
      <c r="Y61" s="7" t="n">
        <v>42.7</v>
      </c>
    </row>
    <row r="62" ht="15" customHeight="1">
      <c r="A62" s="13" t="n">
        <v>46143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15" customHeight="1">
      <c r="A63" s="13" t="n">
        <v>46142</v>
      </c>
      <c r="B63" s="8" t="n">
        <v>69.20999999999999</v>
      </c>
      <c r="C63" s="7" t="n">
        <v>57.43</v>
      </c>
      <c r="D63" s="7" t="n">
        <v>47.78</v>
      </c>
      <c r="E63" s="8" t="n">
        <v>68.45999999999999</v>
      </c>
      <c r="F63" s="7" t="n">
        <v>38.79</v>
      </c>
      <c r="G63" s="7" t="n">
        <v>52.84</v>
      </c>
      <c r="H63" s="8" t="n">
        <v>65.51000000000001</v>
      </c>
      <c r="I63" s="9" t="n">
        <v>74.08</v>
      </c>
      <c r="J63" s="8" t="n">
        <v>68.98</v>
      </c>
      <c r="K63" s="8" t="n">
        <v>62.93</v>
      </c>
      <c r="L63" s="7" t="n">
        <v>59.25</v>
      </c>
      <c r="M63" s="8" t="n">
        <v>62.04</v>
      </c>
      <c r="N63" s="7" t="n">
        <v>43.67</v>
      </c>
      <c r="O63" s="8" t="n">
        <v>62.2</v>
      </c>
      <c r="P63" s="7" t="n">
        <v>47.64</v>
      </c>
      <c r="Q63" s="7" t="n">
        <v>52.64</v>
      </c>
      <c r="R63" s="8" t="n">
        <v>67.01000000000001</v>
      </c>
      <c r="S63" s="7" t="n">
        <v>46.55</v>
      </c>
      <c r="T63" s="7" t="n">
        <v>51.87</v>
      </c>
      <c r="U63" s="8" t="n">
        <v>68.65000000000001</v>
      </c>
      <c r="V63" s="8" t="n">
        <v>68.53</v>
      </c>
      <c r="W63" s="7" t="n">
        <v>48.88</v>
      </c>
      <c r="X63" s="7" t="n">
        <v>50.65</v>
      </c>
      <c r="Y63" s="7" t="n">
        <v>45.53</v>
      </c>
    </row>
    <row r="64" ht="15" customHeight="1">
      <c r="A64" s="13" t="n">
        <v>46141</v>
      </c>
      <c r="B64" s="8" t="n">
        <v>67.93000000000001</v>
      </c>
      <c r="C64" s="8" t="n">
        <v>62.13</v>
      </c>
      <c r="D64" s="7" t="n">
        <v>48.15</v>
      </c>
      <c r="E64" s="9" t="n">
        <v>76.11</v>
      </c>
      <c r="F64" s="7" t="n">
        <v>41.29</v>
      </c>
      <c r="G64" s="8" t="n">
        <v>61.22</v>
      </c>
      <c r="H64" s="9" t="n">
        <v>71.92</v>
      </c>
      <c r="I64" s="9" t="n">
        <v>75.95999999999999</v>
      </c>
      <c r="J64" s="9" t="n">
        <v>72.64</v>
      </c>
      <c r="K64" s="8" t="n">
        <v>67.29000000000001</v>
      </c>
      <c r="L64" s="8" t="n">
        <v>64.52</v>
      </c>
      <c r="M64" s="8" t="n">
        <v>67.84999999999999</v>
      </c>
      <c r="N64" s="7" t="n">
        <v>47.22</v>
      </c>
      <c r="O64" s="9" t="n">
        <v>70.98999999999999</v>
      </c>
      <c r="P64" s="7" t="n">
        <v>54.48</v>
      </c>
      <c r="Q64" s="7" t="n">
        <v>53.31</v>
      </c>
      <c r="R64" s="8" t="n">
        <v>68.73</v>
      </c>
      <c r="S64" s="7" t="n">
        <v>52.52</v>
      </c>
      <c r="T64" s="7" t="n">
        <v>54.94</v>
      </c>
      <c r="U64" s="9" t="n">
        <v>73.86</v>
      </c>
      <c r="V64" s="9" t="n">
        <v>72.95</v>
      </c>
      <c r="W64" s="7" t="n">
        <v>44.02</v>
      </c>
      <c r="X64" s="7" t="n">
        <v>59.36</v>
      </c>
      <c r="Y64" s="7" t="n">
        <v>39.47</v>
      </c>
    </row>
    <row r="65" ht="15" customHeight="1">
      <c r="A65" s="13" t="n">
        <v>46140</v>
      </c>
      <c r="B65" s="8" t="n">
        <v>65.27</v>
      </c>
      <c r="C65" s="8" t="n">
        <v>60.07</v>
      </c>
      <c r="D65" s="7" t="n">
        <v>46.94</v>
      </c>
      <c r="E65" s="9" t="n">
        <v>71.36</v>
      </c>
      <c r="F65" s="7" t="n">
        <v>44.77</v>
      </c>
      <c r="G65" s="7" t="n">
        <v>58.61</v>
      </c>
      <c r="H65" s="9" t="n">
        <v>71.25</v>
      </c>
      <c r="I65" s="9" t="n">
        <v>75.48</v>
      </c>
      <c r="J65" s="9" t="n">
        <v>71.78</v>
      </c>
      <c r="K65" s="8" t="n">
        <v>67.43000000000001</v>
      </c>
      <c r="L65" s="8" t="n">
        <v>62.9</v>
      </c>
      <c r="M65" s="8" t="n">
        <v>67.23999999999999</v>
      </c>
      <c r="N65" s="7" t="n">
        <v>47.7</v>
      </c>
      <c r="O65" s="9" t="n">
        <v>70.70999999999999</v>
      </c>
      <c r="P65" s="7" t="n">
        <v>51.99</v>
      </c>
      <c r="Q65" s="7" t="n">
        <v>56.83</v>
      </c>
      <c r="R65" s="8" t="n">
        <v>67.83</v>
      </c>
      <c r="S65" s="7" t="n">
        <v>55.94</v>
      </c>
      <c r="T65" s="7" t="n">
        <v>56.9</v>
      </c>
      <c r="U65" s="9" t="n">
        <v>77.48999999999999</v>
      </c>
      <c r="V65" s="9" t="n">
        <v>71.91</v>
      </c>
      <c r="W65" s="8" t="n">
        <v>68.3</v>
      </c>
      <c r="X65" s="8" t="n">
        <v>60.61</v>
      </c>
      <c r="Y65" s="7" t="n">
        <v>37.15</v>
      </c>
    </row>
    <row r="66" ht="15" customHeight="1">
      <c r="A66" s="13" t="n">
        <v>46139</v>
      </c>
      <c r="B66" s="8" t="n">
        <v>67.16</v>
      </c>
      <c r="C66" s="7" t="n">
        <v>59.94</v>
      </c>
      <c r="D66" s="7" t="n">
        <v>47.33</v>
      </c>
      <c r="E66" s="8" t="n">
        <v>69.56</v>
      </c>
      <c r="F66" s="7" t="n">
        <v>44.32</v>
      </c>
      <c r="G66" s="7" t="n">
        <v>55.92</v>
      </c>
      <c r="H66" s="8" t="n">
        <v>66.59</v>
      </c>
      <c r="I66" s="9" t="n">
        <v>79.05</v>
      </c>
      <c r="J66" s="9" t="n">
        <v>71.75</v>
      </c>
      <c r="K66" s="8" t="n">
        <v>66.72</v>
      </c>
      <c r="L66" s="8" t="n">
        <v>60.78</v>
      </c>
      <c r="M66" s="8" t="n">
        <v>66.70999999999999</v>
      </c>
      <c r="N66" s="7" t="n">
        <v>51.72</v>
      </c>
      <c r="O66" s="8" t="n">
        <v>68.31999999999999</v>
      </c>
      <c r="P66" s="7" t="n">
        <v>51.87</v>
      </c>
      <c r="Q66" s="7" t="n">
        <v>58.78</v>
      </c>
      <c r="R66" s="8" t="n">
        <v>66.72</v>
      </c>
      <c r="S66" s="7" t="n">
        <v>56.69</v>
      </c>
      <c r="T66" s="7" t="n">
        <v>54.18</v>
      </c>
      <c r="U66" s="9" t="n">
        <v>77.01000000000001</v>
      </c>
      <c r="V66" s="9" t="n">
        <v>71.59</v>
      </c>
      <c r="W66" s="9" t="n">
        <v>76.44</v>
      </c>
      <c r="X66" s="7" t="n">
        <v>56.1</v>
      </c>
      <c r="Y66" s="7" t="n">
        <v>37.33</v>
      </c>
    </row>
    <row r="67" ht="15" customHeight="1">
      <c r="A67" s="13" t="n">
        <v>46136</v>
      </c>
      <c r="B67" s="8" t="n">
        <v>67.02</v>
      </c>
      <c r="C67" s="7" t="n">
        <v>57.81</v>
      </c>
      <c r="D67" s="7" t="n">
        <v>49.97</v>
      </c>
      <c r="E67" s="9" t="n">
        <v>71.11</v>
      </c>
      <c r="F67" s="7" t="n">
        <v>47.38</v>
      </c>
      <c r="G67" s="7" t="n">
        <v>53.56</v>
      </c>
      <c r="H67" s="8" t="n">
        <v>66.52</v>
      </c>
      <c r="I67" s="9" t="n">
        <v>74.08</v>
      </c>
      <c r="J67" s="8" t="n">
        <v>68.68000000000001</v>
      </c>
      <c r="K67" s="8" t="n">
        <v>66.62</v>
      </c>
      <c r="L67" s="8" t="n">
        <v>60.26</v>
      </c>
      <c r="M67" s="8" t="n">
        <v>65.36</v>
      </c>
      <c r="N67" s="7" t="n">
        <v>53.3</v>
      </c>
      <c r="O67" s="8" t="n">
        <v>68.8</v>
      </c>
      <c r="P67" s="7" t="n">
        <v>51</v>
      </c>
      <c r="Q67" s="8" t="n">
        <v>63.24</v>
      </c>
      <c r="R67" s="8" t="n">
        <v>64.18000000000001</v>
      </c>
      <c r="S67" s="7" t="n">
        <v>53.7</v>
      </c>
      <c r="T67" s="7" t="n">
        <v>52.59</v>
      </c>
      <c r="U67" s="9" t="n">
        <v>73.98999999999999</v>
      </c>
      <c r="V67" s="8" t="n">
        <v>68.81999999999999</v>
      </c>
      <c r="W67" s="9" t="n">
        <v>75.84999999999999</v>
      </c>
      <c r="X67" s="7" t="n">
        <v>55.2</v>
      </c>
      <c r="Y67" s="7" t="n">
        <v>37.54</v>
      </c>
    </row>
    <row r="68" ht="15" customHeight="1">
      <c r="A68" s="13" t="n">
        <v>46135</v>
      </c>
      <c r="B68" s="8" t="n">
        <v>65.31</v>
      </c>
      <c r="C68" s="7" t="n">
        <v>56.39</v>
      </c>
      <c r="D68" s="7" t="n">
        <v>50.78</v>
      </c>
      <c r="E68" s="8" t="n">
        <v>69</v>
      </c>
      <c r="F68" s="7" t="n">
        <v>44.35</v>
      </c>
      <c r="G68" s="7" t="n">
        <v>52.53</v>
      </c>
      <c r="H68" s="8" t="n">
        <v>65.52</v>
      </c>
      <c r="I68" s="9" t="n">
        <v>70.90000000000001</v>
      </c>
      <c r="J68" s="8" t="n">
        <v>69.65000000000001</v>
      </c>
      <c r="K68" s="8" t="n">
        <v>62.59</v>
      </c>
      <c r="L68" s="8" t="n">
        <v>61.86</v>
      </c>
      <c r="M68" s="8" t="n">
        <v>65.01000000000001</v>
      </c>
      <c r="N68" s="7" t="n">
        <v>53.09</v>
      </c>
      <c r="O68" s="9" t="n">
        <v>70.11</v>
      </c>
      <c r="P68" s="7" t="n">
        <v>51.73</v>
      </c>
      <c r="Q68" s="8" t="n">
        <v>62.73</v>
      </c>
      <c r="R68" s="8" t="n">
        <v>63.69</v>
      </c>
      <c r="S68" s="7" t="n">
        <v>54.39</v>
      </c>
      <c r="T68" s="7" t="n">
        <v>57.12</v>
      </c>
      <c r="U68" s="8" t="n">
        <v>68.43000000000001</v>
      </c>
      <c r="V68" s="8" t="n">
        <v>69.08</v>
      </c>
      <c r="W68" s="9" t="n">
        <v>74.22</v>
      </c>
      <c r="X68" s="7" t="n">
        <v>57.68</v>
      </c>
      <c r="Y68" s="7" t="n">
        <v>32.75</v>
      </c>
    </row>
    <row r="69" ht="15" customHeight="1">
      <c r="A69" s="13" t="n">
        <v>46134</v>
      </c>
      <c r="B69" s="8" t="n">
        <v>64.47</v>
      </c>
      <c r="C69" s="7" t="n">
        <v>56.7</v>
      </c>
      <c r="D69" s="7" t="n">
        <v>54.32</v>
      </c>
      <c r="E69" s="8" t="n">
        <v>68.63</v>
      </c>
      <c r="F69" s="7" t="n">
        <v>46.67</v>
      </c>
      <c r="G69" s="7" t="n">
        <v>54.69</v>
      </c>
      <c r="H69" s="9" t="n">
        <v>71.23999999999999</v>
      </c>
      <c r="I69" s="8" t="n">
        <v>67.55</v>
      </c>
      <c r="J69" s="8" t="n">
        <v>68.42</v>
      </c>
      <c r="K69" s="8" t="n">
        <v>62.23</v>
      </c>
      <c r="L69" s="8" t="n">
        <v>62.93</v>
      </c>
      <c r="M69" s="7" t="n">
        <v>59.66</v>
      </c>
      <c r="N69" s="7" t="n">
        <v>52.88</v>
      </c>
      <c r="O69" s="8" t="n">
        <v>68.31</v>
      </c>
      <c r="P69" s="7" t="n">
        <v>55.17</v>
      </c>
      <c r="Q69" s="8" t="n">
        <v>64.45999999999999</v>
      </c>
      <c r="R69" s="8" t="n">
        <v>61.97</v>
      </c>
      <c r="S69" s="7" t="n">
        <v>55.71</v>
      </c>
      <c r="T69" s="7" t="n">
        <v>54.41</v>
      </c>
      <c r="U69" s="8" t="n">
        <v>69.59999999999999</v>
      </c>
      <c r="V69" s="8" t="n">
        <v>68.12</v>
      </c>
      <c r="W69" s="9" t="n">
        <v>73.81999999999999</v>
      </c>
      <c r="X69" s="7" t="n">
        <v>57.54</v>
      </c>
      <c r="Y69" s="7" t="n">
        <v>34.09</v>
      </c>
    </row>
    <row r="70" ht="15" customHeight="1">
      <c r="A70" s="13" t="n">
        <v>46133</v>
      </c>
      <c r="B70" s="8" t="n">
        <v>66.14</v>
      </c>
      <c r="C70" s="7" t="n">
        <v>59.63</v>
      </c>
      <c r="D70" s="7" t="n">
        <v>57.84</v>
      </c>
      <c r="E70" s="8" t="n">
        <v>66.5</v>
      </c>
      <c r="F70" s="7" t="n">
        <v>48.77</v>
      </c>
      <c r="G70" s="7" t="n">
        <v>54.82</v>
      </c>
      <c r="H70" s="8" t="n">
        <v>67.54000000000001</v>
      </c>
      <c r="I70" s="8" t="n">
        <v>66.94</v>
      </c>
      <c r="J70" s="8" t="n">
        <v>68.18000000000001</v>
      </c>
      <c r="K70" s="8" t="n">
        <v>60.43</v>
      </c>
      <c r="L70" s="7" t="n">
        <v>59.22</v>
      </c>
      <c r="M70" s="7" t="n">
        <v>59.15</v>
      </c>
      <c r="N70" s="7" t="n">
        <v>51.21</v>
      </c>
      <c r="O70" s="9" t="n">
        <v>70.47</v>
      </c>
      <c r="P70" s="7" t="n">
        <v>56.6</v>
      </c>
      <c r="Q70" s="8" t="n">
        <v>68.15000000000001</v>
      </c>
      <c r="R70" s="8" t="n">
        <v>62.79</v>
      </c>
      <c r="S70" s="7" t="n">
        <v>56.03</v>
      </c>
      <c r="T70" s="7" t="n">
        <v>58.13</v>
      </c>
      <c r="U70" s="8" t="n">
        <v>69.31</v>
      </c>
      <c r="V70" s="8" t="n">
        <v>67.41</v>
      </c>
      <c r="W70" s="9" t="n">
        <v>71.23999999999999</v>
      </c>
      <c r="X70" s="7" t="n">
        <v>56.4</v>
      </c>
      <c r="Y70" s="7" t="n">
        <v>33.63</v>
      </c>
    </row>
    <row r="71" ht="15" customHeight="1">
      <c r="A71" s="13" t="n">
        <v>46132</v>
      </c>
      <c r="B71" s="8" t="n">
        <v>65.95</v>
      </c>
      <c r="C71" s="7" t="n">
        <v>58.8</v>
      </c>
      <c r="D71" s="7" t="n">
        <v>59.69</v>
      </c>
      <c r="E71" s="8" t="n">
        <v>63.36</v>
      </c>
      <c r="F71" s="7" t="n">
        <v>52</v>
      </c>
      <c r="G71" s="7" t="n">
        <v>54.09</v>
      </c>
      <c r="H71" s="8" t="n">
        <v>64.48999999999999</v>
      </c>
      <c r="I71" s="8" t="n">
        <v>62.76</v>
      </c>
      <c r="J71" s="8" t="n">
        <v>64.73999999999999</v>
      </c>
      <c r="K71" s="8" t="n">
        <v>60.5</v>
      </c>
      <c r="L71" s="7" t="n">
        <v>54.8</v>
      </c>
      <c r="M71" s="7" t="n">
        <v>57.58</v>
      </c>
      <c r="N71" s="7" t="n">
        <v>51.11</v>
      </c>
      <c r="O71" s="8" t="n">
        <v>66.19</v>
      </c>
      <c r="P71" s="7" t="n">
        <v>53.67</v>
      </c>
      <c r="Q71" s="8" t="n">
        <v>65.39</v>
      </c>
      <c r="R71" s="8" t="n">
        <v>61.75</v>
      </c>
      <c r="S71" s="7" t="n">
        <v>55.28</v>
      </c>
      <c r="T71" s="7" t="n">
        <v>58.15</v>
      </c>
      <c r="U71" s="8" t="n">
        <v>64.20999999999999</v>
      </c>
      <c r="V71" s="8" t="n">
        <v>63.91</v>
      </c>
      <c r="W71" s="8" t="n">
        <v>67.78</v>
      </c>
      <c r="X71" s="7" t="n">
        <v>56.09</v>
      </c>
      <c r="Y71" s="7" t="n">
        <v>35.46</v>
      </c>
    </row>
    <row r="72" ht="15" customHeight="1">
      <c r="A72" s="13" t="n">
        <v>46129</v>
      </c>
      <c r="B72" s="8" t="n">
        <v>66.79000000000001</v>
      </c>
      <c r="C72" s="7" t="n">
        <v>57.99</v>
      </c>
      <c r="D72" s="7" t="n">
        <v>59.08</v>
      </c>
      <c r="E72" s="8" t="n">
        <v>64.12</v>
      </c>
      <c r="F72" s="7" t="n">
        <v>52.93</v>
      </c>
      <c r="G72" s="7" t="n">
        <v>56.71</v>
      </c>
      <c r="H72" s="8" t="n">
        <v>63.58</v>
      </c>
      <c r="I72" s="8" t="n">
        <v>61.49</v>
      </c>
      <c r="J72" s="8" t="n">
        <v>63.76</v>
      </c>
      <c r="K72" s="8" t="n">
        <v>62.56</v>
      </c>
      <c r="L72" s="7" t="n">
        <v>56.17</v>
      </c>
      <c r="M72" s="7" t="n">
        <v>57.3</v>
      </c>
      <c r="N72" s="7" t="n">
        <v>50.71</v>
      </c>
      <c r="O72" s="8" t="n">
        <v>69.22</v>
      </c>
      <c r="P72" s="7" t="n">
        <v>53.97</v>
      </c>
      <c r="Q72" s="9" t="n">
        <v>70.48999999999999</v>
      </c>
      <c r="R72" s="8" t="n">
        <v>61.56</v>
      </c>
      <c r="S72" s="7" t="n">
        <v>56.96</v>
      </c>
      <c r="T72" s="7" t="n">
        <v>58.66</v>
      </c>
      <c r="U72" s="8" t="n">
        <v>65.29000000000001</v>
      </c>
      <c r="V72" s="8" t="n">
        <v>63.19</v>
      </c>
      <c r="W72" s="8" t="n">
        <v>64.61</v>
      </c>
      <c r="X72" s="7" t="n">
        <v>58.43</v>
      </c>
      <c r="Y72" s="7" t="n">
        <v>38.03</v>
      </c>
    </row>
    <row r="73" ht="15" customHeight="1">
      <c r="A73" s="13" t="n">
        <v>46128</v>
      </c>
      <c r="B73" s="8" t="n">
        <v>66.59</v>
      </c>
      <c r="C73" s="7" t="n">
        <v>57.3</v>
      </c>
      <c r="D73" s="8" t="n">
        <v>64.2</v>
      </c>
      <c r="E73" s="8" t="n">
        <v>63.58</v>
      </c>
      <c r="F73" s="7" t="n">
        <v>53.86</v>
      </c>
      <c r="G73" s="7" t="n">
        <v>59.4</v>
      </c>
      <c r="H73" s="8" t="n">
        <v>62.51</v>
      </c>
      <c r="I73" s="8" t="n">
        <v>61.96</v>
      </c>
      <c r="J73" s="8" t="n">
        <v>65.03</v>
      </c>
      <c r="K73" s="8" t="n">
        <v>60.22</v>
      </c>
      <c r="L73" s="7" t="n">
        <v>56.85</v>
      </c>
      <c r="M73" s="7" t="n">
        <v>58.62</v>
      </c>
      <c r="N73" s="7" t="n">
        <v>50.31</v>
      </c>
      <c r="O73" s="9" t="n">
        <v>70.3</v>
      </c>
      <c r="P73" s="7" t="n">
        <v>55.41</v>
      </c>
      <c r="Q73" s="8" t="n">
        <v>68.06999999999999</v>
      </c>
      <c r="R73" s="8" t="n">
        <v>62.7</v>
      </c>
      <c r="S73" s="7" t="n">
        <v>58.34</v>
      </c>
      <c r="T73" s="8" t="n">
        <v>60.82</v>
      </c>
      <c r="U73" s="8" t="n">
        <v>65.43000000000001</v>
      </c>
      <c r="V73" s="8" t="n">
        <v>64.23999999999999</v>
      </c>
      <c r="W73" s="8" t="n">
        <v>62.41</v>
      </c>
      <c r="X73" s="8" t="n">
        <v>60.57</v>
      </c>
      <c r="Y73" s="7" t="n">
        <v>40.03</v>
      </c>
    </row>
    <row r="74" ht="15" customHeight="1">
      <c r="A74" s="13" t="n">
        <v>46127</v>
      </c>
      <c r="B74" s="8" t="n">
        <v>63.12</v>
      </c>
      <c r="C74" s="7" t="n">
        <v>53.43</v>
      </c>
      <c r="D74" s="7" t="n">
        <v>57.6</v>
      </c>
      <c r="E74" s="8" t="n">
        <v>60.52</v>
      </c>
      <c r="F74" s="7" t="n">
        <v>50.38</v>
      </c>
      <c r="G74" s="7" t="n">
        <v>59.11</v>
      </c>
      <c r="H74" s="8" t="n">
        <v>61.41</v>
      </c>
      <c r="I74" s="7" t="n">
        <v>58.5</v>
      </c>
      <c r="J74" s="8" t="n">
        <v>62.98</v>
      </c>
      <c r="K74" s="7" t="n">
        <v>57.19</v>
      </c>
      <c r="L74" s="7" t="n">
        <v>52.22</v>
      </c>
      <c r="M74" s="7" t="n">
        <v>56.48</v>
      </c>
      <c r="N74" s="7" t="n">
        <v>46.33</v>
      </c>
      <c r="O74" s="9" t="n">
        <v>70.88</v>
      </c>
      <c r="P74" s="7" t="n">
        <v>51.68</v>
      </c>
      <c r="Q74" s="9" t="n">
        <v>73.56</v>
      </c>
      <c r="R74" s="8" t="n">
        <v>60.94</v>
      </c>
      <c r="S74" s="7" t="n">
        <v>57.62</v>
      </c>
      <c r="T74" s="7" t="n">
        <v>59.99</v>
      </c>
      <c r="U74" s="8" t="n">
        <v>64.70999999999999</v>
      </c>
      <c r="V74" s="8" t="n">
        <v>61.77</v>
      </c>
      <c r="W74" s="8" t="n">
        <v>61.68</v>
      </c>
      <c r="X74" s="7" t="n">
        <v>55.16</v>
      </c>
      <c r="Y74" s="7" t="n">
        <v>32.11</v>
      </c>
    </row>
    <row r="75" ht="15" customHeight="1">
      <c r="A75" s="13" t="n">
        <v>46126</v>
      </c>
      <c r="B75" s="7" t="n">
        <v>59.81</v>
      </c>
      <c r="C75" s="7" t="n">
        <v>52.8</v>
      </c>
      <c r="D75" s="8" t="n">
        <v>60.04</v>
      </c>
      <c r="E75" s="7" t="n">
        <v>57.98</v>
      </c>
      <c r="F75" s="7" t="n">
        <v>43.84</v>
      </c>
      <c r="G75" s="7" t="n">
        <v>57.23</v>
      </c>
      <c r="H75" s="8" t="n">
        <v>61.52</v>
      </c>
      <c r="I75" s="7" t="n">
        <v>54.67</v>
      </c>
      <c r="J75" s="8" t="n">
        <v>60.96</v>
      </c>
      <c r="K75" s="7" t="n">
        <v>56.5</v>
      </c>
      <c r="L75" s="7" t="n">
        <v>50.77</v>
      </c>
      <c r="M75" s="7" t="n">
        <v>53.08</v>
      </c>
      <c r="N75" s="7" t="n">
        <v>46.43</v>
      </c>
      <c r="O75" s="8" t="n">
        <v>66.86</v>
      </c>
      <c r="P75" s="7" t="n">
        <v>50.74</v>
      </c>
      <c r="Q75" s="9" t="n">
        <v>72.03</v>
      </c>
      <c r="R75" s="7" t="n">
        <v>59.02</v>
      </c>
      <c r="S75" s="8" t="n">
        <v>60.01</v>
      </c>
      <c r="T75" s="7" t="n">
        <v>57.86</v>
      </c>
      <c r="U75" s="8" t="n">
        <v>62.2</v>
      </c>
      <c r="V75" s="7" t="n">
        <v>59.59</v>
      </c>
      <c r="W75" s="9" t="n">
        <v>70.55</v>
      </c>
      <c r="X75" s="7" t="n">
        <v>47.19</v>
      </c>
      <c r="Y75" s="10" t="n">
        <v>26.32</v>
      </c>
    </row>
    <row r="76" ht="15" customHeight="1">
      <c r="A76" s="13" t="n">
        <v>46125</v>
      </c>
      <c r="B76" s="7" t="n">
        <v>59.72</v>
      </c>
      <c r="C76" s="7" t="n">
        <v>48.92</v>
      </c>
      <c r="D76" s="7" t="n">
        <v>59.25</v>
      </c>
      <c r="E76" s="7" t="n">
        <v>57.55</v>
      </c>
      <c r="F76" s="7" t="n">
        <v>43.11</v>
      </c>
      <c r="G76" s="7" t="n">
        <v>50.74</v>
      </c>
      <c r="H76" s="8" t="n">
        <v>61.87</v>
      </c>
      <c r="I76" s="7" t="n">
        <v>53.15</v>
      </c>
      <c r="J76" s="7" t="n">
        <v>57.86</v>
      </c>
      <c r="K76" s="7" t="n">
        <v>53.38</v>
      </c>
      <c r="L76" s="7" t="n">
        <v>47.88</v>
      </c>
      <c r="M76" s="7" t="n">
        <v>50.8</v>
      </c>
      <c r="N76" s="7" t="n">
        <v>40.82</v>
      </c>
      <c r="O76" s="8" t="n">
        <v>66.06</v>
      </c>
      <c r="P76" s="7" t="n">
        <v>48.98</v>
      </c>
      <c r="Q76" s="8" t="n">
        <v>69.11</v>
      </c>
      <c r="R76" s="7" t="n">
        <v>54.69</v>
      </c>
      <c r="S76" s="7" t="n">
        <v>53.78</v>
      </c>
      <c r="T76" s="7" t="n">
        <v>53</v>
      </c>
      <c r="U76" s="7" t="n">
        <v>58.51</v>
      </c>
      <c r="V76" s="7" t="n">
        <v>56.67</v>
      </c>
      <c r="W76" s="8" t="n">
        <v>69.06999999999999</v>
      </c>
      <c r="X76" s="7" t="n">
        <v>43.85</v>
      </c>
      <c r="Y76" s="10" t="n">
        <v>26.97</v>
      </c>
    </row>
    <row r="77" ht="15" customHeight="1">
      <c r="A77" s="13" t="n">
        <v>46122</v>
      </c>
      <c r="B77" s="7" t="n">
        <v>57.99</v>
      </c>
      <c r="C77" s="7" t="n">
        <v>54.25</v>
      </c>
      <c r="D77" s="7" t="n">
        <v>52.27</v>
      </c>
      <c r="E77" s="7" t="n">
        <v>59.69</v>
      </c>
      <c r="F77" s="7" t="n">
        <v>45.38</v>
      </c>
      <c r="G77" s="7" t="n">
        <v>52.83</v>
      </c>
      <c r="H77" s="8" t="n">
        <v>60.33</v>
      </c>
      <c r="I77" s="7" t="n">
        <v>54.9</v>
      </c>
      <c r="J77" s="7" t="n">
        <v>58.84</v>
      </c>
      <c r="K77" s="7" t="n">
        <v>52.09</v>
      </c>
      <c r="L77" s="7" t="n">
        <v>50.16</v>
      </c>
      <c r="M77" s="7" t="n">
        <v>55.68</v>
      </c>
      <c r="N77" s="7" t="n">
        <v>43.54</v>
      </c>
      <c r="O77" s="8" t="n">
        <v>68.69</v>
      </c>
      <c r="P77" s="7" t="n">
        <v>53.41</v>
      </c>
      <c r="Q77" s="8" t="n">
        <v>68.81</v>
      </c>
      <c r="R77" s="7" t="n">
        <v>55.44</v>
      </c>
      <c r="S77" s="7" t="n">
        <v>54.88</v>
      </c>
      <c r="T77" s="7" t="n">
        <v>53.28</v>
      </c>
      <c r="U77" s="7" t="n">
        <v>59.72</v>
      </c>
      <c r="V77" s="7" t="n">
        <v>57.89</v>
      </c>
      <c r="W77" s="8" t="n">
        <v>65.88</v>
      </c>
      <c r="X77" s="7" t="n">
        <v>45.12</v>
      </c>
      <c r="Y77" s="10" t="n">
        <v>27.98</v>
      </c>
    </row>
    <row r="78" ht="15" customHeight="1">
      <c r="A78" s="13" t="n">
        <v>46121</v>
      </c>
      <c r="B78" s="7" t="n">
        <v>53.93</v>
      </c>
      <c r="C78" s="7" t="n">
        <v>49.38</v>
      </c>
      <c r="D78" s="7" t="n">
        <v>47.48</v>
      </c>
      <c r="E78" s="7" t="n">
        <v>58.18</v>
      </c>
      <c r="F78" s="7" t="n">
        <v>46.02</v>
      </c>
      <c r="G78" s="7" t="n">
        <v>48.41</v>
      </c>
      <c r="H78" s="7" t="n">
        <v>57.78</v>
      </c>
      <c r="I78" s="7" t="n">
        <v>54.17</v>
      </c>
      <c r="J78" s="7" t="n">
        <v>57.5</v>
      </c>
      <c r="K78" s="7" t="n">
        <v>47.55</v>
      </c>
      <c r="L78" s="7" t="n">
        <v>48.82</v>
      </c>
      <c r="M78" s="7" t="n">
        <v>54.74</v>
      </c>
      <c r="N78" s="7" t="n">
        <v>43.08</v>
      </c>
      <c r="O78" s="8" t="n">
        <v>68.33</v>
      </c>
      <c r="P78" s="7" t="n">
        <v>47.56</v>
      </c>
      <c r="Q78" s="8" t="n">
        <v>66.87</v>
      </c>
      <c r="R78" s="7" t="n">
        <v>53.3</v>
      </c>
      <c r="S78" s="7" t="n">
        <v>54.63</v>
      </c>
      <c r="T78" s="7" t="n">
        <v>51.18</v>
      </c>
      <c r="U78" s="7" t="n">
        <v>59.84</v>
      </c>
      <c r="V78" s="7" t="n">
        <v>56.48</v>
      </c>
      <c r="W78" s="8" t="n">
        <v>61.2</v>
      </c>
      <c r="X78" s="7" t="n">
        <v>44.05</v>
      </c>
      <c r="Y78" s="10" t="n">
        <v>27.28</v>
      </c>
    </row>
    <row r="79" ht="15" customHeight="1">
      <c r="A79" s="13" t="n">
        <v>46120</v>
      </c>
      <c r="B79" s="7" t="n">
        <v>50.02</v>
      </c>
      <c r="C79" s="7" t="n">
        <v>47.79</v>
      </c>
      <c r="D79" s="7" t="n">
        <v>46.22</v>
      </c>
      <c r="E79" s="7" t="n">
        <v>55.04</v>
      </c>
      <c r="F79" s="7" t="n">
        <v>47.11</v>
      </c>
      <c r="G79" s="7" t="n">
        <v>49.76</v>
      </c>
      <c r="H79" s="7" t="n">
        <v>56.78</v>
      </c>
      <c r="I79" s="7" t="n">
        <v>54.4</v>
      </c>
      <c r="J79" s="8" t="n">
        <v>60.39</v>
      </c>
      <c r="K79" s="7" t="n">
        <v>47.72</v>
      </c>
      <c r="L79" s="7" t="n">
        <v>52.52</v>
      </c>
      <c r="M79" s="7" t="n">
        <v>56.42</v>
      </c>
      <c r="N79" s="7" t="n">
        <v>43.96</v>
      </c>
      <c r="O79" s="8" t="n">
        <v>69.64</v>
      </c>
      <c r="P79" s="7" t="n">
        <v>49.44</v>
      </c>
      <c r="Q79" s="8" t="n">
        <v>63.4</v>
      </c>
      <c r="R79" s="7" t="n">
        <v>54.52</v>
      </c>
      <c r="S79" s="7" t="n">
        <v>55.69</v>
      </c>
      <c r="T79" s="7" t="n">
        <v>54.32</v>
      </c>
      <c r="U79" s="7" t="n">
        <v>59.62</v>
      </c>
      <c r="V79" s="7" t="n">
        <v>59.03</v>
      </c>
      <c r="W79" s="7" t="n">
        <v>58.11</v>
      </c>
      <c r="X79" s="7" t="n">
        <v>45.11</v>
      </c>
      <c r="Y79" s="10" t="n">
        <v>28.06</v>
      </c>
    </row>
    <row r="80" ht="15" customHeight="1">
      <c r="A80" s="13" t="n">
        <v>46119</v>
      </c>
      <c r="B80" s="7" t="n">
        <v>47.5</v>
      </c>
      <c r="C80" s="7" t="n">
        <v>43.12</v>
      </c>
      <c r="D80" s="7" t="n">
        <v>51.44</v>
      </c>
      <c r="E80" s="7" t="n">
        <v>49.18</v>
      </c>
      <c r="F80" s="7" t="n">
        <v>43.45</v>
      </c>
      <c r="G80" s="7" t="n">
        <v>39.85</v>
      </c>
      <c r="H80" s="7" t="n">
        <v>51.16</v>
      </c>
      <c r="I80" s="7" t="n">
        <v>46.15</v>
      </c>
      <c r="J80" s="7" t="n">
        <v>53.71</v>
      </c>
      <c r="K80" s="7" t="n">
        <v>41.51</v>
      </c>
      <c r="L80" s="7" t="n">
        <v>47.92</v>
      </c>
      <c r="M80" s="7" t="n">
        <v>47.38</v>
      </c>
      <c r="N80" s="7" t="n">
        <v>32.44</v>
      </c>
      <c r="O80" s="7" t="n">
        <v>57.39</v>
      </c>
      <c r="P80" s="7" t="n">
        <v>41.73</v>
      </c>
      <c r="Q80" s="7" t="n">
        <v>54.1</v>
      </c>
      <c r="R80" s="7" t="n">
        <v>45.02</v>
      </c>
      <c r="S80" s="7" t="n">
        <v>47.09</v>
      </c>
      <c r="T80" s="7" t="n">
        <v>47.09</v>
      </c>
      <c r="U80" s="7" t="n">
        <v>53.81</v>
      </c>
      <c r="V80" s="7" t="n">
        <v>52.33</v>
      </c>
      <c r="W80" s="7" t="n">
        <v>55.6</v>
      </c>
      <c r="X80" s="7" t="n">
        <v>38.57</v>
      </c>
      <c r="Y80" s="10" t="n">
        <v>24.29</v>
      </c>
    </row>
    <row r="81" ht="15" customHeight="1">
      <c r="A81" s="13" t="n">
        <v>46118</v>
      </c>
      <c r="B81" s="7" t="n">
        <v>50.43</v>
      </c>
      <c r="C81" s="7" t="n">
        <v>42.2</v>
      </c>
      <c r="D81" s="7" t="n">
        <v>53.4</v>
      </c>
      <c r="E81" s="7" t="n">
        <v>50.4</v>
      </c>
      <c r="F81" s="7" t="n">
        <v>42.57</v>
      </c>
      <c r="G81" s="7" t="n">
        <v>42.76</v>
      </c>
      <c r="H81" s="7" t="n">
        <v>52.58</v>
      </c>
      <c r="I81" s="7" t="n">
        <v>46.64</v>
      </c>
      <c r="J81" s="7" t="n">
        <v>52.09</v>
      </c>
      <c r="K81" s="7" t="n">
        <v>41.41</v>
      </c>
      <c r="L81" s="7" t="n">
        <v>46.44</v>
      </c>
      <c r="M81" s="7" t="n">
        <v>47.46</v>
      </c>
      <c r="N81" s="7" t="n">
        <v>33.28</v>
      </c>
      <c r="O81" s="7" t="n">
        <v>56.81</v>
      </c>
      <c r="P81" s="7" t="n">
        <v>42.33</v>
      </c>
      <c r="Q81" s="7" t="n">
        <v>53.63</v>
      </c>
      <c r="R81" s="7" t="n">
        <v>46.03</v>
      </c>
      <c r="S81" s="7" t="n">
        <v>48.55</v>
      </c>
      <c r="T81" s="7" t="n">
        <v>48.69</v>
      </c>
      <c r="U81" s="7" t="n">
        <v>52.6</v>
      </c>
      <c r="V81" s="7" t="n">
        <v>50.95</v>
      </c>
      <c r="W81" s="7" t="n">
        <v>57.03</v>
      </c>
      <c r="X81" s="7" t="n">
        <v>38.68</v>
      </c>
      <c r="Y81" s="10" t="n">
        <v>27.15</v>
      </c>
    </row>
    <row r="82" ht="15" customHeight="1">
      <c r="A82" s="13" t="n">
        <v>46115</v>
      </c>
      <c r="B82" s="7" t="n">
        <v>50.36</v>
      </c>
      <c r="C82" s="7" t="n">
        <v>43.19</v>
      </c>
      <c r="D82" s="7" t="n">
        <v>50.33</v>
      </c>
      <c r="E82" s="7" t="n">
        <v>47.31</v>
      </c>
      <c r="F82" s="7" t="n">
        <v>42.91</v>
      </c>
      <c r="G82" s="7" t="n">
        <v>41.96</v>
      </c>
      <c r="H82" s="7" t="n">
        <v>53.78</v>
      </c>
      <c r="I82" s="7" t="n">
        <v>47.74</v>
      </c>
      <c r="J82" s="7" t="n">
        <v>49.87</v>
      </c>
      <c r="K82" s="7" t="n">
        <v>42.11</v>
      </c>
      <c r="L82" s="7" t="n">
        <v>47.39</v>
      </c>
      <c r="M82" s="7" t="n">
        <v>46.18</v>
      </c>
      <c r="N82" s="7" t="n">
        <v>33.28</v>
      </c>
      <c r="O82" s="7" t="n">
        <v>56.65</v>
      </c>
      <c r="P82" s="7" t="n">
        <v>42.42</v>
      </c>
      <c r="Q82" s="7" t="n">
        <v>52.7</v>
      </c>
      <c r="R82" s="7" t="n">
        <v>44.89</v>
      </c>
      <c r="S82" s="7" t="n">
        <v>47.88</v>
      </c>
      <c r="T82" s="7" t="n">
        <v>47</v>
      </c>
      <c r="U82" s="7" t="n">
        <v>49.81</v>
      </c>
      <c r="V82" s="7" t="n">
        <v>49.26</v>
      </c>
      <c r="W82" s="7" t="n">
        <v>55.08</v>
      </c>
      <c r="X82" s="7" t="n">
        <v>39.54</v>
      </c>
      <c r="Y82" s="10" t="n">
        <v>27.01</v>
      </c>
    </row>
    <row r="83" ht="15" customHeight="1">
      <c r="A83" s="13" t="n">
        <v>46114</v>
      </c>
      <c r="B83" s="7" t="n">
        <v>49.83</v>
      </c>
      <c r="C83" s="7" t="n">
        <v>43.37</v>
      </c>
      <c r="D83" s="7" t="n">
        <v>46.65</v>
      </c>
      <c r="E83" s="7" t="n">
        <v>45.77</v>
      </c>
      <c r="F83" s="7" t="n">
        <v>44.69</v>
      </c>
      <c r="G83" s="7" t="n">
        <v>40.15</v>
      </c>
      <c r="H83" s="7" t="n">
        <v>48.96</v>
      </c>
      <c r="I83" s="7" t="n">
        <v>44.59</v>
      </c>
      <c r="J83" s="7" t="n">
        <v>46.34</v>
      </c>
      <c r="K83" s="7" t="n">
        <v>40.67</v>
      </c>
      <c r="L83" s="7" t="n">
        <v>43.8</v>
      </c>
      <c r="M83" s="7" t="n">
        <v>45.12</v>
      </c>
      <c r="N83" s="7" t="n">
        <v>34.41</v>
      </c>
      <c r="O83" s="7" t="n">
        <v>53.66</v>
      </c>
      <c r="P83" s="7" t="n">
        <v>42.7</v>
      </c>
      <c r="Q83" s="7" t="n">
        <v>49.69</v>
      </c>
      <c r="R83" s="7" t="n">
        <v>43.41</v>
      </c>
      <c r="S83" s="7" t="n">
        <v>46.28</v>
      </c>
      <c r="T83" s="7" t="n">
        <v>46.08</v>
      </c>
      <c r="U83" s="7" t="n">
        <v>43.93</v>
      </c>
      <c r="V83" s="7" t="n">
        <v>45.81</v>
      </c>
      <c r="W83" s="7" t="n">
        <v>53.29</v>
      </c>
      <c r="X83" s="7" t="n">
        <v>39.01</v>
      </c>
      <c r="Y83" s="10" t="n">
        <v>27.52</v>
      </c>
    </row>
    <row r="84" ht="15" customHeight="1">
      <c r="A84" s="13" t="n">
        <v>46113</v>
      </c>
      <c r="B84" s="7" t="n">
        <v>56.28</v>
      </c>
      <c r="C84" s="7" t="n">
        <v>48.06</v>
      </c>
      <c r="D84" s="7" t="n">
        <v>47.81</v>
      </c>
      <c r="E84" s="7" t="n">
        <v>50.23</v>
      </c>
      <c r="F84" s="7" t="n">
        <v>48.09</v>
      </c>
      <c r="G84" s="7" t="n">
        <v>43.92</v>
      </c>
      <c r="H84" s="7" t="n">
        <v>51.91</v>
      </c>
      <c r="I84" s="7" t="n">
        <v>50.06</v>
      </c>
      <c r="J84" s="7" t="n">
        <v>51.13</v>
      </c>
      <c r="K84" s="7" t="n">
        <v>47.03</v>
      </c>
      <c r="L84" s="7" t="n">
        <v>45.66</v>
      </c>
      <c r="M84" s="7" t="n">
        <v>47.79</v>
      </c>
      <c r="N84" s="7" t="n">
        <v>38.63</v>
      </c>
      <c r="O84" s="8" t="n">
        <v>61.97</v>
      </c>
      <c r="P84" s="7" t="n">
        <v>46.44</v>
      </c>
      <c r="Q84" s="7" t="n">
        <v>53.25</v>
      </c>
      <c r="R84" s="7" t="n">
        <v>47.98</v>
      </c>
      <c r="S84" s="7" t="n">
        <v>52.42</v>
      </c>
      <c r="T84" s="7" t="n">
        <v>50.45</v>
      </c>
      <c r="U84" s="7" t="n">
        <v>52.16</v>
      </c>
      <c r="V84" s="7" t="n">
        <v>50.39</v>
      </c>
      <c r="W84" s="7" t="n">
        <v>52.56</v>
      </c>
      <c r="X84" s="7" t="n">
        <v>45.33</v>
      </c>
      <c r="Y84" s="7" t="n">
        <v>32.35</v>
      </c>
    </row>
    <row r="85" ht="15" customHeight="1">
      <c r="A85" s="13" t="n">
        <v>46112</v>
      </c>
      <c r="B85" s="7" t="n">
        <v>49.67</v>
      </c>
      <c r="C85" s="7" t="n">
        <v>41.58</v>
      </c>
      <c r="D85" s="7" t="n">
        <v>47.72</v>
      </c>
      <c r="E85" s="7" t="n">
        <v>43.8</v>
      </c>
      <c r="F85" s="7" t="n">
        <v>40.53</v>
      </c>
      <c r="G85" s="7" t="n">
        <v>34.43</v>
      </c>
      <c r="H85" s="7" t="n">
        <v>40.54</v>
      </c>
      <c r="I85" s="7" t="n">
        <v>40.22</v>
      </c>
      <c r="J85" s="7" t="n">
        <v>40.66</v>
      </c>
      <c r="K85" s="7" t="n">
        <v>40.32</v>
      </c>
      <c r="L85" s="7" t="n">
        <v>36.35</v>
      </c>
      <c r="M85" s="7" t="n">
        <v>39.64</v>
      </c>
      <c r="N85" s="7" t="n">
        <v>32.39</v>
      </c>
      <c r="O85" s="7" t="n">
        <v>52.33</v>
      </c>
      <c r="P85" s="7" t="n">
        <v>38.81</v>
      </c>
      <c r="Q85" s="7" t="n">
        <v>49.64</v>
      </c>
      <c r="R85" s="7" t="n">
        <v>40.36</v>
      </c>
      <c r="S85" s="7" t="n">
        <v>45.83</v>
      </c>
      <c r="T85" s="7" t="n">
        <v>43.98</v>
      </c>
      <c r="U85" s="7" t="n">
        <v>43.69</v>
      </c>
      <c r="V85" s="7" t="n">
        <v>39.72</v>
      </c>
      <c r="W85" s="7" t="n">
        <v>46.39</v>
      </c>
      <c r="X85" s="7" t="n">
        <v>37.35</v>
      </c>
      <c r="Y85" s="7" t="n">
        <v>33.38</v>
      </c>
    </row>
    <row r="86" ht="15" customHeight="1">
      <c r="A86" s="13" t="n">
        <v>46111</v>
      </c>
      <c r="B86" s="7" t="n">
        <v>47.75</v>
      </c>
      <c r="C86" s="7" t="n">
        <v>46.26</v>
      </c>
      <c r="D86" s="7" t="n">
        <v>54.66</v>
      </c>
      <c r="E86" s="7" t="n">
        <v>47.4</v>
      </c>
      <c r="F86" s="7" t="n">
        <v>43.56</v>
      </c>
      <c r="G86" s="7" t="n">
        <v>38.36</v>
      </c>
      <c r="H86" s="7" t="n">
        <v>45.26</v>
      </c>
      <c r="I86" s="7" t="n">
        <v>42.73</v>
      </c>
      <c r="J86" s="7" t="n">
        <v>45.48</v>
      </c>
      <c r="K86" s="7" t="n">
        <v>45.49</v>
      </c>
      <c r="L86" s="7" t="n">
        <v>39.87</v>
      </c>
      <c r="M86" s="7" t="n">
        <v>42.45</v>
      </c>
      <c r="N86" s="7" t="n">
        <v>33.46</v>
      </c>
      <c r="O86" s="7" t="n">
        <v>58.31</v>
      </c>
      <c r="P86" s="7" t="n">
        <v>40.62</v>
      </c>
      <c r="Q86" s="7" t="n">
        <v>51.89</v>
      </c>
      <c r="R86" s="7" t="n">
        <v>44.04</v>
      </c>
      <c r="S86" s="7" t="n">
        <v>47.83</v>
      </c>
      <c r="T86" s="7" t="n">
        <v>47.26</v>
      </c>
      <c r="U86" s="7" t="n">
        <v>44.14</v>
      </c>
      <c r="V86" s="7" t="n">
        <v>44.37</v>
      </c>
      <c r="W86" s="7" t="n">
        <v>49.7</v>
      </c>
      <c r="X86" s="7" t="n">
        <v>39.98</v>
      </c>
      <c r="Y86" s="7" t="n">
        <v>35.46</v>
      </c>
    </row>
    <row r="87" ht="15" customHeight="1">
      <c r="A87" s="13" t="n">
        <v>46108</v>
      </c>
      <c r="B87" s="7" t="n">
        <v>51.08</v>
      </c>
      <c r="C87" s="7" t="n">
        <v>50.9</v>
      </c>
      <c r="D87" s="7" t="n">
        <v>53.67</v>
      </c>
      <c r="E87" s="7" t="n">
        <v>48.38</v>
      </c>
      <c r="F87" s="7" t="n">
        <v>49.06</v>
      </c>
      <c r="G87" s="7" t="n">
        <v>42.8</v>
      </c>
      <c r="H87" s="7" t="n">
        <v>47.11</v>
      </c>
      <c r="I87" s="7" t="n">
        <v>47.16</v>
      </c>
      <c r="J87" s="7" t="n">
        <v>48.14</v>
      </c>
      <c r="K87" s="7" t="n">
        <v>50.29</v>
      </c>
      <c r="L87" s="7" t="n">
        <v>44.04</v>
      </c>
      <c r="M87" s="7" t="n">
        <v>45.11</v>
      </c>
      <c r="N87" s="7" t="n">
        <v>36.22</v>
      </c>
      <c r="O87" s="7" t="n">
        <v>58.98</v>
      </c>
      <c r="P87" s="7" t="n">
        <v>45.08</v>
      </c>
      <c r="Q87" s="7" t="n">
        <v>55.13</v>
      </c>
      <c r="R87" s="7" t="n">
        <v>49.26</v>
      </c>
      <c r="S87" s="7" t="n">
        <v>53.93</v>
      </c>
      <c r="T87" s="7" t="n">
        <v>49.28</v>
      </c>
      <c r="U87" s="7" t="n">
        <v>47.56</v>
      </c>
      <c r="V87" s="7" t="n">
        <v>47.5</v>
      </c>
      <c r="W87" s="7" t="n">
        <v>55.53</v>
      </c>
      <c r="X87" s="7" t="n">
        <v>43.87</v>
      </c>
      <c r="Y87" s="7" t="n">
        <v>37.82</v>
      </c>
    </row>
    <row r="88" ht="15" customHeight="1">
      <c r="A88" s="13" t="n">
        <v>46107</v>
      </c>
      <c r="B88" s="7" t="n">
        <v>49.43</v>
      </c>
      <c r="C88" s="7" t="n">
        <v>47.24</v>
      </c>
      <c r="D88" s="7" t="n">
        <v>57.68</v>
      </c>
      <c r="E88" s="7" t="n">
        <v>47.04</v>
      </c>
      <c r="F88" s="7" t="n">
        <v>46.96</v>
      </c>
      <c r="G88" s="7" t="n">
        <v>46.24</v>
      </c>
      <c r="H88" s="7" t="n">
        <v>49.25</v>
      </c>
      <c r="I88" s="7" t="n">
        <v>49.43</v>
      </c>
      <c r="J88" s="7" t="n">
        <v>48.76</v>
      </c>
      <c r="K88" s="7" t="n">
        <v>51.43</v>
      </c>
      <c r="L88" s="7" t="n">
        <v>44.75</v>
      </c>
      <c r="M88" s="7" t="n">
        <v>47.57</v>
      </c>
      <c r="N88" s="7" t="n">
        <v>39.87</v>
      </c>
      <c r="O88" s="7" t="n">
        <v>58.85</v>
      </c>
      <c r="P88" s="7" t="n">
        <v>44.55</v>
      </c>
      <c r="Q88" s="7" t="n">
        <v>53.76</v>
      </c>
      <c r="R88" s="7" t="n">
        <v>49.26</v>
      </c>
      <c r="S88" s="7" t="n">
        <v>51.52</v>
      </c>
      <c r="T88" s="7" t="n">
        <v>49.62</v>
      </c>
      <c r="U88" s="7" t="n">
        <v>45.57</v>
      </c>
      <c r="V88" s="7" t="n">
        <v>48.1</v>
      </c>
      <c r="W88" s="7" t="n">
        <v>53.51</v>
      </c>
      <c r="X88" s="7" t="n">
        <v>41.6</v>
      </c>
      <c r="Y88" s="7" t="n">
        <v>36.04</v>
      </c>
    </row>
    <row r="89" ht="15" customHeight="1">
      <c r="A89" s="13" t="n">
        <v>46106</v>
      </c>
      <c r="B89" s="7" t="n">
        <v>51.93</v>
      </c>
      <c r="C89" s="7" t="n">
        <v>48.54</v>
      </c>
      <c r="D89" s="7" t="n">
        <v>50.45</v>
      </c>
      <c r="E89" s="7" t="n">
        <v>50.21</v>
      </c>
      <c r="F89" s="7" t="n">
        <v>46.51</v>
      </c>
      <c r="G89" s="7" t="n">
        <v>49.5</v>
      </c>
      <c r="H89" s="7" t="n">
        <v>50.85</v>
      </c>
      <c r="I89" s="7" t="n">
        <v>53.49</v>
      </c>
      <c r="J89" s="7" t="n">
        <v>53.73</v>
      </c>
      <c r="K89" s="7" t="n">
        <v>54.72</v>
      </c>
      <c r="L89" s="7" t="n">
        <v>46.57</v>
      </c>
      <c r="M89" s="7" t="n">
        <v>49.97</v>
      </c>
      <c r="N89" s="7" t="n">
        <v>40.66</v>
      </c>
      <c r="O89" s="8" t="n">
        <v>63.24</v>
      </c>
      <c r="P89" s="7" t="n">
        <v>46.34</v>
      </c>
      <c r="Q89" s="7" t="n">
        <v>53.4</v>
      </c>
      <c r="R89" s="7" t="n">
        <v>52.15</v>
      </c>
      <c r="S89" s="7" t="n">
        <v>54.7</v>
      </c>
      <c r="T89" s="7" t="n">
        <v>55.6</v>
      </c>
      <c r="U89" s="7" t="n">
        <v>48.68</v>
      </c>
      <c r="V89" s="7" t="n">
        <v>52.52</v>
      </c>
      <c r="W89" s="7" t="n">
        <v>56.05</v>
      </c>
      <c r="X89" s="7" t="n">
        <v>43.63</v>
      </c>
      <c r="Y89" s="7" t="n">
        <v>36.18</v>
      </c>
    </row>
    <row r="90" ht="15" customHeight="1">
      <c r="A90" s="13" t="n">
        <v>46105</v>
      </c>
      <c r="B90" s="7" t="n">
        <v>51.78</v>
      </c>
      <c r="C90" s="7" t="n">
        <v>46.64</v>
      </c>
      <c r="D90" s="7" t="n">
        <v>44.04</v>
      </c>
      <c r="E90" s="7" t="n">
        <v>47.85</v>
      </c>
      <c r="F90" s="7" t="n">
        <v>41.99</v>
      </c>
      <c r="G90" s="7" t="n">
        <v>49.81</v>
      </c>
      <c r="H90" s="7" t="n">
        <v>46.25</v>
      </c>
      <c r="I90" s="7" t="n">
        <v>50.72</v>
      </c>
      <c r="J90" s="7" t="n">
        <v>53.01</v>
      </c>
      <c r="K90" s="7" t="n">
        <v>48.82</v>
      </c>
      <c r="L90" s="7" t="n">
        <v>43.35</v>
      </c>
      <c r="M90" s="7" t="n">
        <v>46.93</v>
      </c>
      <c r="N90" s="7" t="n">
        <v>41.11</v>
      </c>
      <c r="O90" s="8" t="n">
        <v>60.62</v>
      </c>
      <c r="P90" s="7" t="n">
        <v>43.84</v>
      </c>
      <c r="Q90" s="7" t="n">
        <v>49.14</v>
      </c>
      <c r="R90" s="7" t="n">
        <v>48.37</v>
      </c>
      <c r="S90" s="7" t="n">
        <v>48.73</v>
      </c>
      <c r="T90" s="7" t="n">
        <v>52.14</v>
      </c>
      <c r="U90" s="7" t="n">
        <v>45.73</v>
      </c>
      <c r="V90" s="7" t="n">
        <v>51.09</v>
      </c>
      <c r="W90" s="7" t="n">
        <v>51.83</v>
      </c>
      <c r="X90" s="7" t="n">
        <v>41.61</v>
      </c>
      <c r="Y90" s="7" t="n">
        <v>32.86</v>
      </c>
    </row>
    <row r="91" ht="15" customHeight="1">
      <c r="A91" s="13" t="n">
        <v>46104</v>
      </c>
      <c r="B91" s="7" t="n">
        <v>44.25</v>
      </c>
      <c r="C91" s="7" t="n">
        <v>43.29</v>
      </c>
      <c r="D91" s="7" t="n">
        <v>38.84</v>
      </c>
      <c r="E91" s="7" t="n">
        <v>43.79</v>
      </c>
      <c r="F91" s="7" t="n">
        <v>36.65</v>
      </c>
      <c r="G91" s="7" t="n">
        <v>49.59</v>
      </c>
      <c r="H91" s="7" t="n">
        <v>42.26</v>
      </c>
      <c r="I91" s="7" t="n">
        <v>50.46</v>
      </c>
      <c r="J91" s="7" t="n">
        <v>49.88</v>
      </c>
      <c r="K91" s="7" t="n">
        <v>47.38</v>
      </c>
      <c r="L91" s="7" t="n">
        <v>40.6</v>
      </c>
      <c r="M91" s="7" t="n">
        <v>44.64</v>
      </c>
      <c r="N91" s="7" t="n">
        <v>38.19</v>
      </c>
      <c r="O91" s="8" t="n">
        <v>65.18000000000001</v>
      </c>
      <c r="P91" s="7" t="n">
        <v>40.67</v>
      </c>
      <c r="Q91" s="7" t="n">
        <v>44.85</v>
      </c>
      <c r="R91" s="7" t="n">
        <v>45.63</v>
      </c>
      <c r="S91" s="7" t="n">
        <v>49.35</v>
      </c>
      <c r="T91" s="7" t="n">
        <v>48.68</v>
      </c>
      <c r="U91" s="7" t="n">
        <v>43.35</v>
      </c>
      <c r="V91" s="7" t="n">
        <v>47.69</v>
      </c>
      <c r="W91" s="7" t="n">
        <v>50.65</v>
      </c>
      <c r="X91" s="7" t="n">
        <v>37.52</v>
      </c>
      <c r="Y91" s="7" t="n">
        <v>30.04</v>
      </c>
    </row>
    <row r="92" ht="15" customHeight="1">
      <c r="A92" s="13" t="n">
        <v>46101</v>
      </c>
      <c r="B92" s="7" t="n">
        <v>51.06</v>
      </c>
      <c r="C92" s="7" t="n">
        <v>49.6</v>
      </c>
      <c r="D92" s="7" t="n">
        <v>44.68</v>
      </c>
      <c r="E92" s="7" t="n">
        <v>51.66</v>
      </c>
      <c r="F92" s="7" t="n">
        <v>44.05</v>
      </c>
      <c r="G92" s="7" t="n">
        <v>55.3</v>
      </c>
      <c r="H92" s="7" t="n">
        <v>48.77</v>
      </c>
      <c r="I92" s="7" t="n">
        <v>59.56</v>
      </c>
      <c r="J92" s="7" t="n">
        <v>57.18</v>
      </c>
      <c r="K92" s="7" t="n">
        <v>58.5</v>
      </c>
      <c r="L92" s="7" t="n">
        <v>47.55</v>
      </c>
      <c r="M92" s="7" t="n">
        <v>53.14</v>
      </c>
      <c r="N92" s="7" t="n">
        <v>44.44</v>
      </c>
      <c r="O92" s="9" t="n">
        <v>74.81999999999999</v>
      </c>
      <c r="P92" s="7" t="n">
        <v>49.77</v>
      </c>
      <c r="Q92" s="7" t="n">
        <v>53.82</v>
      </c>
      <c r="R92" s="7" t="n">
        <v>55.76</v>
      </c>
      <c r="S92" s="7" t="n">
        <v>58.16</v>
      </c>
      <c r="T92" s="7" t="n">
        <v>55.87</v>
      </c>
      <c r="U92" s="7" t="n">
        <v>52.68</v>
      </c>
      <c r="V92" s="7" t="n">
        <v>55.73</v>
      </c>
      <c r="W92" s="7" t="n">
        <v>58.69</v>
      </c>
      <c r="X92" s="7" t="n">
        <v>44.88</v>
      </c>
      <c r="Y92" s="7" t="n">
        <v>43.17</v>
      </c>
    </row>
    <row r="93" ht="15" customHeight="1">
      <c r="A93" s="13" t="n">
        <v>46100</v>
      </c>
      <c r="B93" s="7" t="n">
        <v>45.33</v>
      </c>
      <c r="C93" s="7" t="n">
        <v>42.44</v>
      </c>
      <c r="D93" s="7" t="n">
        <v>41.12</v>
      </c>
      <c r="E93" s="7" t="n">
        <v>49.1</v>
      </c>
      <c r="F93" s="7" t="n">
        <v>41.85</v>
      </c>
      <c r="G93" s="7" t="n">
        <v>49.18</v>
      </c>
      <c r="H93" s="7" t="n">
        <v>48.69</v>
      </c>
      <c r="I93" s="7" t="n">
        <v>57.09</v>
      </c>
      <c r="J93" s="7" t="n">
        <v>57.65</v>
      </c>
      <c r="K93" s="7" t="n">
        <v>56.39</v>
      </c>
      <c r="L93" s="7" t="n">
        <v>49.77</v>
      </c>
      <c r="M93" s="7" t="n">
        <v>48.05</v>
      </c>
      <c r="N93" s="7" t="n">
        <v>41.27</v>
      </c>
      <c r="O93" s="9" t="n">
        <v>70.92</v>
      </c>
      <c r="P93" s="7" t="n">
        <v>45.54</v>
      </c>
      <c r="Q93" s="7" t="n">
        <v>51.23</v>
      </c>
      <c r="R93" s="7" t="n">
        <v>53.89</v>
      </c>
      <c r="S93" s="7" t="n">
        <v>55.53</v>
      </c>
      <c r="T93" s="7" t="n">
        <v>55.34</v>
      </c>
      <c r="U93" s="7" t="n">
        <v>46.95</v>
      </c>
      <c r="V93" s="7" t="n">
        <v>56.02</v>
      </c>
      <c r="W93" s="7" t="n">
        <v>56.05</v>
      </c>
      <c r="X93" s="7" t="n">
        <v>43.04</v>
      </c>
      <c r="Y93" s="7" t="n">
        <v>45.92</v>
      </c>
    </row>
    <row r="94" ht="15" customHeight="1">
      <c r="A94" s="13" t="n">
        <v>46099</v>
      </c>
      <c r="B94" s="7" t="n">
        <v>48.37</v>
      </c>
      <c r="C94" s="7" t="n">
        <v>44.38</v>
      </c>
      <c r="D94" s="7" t="n">
        <v>43.27</v>
      </c>
      <c r="E94" s="7" t="n">
        <v>51.87</v>
      </c>
      <c r="F94" s="7" t="n">
        <v>45.95</v>
      </c>
      <c r="G94" s="7" t="n">
        <v>52.36</v>
      </c>
      <c r="H94" s="7" t="n">
        <v>51.98</v>
      </c>
      <c r="I94" s="7" t="n">
        <v>58.7</v>
      </c>
      <c r="J94" s="8" t="n">
        <v>61.75</v>
      </c>
      <c r="K94" s="7" t="n">
        <v>57.16</v>
      </c>
      <c r="L94" s="7" t="n">
        <v>54.02</v>
      </c>
      <c r="M94" s="7" t="n">
        <v>51.17</v>
      </c>
      <c r="N94" s="7" t="n">
        <v>43.94</v>
      </c>
      <c r="O94" s="8" t="n">
        <v>69.38</v>
      </c>
      <c r="P94" s="7" t="n">
        <v>49.22</v>
      </c>
      <c r="Q94" s="7" t="n">
        <v>55.54</v>
      </c>
      <c r="R94" s="7" t="n">
        <v>56.73</v>
      </c>
      <c r="S94" s="7" t="n">
        <v>59.61</v>
      </c>
      <c r="T94" s="7" t="n">
        <v>58.93</v>
      </c>
      <c r="U94" s="7" t="n">
        <v>50.03</v>
      </c>
      <c r="V94" s="8" t="n">
        <v>60.36</v>
      </c>
      <c r="W94" s="7" t="n">
        <v>56.46</v>
      </c>
      <c r="X94" s="7" t="n">
        <v>46.84</v>
      </c>
      <c r="Y94" s="7" t="n">
        <v>50.3</v>
      </c>
    </row>
    <row r="95" ht="15" customHeight="1">
      <c r="A95" s="13" t="n">
        <v>46098</v>
      </c>
      <c r="B95" s="7" t="n">
        <v>44.58</v>
      </c>
      <c r="C95" s="7" t="n">
        <v>44.28</v>
      </c>
      <c r="D95" s="7" t="n">
        <v>44.93</v>
      </c>
      <c r="E95" s="7" t="n">
        <v>47.13</v>
      </c>
      <c r="F95" s="7" t="n">
        <v>42.5</v>
      </c>
      <c r="G95" s="7" t="n">
        <v>51.86</v>
      </c>
      <c r="H95" s="7" t="n">
        <v>49.12</v>
      </c>
      <c r="I95" s="7" t="n">
        <v>55.96</v>
      </c>
      <c r="J95" s="7" t="n">
        <v>55.82</v>
      </c>
      <c r="K95" s="7" t="n">
        <v>52.63</v>
      </c>
      <c r="L95" s="7" t="n">
        <v>51.66</v>
      </c>
      <c r="M95" s="7" t="n">
        <v>45.18</v>
      </c>
      <c r="N95" s="7" t="n">
        <v>39.6</v>
      </c>
      <c r="O95" s="8" t="n">
        <v>63.69</v>
      </c>
      <c r="P95" s="7" t="n">
        <v>45.98</v>
      </c>
      <c r="Q95" s="7" t="n">
        <v>54.41</v>
      </c>
      <c r="R95" s="7" t="n">
        <v>51.55</v>
      </c>
      <c r="S95" s="7" t="n">
        <v>57.08</v>
      </c>
      <c r="T95" s="7" t="n">
        <v>52.38</v>
      </c>
      <c r="U95" s="7" t="n">
        <v>46.54</v>
      </c>
      <c r="V95" s="7" t="n">
        <v>54.68</v>
      </c>
      <c r="W95" s="7" t="n">
        <v>54.83</v>
      </c>
      <c r="X95" s="7" t="n">
        <v>44.9</v>
      </c>
      <c r="Y95" s="7" t="n">
        <v>49.54</v>
      </c>
    </row>
    <row r="96" ht="15" customHeight="1">
      <c r="A96" s="13" t="n">
        <v>46097</v>
      </c>
      <c r="B96" s="7" t="n">
        <v>39.1</v>
      </c>
      <c r="C96" s="7" t="n">
        <v>42.43</v>
      </c>
      <c r="D96" s="7" t="n">
        <v>44.18</v>
      </c>
      <c r="E96" s="7" t="n">
        <v>42.78</v>
      </c>
      <c r="F96" s="7" t="n">
        <v>38.75</v>
      </c>
      <c r="G96" s="7" t="n">
        <v>50.15</v>
      </c>
      <c r="H96" s="7" t="n">
        <v>48.01</v>
      </c>
      <c r="I96" s="7" t="n">
        <v>56.31</v>
      </c>
      <c r="J96" s="7" t="n">
        <v>54.29</v>
      </c>
      <c r="K96" s="7" t="n">
        <v>51.43</v>
      </c>
      <c r="L96" s="7" t="n">
        <v>50.44</v>
      </c>
      <c r="M96" s="7" t="n">
        <v>44.95</v>
      </c>
      <c r="N96" s="7" t="n">
        <v>36.61</v>
      </c>
      <c r="O96" s="8" t="n">
        <v>63.31</v>
      </c>
      <c r="P96" s="7" t="n">
        <v>43.04</v>
      </c>
      <c r="Q96" s="7" t="n">
        <v>48.9</v>
      </c>
      <c r="R96" s="7" t="n">
        <v>48.95</v>
      </c>
      <c r="S96" s="7" t="n">
        <v>57.5</v>
      </c>
      <c r="T96" s="7" t="n">
        <v>49.67</v>
      </c>
      <c r="U96" s="7" t="n">
        <v>42.78</v>
      </c>
      <c r="V96" s="7" t="n">
        <v>52.94</v>
      </c>
      <c r="W96" s="7" t="n">
        <v>53.12</v>
      </c>
      <c r="X96" s="7" t="n">
        <v>41.82</v>
      </c>
      <c r="Y96" s="7" t="n">
        <v>43.05</v>
      </c>
    </row>
    <row r="97" ht="15" customHeight="1">
      <c r="A97" s="13" t="n">
        <v>46094</v>
      </c>
      <c r="B97" s="7" t="n">
        <v>41.33</v>
      </c>
      <c r="C97" s="7" t="n">
        <v>44.08</v>
      </c>
      <c r="D97" s="7" t="n">
        <v>46.3</v>
      </c>
      <c r="E97" s="7" t="n">
        <v>45.41</v>
      </c>
      <c r="F97" s="7" t="n">
        <v>41.17</v>
      </c>
      <c r="G97" s="7" t="n">
        <v>54.15</v>
      </c>
      <c r="H97" s="7" t="n">
        <v>49.36</v>
      </c>
      <c r="I97" s="7" t="n">
        <v>58.23</v>
      </c>
      <c r="J97" s="7" t="n">
        <v>51.24</v>
      </c>
      <c r="K97" s="7" t="n">
        <v>50.4</v>
      </c>
      <c r="L97" s="7" t="n">
        <v>52.89</v>
      </c>
      <c r="M97" s="7" t="n">
        <v>44.89</v>
      </c>
      <c r="N97" s="7" t="n">
        <v>38.87</v>
      </c>
      <c r="O97" s="8" t="n">
        <v>66.93000000000001</v>
      </c>
      <c r="P97" s="7" t="n">
        <v>43.11</v>
      </c>
      <c r="Q97" s="7" t="n">
        <v>47.91</v>
      </c>
      <c r="R97" s="7" t="n">
        <v>48.69</v>
      </c>
      <c r="S97" s="7" t="n">
        <v>56.54</v>
      </c>
      <c r="T97" s="7" t="n">
        <v>50.6</v>
      </c>
      <c r="U97" s="7" t="n">
        <v>45.16</v>
      </c>
      <c r="V97" s="7" t="n">
        <v>51.13</v>
      </c>
      <c r="W97" s="7" t="n">
        <v>55.72</v>
      </c>
      <c r="X97" s="7" t="n">
        <v>43.92</v>
      </c>
      <c r="Y97" s="7" t="n">
        <v>46.5</v>
      </c>
    </row>
    <row r="98" ht="15" customHeight="1">
      <c r="A98" s="13" t="n">
        <v>46093</v>
      </c>
      <c r="B98" s="7" t="n">
        <v>42.91</v>
      </c>
      <c r="C98" s="7" t="n">
        <v>47.14</v>
      </c>
      <c r="D98" s="7" t="n">
        <v>47.23</v>
      </c>
      <c r="E98" s="7" t="n">
        <v>49.44</v>
      </c>
      <c r="F98" s="7" t="n">
        <v>42.33</v>
      </c>
      <c r="G98" s="7" t="n">
        <v>55.13</v>
      </c>
      <c r="H98" s="7" t="n">
        <v>52.56</v>
      </c>
      <c r="I98" s="7" t="n">
        <v>57.98</v>
      </c>
      <c r="J98" s="7" t="n">
        <v>53.49</v>
      </c>
      <c r="K98" s="7" t="n">
        <v>51.63</v>
      </c>
      <c r="L98" s="7" t="n">
        <v>53.76</v>
      </c>
      <c r="M98" s="7" t="n">
        <v>46.84</v>
      </c>
      <c r="N98" s="7" t="n">
        <v>37.64</v>
      </c>
      <c r="O98" s="8" t="n">
        <v>62.69</v>
      </c>
      <c r="P98" s="7" t="n">
        <v>46.25</v>
      </c>
      <c r="Q98" s="7" t="n">
        <v>51.75</v>
      </c>
      <c r="R98" s="7" t="n">
        <v>51.4</v>
      </c>
      <c r="S98" s="7" t="n">
        <v>58.6</v>
      </c>
      <c r="T98" s="7" t="n">
        <v>52.73</v>
      </c>
      <c r="U98" s="7" t="n">
        <v>44.98</v>
      </c>
      <c r="V98" s="7" t="n">
        <v>53.34</v>
      </c>
      <c r="W98" s="7" t="n">
        <v>52.5</v>
      </c>
      <c r="X98" s="7" t="n">
        <v>41.6</v>
      </c>
      <c r="Y98" s="7" t="n">
        <v>44.61</v>
      </c>
    </row>
    <row r="99" ht="15" customHeight="1">
      <c r="A99" s="13" t="n">
        <v>46092</v>
      </c>
      <c r="B99" s="7" t="n">
        <v>43.73</v>
      </c>
      <c r="C99" s="7" t="n">
        <v>45.21</v>
      </c>
      <c r="D99" s="7" t="n">
        <v>46.51</v>
      </c>
      <c r="E99" s="7" t="n">
        <v>49.45</v>
      </c>
      <c r="F99" s="7" t="n">
        <v>44.11</v>
      </c>
      <c r="G99" s="7" t="n">
        <v>50.23</v>
      </c>
      <c r="H99" s="7" t="n">
        <v>51.35</v>
      </c>
      <c r="I99" s="7" t="n">
        <v>56.33</v>
      </c>
      <c r="J99" s="7" t="n">
        <v>54.64</v>
      </c>
      <c r="K99" s="7" t="n">
        <v>51.07</v>
      </c>
      <c r="L99" s="7" t="n">
        <v>52.07</v>
      </c>
      <c r="M99" s="7" t="n">
        <v>46.78</v>
      </c>
      <c r="N99" s="7" t="n">
        <v>37.9</v>
      </c>
      <c r="O99" s="7" t="n">
        <v>59.14</v>
      </c>
      <c r="P99" s="7" t="n">
        <v>45.76</v>
      </c>
      <c r="Q99" s="7" t="n">
        <v>51.21</v>
      </c>
      <c r="R99" s="7" t="n">
        <v>52.69</v>
      </c>
      <c r="S99" s="7" t="n">
        <v>59.44</v>
      </c>
      <c r="T99" s="7" t="n">
        <v>56.39</v>
      </c>
      <c r="U99" s="7" t="n">
        <v>43.45</v>
      </c>
      <c r="V99" s="7" t="n">
        <v>53.92</v>
      </c>
      <c r="W99" s="7" t="n">
        <v>47.76</v>
      </c>
      <c r="X99" s="7" t="n">
        <v>41.77</v>
      </c>
      <c r="Y99" s="7" t="n">
        <v>43.34</v>
      </c>
    </row>
    <row r="100" ht="15" customHeight="1">
      <c r="A100" s="13" t="n">
        <v>46091</v>
      </c>
      <c r="B100" s="7" t="n">
        <v>38.59</v>
      </c>
      <c r="C100" s="7" t="n">
        <v>38.53</v>
      </c>
      <c r="D100" s="7" t="n">
        <v>44.89</v>
      </c>
      <c r="E100" s="7" t="n">
        <v>47.45</v>
      </c>
      <c r="F100" s="7" t="n">
        <v>39.73</v>
      </c>
      <c r="G100" s="7" t="n">
        <v>43.83</v>
      </c>
      <c r="H100" s="7" t="n">
        <v>50.05</v>
      </c>
      <c r="I100" s="7" t="n">
        <v>57.58</v>
      </c>
      <c r="J100" s="7" t="n">
        <v>53.79</v>
      </c>
      <c r="K100" s="7" t="n">
        <v>50.23</v>
      </c>
      <c r="L100" s="7" t="n">
        <v>51.31</v>
      </c>
      <c r="M100" s="7" t="n">
        <v>42.84</v>
      </c>
      <c r="N100" s="7" t="n">
        <v>37.22</v>
      </c>
      <c r="O100" s="7" t="n">
        <v>58.48</v>
      </c>
      <c r="P100" s="7" t="n">
        <v>44.8</v>
      </c>
      <c r="Q100" s="7" t="n">
        <v>50.99</v>
      </c>
      <c r="R100" s="7" t="n">
        <v>48.89</v>
      </c>
      <c r="S100" s="7" t="n">
        <v>54.43</v>
      </c>
      <c r="T100" s="7" t="n">
        <v>51.87</v>
      </c>
      <c r="U100" s="7" t="n">
        <v>41.14</v>
      </c>
      <c r="V100" s="7" t="n">
        <v>52.93</v>
      </c>
      <c r="W100" s="7" t="n">
        <v>45.86</v>
      </c>
      <c r="X100" s="7" t="n">
        <v>41.99</v>
      </c>
      <c r="Y100" s="7" t="n">
        <v>41.34</v>
      </c>
    </row>
    <row r="101" ht="15" customHeight="1">
      <c r="A101" s="13" t="n">
        <v>46090</v>
      </c>
      <c r="B101" s="7" t="n">
        <v>36.11</v>
      </c>
      <c r="C101" s="7" t="n">
        <v>35.6</v>
      </c>
      <c r="D101" s="7" t="n">
        <v>41.86</v>
      </c>
      <c r="E101" s="7" t="n">
        <v>45.46</v>
      </c>
      <c r="F101" s="7" t="n">
        <v>37.18</v>
      </c>
      <c r="G101" s="7" t="n">
        <v>40.57</v>
      </c>
      <c r="H101" s="7" t="n">
        <v>49.67</v>
      </c>
      <c r="I101" s="7" t="n">
        <v>53.31</v>
      </c>
      <c r="J101" s="7" t="n">
        <v>47.24</v>
      </c>
      <c r="K101" s="7" t="n">
        <v>42.26</v>
      </c>
      <c r="L101" s="7" t="n">
        <v>49.38</v>
      </c>
      <c r="M101" s="7" t="n">
        <v>41.91</v>
      </c>
      <c r="N101" s="7" t="n">
        <v>31.53</v>
      </c>
      <c r="O101" s="7" t="n">
        <v>55.67</v>
      </c>
      <c r="P101" s="7" t="n">
        <v>39.71</v>
      </c>
      <c r="Q101" s="7" t="n">
        <v>48.52</v>
      </c>
      <c r="R101" s="7" t="n">
        <v>44.8</v>
      </c>
      <c r="S101" s="7" t="n">
        <v>53.17</v>
      </c>
      <c r="T101" s="7" t="n">
        <v>47.76</v>
      </c>
      <c r="U101" s="7" t="n">
        <v>38.89</v>
      </c>
      <c r="V101" s="7" t="n">
        <v>47.15</v>
      </c>
      <c r="W101" s="7" t="n">
        <v>42.24</v>
      </c>
      <c r="X101" s="7" t="n">
        <v>38.34</v>
      </c>
      <c r="Y101" s="7" t="n">
        <v>38.95</v>
      </c>
    </row>
    <row r="102" ht="15" customHeight="1">
      <c r="A102" s="13" t="n">
        <v>46087</v>
      </c>
      <c r="B102" s="7" t="n">
        <v>38.7</v>
      </c>
      <c r="C102" s="7" t="n">
        <v>40.9</v>
      </c>
      <c r="D102" s="7" t="n">
        <v>47.48</v>
      </c>
      <c r="E102" s="7" t="n">
        <v>51.09</v>
      </c>
      <c r="F102" s="7" t="n">
        <v>42.22</v>
      </c>
      <c r="G102" s="7" t="n">
        <v>47.33</v>
      </c>
      <c r="H102" s="7" t="n">
        <v>56.3</v>
      </c>
      <c r="I102" s="7" t="n">
        <v>57.08</v>
      </c>
      <c r="J102" s="7" t="n">
        <v>54.3</v>
      </c>
      <c r="K102" s="7" t="n">
        <v>49.57</v>
      </c>
      <c r="L102" s="7" t="n">
        <v>54.32</v>
      </c>
      <c r="M102" s="7" t="n">
        <v>44.73</v>
      </c>
      <c r="N102" s="7" t="n">
        <v>35.76</v>
      </c>
      <c r="O102" s="8" t="n">
        <v>60.19</v>
      </c>
      <c r="P102" s="7" t="n">
        <v>46.54</v>
      </c>
      <c r="Q102" s="7" t="n">
        <v>49.21</v>
      </c>
      <c r="R102" s="7" t="n">
        <v>50.12</v>
      </c>
      <c r="S102" s="7" t="n">
        <v>57.35</v>
      </c>
      <c r="T102" s="7" t="n">
        <v>52.66</v>
      </c>
      <c r="U102" s="7" t="n">
        <v>42.67</v>
      </c>
      <c r="V102" s="7" t="n">
        <v>54.16</v>
      </c>
      <c r="W102" s="7" t="n">
        <v>47.48</v>
      </c>
      <c r="X102" s="7" t="n">
        <v>41.62</v>
      </c>
      <c r="Y102" s="7" t="n">
        <v>42.15</v>
      </c>
    </row>
    <row r="103" ht="15" customHeight="1">
      <c r="A103" s="13" t="n">
        <v>46086</v>
      </c>
      <c r="B103" s="7" t="n">
        <v>39.62</v>
      </c>
      <c r="C103" s="7" t="n">
        <v>41.14</v>
      </c>
      <c r="D103" s="7" t="n">
        <v>45.05</v>
      </c>
      <c r="E103" s="7" t="n">
        <v>48.87</v>
      </c>
      <c r="F103" s="7" t="n">
        <v>41.98</v>
      </c>
      <c r="G103" s="7" t="n">
        <v>47.33</v>
      </c>
      <c r="H103" s="7" t="n">
        <v>53.34</v>
      </c>
      <c r="I103" s="7" t="n">
        <v>52.57</v>
      </c>
      <c r="J103" s="7" t="n">
        <v>55.39</v>
      </c>
      <c r="K103" s="7" t="n">
        <v>47.52</v>
      </c>
      <c r="L103" s="7" t="n">
        <v>52.29</v>
      </c>
      <c r="M103" s="7" t="n">
        <v>45.08</v>
      </c>
      <c r="N103" s="7" t="n">
        <v>34.44</v>
      </c>
      <c r="O103" s="7" t="n">
        <v>56.07</v>
      </c>
      <c r="P103" s="7" t="n">
        <v>47.85</v>
      </c>
      <c r="Q103" s="7" t="n">
        <v>49.08</v>
      </c>
      <c r="R103" s="7" t="n">
        <v>50.77</v>
      </c>
      <c r="S103" s="7" t="n">
        <v>56.29</v>
      </c>
      <c r="T103" s="7" t="n">
        <v>52.99</v>
      </c>
      <c r="U103" s="7" t="n">
        <v>42.12</v>
      </c>
      <c r="V103" s="7" t="n">
        <v>54.16</v>
      </c>
      <c r="W103" s="7" t="n">
        <v>49.19</v>
      </c>
      <c r="X103" s="7" t="n">
        <v>38.35</v>
      </c>
      <c r="Y103" s="7" t="n">
        <v>38.73</v>
      </c>
    </row>
    <row r="104" ht="15" customHeight="1">
      <c r="A104" s="13" t="n">
        <v>46085</v>
      </c>
      <c r="B104" s="7" t="n">
        <v>32.84</v>
      </c>
      <c r="C104" s="7" t="n">
        <v>33.19</v>
      </c>
      <c r="D104" s="7" t="n">
        <v>38.71</v>
      </c>
      <c r="E104" s="7" t="n">
        <v>38.17</v>
      </c>
      <c r="F104" s="10" t="n">
        <v>26.71</v>
      </c>
      <c r="G104" s="7" t="n">
        <v>37.24</v>
      </c>
      <c r="H104" s="7" t="n">
        <v>43.23</v>
      </c>
      <c r="I104" s="7" t="n">
        <v>40.55</v>
      </c>
      <c r="J104" s="7" t="n">
        <v>46.15</v>
      </c>
      <c r="K104" s="10" t="n">
        <v>28.86</v>
      </c>
      <c r="L104" s="7" t="n">
        <v>43.33</v>
      </c>
      <c r="M104" s="7" t="n">
        <v>36.05</v>
      </c>
      <c r="N104" s="10" t="n">
        <v>28.18</v>
      </c>
      <c r="O104" s="7" t="n">
        <v>46.88</v>
      </c>
      <c r="P104" s="7" t="n">
        <v>39.49</v>
      </c>
      <c r="Q104" s="7" t="n">
        <v>39.1</v>
      </c>
      <c r="R104" s="7" t="n">
        <v>40.33</v>
      </c>
      <c r="S104" s="7" t="n">
        <v>47.22</v>
      </c>
      <c r="T104" s="7" t="n">
        <v>44.11</v>
      </c>
      <c r="U104" s="10" t="n">
        <v>29.63</v>
      </c>
      <c r="V104" s="7" t="n">
        <v>43.99</v>
      </c>
      <c r="W104" s="10" t="n">
        <v>26.95</v>
      </c>
      <c r="X104" s="10" t="n">
        <v>28.02</v>
      </c>
      <c r="Y104" s="10" t="n">
        <v>29.47</v>
      </c>
    </row>
    <row r="105" ht="15" customHeight="1">
      <c r="A105" s="13" t="n">
        <v>46084</v>
      </c>
      <c r="B105" s="7" t="n">
        <v>47.24</v>
      </c>
      <c r="C105" s="7" t="n">
        <v>49.73</v>
      </c>
      <c r="D105" s="7" t="n">
        <v>54.34</v>
      </c>
      <c r="E105" s="8" t="n">
        <v>61.46</v>
      </c>
      <c r="F105" s="7" t="n">
        <v>43.81</v>
      </c>
      <c r="G105" s="7" t="n">
        <v>53.39</v>
      </c>
      <c r="H105" s="8" t="n">
        <v>66.06</v>
      </c>
      <c r="I105" s="7" t="n">
        <v>58.15</v>
      </c>
      <c r="J105" s="7" t="n">
        <v>59.36</v>
      </c>
      <c r="K105" s="7" t="n">
        <v>44.18</v>
      </c>
      <c r="L105" s="8" t="n">
        <v>64.95</v>
      </c>
      <c r="M105" s="7" t="n">
        <v>53.29</v>
      </c>
      <c r="N105" s="7" t="n">
        <v>34.72</v>
      </c>
      <c r="O105" s="8" t="n">
        <v>66.73</v>
      </c>
      <c r="P105" s="8" t="n">
        <v>67.29000000000001</v>
      </c>
      <c r="Q105" s="7" t="n">
        <v>56.98</v>
      </c>
      <c r="R105" s="7" t="n">
        <v>58.75</v>
      </c>
      <c r="S105" s="8" t="n">
        <v>61.12</v>
      </c>
      <c r="T105" s="7" t="n">
        <v>58.32</v>
      </c>
      <c r="U105" s="7" t="n">
        <v>48.99</v>
      </c>
      <c r="V105" s="8" t="n">
        <v>60.66</v>
      </c>
      <c r="W105" s="7" t="n">
        <v>52.15</v>
      </c>
      <c r="X105" s="7" t="n">
        <v>42.38</v>
      </c>
      <c r="Y105" s="7" t="n">
        <v>41.59</v>
      </c>
    </row>
    <row r="106" ht="15" customHeight="1">
      <c r="A106" s="13" t="n">
        <v>46083</v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 ht="15" customHeight="1">
      <c r="A107" s="13" t="n">
        <v>46080</v>
      </c>
      <c r="B107" s="7" t="n">
        <v>53.12</v>
      </c>
      <c r="C107" s="7" t="n">
        <v>59.33</v>
      </c>
      <c r="D107" s="8" t="n">
        <v>63.68</v>
      </c>
      <c r="E107" s="9" t="n">
        <v>75.56999999999999</v>
      </c>
      <c r="F107" s="8" t="n">
        <v>61.12</v>
      </c>
      <c r="G107" s="8" t="n">
        <v>60.32</v>
      </c>
      <c r="H107" s="8" t="n">
        <v>69.7</v>
      </c>
      <c r="I107" s="9" t="n">
        <v>77.44</v>
      </c>
      <c r="J107" s="9" t="n">
        <v>79.54000000000001</v>
      </c>
      <c r="K107" s="7" t="n">
        <v>57.88</v>
      </c>
      <c r="L107" s="9" t="n">
        <v>74.29000000000001</v>
      </c>
      <c r="M107" s="8" t="n">
        <v>67.97</v>
      </c>
      <c r="N107" s="7" t="n">
        <v>46.97</v>
      </c>
      <c r="O107" s="9" t="n">
        <v>86.18000000000001</v>
      </c>
      <c r="P107" s="8" t="n">
        <v>66.72</v>
      </c>
      <c r="Q107" s="8" t="n">
        <v>61.34</v>
      </c>
      <c r="R107" s="9" t="n">
        <v>72.01000000000001</v>
      </c>
      <c r="S107" s="9" t="n">
        <v>72.81</v>
      </c>
      <c r="T107" s="8" t="n">
        <v>63.41</v>
      </c>
      <c r="U107" s="8" t="n">
        <v>66.11</v>
      </c>
      <c r="V107" s="9" t="n">
        <v>81.04000000000001</v>
      </c>
      <c r="W107" s="9" t="n">
        <v>72.37</v>
      </c>
      <c r="X107" s="8" t="n">
        <v>61.16</v>
      </c>
      <c r="Y107" s="7" t="n">
        <v>56.99</v>
      </c>
    </row>
    <row r="108" ht="15" customHeight="1">
      <c r="A108" s="13" t="n">
        <v>46079</v>
      </c>
      <c r="B108" s="7" t="n">
        <v>59.93</v>
      </c>
      <c r="C108" s="8" t="n">
        <v>60.33</v>
      </c>
      <c r="D108" s="8" t="n">
        <v>62.95</v>
      </c>
      <c r="E108" s="9" t="n">
        <v>75.37</v>
      </c>
      <c r="F108" s="8" t="n">
        <v>62.42</v>
      </c>
      <c r="G108" s="8" t="n">
        <v>63.04</v>
      </c>
      <c r="H108" s="8" t="n">
        <v>68.48999999999999</v>
      </c>
      <c r="I108" s="9" t="n">
        <v>73.47</v>
      </c>
      <c r="J108" s="9" t="n">
        <v>83.87</v>
      </c>
      <c r="K108" s="8" t="n">
        <v>63.17</v>
      </c>
      <c r="L108" s="9" t="n">
        <v>71.15000000000001</v>
      </c>
      <c r="M108" s="9" t="n">
        <v>75.09</v>
      </c>
      <c r="N108" s="7" t="n">
        <v>59.94</v>
      </c>
      <c r="O108" s="9" t="n">
        <v>86.19</v>
      </c>
      <c r="P108" s="9" t="n">
        <v>73.09</v>
      </c>
      <c r="Q108" s="9" t="n">
        <v>70.02</v>
      </c>
      <c r="R108" s="9" t="n">
        <v>82.72</v>
      </c>
      <c r="S108" s="9" t="n">
        <v>77.34999999999999</v>
      </c>
      <c r="T108" s="9" t="n">
        <v>74.09</v>
      </c>
      <c r="U108" s="8" t="n">
        <v>69.53</v>
      </c>
      <c r="V108" s="9" t="n">
        <v>82.59</v>
      </c>
      <c r="W108" s="8" t="n">
        <v>69.08</v>
      </c>
      <c r="X108" s="8" t="n">
        <v>63.83</v>
      </c>
      <c r="Y108" s="8" t="n">
        <v>60.07</v>
      </c>
    </row>
    <row r="109" ht="15" customHeight="1">
      <c r="A109" s="13" t="n">
        <v>46078</v>
      </c>
      <c r="B109" s="9" t="n">
        <v>77.28</v>
      </c>
      <c r="C109" s="8" t="n">
        <v>66.31999999999999</v>
      </c>
      <c r="D109" s="9" t="n">
        <v>72.44</v>
      </c>
      <c r="E109" s="9" t="n">
        <v>74.98999999999999</v>
      </c>
      <c r="F109" s="8" t="n">
        <v>61.63</v>
      </c>
      <c r="G109" s="9" t="n">
        <v>75.47</v>
      </c>
      <c r="H109" s="9" t="n">
        <v>71.77</v>
      </c>
      <c r="I109" s="8" t="n">
        <v>68.03</v>
      </c>
      <c r="J109" s="9" t="n">
        <v>79.88</v>
      </c>
      <c r="K109" s="8" t="n">
        <v>61.71</v>
      </c>
      <c r="L109" s="8" t="n">
        <v>67.88</v>
      </c>
      <c r="M109" s="9" t="n">
        <v>73.92</v>
      </c>
      <c r="N109" s="8" t="n">
        <v>63.42</v>
      </c>
      <c r="O109" s="9" t="n">
        <v>84.70999999999999</v>
      </c>
      <c r="P109" s="9" t="n">
        <v>78.39</v>
      </c>
      <c r="Q109" s="8" t="n">
        <v>69.34</v>
      </c>
      <c r="R109" s="9" t="n">
        <v>82.54000000000001</v>
      </c>
      <c r="S109" s="9" t="n">
        <v>76.73</v>
      </c>
      <c r="T109" s="9" t="n">
        <v>76.09</v>
      </c>
      <c r="U109" s="9" t="n">
        <v>70.34</v>
      </c>
      <c r="V109" s="9" t="n">
        <v>78.93000000000001</v>
      </c>
      <c r="W109" s="8" t="n">
        <v>68.77</v>
      </c>
      <c r="X109" s="7" t="n">
        <v>58.47</v>
      </c>
      <c r="Y109" s="8" t="n">
        <v>64.91</v>
      </c>
    </row>
    <row r="110" ht="15" customHeight="1">
      <c r="A110" s="13" t="n">
        <v>46077</v>
      </c>
      <c r="B110" s="9" t="n">
        <v>74.23</v>
      </c>
      <c r="C110" s="8" t="n">
        <v>63.38</v>
      </c>
      <c r="D110" s="8" t="n">
        <v>69.34999999999999</v>
      </c>
      <c r="E110" s="9" t="n">
        <v>72.75</v>
      </c>
      <c r="F110" s="8" t="n">
        <v>65.08</v>
      </c>
      <c r="G110" s="9" t="n">
        <v>75.16</v>
      </c>
      <c r="H110" s="8" t="n">
        <v>66.37</v>
      </c>
      <c r="I110" s="8" t="n">
        <v>66.40000000000001</v>
      </c>
      <c r="J110" s="9" t="n">
        <v>78.69</v>
      </c>
      <c r="K110" s="8" t="n">
        <v>65.81</v>
      </c>
      <c r="L110" s="8" t="n">
        <v>62.78</v>
      </c>
      <c r="M110" s="9" t="n">
        <v>71.64</v>
      </c>
      <c r="N110" s="8" t="n">
        <v>60.58</v>
      </c>
      <c r="O110" s="9" t="n">
        <v>80.68000000000001</v>
      </c>
      <c r="P110" s="9" t="n">
        <v>74.13</v>
      </c>
      <c r="Q110" s="8" t="n">
        <v>69.45999999999999</v>
      </c>
      <c r="R110" s="9" t="n">
        <v>80.98</v>
      </c>
      <c r="S110" s="9" t="n">
        <v>74.51000000000001</v>
      </c>
      <c r="T110" s="9" t="n">
        <v>72.77</v>
      </c>
      <c r="U110" s="8" t="n">
        <v>68.05</v>
      </c>
      <c r="V110" s="9" t="n">
        <v>77.20999999999999</v>
      </c>
      <c r="W110" s="8" t="n">
        <v>67.59999999999999</v>
      </c>
      <c r="X110" s="7" t="n">
        <v>55.38</v>
      </c>
      <c r="Y110" s="8" t="n">
        <v>66.97</v>
      </c>
    </row>
    <row r="111" ht="15" customHeight="1">
      <c r="A111" s="13" t="n">
        <v>46076</v>
      </c>
      <c r="B111" s="9" t="n">
        <v>80.95</v>
      </c>
      <c r="C111" s="9" t="n">
        <v>70.02</v>
      </c>
      <c r="D111" s="8" t="n">
        <v>69.76000000000001</v>
      </c>
      <c r="E111" s="8" t="n">
        <v>69.31</v>
      </c>
      <c r="F111" s="8" t="n">
        <v>62.85</v>
      </c>
      <c r="G111" s="9" t="n">
        <v>75.92</v>
      </c>
      <c r="H111" s="8" t="n">
        <v>60.49</v>
      </c>
      <c r="I111" s="8" t="n">
        <v>66.28</v>
      </c>
      <c r="J111" s="9" t="n">
        <v>75.37</v>
      </c>
      <c r="K111" s="8" t="n">
        <v>65.33</v>
      </c>
      <c r="L111" s="8" t="n">
        <v>62.87</v>
      </c>
      <c r="M111" s="9" t="n">
        <v>70.75</v>
      </c>
      <c r="N111" s="8" t="n">
        <v>60.43</v>
      </c>
      <c r="O111" s="9" t="n">
        <v>79.28</v>
      </c>
      <c r="P111" s="9" t="n">
        <v>73.65000000000001</v>
      </c>
      <c r="Q111" s="9" t="n">
        <v>71.38</v>
      </c>
      <c r="R111" s="9" t="n">
        <v>83.44</v>
      </c>
      <c r="S111" s="9" t="n">
        <v>79.09999999999999</v>
      </c>
      <c r="T111" s="9" t="n">
        <v>83.15000000000001</v>
      </c>
      <c r="U111" s="8" t="n">
        <v>69.06999999999999</v>
      </c>
      <c r="V111" s="9" t="n">
        <v>74.2</v>
      </c>
      <c r="W111" s="8" t="n">
        <v>65.58</v>
      </c>
      <c r="X111" s="7" t="n">
        <v>56.05</v>
      </c>
      <c r="Y111" s="8" t="n">
        <v>69.81999999999999</v>
      </c>
    </row>
    <row r="112" ht="15" customHeight="1">
      <c r="A112" s="13" t="n">
        <v>46073</v>
      </c>
      <c r="B112" s="9" t="n">
        <v>78.40000000000001</v>
      </c>
      <c r="C112" s="8" t="n">
        <v>62.77</v>
      </c>
      <c r="D112" s="8" t="n">
        <v>67.06999999999999</v>
      </c>
      <c r="E112" s="9" t="n">
        <v>71.11</v>
      </c>
      <c r="F112" s="8" t="n">
        <v>62.22</v>
      </c>
      <c r="G112" s="9" t="n">
        <v>76.70999999999999</v>
      </c>
      <c r="H112" s="7" t="n">
        <v>59.69</v>
      </c>
      <c r="I112" s="8" t="n">
        <v>68.31</v>
      </c>
      <c r="J112" s="9" t="n">
        <v>74.3</v>
      </c>
      <c r="K112" s="8" t="n">
        <v>64.05</v>
      </c>
      <c r="L112" s="8" t="n">
        <v>62.05</v>
      </c>
      <c r="M112" s="8" t="n">
        <v>69.97</v>
      </c>
      <c r="N112" s="8" t="n">
        <v>61.78</v>
      </c>
      <c r="O112" s="9" t="n">
        <v>77.84</v>
      </c>
      <c r="P112" s="9" t="n">
        <v>73.34</v>
      </c>
      <c r="Q112" s="9" t="n">
        <v>74.87</v>
      </c>
      <c r="R112" s="9" t="n">
        <v>84.72</v>
      </c>
      <c r="S112" s="9" t="n">
        <v>85.89</v>
      </c>
      <c r="T112" s="9" t="n">
        <v>82.8</v>
      </c>
      <c r="U112" s="8" t="n">
        <v>66.52</v>
      </c>
      <c r="V112" s="9" t="n">
        <v>73.25</v>
      </c>
      <c r="W112" s="8" t="n">
        <v>61.19</v>
      </c>
      <c r="X112" s="7" t="n">
        <v>53.84</v>
      </c>
      <c r="Y112" s="8" t="n">
        <v>68.64</v>
      </c>
    </row>
    <row r="113" ht="15" customHeight="1">
      <c r="A113" s="13" t="n">
        <v>46072</v>
      </c>
      <c r="B113" s="9" t="n">
        <v>77.31999999999999</v>
      </c>
      <c r="C113" s="8" t="n">
        <v>64.02</v>
      </c>
      <c r="D113" s="9" t="n">
        <v>71.51000000000001</v>
      </c>
      <c r="E113" s="8" t="n">
        <v>69.66</v>
      </c>
      <c r="F113" s="8" t="n">
        <v>62.57</v>
      </c>
      <c r="G113" s="9" t="n">
        <v>73.67</v>
      </c>
      <c r="H113" s="7" t="n">
        <v>57.34</v>
      </c>
      <c r="I113" s="8" t="n">
        <v>64.79000000000001</v>
      </c>
      <c r="J113" s="9" t="n">
        <v>72.31999999999999</v>
      </c>
      <c r="K113" s="8" t="n">
        <v>64.06999999999999</v>
      </c>
      <c r="L113" s="7" t="n">
        <v>58.29</v>
      </c>
      <c r="M113" s="8" t="n">
        <v>66.14</v>
      </c>
      <c r="N113" s="7" t="n">
        <v>59.35</v>
      </c>
      <c r="O113" s="9" t="n">
        <v>75.87</v>
      </c>
      <c r="P113" s="9" t="n">
        <v>71.70999999999999</v>
      </c>
      <c r="Q113" s="9" t="n">
        <v>73.28</v>
      </c>
      <c r="R113" s="9" t="n">
        <v>81.95999999999999</v>
      </c>
      <c r="S113" s="9" t="n">
        <v>85.18000000000001</v>
      </c>
      <c r="T113" s="9" t="n">
        <v>76.67</v>
      </c>
      <c r="U113" s="8" t="n">
        <v>63.76</v>
      </c>
      <c r="V113" s="9" t="n">
        <v>71</v>
      </c>
      <c r="W113" s="8" t="n">
        <v>65.52</v>
      </c>
      <c r="X113" s="7" t="n">
        <v>52.83</v>
      </c>
      <c r="Y113" s="9" t="n">
        <v>71.42</v>
      </c>
    </row>
    <row r="114" ht="15" customHeight="1">
      <c r="A114" s="13" t="n">
        <v>46071</v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 ht="15" customHeight="1">
      <c r="A115" s="13" t="n">
        <v>46070</v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5" customHeight="1">
      <c r="A116" s="13" t="n">
        <v>46066</v>
      </c>
      <c r="B116" s="9" t="n">
        <v>78.17</v>
      </c>
      <c r="C116" s="8" t="n">
        <v>61.19</v>
      </c>
      <c r="D116" s="8" t="n">
        <v>63.57</v>
      </c>
      <c r="E116" s="8" t="n">
        <v>64.52</v>
      </c>
      <c r="F116" s="7" t="n">
        <v>58.34</v>
      </c>
      <c r="G116" s="9" t="n">
        <v>70.56999999999999</v>
      </c>
      <c r="H116" s="7" t="n">
        <v>54.58</v>
      </c>
      <c r="I116" s="8" t="n">
        <v>62.23</v>
      </c>
      <c r="J116" s="8" t="n">
        <v>68.73</v>
      </c>
      <c r="K116" s="7" t="n">
        <v>59.99</v>
      </c>
      <c r="L116" s="7" t="n">
        <v>52.67</v>
      </c>
      <c r="M116" s="8" t="n">
        <v>65.23999999999999</v>
      </c>
      <c r="N116" s="7" t="n">
        <v>54.21</v>
      </c>
      <c r="O116" s="9" t="n">
        <v>70.15000000000001</v>
      </c>
      <c r="P116" s="8" t="n">
        <v>65.8</v>
      </c>
      <c r="Q116" s="9" t="n">
        <v>77.56</v>
      </c>
      <c r="R116" s="9" t="n">
        <v>79.59</v>
      </c>
      <c r="S116" s="9" t="n">
        <v>80.20999999999999</v>
      </c>
      <c r="T116" s="9" t="n">
        <v>74.93000000000001</v>
      </c>
      <c r="U116" s="8" t="n">
        <v>61.52</v>
      </c>
      <c r="V116" s="8" t="n">
        <v>66.91</v>
      </c>
      <c r="W116" s="8" t="n">
        <v>65.5</v>
      </c>
      <c r="X116" s="7" t="n">
        <v>50.53</v>
      </c>
      <c r="Y116" s="8" t="n">
        <v>67.17</v>
      </c>
    </row>
    <row r="117" ht="15" customHeight="1">
      <c r="A117" s="13" t="n">
        <v>46065</v>
      </c>
      <c r="B117" s="9" t="n">
        <v>79.67</v>
      </c>
      <c r="C117" s="8" t="n">
        <v>64.14</v>
      </c>
      <c r="D117" s="8" t="n">
        <v>62.14</v>
      </c>
      <c r="E117" s="8" t="n">
        <v>69.91</v>
      </c>
      <c r="F117" s="8" t="n">
        <v>60.21</v>
      </c>
      <c r="G117" s="9" t="n">
        <v>72.34999999999999</v>
      </c>
      <c r="H117" s="7" t="n">
        <v>58.16</v>
      </c>
      <c r="I117" s="8" t="n">
        <v>62.68</v>
      </c>
      <c r="J117" s="8" t="n">
        <v>68.79000000000001</v>
      </c>
      <c r="K117" s="8" t="n">
        <v>60.1</v>
      </c>
      <c r="L117" s="7" t="n">
        <v>54.61</v>
      </c>
      <c r="M117" s="9" t="n">
        <v>73.67</v>
      </c>
      <c r="N117" s="7" t="n">
        <v>54.87</v>
      </c>
      <c r="O117" s="9" t="n">
        <v>70.55</v>
      </c>
      <c r="P117" s="8" t="n">
        <v>68.61</v>
      </c>
      <c r="Q117" s="9" t="n">
        <v>73.56999999999999</v>
      </c>
      <c r="R117" s="9" t="n">
        <v>79.13</v>
      </c>
      <c r="S117" s="9" t="n">
        <v>74.48</v>
      </c>
      <c r="T117" s="9" t="n">
        <v>76.84</v>
      </c>
      <c r="U117" s="8" t="n">
        <v>63.9</v>
      </c>
      <c r="V117" s="8" t="n">
        <v>67.89</v>
      </c>
      <c r="W117" s="8" t="n">
        <v>65.13</v>
      </c>
      <c r="X117" s="7" t="n">
        <v>53.9</v>
      </c>
      <c r="Y117" s="8" t="n">
        <v>64.87</v>
      </c>
    </row>
    <row r="118" ht="15" customHeight="1">
      <c r="A118" s="13" t="n">
        <v>46064</v>
      </c>
      <c r="B118" s="9" t="n">
        <v>75.95</v>
      </c>
      <c r="C118" s="8" t="n">
        <v>66.45</v>
      </c>
      <c r="D118" s="8" t="n">
        <v>66.43000000000001</v>
      </c>
      <c r="E118" s="8" t="n">
        <v>67.23</v>
      </c>
      <c r="F118" s="7" t="n">
        <v>59.83</v>
      </c>
      <c r="G118" s="9" t="n">
        <v>72.08</v>
      </c>
      <c r="H118" s="7" t="n">
        <v>55.46</v>
      </c>
      <c r="I118" s="8" t="n">
        <v>60.46</v>
      </c>
      <c r="J118" s="8" t="n">
        <v>63.94</v>
      </c>
      <c r="K118" s="7" t="n">
        <v>59.71</v>
      </c>
      <c r="L118" s="7" t="n">
        <v>53.65</v>
      </c>
      <c r="M118" s="8" t="n">
        <v>69.84999999999999</v>
      </c>
      <c r="N118" s="7" t="n">
        <v>56.61</v>
      </c>
      <c r="O118" s="8" t="n">
        <v>69.94</v>
      </c>
      <c r="P118" s="8" t="n">
        <v>66.79000000000001</v>
      </c>
      <c r="Q118" s="9" t="n">
        <v>70.36</v>
      </c>
      <c r="R118" s="9" t="n">
        <v>75.69</v>
      </c>
      <c r="S118" s="9" t="n">
        <v>72.65000000000001</v>
      </c>
      <c r="T118" s="9" t="n">
        <v>73.15000000000001</v>
      </c>
      <c r="U118" s="7" t="n">
        <v>59.67</v>
      </c>
      <c r="V118" s="8" t="n">
        <v>63.58</v>
      </c>
      <c r="W118" s="8" t="n">
        <v>60.46</v>
      </c>
      <c r="X118" s="7" t="n">
        <v>53.86</v>
      </c>
      <c r="Y118" s="8" t="n">
        <v>66.06999999999999</v>
      </c>
    </row>
    <row r="119" ht="15" customHeight="1">
      <c r="A119" s="13" t="n">
        <v>46063</v>
      </c>
      <c r="B119" s="9" t="n">
        <v>75.44</v>
      </c>
      <c r="C119" s="9" t="n">
        <v>71.78</v>
      </c>
      <c r="D119" s="9" t="n">
        <v>78.44</v>
      </c>
      <c r="E119" s="8" t="n">
        <v>65.48</v>
      </c>
      <c r="F119" s="7" t="n">
        <v>55.6</v>
      </c>
      <c r="G119" s="9" t="n">
        <v>71.18000000000001</v>
      </c>
      <c r="H119" s="7" t="n">
        <v>56.03</v>
      </c>
      <c r="I119" s="7" t="n">
        <v>59.29</v>
      </c>
      <c r="J119" s="8" t="n">
        <v>63.54</v>
      </c>
      <c r="K119" s="8" t="n">
        <v>63.71</v>
      </c>
      <c r="L119" s="7" t="n">
        <v>50.56</v>
      </c>
      <c r="M119" s="8" t="n">
        <v>69.17</v>
      </c>
      <c r="N119" s="7" t="n">
        <v>56.57</v>
      </c>
      <c r="O119" s="8" t="n">
        <v>67.84999999999999</v>
      </c>
      <c r="P119" s="8" t="n">
        <v>64.39</v>
      </c>
      <c r="Q119" s="8" t="n">
        <v>67.01000000000001</v>
      </c>
      <c r="R119" s="9" t="n">
        <v>73.42</v>
      </c>
      <c r="S119" s="9" t="n">
        <v>73.43000000000001</v>
      </c>
      <c r="T119" s="9" t="n">
        <v>70.66</v>
      </c>
      <c r="U119" s="8" t="n">
        <v>60.45</v>
      </c>
      <c r="V119" s="8" t="n">
        <v>62.57</v>
      </c>
      <c r="W119" s="7" t="n">
        <v>57.77</v>
      </c>
      <c r="X119" s="7" t="n">
        <v>49.46</v>
      </c>
      <c r="Y119" s="8" t="n">
        <v>63.58</v>
      </c>
    </row>
    <row r="120" ht="15" customHeight="1">
      <c r="A120" s="13" t="n">
        <v>46062</v>
      </c>
      <c r="B120" s="9" t="n">
        <v>70.42</v>
      </c>
      <c r="C120" s="8" t="n">
        <v>65.59</v>
      </c>
      <c r="D120" s="8" t="n">
        <v>62.54</v>
      </c>
      <c r="E120" s="8" t="n">
        <v>63.91</v>
      </c>
      <c r="F120" s="7" t="n">
        <v>53.96</v>
      </c>
      <c r="G120" s="8" t="n">
        <v>66.89</v>
      </c>
      <c r="H120" s="7" t="n">
        <v>55.21</v>
      </c>
      <c r="I120" s="7" t="n">
        <v>59.02</v>
      </c>
      <c r="J120" s="8" t="n">
        <v>64.94</v>
      </c>
      <c r="K120" s="8" t="n">
        <v>66.16</v>
      </c>
      <c r="L120" s="7" t="n">
        <v>51.94</v>
      </c>
      <c r="M120" s="8" t="n">
        <v>65.97</v>
      </c>
      <c r="N120" s="8" t="n">
        <v>60.64</v>
      </c>
      <c r="O120" s="8" t="n">
        <v>65.79000000000001</v>
      </c>
      <c r="P120" s="7" t="n">
        <v>58.34</v>
      </c>
      <c r="Q120" s="8" t="n">
        <v>65.25</v>
      </c>
      <c r="R120" s="9" t="n">
        <v>71.91</v>
      </c>
      <c r="S120" s="9" t="n">
        <v>72.84999999999999</v>
      </c>
      <c r="T120" s="8" t="n">
        <v>67.84999999999999</v>
      </c>
      <c r="U120" s="7" t="n">
        <v>58.92</v>
      </c>
      <c r="V120" s="8" t="n">
        <v>63.52</v>
      </c>
      <c r="W120" s="7" t="n">
        <v>56.55</v>
      </c>
      <c r="X120" s="7" t="n">
        <v>45.64</v>
      </c>
      <c r="Y120" s="8" t="n">
        <v>62.26</v>
      </c>
    </row>
    <row r="121" ht="15" customHeight="1">
      <c r="A121" s="13" t="n">
        <v>46059</v>
      </c>
      <c r="B121" s="8" t="n">
        <v>63.72</v>
      </c>
      <c r="C121" s="8" t="n">
        <v>65.70999999999999</v>
      </c>
      <c r="D121" s="7" t="n">
        <v>49.02</v>
      </c>
      <c r="E121" s="7" t="n">
        <v>55.17</v>
      </c>
      <c r="F121" s="7" t="n">
        <v>47.48</v>
      </c>
      <c r="G121" s="8" t="n">
        <v>62.81</v>
      </c>
      <c r="H121" s="7" t="n">
        <v>51.58</v>
      </c>
      <c r="I121" s="7" t="n">
        <v>53.45</v>
      </c>
      <c r="J121" s="7" t="n">
        <v>59.44</v>
      </c>
      <c r="K121" s="7" t="n">
        <v>55.32</v>
      </c>
      <c r="L121" s="7" t="n">
        <v>49.55</v>
      </c>
      <c r="M121" s="7" t="n">
        <v>58.06</v>
      </c>
      <c r="N121" s="7" t="n">
        <v>57.22</v>
      </c>
      <c r="O121" s="7" t="n">
        <v>59.22</v>
      </c>
      <c r="P121" s="7" t="n">
        <v>53.41</v>
      </c>
      <c r="Q121" s="7" t="n">
        <v>58.37</v>
      </c>
      <c r="R121" s="8" t="n">
        <v>66.67</v>
      </c>
      <c r="S121" s="8" t="n">
        <v>67.68000000000001</v>
      </c>
      <c r="T121" s="8" t="n">
        <v>63.05</v>
      </c>
      <c r="U121" s="7" t="n">
        <v>51.96</v>
      </c>
      <c r="V121" s="7" t="n">
        <v>57.72</v>
      </c>
      <c r="W121" s="7" t="n">
        <v>56.45</v>
      </c>
      <c r="X121" s="7" t="n">
        <v>42.03</v>
      </c>
      <c r="Y121" s="7" t="n">
        <v>52.84</v>
      </c>
    </row>
    <row r="122" ht="15" customHeight="1">
      <c r="A122" s="13" t="n">
        <v>46058</v>
      </c>
      <c r="B122" s="8" t="n">
        <v>65.05</v>
      </c>
      <c r="C122" s="9" t="n">
        <v>73.84</v>
      </c>
      <c r="D122" s="7" t="n">
        <v>54.06</v>
      </c>
      <c r="E122" s="8" t="n">
        <v>60.04</v>
      </c>
      <c r="F122" s="7" t="n">
        <v>49.79</v>
      </c>
      <c r="G122" s="8" t="n">
        <v>63.91</v>
      </c>
      <c r="H122" s="7" t="n">
        <v>55.09</v>
      </c>
      <c r="I122" s="7" t="n">
        <v>56.48</v>
      </c>
      <c r="J122" s="8" t="n">
        <v>61.06</v>
      </c>
      <c r="K122" s="7" t="n">
        <v>57.84</v>
      </c>
      <c r="L122" s="7" t="n">
        <v>54.14</v>
      </c>
      <c r="M122" s="8" t="n">
        <v>69.95</v>
      </c>
      <c r="N122" s="8" t="n">
        <v>60.39</v>
      </c>
      <c r="O122" s="8" t="n">
        <v>63.08</v>
      </c>
      <c r="P122" s="7" t="n">
        <v>57.64</v>
      </c>
      <c r="Q122" s="9" t="n">
        <v>71.83</v>
      </c>
      <c r="R122" s="8" t="n">
        <v>69.66</v>
      </c>
      <c r="S122" s="9" t="n">
        <v>72.98999999999999</v>
      </c>
      <c r="T122" s="8" t="n">
        <v>65.19</v>
      </c>
      <c r="U122" s="7" t="n">
        <v>57.65</v>
      </c>
      <c r="V122" s="8" t="n">
        <v>60.61</v>
      </c>
      <c r="W122" s="7" t="n">
        <v>57.08</v>
      </c>
      <c r="X122" s="7" t="n">
        <v>46.57</v>
      </c>
      <c r="Y122" s="7" t="n">
        <v>58.69</v>
      </c>
    </row>
    <row r="123" ht="15" customHeight="1">
      <c r="A123" s="13" t="n">
        <v>46057</v>
      </c>
      <c r="B123" s="8" t="n">
        <v>65.97</v>
      </c>
      <c r="C123" s="9" t="n">
        <v>70.04000000000001</v>
      </c>
      <c r="D123" s="7" t="n">
        <v>52.98</v>
      </c>
      <c r="E123" s="8" t="n">
        <v>64.25</v>
      </c>
      <c r="F123" s="7" t="n">
        <v>53.5</v>
      </c>
      <c r="G123" s="8" t="n">
        <v>63.46</v>
      </c>
      <c r="H123" s="8" t="n">
        <v>61.79</v>
      </c>
      <c r="I123" s="8" t="n">
        <v>65.69</v>
      </c>
      <c r="J123" s="9" t="n">
        <v>72.84999999999999</v>
      </c>
      <c r="K123" s="8" t="n">
        <v>64.91</v>
      </c>
      <c r="L123" s="8" t="n">
        <v>62.16</v>
      </c>
      <c r="M123" s="9" t="n">
        <v>75.67</v>
      </c>
      <c r="N123" s="8" t="n">
        <v>61.83</v>
      </c>
      <c r="O123" s="8" t="n">
        <v>67.88</v>
      </c>
      <c r="P123" s="8" t="n">
        <v>61.71</v>
      </c>
      <c r="Q123" s="9" t="n">
        <v>77.2</v>
      </c>
      <c r="R123" s="9" t="n">
        <v>74.68000000000001</v>
      </c>
      <c r="S123" s="9" t="n">
        <v>78.93000000000001</v>
      </c>
      <c r="T123" s="8" t="n">
        <v>69.81999999999999</v>
      </c>
      <c r="U123" s="8" t="n">
        <v>64.54000000000001</v>
      </c>
      <c r="V123" s="9" t="n">
        <v>72.87</v>
      </c>
      <c r="W123" s="7" t="n">
        <v>54.87</v>
      </c>
      <c r="X123" s="7" t="n">
        <v>52.25</v>
      </c>
      <c r="Y123" s="8" t="n">
        <v>60.35</v>
      </c>
    </row>
    <row r="124" ht="15" customHeight="1">
      <c r="A124" s="13" t="n">
        <v>46056</v>
      </c>
      <c r="B124" s="7" t="n">
        <v>59.47</v>
      </c>
      <c r="C124" s="8" t="n">
        <v>64.23</v>
      </c>
      <c r="D124" s="7" t="n">
        <v>42.78</v>
      </c>
      <c r="E124" s="7" t="n">
        <v>58.36</v>
      </c>
      <c r="F124" s="7" t="n">
        <v>49.46</v>
      </c>
      <c r="G124" s="7" t="n">
        <v>57.19</v>
      </c>
      <c r="H124" s="7" t="n">
        <v>57.26</v>
      </c>
      <c r="I124" s="8" t="n">
        <v>61.62</v>
      </c>
      <c r="J124" s="9" t="n">
        <v>72.19</v>
      </c>
      <c r="K124" s="8" t="n">
        <v>65.04000000000001</v>
      </c>
      <c r="L124" s="7" t="n">
        <v>59.88</v>
      </c>
      <c r="M124" s="9" t="n">
        <v>73.39</v>
      </c>
      <c r="N124" s="7" t="n">
        <v>56.39</v>
      </c>
      <c r="O124" s="8" t="n">
        <v>63.83</v>
      </c>
      <c r="P124" s="7" t="n">
        <v>57.79</v>
      </c>
      <c r="Q124" s="9" t="n">
        <v>73.51000000000001</v>
      </c>
      <c r="R124" s="9" t="n">
        <v>71.23999999999999</v>
      </c>
      <c r="S124" s="9" t="n">
        <v>78.70999999999999</v>
      </c>
      <c r="T124" s="8" t="n">
        <v>61.25</v>
      </c>
      <c r="U124" s="8" t="n">
        <v>60.58</v>
      </c>
      <c r="V124" s="9" t="n">
        <v>71.40000000000001</v>
      </c>
      <c r="W124" s="7" t="n">
        <v>50.48</v>
      </c>
      <c r="X124" s="7" t="n">
        <v>53.67</v>
      </c>
      <c r="Y124" s="7" t="n">
        <v>57.9</v>
      </c>
    </row>
    <row r="125" ht="15" customHeight="1">
      <c r="A125" s="13" t="n">
        <v>46055</v>
      </c>
      <c r="B125" s="7" t="n">
        <v>53.73</v>
      </c>
      <c r="C125" s="7" t="n">
        <v>59.93</v>
      </c>
      <c r="D125" s="7" t="n">
        <v>33.33</v>
      </c>
      <c r="E125" s="7" t="n">
        <v>51.92</v>
      </c>
      <c r="F125" s="7" t="n">
        <v>41.64</v>
      </c>
      <c r="G125" s="7" t="n">
        <v>47.3</v>
      </c>
      <c r="H125" s="7" t="n">
        <v>51.74</v>
      </c>
      <c r="I125" s="7" t="n">
        <v>50.94</v>
      </c>
      <c r="J125" s="8" t="n">
        <v>61.82</v>
      </c>
      <c r="K125" s="7" t="n">
        <v>58.62</v>
      </c>
      <c r="L125" s="7" t="n">
        <v>54.85</v>
      </c>
      <c r="M125" s="8" t="n">
        <v>61.89</v>
      </c>
      <c r="N125" s="7" t="n">
        <v>51.99</v>
      </c>
      <c r="O125" s="7" t="n">
        <v>54.1</v>
      </c>
      <c r="P125" s="7" t="n">
        <v>52.16</v>
      </c>
      <c r="Q125" s="8" t="n">
        <v>67.93000000000001</v>
      </c>
      <c r="R125" s="8" t="n">
        <v>61.59</v>
      </c>
      <c r="S125" s="8" t="n">
        <v>69.73</v>
      </c>
      <c r="T125" s="7" t="n">
        <v>55.25</v>
      </c>
      <c r="U125" s="7" t="n">
        <v>51.78</v>
      </c>
      <c r="V125" s="8" t="n">
        <v>60.71</v>
      </c>
      <c r="W125" s="7" t="n">
        <v>45.06</v>
      </c>
      <c r="X125" s="7" t="n">
        <v>51.37</v>
      </c>
      <c r="Y125" s="7" t="n">
        <v>50.77</v>
      </c>
    </row>
    <row r="126" ht="15" customHeight="1">
      <c r="A126" s="13" t="n">
        <v>46052</v>
      </c>
      <c r="B126" s="8" t="n">
        <v>61.23</v>
      </c>
      <c r="C126" s="8" t="n">
        <v>65.56999999999999</v>
      </c>
      <c r="D126" s="7" t="n">
        <v>40.06</v>
      </c>
      <c r="E126" s="8" t="n">
        <v>62.81</v>
      </c>
      <c r="F126" s="7" t="n">
        <v>48.49</v>
      </c>
      <c r="G126" s="7" t="n">
        <v>54.04</v>
      </c>
      <c r="H126" s="8" t="n">
        <v>66.29000000000001</v>
      </c>
      <c r="I126" s="8" t="n">
        <v>64.01000000000001</v>
      </c>
      <c r="J126" s="9" t="n">
        <v>83.70999999999999</v>
      </c>
      <c r="K126" s="9" t="n">
        <v>75.65000000000001</v>
      </c>
      <c r="L126" s="8" t="n">
        <v>63.1</v>
      </c>
      <c r="M126" s="9" t="n">
        <v>76.95999999999999</v>
      </c>
      <c r="N126" s="7" t="n">
        <v>54.51</v>
      </c>
      <c r="O126" s="8" t="n">
        <v>61.43</v>
      </c>
      <c r="P126" s="7" t="n">
        <v>55.16</v>
      </c>
      <c r="Q126" s="9" t="n">
        <v>82.14</v>
      </c>
      <c r="R126" s="9" t="n">
        <v>79.8</v>
      </c>
      <c r="S126" s="9" t="n">
        <v>84.68000000000001</v>
      </c>
      <c r="T126" s="8" t="n">
        <v>67.54000000000001</v>
      </c>
      <c r="U126" s="8" t="n">
        <v>64.17</v>
      </c>
      <c r="V126" s="9" t="n">
        <v>84.84</v>
      </c>
      <c r="W126" s="7" t="n">
        <v>52.35</v>
      </c>
      <c r="X126" s="8" t="n">
        <v>61.83</v>
      </c>
      <c r="Y126" s="8" t="n">
        <v>63.96</v>
      </c>
    </row>
    <row r="127" ht="15" customHeight="1">
      <c r="A127" s="13" t="n">
        <v>46051</v>
      </c>
      <c r="B127" s="7" t="n">
        <v>55.52</v>
      </c>
      <c r="C127" s="7" t="n">
        <v>58.81</v>
      </c>
      <c r="D127" s="7" t="n">
        <v>40.71</v>
      </c>
      <c r="E127" s="9" t="n">
        <v>71.87</v>
      </c>
      <c r="F127" s="7" t="n">
        <v>54.62</v>
      </c>
      <c r="G127" s="7" t="n">
        <v>55.91</v>
      </c>
      <c r="H127" s="9" t="n">
        <v>77.14</v>
      </c>
      <c r="I127" s="9" t="n">
        <v>70.65000000000001</v>
      </c>
      <c r="J127" s="9" t="n">
        <v>82.45</v>
      </c>
      <c r="K127" s="9" t="n">
        <v>77.22</v>
      </c>
      <c r="L127" s="8" t="n">
        <v>68.27</v>
      </c>
      <c r="M127" s="9" t="n">
        <v>75.5</v>
      </c>
      <c r="N127" s="8" t="n">
        <v>60.82</v>
      </c>
      <c r="O127" s="9" t="n">
        <v>73.02</v>
      </c>
      <c r="P127" s="8" t="n">
        <v>65.22</v>
      </c>
      <c r="Q127" s="9" t="n">
        <v>79.54000000000001</v>
      </c>
      <c r="R127" s="9" t="n">
        <v>79.20999999999999</v>
      </c>
      <c r="S127" s="9" t="n">
        <v>83.23</v>
      </c>
      <c r="T127" s="9" t="n">
        <v>71.06999999999999</v>
      </c>
      <c r="U127" s="8" t="n">
        <v>68.66</v>
      </c>
      <c r="V127" s="9" t="n">
        <v>84.63</v>
      </c>
      <c r="W127" s="7" t="n">
        <v>59.59</v>
      </c>
      <c r="X127" s="9" t="n">
        <v>70.04000000000001</v>
      </c>
      <c r="Y127" s="8" t="n">
        <v>68.02</v>
      </c>
    </row>
    <row r="128" ht="15" customHeight="1">
      <c r="A128" s="13" t="n">
        <v>46050</v>
      </c>
      <c r="B128" s="7" t="n">
        <v>50.82</v>
      </c>
      <c r="C128" s="7" t="n">
        <v>57.59</v>
      </c>
      <c r="D128" s="7" t="n">
        <v>39.85</v>
      </c>
      <c r="E128" s="8" t="n">
        <v>69.98999999999999</v>
      </c>
      <c r="F128" s="7" t="n">
        <v>57.94</v>
      </c>
      <c r="G128" s="7" t="n">
        <v>49.5</v>
      </c>
      <c r="H128" s="9" t="n">
        <v>74.72</v>
      </c>
      <c r="I128" s="8" t="n">
        <v>66.03</v>
      </c>
      <c r="J128" s="9" t="n">
        <v>82.59</v>
      </c>
      <c r="K128" s="9" t="n">
        <v>75.33</v>
      </c>
      <c r="L128" s="8" t="n">
        <v>65.47</v>
      </c>
      <c r="M128" s="9" t="n">
        <v>74.51000000000001</v>
      </c>
      <c r="N128" s="7" t="n">
        <v>57.89</v>
      </c>
      <c r="O128" s="9" t="n">
        <v>71.39</v>
      </c>
      <c r="P128" s="7" t="n">
        <v>57.91</v>
      </c>
      <c r="Q128" s="9" t="n">
        <v>78.8</v>
      </c>
      <c r="R128" s="9" t="n">
        <v>75.34</v>
      </c>
      <c r="S128" s="9" t="n">
        <v>76.54000000000001</v>
      </c>
      <c r="T128" s="8" t="n">
        <v>68.65000000000001</v>
      </c>
      <c r="U128" s="8" t="n">
        <v>66.70999999999999</v>
      </c>
      <c r="V128" s="9" t="n">
        <v>84.11</v>
      </c>
      <c r="W128" s="7" t="n">
        <v>54.17</v>
      </c>
      <c r="X128" s="8" t="n">
        <v>66.27</v>
      </c>
      <c r="Y128" s="8" t="n">
        <v>67.66</v>
      </c>
    </row>
    <row r="129" ht="15" customHeight="1">
      <c r="A129" s="13" t="n">
        <v>46049</v>
      </c>
      <c r="B129" s="7" t="n">
        <v>50.68</v>
      </c>
      <c r="C129" s="7" t="n">
        <v>47.39</v>
      </c>
      <c r="D129" s="7" t="n">
        <v>43.22</v>
      </c>
      <c r="E129" s="8" t="n">
        <v>68.8</v>
      </c>
      <c r="F129" s="7" t="n">
        <v>54.02</v>
      </c>
      <c r="G129" s="7" t="n">
        <v>45.04</v>
      </c>
      <c r="H129" s="9" t="n">
        <v>73.3</v>
      </c>
      <c r="I129" s="8" t="n">
        <v>67.20999999999999</v>
      </c>
      <c r="J129" s="9" t="n">
        <v>79.89</v>
      </c>
      <c r="K129" s="9" t="n">
        <v>71.06</v>
      </c>
      <c r="L129" s="8" t="n">
        <v>64.56</v>
      </c>
      <c r="M129" s="9" t="n">
        <v>72.67</v>
      </c>
      <c r="N129" s="8" t="n">
        <v>60.79</v>
      </c>
      <c r="O129" s="9" t="n">
        <v>70.81</v>
      </c>
      <c r="P129" s="7" t="n">
        <v>58.58</v>
      </c>
      <c r="Q129" s="9" t="n">
        <v>82.05</v>
      </c>
      <c r="R129" s="9" t="n">
        <v>74.92</v>
      </c>
      <c r="S129" s="9" t="n">
        <v>75.92</v>
      </c>
      <c r="T129" s="8" t="n">
        <v>67.61</v>
      </c>
      <c r="U129" s="8" t="n">
        <v>62.61</v>
      </c>
      <c r="V129" s="9" t="n">
        <v>81.81</v>
      </c>
      <c r="W129" s="8" t="n">
        <v>62.79</v>
      </c>
      <c r="X129" s="8" t="n">
        <v>69.23999999999999</v>
      </c>
      <c r="Y129" s="8" t="n">
        <v>67.41</v>
      </c>
    </row>
    <row r="130" ht="15" customHeight="1">
      <c r="A130" s="13" t="n">
        <v>46048</v>
      </c>
      <c r="B130" s="7" t="n">
        <v>48.04</v>
      </c>
      <c r="C130" s="7" t="n">
        <v>48.03</v>
      </c>
      <c r="D130" s="7" t="n">
        <v>43.26</v>
      </c>
      <c r="E130" s="8" t="n">
        <v>69.58</v>
      </c>
      <c r="F130" s="7" t="n">
        <v>56.94</v>
      </c>
      <c r="G130" s="7" t="n">
        <v>45.45</v>
      </c>
      <c r="H130" s="9" t="n">
        <v>75.25</v>
      </c>
      <c r="I130" s="8" t="n">
        <v>65.2</v>
      </c>
      <c r="J130" s="9" t="n">
        <v>74.2</v>
      </c>
      <c r="K130" s="8" t="n">
        <v>65.53</v>
      </c>
      <c r="L130" s="8" t="n">
        <v>67.06</v>
      </c>
      <c r="M130" s="9" t="n">
        <v>71.79000000000001</v>
      </c>
      <c r="N130" s="8" t="n">
        <v>60.67</v>
      </c>
      <c r="O130" s="8" t="n">
        <v>69.73999999999999</v>
      </c>
      <c r="P130" s="7" t="n">
        <v>58.39</v>
      </c>
      <c r="Q130" s="8" t="n">
        <v>69.98</v>
      </c>
      <c r="R130" s="8" t="n">
        <v>69.79000000000001</v>
      </c>
      <c r="S130" s="9" t="n">
        <v>71.64</v>
      </c>
      <c r="T130" s="8" t="n">
        <v>63.25</v>
      </c>
      <c r="U130" s="8" t="n">
        <v>60.73</v>
      </c>
      <c r="V130" s="9" t="n">
        <v>78.11</v>
      </c>
      <c r="W130" s="7" t="n">
        <v>57.06</v>
      </c>
      <c r="X130" s="8" t="n">
        <v>65.31999999999999</v>
      </c>
      <c r="Y130" s="9" t="n">
        <v>70.31</v>
      </c>
    </row>
    <row r="131" ht="15" customHeight="1">
      <c r="A131" s="13" t="n">
        <v>46045</v>
      </c>
      <c r="B131" s="7" t="n">
        <v>56.5</v>
      </c>
      <c r="C131" s="7" t="n">
        <v>48.5</v>
      </c>
      <c r="D131" s="7" t="n">
        <v>46.08</v>
      </c>
      <c r="E131" s="9" t="n">
        <v>71</v>
      </c>
      <c r="F131" s="7" t="n">
        <v>54.49</v>
      </c>
      <c r="G131" s="7" t="n">
        <v>45.24</v>
      </c>
      <c r="H131" s="9" t="n">
        <v>70.43000000000001</v>
      </c>
      <c r="I131" s="8" t="n">
        <v>68.09</v>
      </c>
      <c r="J131" s="9" t="n">
        <v>78.84</v>
      </c>
      <c r="K131" s="7" t="n">
        <v>57.52</v>
      </c>
      <c r="L131" s="8" t="n">
        <v>69.97</v>
      </c>
      <c r="M131" s="9" t="n">
        <v>83.25</v>
      </c>
      <c r="N131" s="8" t="n">
        <v>62.66</v>
      </c>
      <c r="O131" s="9" t="n">
        <v>74.94</v>
      </c>
      <c r="P131" s="8" t="n">
        <v>66</v>
      </c>
      <c r="Q131" s="9" t="n">
        <v>73.78</v>
      </c>
      <c r="R131" s="9" t="n">
        <v>75.56999999999999</v>
      </c>
      <c r="S131" s="9" t="n">
        <v>75.54000000000001</v>
      </c>
      <c r="T131" s="8" t="n">
        <v>66.19</v>
      </c>
      <c r="U131" s="8" t="n">
        <v>61.61</v>
      </c>
      <c r="V131" s="9" t="n">
        <v>82.26000000000001</v>
      </c>
      <c r="W131" s="7" t="n">
        <v>56.16</v>
      </c>
      <c r="X131" s="8" t="n">
        <v>63.12</v>
      </c>
      <c r="Y131" s="9" t="n">
        <v>70.09</v>
      </c>
    </row>
    <row r="132" ht="15" customHeight="1">
      <c r="A132" s="13" t="n">
        <v>46044</v>
      </c>
      <c r="B132" s="7" t="n">
        <v>53.94</v>
      </c>
      <c r="C132" s="7" t="n">
        <v>44.46</v>
      </c>
      <c r="D132" s="7" t="n">
        <v>41.52</v>
      </c>
      <c r="E132" s="8" t="n">
        <v>69.34</v>
      </c>
      <c r="F132" s="7" t="n">
        <v>48.25</v>
      </c>
      <c r="G132" s="7" t="n">
        <v>41.41</v>
      </c>
      <c r="H132" s="8" t="n">
        <v>68.29000000000001</v>
      </c>
      <c r="I132" s="8" t="n">
        <v>64.42</v>
      </c>
      <c r="J132" s="9" t="n">
        <v>78.59999999999999</v>
      </c>
      <c r="K132" s="7" t="n">
        <v>55.14</v>
      </c>
      <c r="L132" s="9" t="n">
        <v>72.65000000000001</v>
      </c>
      <c r="M132" s="9" t="n">
        <v>80.68000000000001</v>
      </c>
      <c r="N132" s="9" t="n">
        <v>74.92</v>
      </c>
      <c r="O132" s="9" t="n">
        <v>71.23999999999999</v>
      </c>
      <c r="P132" s="9" t="n">
        <v>73.39</v>
      </c>
      <c r="Q132" s="9" t="n">
        <v>73.62</v>
      </c>
      <c r="R132" s="8" t="n">
        <v>69.91</v>
      </c>
      <c r="S132" s="8" t="n">
        <v>64.56999999999999</v>
      </c>
      <c r="T132" s="8" t="n">
        <v>61.87</v>
      </c>
      <c r="U132" s="7" t="n">
        <v>57.4</v>
      </c>
      <c r="V132" s="9" t="n">
        <v>81.93000000000001</v>
      </c>
      <c r="W132" s="7" t="n">
        <v>54.77</v>
      </c>
      <c r="X132" s="7" t="n">
        <v>53.69</v>
      </c>
      <c r="Y132" s="8" t="n">
        <v>66.61</v>
      </c>
    </row>
    <row r="133" ht="15" customHeight="1">
      <c r="A133" s="13" t="n">
        <v>46043</v>
      </c>
      <c r="B133" s="7" t="n">
        <v>49.79</v>
      </c>
      <c r="C133" s="7" t="n">
        <v>43.94</v>
      </c>
      <c r="D133" s="7" t="n">
        <v>44.85</v>
      </c>
      <c r="E133" s="8" t="n">
        <v>60.14</v>
      </c>
      <c r="F133" s="7" t="n">
        <v>53.28</v>
      </c>
      <c r="G133" s="7" t="n">
        <v>39.55</v>
      </c>
      <c r="H133" s="9" t="n">
        <v>72.81</v>
      </c>
      <c r="I133" s="8" t="n">
        <v>67.93000000000001</v>
      </c>
      <c r="J133" s="9" t="n">
        <v>75.86</v>
      </c>
      <c r="K133" s="7" t="n">
        <v>55.59</v>
      </c>
      <c r="L133" s="9" t="n">
        <v>81.09999999999999</v>
      </c>
      <c r="M133" s="9" t="n">
        <v>80.56</v>
      </c>
      <c r="N133" s="9" t="n">
        <v>80.06999999999999</v>
      </c>
      <c r="O133" s="9" t="n">
        <v>76.88</v>
      </c>
      <c r="P133" s="9" t="n">
        <v>71.55</v>
      </c>
      <c r="Q133" s="9" t="n">
        <v>73.42</v>
      </c>
      <c r="R133" s="8" t="n">
        <v>67.31999999999999</v>
      </c>
      <c r="S133" s="8" t="n">
        <v>61.65</v>
      </c>
      <c r="T133" s="8" t="n">
        <v>60.84</v>
      </c>
      <c r="U133" s="7" t="n">
        <v>59.18</v>
      </c>
      <c r="V133" s="9" t="n">
        <v>80.83</v>
      </c>
      <c r="W133" s="7" t="n">
        <v>57.61</v>
      </c>
      <c r="X133" s="7" t="n">
        <v>51.72</v>
      </c>
      <c r="Y133" s="8" t="n">
        <v>64.20999999999999</v>
      </c>
    </row>
    <row r="134" ht="15" customHeight="1">
      <c r="A134" s="13" t="n">
        <v>46042</v>
      </c>
      <c r="B134" s="7" t="n">
        <v>55.96</v>
      </c>
      <c r="C134" s="7" t="n">
        <v>44.84</v>
      </c>
      <c r="D134" s="7" t="n">
        <v>48.11</v>
      </c>
      <c r="E134" s="8" t="n">
        <v>63</v>
      </c>
      <c r="F134" s="8" t="n">
        <v>64.14</v>
      </c>
      <c r="G134" s="7" t="n">
        <v>46.14</v>
      </c>
      <c r="H134" s="9" t="n">
        <v>73.19</v>
      </c>
      <c r="I134" s="9" t="n">
        <v>76.42</v>
      </c>
      <c r="J134" s="9" t="n">
        <v>74.59</v>
      </c>
      <c r="K134" s="7" t="n">
        <v>57.27</v>
      </c>
      <c r="L134" s="9" t="n">
        <v>78.41</v>
      </c>
      <c r="M134" s="9" t="n">
        <v>80.36</v>
      </c>
      <c r="N134" s="9" t="n">
        <v>78.14</v>
      </c>
      <c r="O134" s="9" t="n">
        <v>80.95999999999999</v>
      </c>
      <c r="P134" s="9" t="n">
        <v>79.92</v>
      </c>
      <c r="Q134" s="9" t="n">
        <v>77.34</v>
      </c>
      <c r="R134" s="9" t="n">
        <v>71.48</v>
      </c>
      <c r="S134" s="9" t="n">
        <v>70.55</v>
      </c>
      <c r="T134" s="8" t="n">
        <v>61.59</v>
      </c>
      <c r="U134" s="8" t="n">
        <v>66.16</v>
      </c>
      <c r="V134" s="9" t="n">
        <v>79.72</v>
      </c>
      <c r="W134" s="8" t="n">
        <v>62.81</v>
      </c>
      <c r="X134" s="7" t="n">
        <v>57.45</v>
      </c>
      <c r="Y134" s="9" t="n">
        <v>70.78</v>
      </c>
    </row>
    <row r="135" ht="15" customHeight="1">
      <c r="A135" s="13" t="n">
        <v>46041</v>
      </c>
      <c r="B135" s="7" t="n">
        <v>47.69</v>
      </c>
      <c r="C135" s="7" t="n">
        <v>38.08</v>
      </c>
      <c r="D135" s="7" t="n">
        <v>36.56</v>
      </c>
      <c r="E135" s="7" t="n">
        <v>59.11</v>
      </c>
      <c r="F135" s="8" t="n">
        <v>63.03</v>
      </c>
      <c r="G135" s="7" t="n">
        <v>41.42</v>
      </c>
      <c r="H135" s="9" t="n">
        <v>71.28</v>
      </c>
      <c r="I135" s="9" t="n">
        <v>76.95</v>
      </c>
      <c r="J135" s="9" t="n">
        <v>83.28</v>
      </c>
      <c r="K135" s="7" t="n">
        <v>54.51</v>
      </c>
      <c r="L135" s="9" t="n">
        <v>82.06999999999999</v>
      </c>
      <c r="M135" s="9" t="n">
        <v>77.34</v>
      </c>
      <c r="N135" s="8" t="n">
        <v>65.70999999999999</v>
      </c>
      <c r="O135" s="9" t="n">
        <v>80.03</v>
      </c>
      <c r="P135" s="9" t="n">
        <v>79.18000000000001</v>
      </c>
      <c r="Q135" s="8" t="n">
        <v>69.84</v>
      </c>
      <c r="R135" s="8" t="n">
        <v>66.81</v>
      </c>
      <c r="S135" s="9" t="n">
        <v>72.45</v>
      </c>
      <c r="T135" s="7" t="n">
        <v>52.9</v>
      </c>
      <c r="U135" s="7" t="n">
        <v>59.78</v>
      </c>
      <c r="V135" s="9" t="n">
        <v>86.33</v>
      </c>
      <c r="W135" s="8" t="n">
        <v>60.42</v>
      </c>
      <c r="X135" s="7" t="n">
        <v>54.81</v>
      </c>
      <c r="Y135" s="8" t="n">
        <v>68.92</v>
      </c>
    </row>
    <row r="136" ht="15" customHeight="1">
      <c r="A136" s="13" t="n">
        <v>46038</v>
      </c>
      <c r="B136" s="7" t="n">
        <v>43.27</v>
      </c>
      <c r="C136" s="7" t="n">
        <v>41.62</v>
      </c>
      <c r="D136" s="7" t="n">
        <v>37.68</v>
      </c>
      <c r="E136" s="7" t="n">
        <v>57.61</v>
      </c>
      <c r="F136" s="8" t="n">
        <v>68.47</v>
      </c>
      <c r="G136" s="7" t="n">
        <v>42.31</v>
      </c>
      <c r="H136" s="8" t="n">
        <v>68.76000000000001</v>
      </c>
      <c r="I136" s="9" t="n">
        <v>75.40000000000001</v>
      </c>
      <c r="J136" s="9" t="n">
        <v>82.51000000000001</v>
      </c>
      <c r="K136" s="7" t="n">
        <v>57.44</v>
      </c>
      <c r="L136" s="9" t="n">
        <v>77.12</v>
      </c>
      <c r="M136" s="9" t="n">
        <v>76.8</v>
      </c>
      <c r="N136" s="8" t="n">
        <v>62.49</v>
      </c>
      <c r="O136" s="9" t="n">
        <v>78.81</v>
      </c>
      <c r="P136" s="9" t="n">
        <v>76.37</v>
      </c>
      <c r="Q136" s="8" t="n">
        <v>61.6</v>
      </c>
      <c r="R136" s="8" t="n">
        <v>69.75</v>
      </c>
      <c r="S136" s="9" t="n">
        <v>72.59999999999999</v>
      </c>
      <c r="T136" s="7" t="n">
        <v>56.44</v>
      </c>
      <c r="U136" s="8" t="n">
        <v>61.48</v>
      </c>
      <c r="V136" s="9" t="n">
        <v>84.81999999999999</v>
      </c>
      <c r="W136" s="7" t="n">
        <v>56.52</v>
      </c>
      <c r="X136" s="7" t="n">
        <v>55.67</v>
      </c>
      <c r="Y136" s="7" t="n">
        <v>56.83</v>
      </c>
    </row>
    <row r="137" ht="15" customHeight="1">
      <c r="A137" s="13" t="n">
        <v>46037</v>
      </c>
      <c r="B137" s="7" t="n">
        <v>45</v>
      </c>
      <c r="C137" s="7" t="n">
        <v>41.25</v>
      </c>
      <c r="D137" s="7" t="n">
        <v>39.49</v>
      </c>
      <c r="E137" s="8" t="n">
        <v>61.74</v>
      </c>
      <c r="F137" s="9" t="n">
        <v>71.23</v>
      </c>
      <c r="G137" s="7" t="n">
        <v>44.73</v>
      </c>
      <c r="H137" s="8" t="n">
        <v>68.11</v>
      </c>
      <c r="I137" s="9" t="n">
        <v>72.13</v>
      </c>
      <c r="J137" s="9" t="n">
        <v>80.66</v>
      </c>
      <c r="K137" s="7" t="n">
        <v>59.22</v>
      </c>
      <c r="L137" s="9" t="n">
        <v>81.84999999999999</v>
      </c>
      <c r="M137" s="9" t="n">
        <v>75.36</v>
      </c>
      <c r="N137" s="8" t="n">
        <v>60.47</v>
      </c>
      <c r="O137" s="9" t="n">
        <v>75.66</v>
      </c>
      <c r="P137" s="9" t="n">
        <v>80.97</v>
      </c>
      <c r="Q137" s="8" t="n">
        <v>60.32</v>
      </c>
      <c r="R137" s="8" t="n">
        <v>67.44</v>
      </c>
      <c r="S137" s="9" t="n">
        <v>70.91</v>
      </c>
      <c r="T137" s="7" t="n">
        <v>47.51</v>
      </c>
      <c r="U137" s="7" t="n">
        <v>58.26</v>
      </c>
      <c r="V137" s="9" t="n">
        <v>83.89</v>
      </c>
      <c r="W137" s="7" t="n">
        <v>54.43</v>
      </c>
      <c r="X137" s="7" t="n">
        <v>58.63</v>
      </c>
      <c r="Y137" s="7" t="n">
        <v>59.78</v>
      </c>
    </row>
    <row r="138" ht="15" customHeight="1">
      <c r="A138" s="13" t="n">
        <v>46036</v>
      </c>
      <c r="B138" s="7" t="n">
        <v>47.55</v>
      </c>
      <c r="C138" s="7" t="n">
        <v>39.56</v>
      </c>
      <c r="D138" s="7" t="n">
        <v>40.45</v>
      </c>
      <c r="E138" s="7" t="n">
        <v>55.91</v>
      </c>
      <c r="F138" s="8" t="n">
        <v>69</v>
      </c>
      <c r="G138" s="7" t="n">
        <v>45.61</v>
      </c>
      <c r="H138" s="8" t="n">
        <v>62.73</v>
      </c>
      <c r="I138" s="9" t="n">
        <v>71.25</v>
      </c>
      <c r="J138" s="9" t="n">
        <v>78.79000000000001</v>
      </c>
      <c r="K138" s="8" t="n">
        <v>61.72</v>
      </c>
      <c r="L138" s="9" t="n">
        <v>79.63</v>
      </c>
      <c r="M138" s="9" t="n">
        <v>73.56</v>
      </c>
      <c r="N138" s="7" t="n">
        <v>59.89</v>
      </c>
      <c r="O138" s="9" t="n">
        <v>72.52</v>
      </c>
      <c r="P138" s="9" t="n">
        <v>80.59</v>
      </c>
      <c r="Q138" s="7" t="n">
        <v>58.11</v>
      </c>
      <c r="R138" s="8" t="n">
        <v>65.91</v>
      </c>
      <c r="S138" s="8" t="n">
        <v>66.91</v>
      </c>
      <c r="T138" s="7" t="n">
        <v>48.92</v>
      </c>
      <c r="U138" s="7" t="n">
        <v>49.82</v>
      </c>
      <c r="V138" s="9" t="n">
        <v>81.88</v>
      </c>
      <c r="W138" s="7" t="n">
        <v>51.92</v>
      </c>
      <c r="X138" s="8" t="n">
        <v>64.2</v>
      </c>
      <c r="Y138" s="7" t="n">
        <v>55.66</v>
      </c>
    </row>
    <row r="139" ht="15" customHeight="1">
      <c r="A139" s="13" t="n">
        <v>46035</v>
      </c>
      <c r="B139" s="7" t="n">
        <v>39.61</v>
      </c>
      <c r="C139" s="7" t="n">
        <v>32.29</v>
      </c>
      <c r="D139" s="7" t="n">
        <v>36.57</v>
      </c>
      <c r="E139" s="7" t="n">
        <v>52.54</v>
      </c>
      <c r="F139" s="9" t="n">
        <v>73.48</v>
      </c>
      <c r="G139" s="7" t="n">
        <v>42.47</v>
      </c>
      <c r="H139" s="8" t="n">
        <v>67.92</v>
      </c>
      <c r="I139" s="8" t="n">
        <v>69.56999999999999</v>
      </c>
      <c r="J139" s="9" t="n">
        <v>77.51000000000001</v>
      </c>
      <c r="K139" s="7" t="n">
        <v>58.86</v>
      </c>
      <c r="L139" s="9" t="n">
        <v>82.56</v>
      </c>
      <c r="M139" s="8" t="n">
        <v>67.65000000000001</v>
      </c>
      <c r="N139" s="8" t="n">
        <v>67.29000000000001</v>
      </c>
      <c r="O139" s="9" t="n">
        <v>70.53</v>
      </c>
      <c r="P139" s="9" t="n">
        <v>79.5</v>
      </c>
      <c r="Q139" s="7" t="n">
        <v>56.14</v>
      </c>
      <c r="R139" s="8" t="n">
        <v>62.34</v>
      </c>
      <c r="S139" s="8" t="n">
        <v>62.47</v>
      </c>
      <c r="T139" s="7" t="n">
        <v>44.29</v>
      </c>
      <c r="U139" s="7" t="n">
        <v>49.28</v>
      </c>
      <c r="V139" s="9" t="n">
        <v>81.23999999999999</v>
      </c>
      <c r="W139" s="7" t="n">
        <v>51.79</v>
      </c>
      <c r="X139" s="8" t="n">
        <v>67.41</v>
      </c>
      <c r="Y139" s="7" t="n">
        <v>56.92</v>
      </c>
    </row>
    <row r="140" ht="15" customHeight="1">
      <c r="A140" s="13" t="n">
        <v>46034</v>
      </c>
      <c r="B140" s="7" t="n">
        <v>40.28</v>
      </c>
      <c r="C140" s="7" t="n">
        <v>33.59</v>
      </c>
      <c r="D140" s="7" t="n">
        <v>37.76</v>
      </c>
      <c r="E140" s="7" t="n">
        <v>43.97</v>
      </c>
      <c r="F140" s="9" t="n">
        <v>70.17</v>
      </c>
      <c r="G140" s="7" t="n">
        <v>48.15</v>
      </c>
      <c r="H140" s="7" t="n">
        <v>56.77</v>
      </c>
      <c r="I140" s="8" t="n">
        <v>69.68000000000001</v>
      </c>
      <c r="J140" s="9" t="n">
        <v>78.27</v>
      </c>
      <c r="K140" s="7" t="n">
        <v>59.59</v>
      </c>
      <c r="L140" s="9" t="n">
        <v>77.48</v>
      </c>
      <c r="M140" s="8" t="n">
        <v>62.16</v>
      </c>
      <c r="N140" s="7" t="n">
        <v>55.76</v>
      </c>
      <c r="O140" s="9" t="n">
        <v>70.31</v>
      </c>
      <c r="P140" s="9" t="n">
        <v>74.98</v>
      </c>
      <c r="Q140" s="7" t="n">
        <v>44.54</v>
      </c>
      <c r="R140" s="8" t="n">
        <v>60.18</v>
      </c>
      <c r="S140" s="8" t="n">
        <v>61.24</v>
      </c>
      <c r="T140" s="7" t="n">
        <v>44.46</v>
      </c>
      <c r="U140" s="7" t="n">
        <v>42.33</v>
      </c>
      <c r="V140" s="9" t="n">
        <v>79.69</v>
      </c>
      <c r="W140" s="7" t="n">
        <v>54.61</v>
      </c>
      <c r="X140" s="8" t="n">
        <v>60.28</v>
      </c>
      <c r="Y140" s="7" t="n">
        <v>55.89</v>
      </c>
    </row>
    <row r="141" ht="15" customHeight="1">
      <c r="A141" s="13" t="n">
        <v>46031</v>
      </c>
      <c r="B141" s="7" t="n">
        <v>36.06</v>
      </c>
      <c r="C141" s="7" t="n">
        <v>33.94</v>
      </c>
      <c r="D141" s="7" t="n">
        <v>31.38</v>
      </c>
      <c r="E141" s="7" t="n">
        <v>36.21</v>
      </c>
      <c r="F141" s="9" t="n">
        <v>75.18000000000001</v>
      </c>
      <c r="G141" s="7" t="n">
        <v>37.2</v>
      </c>
      <c r="H141" s="7" t="n">
        <v>49.69</v>
      </c>
      <c r="I141" s="8" t="n">
        <v>65.53</v>
      </c>
      <c r="J141" s="9" t="n">
        <v>77.48</v>
      </c>
      <c r="K141" s="7" t="n">
        <v>56.49</v>
      </c>
      <c r="L141" s="9" t="n">
        <v>77.31</v>
      </c>
      <c r="M141" s="8" t="n">
        <v>60.84</v>
      </c>
      <c r="N141" s="7" t="n">
        <v>50</v>
      </c>
      <c r="O141" s="7" t="n">
        <v>57.55</v>
      </c>
      <c r="P141" s="8" t="n">
        <v>68.70999999999999</v>
      </c>
      <c r="Q141" s="7" t="n">
        <v>44.06</v>
      </c>
      <c r="R141" s="7" t="n">
        <v>58.51</v>
      </c>
      <c r="S141" s="7" t="n">
        <v>58.12</v>
      </c>
      <c r="T141" s="7" t="n">
        <v>44.77</v>
      </c>
      <c r="U141" s="7" t="n">
        <v>38.9</v>
      </c>
      <c r="V141" s="9" t="n">
        <v>78.73999999999999</v>
      </c>
      <c r="W141" s="7" t="n">
        <v>59.13</v>
      </c>
      <c r="X141" s="7" t="n">
        <v>59.41</v>
      </c>
      <c r="Y141" s="7" t="n">
        <v>55.28</v>
      </c>
    </row>
    <row r="142" ht="15" customHeight="1">
      <c r="A142" s="13" t="n">
        <v>46030</v>
      </c>
      <c r="B142" s="7" t="n">
        <v>31.86</v>
      </c>
      <c r="C142" s="7" t="n">
        <v>32.22</v>
      </c>
      <c r="D142" s="7" t="n">
        <v>32.42</v>
      </c>
      <c r="E142" s="7" t="n">
        <v>34.3</v>
      </c>
      <c r="F142" s="9" t="n">
        <v>74.56999999999999</v>
      </c>
      <c r="G142" s="7" t="n">
        <v>32.21</v>
      </c>
      <c r="H142" s="7" t="n">
        <v>49.44</v>
      </c>
      <c r="I142" s="8" t="n">
        <v>64.63</v>
      </c>
      <c r="J142" s="9" t="n">
        <v>78.95999999999999</v>
      </c>
      <c r="K142" s="7" t="n">
        <v>59.51</v>
      </c>
      <c r="L142" s="9" t="n">
        <v>70.93000000000001</v>
      </c>
      <c r="M142" s="8" t="n">
        <v>60.99</v>
      </c>
      <c r="N142" s="7" t="n">
        <v>49.02</v>
      </c>
      <c r="O142" s="7" t="n">
        <v>53.26</v>
      </c>
      <c r="P142" s="8" t="n">
        <v>66.59999999999999</v>
      </c>
      <c r="Q142" s="7" t="n">
        <v>41.28</v>
      </c>
      <c r="R142" s="7" t="n">
        <v>56.38</v>
      </c>
      <c r="S142" s="7" t="n">
        <v>58.56</v>
      </c>
      <c r="T142" s="7" t="n">
        <v>44.97</v>
      </c>
      <c r="U142" s="7" t="n">
        <v>32.67</v>
      </c>
      <c r="V142" s="9" t="n">
        <v>77.88</v>
      </c>
      <c r="W142" s="7" t="n">
        <v>59.97</v>
      </c>
      <c r="X142" s="7" t="n">
        <v>54.76</v>
      </c>
      <c r="Y142" s="7" t="n">
        <v>57.06</v>
      </c>
    </row>
    <row r="143" ht="15" customHeight="1">
      <c r="A143" s="13" t="n">
        <v>46029</v>
      </c>
      <c r="B143" s="7" t="n">
        <v>32.44</v>
      </c>
      <c r="C143" s="7" t="n">
        <v>35.98</v>
      </c>
      <c r="D143" s="7" t="n">
        <v>34.24</v>
      </c>
      <c r="E143" s="7" t="n">
        <v>35.78</v>
      </c>
      <c r="F143" s="8" t="n">
        <v>67.39</v>
      </c>
      <c r="G143" s="7" t="n">
        <v>37.95</v>
      </c>
      <c r="H143" s="7" t="n">
        <v>50.59</v>
      </c>
      <c r="I143" s="8" t="n">
        <v>66.05</v>
      </c>
      <c r="J143" s="9" t="n">
        <v>79.39</v>
      </c>
      <c r="K143" s="8" t="n">
        <v>62.3</v>
      </c>
      <c r="L143" s="8" t="n">
        <v>68.29000000000001</v>
      </c>
      <c r="M143" s="8" t="n">
        <v>60.08</v>
      </c>
      <c r="N143" s="7" t="n">
        <v>50.85</v>
      </c>
      <c r="O143" s="7" t="n">
        <v>54.71</v>
      </c>
      <c r="P143" s="8" t="n">
        <v>66.25</v>
      </c>
      <c r="Q143" s="7" t="n">
        <v>45.83</v>
      </c>
      <c r="R143" s="8" t="n">
        <v>60.97</v>
      </c>
      <c r="S143" s="8" t="n">
        <v>62.07</v>
      </c>
      <c r="T143" s="7" t="n">
        <v>50.68</v>
      </c>
      <c r="U143" s="7" t="n">
        <v>36.97</v>
      </c>
      <c r="V143" s="9" t="n">
        <v>77.48999999999999</v>
      </c>
      <c r="W143" s="8" t="n">
        <v>64.05</v>
      </c>
      <c r="X143" s="7" t="n">
        <v>57.63</v>
      </c>
      <c r="Y143" s="7" t="n">
        <v>54.44</v>
      </c>
    </row>
    <row r="144" ht="15" customHeight="1">
      <c r="A144" s="13" t="n">
        <v>46028</v>
      </c>
      <c r="B144" s="7" t="n">
        <v>40.59</v>
      </c>
      <c r="C144" s="7" t="n">
        <v>32.89</v>
      </c>
      <c r="D144" s="7" t="n">
        <v>36.85</v>
      </c>
      <c r="E144" s="7" t="n">
        <v>40.53</v>
      </c>
      <c r="F144" s="8" t="n">
        <v>64.90000000000001</v>
      </c>
      <c r="G144" s="7" t="n">
        <v>39.11</v>
      </c>
      <c r="H144" s="7" t="n">
        <v>48.64</v>
      </c>
      <c r="I144" s="8" t="n">
        <v>68.79000000000001</v>
      </c>
      <c r="J144" s="9" t="n">
        <v>78.45</v>
      </c>
      <c r="K144" s="9" t="n">
        <v>70.40000000000001</v>
      </c>
      <c r="L144" s="8" t="n">
        <v>62.31</v>
      </c>
      <c r="M144" s="7" t="n">
        <v>56.49</v>
      </c>
      <c r="N144" s="7" t="n">
        <v>54.41</v>
      </c>
      <c r="O144" s="7" t="n">
        <v>56.96</v>
      </c>
      <c r="P144" s="7" t="n">
        <v>52.54</v>
      </c>
      <c r="Q144" s="7" t="n">
        <v>49.63</v>
      </c>
      <c r="R144" s="8" t="n">
        <v>69.34999999999999</v>
      </c>
      <c r="S144" s="8" t="n">
        <v>69.42</v>
      </c>
      <c r="T144" s="7" t="n">
        <v>56.07</v>
      </c>
      <c r="U144" s="7" t="n">
        <v>40.81</v>
      </c>
      <c r="V144" s="9" t="n">
        <v>76.14</v>
      </c>
      <c r="W144" s="8" t="n">
        <v>64.19</v>
      </c>
      <c r="X144" s="8" t="n">
        <v>64.48</v>
      </c>
      <c r="Y144" s="7" t="n">
        <v>59.7</v>
      </c>
    </row>
    <row r="145" ht="15" customHeight="1">
      <c r="A145" s="13" t="n">
        <v>46027</v>
      </c>
      <c r="B145" s="7" t="n">
        <v>41.48</v>
      </c>
      <c r="C145" s="7" t="n">
        <v>35.13</v>
      </c>
      <c r="D145" s="7" t="n">
        <v>37.88</v>
      </c>
      <c r="E145" s="7" t="n">
        <v>41.54</v>
      </c>
      <c r="F145" s="8" t="n">
        <v>62.72</v>
      </c>
      <c r="G145" s="7" t="n">
        <v>40.73</v>
      </c>
      <c r="H145" s="7" t="n">
        <v>51.55</v>
      </c>
      <c r="I145" s="8" t="n">
        <v>63.84</v>
      </c>
      <c r="J145" s="9" t="n">
        <v>77.11</v>
      </c>
      <c r="K145" s="8" t="n">
        <v>62.52</v>
      </c>
      <c r="L145" s="7" t="n">
        <v>58.77</v>
      </c>
      <c r="M145" s="7" t="n">
        <v>53.62</v>
      </c>
      <c r="N145" s="7" t="n">
        <v>52.2</v>
      </c>
      <c r="O145" s="7" t="n">
        <v>53.85</v>
      </c>
      <c r="P145" s="7" t="n">
        <v>46.19</v>
      </c>
      <c r="Q145" s="7" t="n">
        <v>41.3</v>
      </c>
      <c r="R145" s="8" t="n">
        <v>64.17</v>
      </c>
      <c r="S145" s="7" t="n">
        <v>57.94</v>
      </c>
      <c r="T145" s="7" t="n">
        <v>54.69</v>
      </c>
      <c r="U145" s="7" t="n">
        <v>37.04</v>
      </c>
      <c r="V145" s="9" t="n">
        <v>74.40000000000001</v>
      </c>
      <c r="W145" s="7" t="n">
        <v>59.71</v>
      </c>
      <c r="X145" s="7" t="n">
        <v>59.44</v>
      </c>
      <c r="Y145" s="8" t="n">
        <v>62.42</v>
      </c>
    </row>
    <row r="146" ht="15" customHeight="1">
      <c r="A146" s="13" t="n">
        <v>46024</v>
      </c>
      <c r="B146" s="7" t="n">
        <v>39.76</v>
      </c>
      <c r="C146" s="7" t="n">
        <v>37.19</v>
      </c>
      <c r="D146" s="7" t="n">
        <v>40.59</v>
      </c>
      <c r="E146" s="7" t="n">
        <v>35.07</v>
      </c>
      <c r="F146" s="7" t="n">
        <v>55.63</v>
      </c>
      <c r="G146" s="7" t="n">
        <v>40.96</v>
      </c>
      <c r="H146" s="7" t="n">
        <v>47.98</v>
      </c>
      <c r="I146" s="7" t="n">
        <v>50.19</v>
      </c>
      <c r="J146" s="9" t="n">
        <v>72.34</v>
      </c>
      <c r="K146" s="7" t="n">
        <v>58.71</v>
      </c>
      <c r="L146" s="7" t="n">
        <v>53.73</v>
      </c>
      <c r="M146" s="7" t="n">
        <v>45.19</v>
      </c>
      <c r="N146" s="7" t="n">
        <v>39.21</v>
      </c>
      <c r="O146" s="7" t="n">
        <v>46.41</v>
      </c>
      <c r="P146" s="7" t="n">
        <v>50.39</v>
      </c>
      <c r="Q146" s="7" t="n">
        <v>40.02</v>
      </c>
      <c r="R146" s="7" t="n">
        <v>58.15</v>
      </c>
      <c r="S146" s="7" t="n">
        <v>55.99</v>
      </c>
      <c r="T146" s="7" t="n">
        <v>50.61</v>
      </c>
      <c r="U146" s="7" t="n">
        <v>36.53</v>
      </c>
      <c r="V146" s="8" t="n">
        <v>68.59</v>
      </c>
      <c r="W146" s="7" t="n">
        <v>58.6</v>
      </c>
      <c r="X146" s="7" t="n">
        <v>59.01</v>
      </c>
      <c r="Y146" s="8" t="n">
        <v>69.23</v>
      </c>
    </row>
    <row r="147" ht="15" customHeight="1">
      <c r="A147" s="13" t="n">
        <v>46022</v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5" customHeight="1">
      <c r="A148" s="13" t="n">
        <v>46021</v>
      </c>
      <c r="B148" s="7" t="n">
        <v>41.07</v>
      </c>
      <c r="C148" s="7" t="n">
        <v>40.67</v>
      </c>
      <c r="D148" s="7" t="n">
        <v>44.74</v>
      </c>
      <c r="E148" s="7" t="n">
        <v>36.98</v>
      </c>
      <c r="F148" s="7" t="n">
        <v>44.85</v>
      </c>
      <c r="G148" s="7" t="n">
        <v>45.13</v>
      </c>
      <c r="H148" s="7" t="n">
        <v>50.06</v>
      </c>
      <c r="I148" s="7" t="n">
        <v>47.24</v>
      </c>
      <c r="J148" s="8" t="n">
        <v>66.48999999999999</v>
      </c>
      <c r="K148" s="7" t="n">
        <v>46.79</v>
      </c>
      <c r="L148" s="7" t="n">
        <v>53.22</v>
      </c>
      <c r="M148" s="7" t="n">
        <v>45.63</v>
      </c>
      <c r="N148" s="7" t="n">
        <v>42.05</v>
      </c>
      <c r="O148" s="7" t="n">
        <v>50.46</v>
      </c>
      <c r="P148" s="7" t="n">
        <v>54.8</v>
      </c>
      <c r="Q148" s="7" t="n">
        <v>47.59</v>
      </c>
      <c r="R148" s="7" t="n">
        <v>58.24</v>
      </c>
      <c r="S148" s="7" t="n">
        <v>49.94</v>
      </c>
      <c r="T148" s="7" t="n">
        <v>52.64</v>
      </c>
      <c r="U148" s="7" t="n">
        <v>40.16</v>
      </c>
      <c r="V148" s="8" t="n">
        <v>62.88</v>
      </c>
      <c r="W148" s="7" t="n">
        <v>50.84</v>
      </c>
      <c r="X148" s="7" t="n">
        <v>53.05</v>
      </c>
      <c r="Y148" s="8" t="n">
        <v>64.79000000000001</v>
      </c>
    </row>
    <row r="149" ht="15" customHeight="1">
      <c r="A149" s="13" t="n">
        <v>46020</v>
      </c>
      <c r="B149" s="7" t="n">
        <v>45.69</v>
      </c>
      <c r="C149" s="7" t="n">
        <v>42.43</v>
      </c>
      <c r="D149" s="7" t="n">
        <v>46.7</v>
      </c>
      <c r="E149" s="7" t="n">
        <v>38.54</v>
      </c>
      <c r="F149" s="7" t="n">
        <v>46.74</v>
      </c>
      <c r="G149" s="7" t="n">
        <v>46.68</v>
      </c>
      <c r="H149" s="7" t="n">
        <v>55.78</v>
      </c>
      <c r="I149" s="7" t="n">
        <v>50.74</v>
      </c>
      <c r="J149" s="8" t="n">
        <v>66.23</v>
      </c>
      <c r="K149" s="7" t="n">
        <v>45.01</v>
      </c>
      <c r="L149" s="7" t="n">
        <v>54.44</v>
      </c>
      <c r="M149" s="7" t="n">
        <v>48.42</v>
      </c>
      <c r="N149" s="7" t="n">
        <v>42.32</v>
      </c>
      <c r="O149" s="7" t="n">
        <v>49.21</v>
      </c>
      <c r="P149" s="7" t="n">
        <v>55.49</v>
      </c>
      <c r="Q149" s="7" t="n">
        <v>49.43</v>
      </c>
      <c r="R149" s="7" t="n">
        <v>57.95</v>
      </c>
      <c r="S149" s="7" t="n">
        <v>54.45</v>
      </c>
      <c r="T149" s="7" t="n">
        <v>51.87</v>
      </c>
      <c r="U149" s="7" t="n">
        <v>42.77</v>
      </c>
      <c r="V149" s="8" t="n">
        <v>63.61</v>
      </c>
      <c r="W149" s="7" t="n">
        <v>45.36</v>
      </c>
      <c r="X149" s="7" t="n">
        <v>52.48</v>
      </c>
      <c r="Y149" s="7" t="n">
        <v>59.23</v>
      </c>
    </row>
    <row r="150" ht="15" customHeight="1">
      <c r="A150" s="13" t="n">
        <v>46017</v>
      </c>
      <c r="B150" s="7" t="n">
        <v>47.45</v>
      </c>
      <c r="C150" s="7" t="n">
        <v>48.67</v>
      </c>
      <c r="D150" s="7" t="n">
        <v>54.87</v>
      </c>
      <c r="E150" s="7" t="n">
        <v>38.16</v>
      </c>
      <c r="F150" s="7" t="n">
        <v>44.36</v>
      </c>
      <c r="G150" s="8" t="n">
        <v>63.05</v>
      </c>
      <c r="H150" s="7" t="n">
        <v>49.09</v>
      </c>
      <c r="I150" s="7" t="n">
        <v>44.82</v>
      </c>
      <c r="J150" s="8" t="n">
        <v>61.53</v>
      </c>
      <c r="K150" s="7" t="n">
        <v>45.57</v>
      </c>
      <c r="L150" s="7" t="n">
        <v>48.5</v>
      </c>
      <c r="M150" s="7" t="n">
        <v>49.29</v>
      </c>
      <c r="N150" s="7" t="n">
        <v>47.33</v>
      </c>
      <c r="O150" s="7" t="n">
        <v>48.85</v>
      </c>
      <c r="P150" s="7" t="n">
        <v>53.66</v>
      </c>
      <c r="Q150" s="7" t="n">
        <v>52.85</v>
      </c>
      <c r="R150" s="7" t="n">
        <v>53.82</v>
      </c>
      <c r="S150" s="7" t="n">
        <v>53.93</v>
      </c>
      <c r="T150" s="7" t="n">
        <v>54.19</v>
      </c>
      <c r="U150" s="7" t="n">
        <v>42.98</v>
      </c>
      <c r="V150" s="7" t="n">
        <v>58.03</v>
      </c>
      <c r="W150" s="7" t="n">
        <v>51.04</v>
      </c>
      <c r="X150" s="7" t="n">
        <v>42.68</v>
      </c>
      <c r="Y150" s="7" t="n">
        <v>56.53</v>
      </c>
    </row>
    <row r="151" ht="15" customHeight="1">
      <c r="A151" s="13" t="n">
        <v>46015</v>
      </c>
      <c r="B151" s="7" t="n">
        <v>53.02</v>
      </c>
      <c r="C151" s="7" t="n">
        <v>54</v>
      </c>
      <c r="D151" s="8" t="n">
        <v>62.04</v>
      </c>
      <c r="E151" s="7" t="n">
        <v>42.77</v>
      </c>
      <c r="F151" s="7" t="n">
        <v>46.12</v>
      </c>
      <c r="G151" s="8" t="n">
        <v>64.11</v>
      </c>
      <c r="H151" s="7" t="n">
        <v>52.65</v>
      </c>
      <c r="I151" s="7" t="n">
        <v>47.41</v>
      </c>
      <c r="J151" s="7" t="n">
        <v>57.05</v>
      </c>
      <c r="K151" s="7" t="n">
        <v>45.94</v>
      </c>
      <c r="L151" s="7" t="n">
        <v>51.53</v>
      </c>
      <c r="M151" s="7" t="n">
        <v>51.77</v>
      </c>
      <c r="N151" s="7" t="n">
        <v>46.21</v>
      </c>
      <c r="O151" s="7" t="n">
        <v>52.69</v>
      </c>
      <c r="P151" s="7" t="n">
        <v>59.82</v>
      </c>
      <c r="Q151" s="7" t="n">
        <v>57.76</v>
      </c>
      <c r="R151" s="7" t="n">
        <v>57.52</v>
      </c>
      <c r="S151" s="7" t="n">
        <v>55.79</v>
      </c>
      <c r="T151" s="7" t="n">
        <v>57.52</v>
      </c>
      <c r="U151" s="7" t="n">
        <v>50.32</v>
      </c>
      <c r="V151" s="7" t="n">
        <v>55.34</v>
      </c>
      <c r="W151" s="7" t="n">
        <v>49.31</v>
      </c>
      <c r="X151" s="7" t="n">
        <v>47.89</v>
      </c>
      <c r="Y151" s="8" t="n">
        <v>65.28</v>
      </c>
    </row>
    <row r="152" ht="15" customHeight="1">
      <c r="A152" s="13" t="n">
        <v>46014</v>
      </c>
      <c r="B152" s="7" t="n">
        <v>51.39</v>
      </c>
      <c r="C152" s="7" t="n">
        <v>57.27</v>
      </c>
      <c r="D152" s="7" t="n">
        <v>56.43</v>
      </c>
      <c r="E152" s="7" t="n">
        <v>44.07</v>
      </c>
      <c r="F152" s="7" t="n">
        <v>50.37</v>
      </c>
      <c r="G152" s="8" t="n">
        <v>65.45</v>
      </c>
      <c r="H152" s="7" t="n">
        <v>52.71</v>
      </c>
      <c r="I152" s="7" t="n">
        <v>51.77</v>
      </c>
      <c r="J152" s="7" t="n">
        <v>57.09</v>
      </c>
      <c r="K152" s="7" t="n">
        <v>49.35</v>
      </c>
      <c r="L152" s="7" t="n">
        <v>54.17</v>
      </c>
      <c r="M152" s="7" t="n">
        <v>52.4</v>
      </c>
      <c r="N152" s="7" t="n">
        <v>46.96</v>
      </c>
      <c r="O152" s="7" t="n">
        <v>53.76</v>
      </c>
      <c r="P152" s="7" t="n">
        <v>56.71</v>
      </c>
      <c r="Q152" s="7" t="n">
        <v>56.16</v>
      </c>
      <c r="R152" s="7" t="n">
        <v>56.49</v>
      </c>
      <c r="S152" s="7" t="n">
        <v>58.49</v>
      </c>
      <c r="T152" s="7" t="n">
        <v>56.97</v>
      </c>
      <c r="U152" s="7" t="n">
        <v>50.92</v>
      </c>
      <c r="V152" s="7" t="n">
        <v>56.44</v>
      </c>
      <c r="W152" s="7" t="n">
        <v>46.64</v>
      </c>
      <c r="X152" s="7" t="n">
        <v>47.71</v>
      </c>
      <c r="Y152" s="8" t="n">
        <v>66.40000000000001</v>
      </c>
    </row>
    <row r="153" ht="15" customHeight="1">
      <c r="A153" s="13" t="n">
        <v>46013</v>
      </c>
      <c r="B153" s="7" t="n">
        <v>52.54</v>
      </c>
      <c r="C153" s="8" t="n">
        <v>65.76000000000001</v>
      </c>
      <c r="D153" s="7" t="n">
        <v>58.51</v>
      </c>
      <c r="E153" s="7" t="n">
        <v>45.49</v>
      </c>
      <c r="F153" s="7" t="n">
        <v>52.47</v>
      </c>
      <c r="G153" s="8" t="n">
        <v>64.23</v>
      </c>
      <c r="H153" s="7" t="n">
        <v>55.35</v>
      </c>
      <c r="I153" s="7" t="n">
        <v>52.23</v>
      </c>
      <c r="J153" s="7" t="n">
        <v>56.33</v>
      </c>
      <c r="K153" s="7" t="n">
        <v>50.72</v>
      </c>
      <c r="L153" s="7" t="n">
        <v>50.35</v>
      </c>
      <c r="M153" s="7" t="n">
        <v>55.72</v>
      </c>
      <c r="N153" s="7" t="n">
        <v>49.22</v>
      </c>
      <c r="O153" s="7" t="n">
        <v>54.96</v>
      </c>
      <c r="P153" s="7" t="n">
        <v>59.06</v>
      </c>
      <c r="Q153" s="7" t="n">
        <v>54.49</v>
      </c>
      <c r="R153" s="7" t="n">
        <v>56.5</v>
      </c>
      <c r="S153" s="7" t="n">
        <v>55.56</v>
      </c>
      <c r="T153" s="7" t="n">
        <v>54.64</v>
      </c>
      <c r="U153" s="7" t="n">
        <v>50.03</v>
      </c>
      <c r="V153" s="7" t="n">
        <v>55.47</v>
      </c>
      <c r="W153" s="7" t="n">
        <v>45.51</v>
      </c>
      <c r="X153" s="7" t="n">
        <v>48.5</v>
      </c>
      <c r="Y153" s="7" t="n">
        <v>59.92</v>
      </c>
    </row>
    <row r="154" ht="15" customHeight="1">
      <c r="A154" s="13" t="n">
        <v>46010</v>
      </c>
      <c r="B154" s="7" t="n">
        <v>51.54</v>
      </c>
      <c r="C154" s="8" t="n">
        <v>68.73999999999999</v>
      </c>
      <c r="D154" s="7" t="n">
        <v>58</v>
      </c>
      <c r="E154" s="7" t="n">
        <v>41.77</v>
      </c>
      <c r="F154" s="7" t="n">
        <v>53.97</v>
      </c>
      <c r="G154" s="8" t="n">
        <v>64.3</v>
      </c>
      <c r="H154" s="7" t="n">
        <v>50.81</v>
      </c>
      <c r="I154" s="7" t="n">
        <v>48.47</v>
      </c>
      <c r="J154" s="7" t="n">
        <v>49.66</v>
      </c>
      <c r="K154" s="7" t="n">
        <v>44.07</v>
      </c>
      <c r="L154" s="7" t="n">
        <v>50.41</v>
      </c>
      <c r="M154" s="7" t="n">
        <v>57.69</v>
      </c>
      <c r="N154" s="7" t="n">
        <v>49.93</v>
      </c>
      <c r="O154" s="7" t="n">
        <v>53.35</v>
      </c>
      <c r="P154" s="7" t="n">
        <v>57.72</v>
      </c>
      <c r="Q154" s="7" t="n">
        <v>57.48</v>
      </c>
      <c r="R154" s="7" t="n">
        <v>51.07</v>
      </c>
      <c r="S154" s="7" t="n">
        <v>53.77</v>
      </c>
      <c r="T154" s="7" t="n">
        <v>50.21</v>
      </c>
      <c r="U154" s="7" t="n">
        <v>46.02</v>
      </c>
      <c r="V154" s="7" t="n">
        <v>49.58</v>
      </c>
      <c r="W154" s="7" t="n">
        <v>47.67</v>
      </c>
      <c r="X154" s="7" t="n">
        <v>46.75</v>
      </c>
      <c r="Y154" s="8" t="n">
        <v>62.13</v>
      </c>
    </row>
    <row r="155" ht="15" customHeight="1">
      <c r="A155" s="13" t="n">
        <v>46009</v>
      </c>
      <c r="B155" s="7" t="n">
        <v>48.89</v>
      </c>
      <c r="C155" s="9" t="n">
        <v>70.34999999999999</v>
      </c>
      <c r="D155" s="7" t="n">
        <v>53.45</v>
      </c>
      <c r="E155" s="7" t="n">
        <v>38.1</v>
      </c>
      <c r="F155" s="7" t="n">
        <v>52.05</v>
      </c>
      <c r="G155" s="8" t="n">
        <v>64.2</v>
      </c>
      <c r="H155" s="7" t="n">
        <v>48.26</v>
      </c>
      <c r="I155" s="7" t="n">
        <v>42.46</v>
      </c>
      <c r="J155" s="7" t="n">
        <v>50.84</v>
      </c>
      <c r="K155" s="7" t="n">
        <v>40.2</v>
      </c>
      <c r="L155" s="7" t="n">
        <v>44.32</v>
      </c>
      <c r="M155" s="7" t="n">
        <v>54.02</v>
      </c>
      <c r="N155" s="7" t="n">
        <v>46.55</v>
      </c>
      <c r="O155" s="7" t="n">
        <v>52.82</v>
      </c>
      <c r="P155" s="7" t="n">
        <v>57.23</v>
      </c>
      <c r="Q155" s="7" t="n">
        <v>52.52</v>
      </c>
      <c r="R155" s="7" t="n">
        <v>46.57</v>
      </c>
      <c r="S155" s="7" t="n">
        <v>48.83</v>
      </c>
      <c r="T155" s="7" t="n">
        <v>47.32</v>
      </c>
      <c r="U155" s="7" t="n">
        <v>42.88</v>
      </c>
      <c r="V155" s="7" t="n">
        <v>48.75</v>
      </c>
      <c r="W155" s="7" t="n">
        <v>37.4</v>
      </c>
      <c r="X155" s="7" t="n">
        <v>38.29</v>
      </c>
      <c r="Y155" s="7" t="n">
        <v>56.93</v>
      </c>
    </row>
    <row r="156" ht="15" customHeight="1">
      <c r="A156" s="13" t="n">
        <v>46008</v>
      </c>
      <c r="B156" s="7" t="n">
        <v>49.9</v>
      </c>
      <c r="C156" s="9" t="n">
        <v>74.87</v>
      </c>
      <c r="D156" s="7" t="n">
        <v>58.46</v>
      </c>
      <c r="E156" s="7" t="n">
        <v>49.58</v>
      </c>
      <c r="F156" s="7" t="n">
        <v>56.06</v>
      </c>
      <c r="G156" s="8" t="n">
        <v>68.45</v>
      </c>
      <c r="H156" s="7" t="n">
        <v>54.44</v>
      </c>
      <c r="I156" s="7" t="n">
        <v>46.21</v>
      </c>
      <c r="J156" s="7" t="n">
        <v>53.29</v>
      </c>
      <c r="K156" s="7" t="n">
        <v>41.23</v>
      </c>
      <c r="L156" s="7" t="n">
        <v>48.24</v>
      </c>
      <c r="M156" s="7" t="n">
        <v>59.23</v>
      </c>
      <c r="N156" s="7" t="n">
        <v>57.47</v>
      </c>
      <c r="O156" s="7" t="n">
        <v>54.81</v>
      </c>
      <c r="P156" s="8" t="n">
        <v>63.25</v>
      </c>
      <c r="Q156" s="7" t="n">
        <v>58.95</v>
      </c>
      <c r="R156" s="7" t="n">
        <v>49.71</v>
      </c>
      <c r="S156" s="7" t="n">
        <v>43.64</v>
      </c>
      <c r="T156" s="7" t="n">
        <v>50.26</v>
      </c>
      <c r="U156" s="7" t="n">
        <v>47.51</v>
      </c>
      <c r="V156" s="7" t="n">
        <v>52.72</v>
      </c>
      <c r="W156" s="7" t="n">
        <v>47.34</v>
      </c>
      <c r="X156" s="7" t="n">
        <v>40.34</v>
      </c>
      <c r="Y156" s="7" t="n">
        <v>55.76</v>
      </c>
    </row>
    <row r="157" ht="15" customHeight="1">
      <c r="A157" s="13" t="n">
        <v>46007</v>
      </c>
      <c r="B157" s="7" t="n">
        <v>53.63</v>
      </c>
      <c r="C157" s="8" t="n">
        <v>68.29000000000001</v>
      </c>
      <c r="D157" s="7" t="n">
        <v>57.78</v>
      </c>
      <c r="E157" s="7" t="n">
        <v>46.59</v>
      </c>
      <c r="F157" s="8" t="n">
        <v>62.92</v>
      </c>
      <c r="G157" s="8" t="n">
        <v>64.7</v>
      </c>
      <c r="H157" s="7" t="n">
        <v>52.15</v>
      </c>
      <c r="I157" s="7" t="n">
        <v>49.34</v>
      </c>
      <c r="J157" s="7" t="n">
        <v>47.38</v>
      </c>
      <c r="K157" s="7" t="n">
        <v>37.74</v>
      </c>
      <c r="L157" s="7" t="n">
        <v>48.54</v>
      </c>
      <c r="M157" s="7" t="n">
        <v>57.77</v>
      </c>
      <c r="N157" s="7" t="n">
        <v>54.98</v>
      </c>
      <c r="O157" s="7" t="n">
        <v>52.84</v>
      </c>
      <c r="P157" s="8" t="n">
        <v>62.43</v>
      </c>
      <c r="Q157" s="7" t="n">
        <v>59.69</v>
      </c>
      <c r="R157" s="7" t="n">
        <v>49.11</v>
      </c>
      <c r="S157" s="7" t="n">
        <v>47.43</v>
      </c>
      <c r="T157" s="7" t="n">
        <v>47.26</v>
      </c>
      <c r="U157" s="7" t="n">
        <v>47.82</v>
      </c>
      <c r="V157" s="7" t="n">
        <v>48.21</v>
      </c>
      <c r="W157" s="7" t="n">
        <v>47.68</v>
      </c>
      <c r="X157" s="7" t="n">
        <v>41.59</v>
      </c>
      <c r="Y157" s="7" t="n">
        <v>52.49</v>
      </c>
    </row>
    <row r="158" ht="15" customHeight="1">
      <c r="A158" s="13" t="n">
        <v>46006</v>
      </c>
      <c r="B158" s="7" t="n">
        <v>45.15</v>
      </c>
      <c r="C158" s="8" t="n">
        <v>66.93000000000001</v>
      </c>
      <c r="D158" s="8" t="n">
        <v>67.65000000000001</v>
      </c>
      <c r="E158" s="7" t="n">
        <v>51.64</v>
      </c>
      <c r="F158" s="8" t="n">
        <v>63.51</v>
      </c>
      <c r="G158" s="8" t="n">
        <v>67.63</v>
      </c>
      <c r="H158" s="9" t="n">
        <v>72.09999999999999</v>
      </c>
      <c r="I158" s="7" t="n">
        <v>51.85</v>
      </c>
      <c r="J158" s="7" t="n">
        <v>52.97</v>
      </c>
      <c r="K158" s="7" t="n">
        <v>42.2</v>
      </c>
      <c r="L158" s="7" t="n">
        <v>54.9</v>
      </c>
      <c r="M158" s="8" t="n">
        <v>62.15</v>
      </c>
      <c r="N158" s="7" t="n">
        <v>54.26</v>
      </c>
      <c r="O158" s="7" t="n">
        <v>58.94</v>
      </c>
      <c r="P158" s="8" t="n">
        <v>64.72</v>
      </c>
      <c r="Q158" s="7" t="n">
        <v>55.64</v>
      </c>
      <c r="R158" s="7" t="n">
        <v>53</v>
      </c>
      <c r="S158" s="7" t="n">
        <v>47.69</v>
      </c>
      <c r="T158" s="7" t="n">
        <v>48.4</v>
      </c>
      <c r="U158" s="7" t="n">
        <v>57.15</v>
      </c>
      <c r="V158" s="7" t="n">
        <v>55</v>
      </c>
      <c r="W158" s="7" t="n">
        <v>51.43</v>
      </c>
      <c r="X158" s="7" t="n">
        <v>47.63</v>
      </c>
      <c r="Y158" s="7" t="n">
        <v>55.41</v>
      </c>
    </row>
    <row r="159" ht="15" customHeight="1">
      <c r="A159" s="13" t="n">
        <v>46003</v>
      </c>
      <c r="B159" s="7" t="n">
        <v>46.74</v>
      </c>
      <c r="C159" s="8" t="n">
        <v>64.39</v>
      </c>
      <c r="D159" s="8" t="n">
        <v>64.44</v>
      </c>
      <c r="E159" s="7" t="n">
        <v>51.74</v>
      </c>
      <c r="F159" s="7" t="n">
        <v>55.55</v>
      </c>
      <c r="G159" s="9" t="n">
        <v>70.59999999999999</v>
      </c>
      <c r="H159" s="8" t="n">
        <v>69.3</v>
      </c>
      <c r="I159" s="7" t="n">
        <v>57.19</v>
      </c>
      <c r="J159" s="7" t="n">
        <v>59.62</v>
      </c>
      <c r="K159" s="7" t="n">
        <v>48.51</v>
      </c>
      <c r="L159" s="8" t="n">
        <v>61.76</v>
      </c>
      <c r="M159" s="8" t="n">
        <v>65.78</v>
      </c>
      <c r="N159" s="7" t="n">
        <v>53.29</v>
      </c>
      <c r="O159" s="8" t="n">
        <v>68.73</v>
      </c>
      <c r="P159" s="8" t="n">
        <v>65.48999999999999</v>
      </c>
      <c r="Q159" s="7" t="n">
        <v>56.44</v>
      </c>
      <c r="R159" s="7" t="n">
        <v>59.28</v>
      </c>
      <c r="S159" s="7" t="n">
        <v>52.54</v>
      </c>
      <c r="T159" s="7" t="n">
        <v>49.61</v>
      </c>
      <c r="U159" s="7" t="n">
        <v>57.68</v>
      </c>
      <c r="V159" s="8" t="n">
        <v>61.42</v>
      </c>
      <c r="W159" s="7" t="n">
        <v>59.58</v>
      </c>
      <c r="X159" s="7" t="n">
        <v>51.85</v>
      </c>
      <c r="Y159" s="7" t="n">
        <v>55.04</v>
      </c>
    </row>
    <row r="160" ht="15" customHeight="1">
      <c r="A160" s="13" t="n">
        <v>46002</v>
      </c>
      <c r="B160" s="7" t="n">
        <v>44.86</v>
      </c>
      <c r="C160" s="8" t="n">
        <v>61.45</v>
      </c>
      <c r="D160" s="7" t="n">
        <v>55.44</v>
      </c>
      <c r="E160" s="7" t="n">
        <v>48.06</v>
      </c>
      <c r="F160" s="7" t="n">
        <v>53.9</v>
      </c>
      <c r="G160" s="8" t="n">
        <v>68.42</v>
      </c>
      <c r="H160" s="8" t="n">
        <v>65.84</v>
      </c>
      <c r="I160" s="7" t="n">
        <v>52.55</v>
      </c>
      <c r="J160" s="7" t="n">
        <v>57.73</v>
      </c>
      <c r="K160" s="7" t="n">
        <v>46.58</v>
      </c>
      <c r="L160" s="7" t="n">
        <v>56.29</v>
      </c>
      <c r="M160" s="8" t="n">
        <v>64.01000000000001</v>
      </c>
      <c r="N160" s="7" t="n">
        <v>50.02</v>
      </c>
      <c r="O160" s="8" t="n">
        <v>62.1</v>
      </c>
      <c r="P160" s="8" t="n">
        <v>62.89</v>
      </c>
      <c r="Q160" s="7" t="n">
        <v>48.24</v>
      </c>
      <c r="R160" s="7" t="n">
        <v>56.08</v>
      </c>
      <c r="S160" s="7" t="n">
        <v>44.92</v>
      </c>
      <c r="T160" s="8" t="n">
        <v>65.19</v>
      </c>
      <c r="U160" s="7" t="n">
        <v>55.36</v>
      </c>
      <c r="V160" s="7" t="n">
        <v>58.31</v>
      </c>
      <c r="W160" s="9" t="n">
        <v>73.75</v>
      </c>
      <c r="X160" s="7" t="n">
        <v>48.25</v>
      </c>
      <c r="Y160" s="7" t="n">
        <v>50.92</v>
      </c>
    </row>
    <row r="161" ht="15" customHeight="1">
      <c r="A161" s="13" t="n">
        <v>46001</v>
      </c>
      <c r="B161" s="7" t="n">
        <v>44.34</v>
      </c>
      <c r="C161" s="7" t="n">
        <v>56.98</v>
      </c>
      <c r="D161" s="7" t="n">
        <v>55.75</v>
      </c>
      <c r="E161" s="7" t="n">
        <v>52.15</v>
      </c>
      <c r="F161" s="7" t="n">
        <v>50.32</v>
      </c>
      <c r="G161" s="7" t="n">
        <v>58.49</v>
      </c>
      <c r="H161" s="8" t="n">
        <v>65.27</v>
      </c>
      <c r="I161" s="7" t="n">
        <v>51.52</v>
      </c>
      <c r="J161" s="8" t="n">
        <v>60.95</v>
      </c>
      <c r="K161" s="7" t="n">
        <v>45.49</v>
      </c>
      <c r="L161" s="8" t="n">
        <v>60.13</v>
      </c>
      <c r="M161" s="8" t="n">
        <v>61.05</v>
      </c>
      <c r="N161" s="7" t="n">
        <v>53.07</v>
      </c>
      <c r="O161" s="7" t="n">
        <v>58.76</v>
      </c>
      <c r="P161" s="7" t="n">
        <v>59.77</v>
      </c>
      <c r="Q161" s="7" t="n">
        <v>52.83</v>
      </c>
      <c r="R161" s="7" t="n">
        <v>54.4</v>
      </c>
      <c r="S161" s="7" t="n">
        <v>45.97</v>
      </c>
      <c r="T161" s="7" t="n">
        <v>48.41</v>
      </c>
      <c r="U161" s="7" t="n">
        <v>51.65</v>
      </c>
      <c r="V161" s="8" t="n">
        <v>61.59</v>
      </c>
      <c r="W161" s="9" t="n">
        <v>78.69</v>
      </c>
      <c r="X161" s="7" t="n">
        <v>49.1</v>
      </c>
      <c r="Y161" s="7" t="n">
        <v>52.5</v>
      </c>
    </row>
    <row r="162" ht="15" customHeight="1">
      <c r="A162" s="13" t="n">
        <v>46000</v>
      </c>
      <c r="B162" s="7" t="n">
        <v>44.51</v>
      </c>
      <c r="C162" s="7" t="n">
        <v>58.01</v>
      </c>
      <c r="D162" s="7" t="n">
        <v>56.39</v>
      </c>
      <c r="E162" s="7" t="n">
        <v>55.12</v>
      </c>
      <c r="F162" s="7" t="n">
        <v>50.52</v>
      </c>
      <c r="G162" s="7" t="n">
        <v>56.64</v>
      </c>
      <c r="H162" s="8" t="n">
        <v>65.66</v>
      </c>
      <c r="I162" s="7" t="n">
        <v>51.53</v>
      </c>
      <c r="J162" s="7" t="n">
        <v>59.64</v>
      </c>
      <c r="K162" s="7" t="n">
        <v>46.43</v>
      </c>
      <c r="L162" s="8" t="n">
        <v>64.48999999999999</v>
      </c>
      <c r="M162" s="8" t="n">
        <v>66.98999999999999</v>
      </c>
      <c r="N162" s="7" t="n">
        <v>56.73</v>
      </c>
      <c r="O162" s="8" t="n">
        <v>61.2</v>
      </c>
      <c r="P162" s="8" t="n">
        <v>65.02</v>
      </c>
      <c r="Q162" s="7" t="n">
        <v>54.11</v>
      </c>
      <c r="R162" s="7" t="n">
        <v>59.48</v>
      </c>
      <c r="S162" s="7" t="n">
        <v>48.69</v>
      </c>
      <c r="T162" s="7" t="n">
        <v>53.16</v>
      </c>
      <c r="U162" s="7" t="n">
        <v>54.09</v>
      </c>
      <c r="V162" s="8" t="n">
        <v>61.14</v>
      </c>
      <c r="W162" s="9" t="n">
        <v>77.25</v>
      </c>
      <c r="X162" s="7" t="n">
        <v>53.7</v>
      </c>
      <c r="Y162" s="7" t="n">
        <v>49.2</v>
      </c>
    </row>
    <row r="163" ht="15" customHeight="1">
      <c r="A163" s="13" t="n">
        <v>45999</v>
      </c>
      <c r="B163" s="7" t="n">
        <v>44.95</v>
      </c>
      <c r="C163" s="7" t="n">
        <v>56.97</v>
      </c>
      <c r="D163" s="7" t="n">
        <v>52.66</v>
      </c>
      <c r="E163" s="7" t="n">
        <v>55.58</v>
      </c>
      <c r="F163" s="7" t="n">
        <v>45.83</v>
      </c>
      <c r="G163" s="7" t="n">
        <v>52.99</v>
      </c>
      <c r="H163" s="8" t="n">
        <v>63.38</v>
      </c>
      <c r="I163" s="7" t="n">
        <v>50.29</v>
      </c>
      <c r="J163" s="8" t="n">
        <v>62.29</v>
      </c>
      <c r="K163" s="7" t="n">
        <v>47.36</v>
      </c>
      <c r="L163" s="8" t="n">
        <v>63.21</v>
      </c>
      <c r="M163" s="8" t="n">
        <v>67.22</v>
      </c>
      <c r="N163" s="7" t="n">
        <v>59.94</v>
      </c>
      <c r="O163" s="8" t="n">
        <v>62.06</v>
      </c>
      <c r="P163" s="8" t="n">
        <v>64.98999999999999</v>
      </c>
      <c r="Q163" s="7" t="n">
        <v>53.82</v>
      </c>
      <c r="R163" s="7" t="n">
        <v>58.23</v>
      </c>
      <c r="S163" s="7" t="n">
        <v>50.12</v>
      </c>
      <c r="T163" s="7" t="n">
        <v>51.69</v>
      </c>
      <c r="U163" s="7" t="n">
        <v>54.79</v>
      </c>
      <c r="V163" s="8" t="n">
        <v>62.48</v>
      </c>
      <c r="W163" s="9" t="n">
        <v>82.22</v>
      </c>
      <c r="X163" s="7" t="n">
        <v>54.77</v>
      </c>
      <c r="Y163" s="7" t="n">
        <v>46.83</v>
      </c>
    </row>
    <row r="164" ht="15" customHeight="1">
      <c r="A164" s="13" t="n">
        <v>45996</v>
      </c>
      <c r="B164" s="7" t="n">
        <v>47.84</v>
      </c>
      <c r="C164" s="7" t="n">
        <v>58.23</v>
      </c>
      <c r="D164" s="8" t="n">
        <v>60.11</v>
      </c>
      <c r="E164" s="7" t="n">
        <v>52.73</v>
      </c>
      <c r="F164" s="7" t="n">
        <v>46.15</v>
      </c>
      <c r="G164" s="7" t="n">
        <v>59.16</v>
      </c>
      <c r="H164" s="7" t="n">
        <v>58.52</v>
      </c>
      <c r="I164" s="7" t="n">
        <v>54.69</v>
      </c>
      <c r="J164" s="7" t="n">
        <v>58.29</v>
      </c>
      <c r="K164" s="7" t="n">
        <v>51.51</v>
      </c>
      <c r="L164" s="7" t="n">
        <v>59.56</v>
      </c>
      <c r="M164" s="8" t="n">
        <v>65.11</v>
      </c>
      <c r="N164" s="8" t="n">
        <v>61.91</v>
      </c>
      <c r="O164" s="8" t="n">
        <v>66.01000000000001</v>
      </c>
      <c r="P164" s="8" t="n">
        <v>64.78</v>
      </c>
      <c r="Q164" s="8" t="n">
        <v>63.68</v>
      </c>
      <c r="R164" s="8" t="n">
        <v>60.67</v>
      </c>
      <c r="S164" s="7" t="n">
        <v>51.46</v>
      </c>
      <c r="T164" s="8" t="n">
        <v>60.11</v>
      </c>
      <c r="U164" s="7" t="n">
        <v>53.84</v>
      </c>
      <c r="V164" s="7" t="n">
        <v>58.66</v>
      </c>
      <c r="W164" s="9" t="n">
        <v>81.02</v>
      </c>
      <c r="X164" s="7" t="n">
        <v>55.47</v>
      </c>
      <c r="Y164" s="7" t="n">
        <v>47.09</v>
      </c>
    </row>
    <row r="165" ht="15" customHeight="1">
      <c r="A165" s="13" t="n">
        <v>45995</v>
      </c>
      <c r="B165" s="7" t="n">
        <v>48.77</v>
      </c>
      <c r="C165" s="8" t="n">
        <v>62.53</v>
      </c>
      <c r="D165" s="7" t="n">
        <v>58.87</v>
      </c>
      <c r="E165" s="7" t="n">
        <v>50.82</v>
      </c>
      <c r="F165" s="7" t="n">
        <v>50.64</v>
      </c>
      <c r="G165" s="7" t="n">
        <v>49.22</v>
      </c>
      <c r="H165" s="7" t="n">
        <v>53.13</v>
      </c>
      <c r="I165" s="7" t="n">
        <v>52.18</v>
      </c>
      <c r="J165" s="7" t="n">
        <v>54.74</v>
      </c>
      <c r="K165" s="7" t="n">
        <v>48.36</v>
      </c>
      <c r="L165" s="7" t="n">
        <v>51.1</v>
      </c>
      <c r="M165" s="8" t="n">
        <v>63.39</v>
      </c>
      <c r="N165" s="7" t="n">
        <v>58.11</v>
      </c>
      <c r="O165" s="7" t="n">
        <v>56.79</v>
      </c>
      <c r="P165" s="8" t="n">
        <v>62.19</v>
      </c>
      <c r="Q165" s="8" t="n">
        <v>62.85</v>
      </c>
      <c r="R165" s="7" t="n">
        <v>58.89</v>
      </c>
      <c r="S165" s="7" t="n">
        <v>50.15</v>
      </c>
      <c r="T165" s="7" t="n">
        <v>55.66</v>
      </c>
      <c r="U165" s="7" t="n">
        <v>51.58</v>
      </c>
      <c r="V165" s="7" t="n">
        <v>54.29</v>
      </c>
      <c r="W165" s="9" t="n">
        <v>79.29000000000001</v>
      </c>
      <c r="X165" s="7" t="n">
        <v>52.72</v>
      </c>
      <c r="Y165" s="7" t="n">
        <v>50.04</v>
      </c>
    </row>
    <row r="166" ht="15" customHeight="1">
      <c r="A166" s="13" t="n">
        <v>45994</v>
      </c>
      <c r="B166" s="7" t="n">
        <v>52.01</v>
      </c>
      <c r="C166" s="8" t="n">
        <v>65.04000000000001</v>
      </c>
      <c r="D166" s="7" t="n">
        <v>57.72</v>
      </c>
      <c r="E166" s="7" t="n">
        <v>53.89</v>
      </c>
      <c r="F166" s="7" t="n">
        <v>48.55</v>
      </c>
      <c r="G166" s="7" t="n">
        <v>53.13</v>
      </c>
      <c r="H166" s="7" t="n">
        <v>55.24</v>
      </c>
      <c r="I166" s="7" t="n">
        <v>51.59</v>
      </c>
      <c r="J166" s="7" t="n">
        <v>55.72</v>
      </c>
      <c r="K166" s="7" t="n">
        <v>54.03</v>
      </c>
      <c r="L166" s="7" t="n">
        <v>47.65</v>
      </c>
      <c r="M166" s="8" t="n">
        <v>68.52</v>
      </c>
      <c r="N166" s="7" t="n">
        <v>59.47</v>
      </c>
      <c r="O166" s="8" t="n">
        <v>60.08</v>
      </c>
      <c r="P166" s="8" t="n">
        <v>60.51</v>
      </c>
      <c r="Q166" s="8" t="n">
        <v>61.78</v>
      </c>
      <c r="R166" s="8" t="n">
        <v>60.74</v>
      </c>
      <c r="S166" s="7" t="n">
        <v>52.38</v>
      </c>
      <c r="T166" s="7" t="n">
        <v>55.98</v>
      </c>
      <c r="U166" s="7" t="n">
        <v>51.41</v>
      </c>
      <c r="V166" s="7" t="n">
        <v>54.69</v>
      </c>
      <c r="W166" s="9" t="n">
        <v>74.81</v>
      </c>
      <c r="X166" s="7" t="n">
        <v>49.24</v>
      </c>
      <c r="Y166" s="7" t="n">
        <v>52.03</v>
      </c>
    </row>
    <row r="167" ht="15" customHeight="1">
      <c r="A167" s="13" t="n">
        <v>45993</v>
      </c>
      <c r="B167" s="7" t="n">
        <v>49.98</v>
      </c>
      <c r="C167" s="8" t="n">
        <v>63.3</v>
      </c>
      <c r="D167" s="7" t="n">
        <v>54.64</v>
      </c>
      <c r="E167" s="7" t="n">
        <v>50.97</v>
      </c>
      <c r="F167" s="7" t="n">
        <v>48.5</v>
      </c>
      <c r="G167" s="7" t="n">
        <v>47.23</v>
      </c>
      <c r="H167" s="7" t="n">
        <v>54.99</v>
      </c>
      <c r="I167" s="7" t="n">
        <v>46.17</v>
      </c>
      <c r="J167" s="7" t="n">
        <v>54.96</v>
      </c>
      <c r="K167" s="7" t="n">
        <v>50.4</v>
      </c>
      <c r="L167" s="7" t="n">
        <v>42.62</v>
      </c>
      <c r="M167" s="8" t="n">
        <v>60.62</v>
      </c>
      <c r="N167" s="7" t="n">
        <v>58.79</v>
      </c>
      <c r="O167" s="7" t="n">
        <v>54.55</v>
      </c>
      <c r="P167" s="7" t="n">
        <v>58.34</v>
      </c>
      <c r="Q167" s="7" t="n">
        <v>50.74</v>
      </c>
      <c r="R167" s="7" t="n">
        <v>57.67</v>
      </c>
      <c r="S167" s="7" t="n">
        <v>48.91</v>
      </c>
      <c r="T167" s="7" t="n">
        <v>55.81</v>
      </c>
      <c r="U167" s="7" t="n">
        <v>47.51</v>
      </c>
      <c r="V167" s="7" t="n">
        <v>53</v>
      </c>
      <c r="W167" s="8" t="n">
        <v>69.81999999999999</v>
      </c>
      <c r="X167" s="7" t="n">
        <v>46.8</v>
      </c>
      <c r="Y167" s="7" t="n">
        <v>55.11</v>
      </c>
    </row>
    <row r="168" ht="15" customHeight="1">
      <c r="A168" s="13" t="n">
        <v>45992</v>
      </c>
      <c r="B168" s="7" t="n">
        <v>49.94</v>
      </c>
      <c r="C168" s="7" t="n">
        <v>56.97</v>
      </c>
      <c r="D168" s="7" t="n">
        <v>51.24</v>
      </c>
      <c r="E168" s="7" t="n">
        <v>48.96</v>
      </c>
      <c r="F168" s="7" t="n">
        <v>49.82</v>
      </c>
      <c r="G168" s="7" t="n">
        <v>43.93</v>
      </c>
      <c r="H168" s="7" t="n">
        <v>57.24</v>
      </c>
      <c r="I168" s="7" t="n">
        <v>45.03</v>
      </c>
      <c r="J168" s="7" t="n">
        <v>51.02</v>
      </c>
      <c r="K168" s="7" t="n">
        <v>48.91</v>
      </c>
      <c r="L168" s="7" t="n">
        <v>36.33</v>
      </c>
      <c r="M168" s="7" t="n">
        <v>58.31</v>
      </c>
      <c r="N168" s="7" t="n">
        <v>56.98</v>
      </c>
      <c r="O168" s="7" t="n">
        <v>50.24</v>
      </c>
      <c r="P168" s="7" t="n">
        <v>52.43</v>
      </c>
      <c r="Q168" s="7" t="n">
        <v>50.78</v>
      </c>
      <c r="R168" s="7" t="n">
        <v>51.9</v>
      </c>
      <c r="S168" s="7" t="n">
        <v>46.48</v>
      </c>
      <c r="T168" s="7" t="n">
        <v>54.92</v>
      </c>
      <c r="U168" s="7" t="n">
        <v>46.18</v>
      </c>
      <c r="V168" s="7" t="n">
        <v>48.94</v>
      </c>
      <c r="W168" s="8" t="n">
        <v>67.47</v>
      </c>
      <c r="X168" s="7" t="n">
        <v>43.5</v>
      </c>
      <c r="Y168" s="7" t="n">
        <v>51</v>
      </c>
    </row>
    <row r="169" ht="15" customHeight="1">
      <c r="A169" s="13" t="n">
        <v>45989</v>
      </c>
      <c r="B169" s="7" t="n">
        <v>57.57</v>
      </c>
      <c r="C169" s="8" t="n">
        <v>60.25</v>
      </c>
      <c r="D169" s="7" t="n">
        <v>56.44</v>
      </c>
      <c r="E169" s="7" t="n">
        <v>49.8</v>
      </c>
      <c r="F169" s="7" t="n">
        <v>45.19</v>
      </c>
      <c r="G169" s="7" t="n">
        <v>46.73</v>
      </c>
      <c r="H169" s="7" t="n">
        <v>57.46</v>
      </c>
      <c r="I169" s="7" t="n">
        <v>47.4</v>
      </c>
      <c r="J169" s="7" t="n">
        <v>50.39</v>
      </c>
      <c r="K169" s="7" t="n">
        <v>48.45</v>
      </c>
      <c r="L169" s="7" t="n">
        <v>41.34</v>
      </c>
      <c r="M169" s="7" t="n">
        <v>56.46</v>
      </c>
      <c r="N169" s="8" t="n">
        <v>64.62</v>
      </c>
      <c r="O169" s="7" t="n">
        <v>54.9</v>
      </c>
      <c r="P169" s="7" t="n">
        <v>47.02</v>
      </c>
      <c r="Q169" s="7" t="n">
        <v>49.5</v>
      </c>
      <c r="R169" s="7" t="n">
        <v>51.72</v>
      </c>
      <c r="S169" s="7" t="n">
        <v>46.71</v>
      </c>
      <c r="T169" s="7" t="n">
        <v>50.3</v>
      </c>
      <c r="U169" s="7" t="n">
        <v>48.03</v>
      </c>
      <c r="V169" s="7" t="n">
        <v>49.32</v>
      </c>
      <c r="W169" s="8" t="n">
        <v>66.90000000000001</v>
      </c>
      <c r="X169" s="7" t="n">
        <v>44.03</v>
      </c>
      <c r="Y169" s="7" t="n">
        <v>52.53</v>
      </c>
    </row>
    <row r="170" ht="15" customHeight="1">
      <c r="A170" s="13" t="n">
        <v>45988</v>
      </c>
      <c r="B170" s="7" t="n">
        <v>56.31</v>
      </c>
      <c r="C170" s="7" t="n">
        <v>58.8</v>
      </c>
      <c r="D170" s="7" t="n">
        <v>54.4</v>
      </c>
      <c r="E170" s="7" t="n">
        <v>53.2</v>
      </c>
      <c r="F170" s="7" t="n">
        <v>46.63</v>
      </c>
      <c r="G170" s="7" t="n">
        <v>44.64</v>
      </c>
      <c r="H170" s="7" t="n">
        <v>57.44</v>
      </c>
      <c r="I170" s="7" t="n">
        <v>48.52</v>
      </c>
      <c r="J170" s="7" t="n">
        <v>54.88</v>
      </c>
      <c r="K170" s="7" t="n">
        <v>44.89</v>
      </c>
      <c r="L170" s="7" t="n">
        <v>43.52</v>
      </c>
      <c r="M170" s="8" t="n">
        <v>61.82</v>
      </c>
      <c r="N170" s="8" t="n">
        <v>63.6</v>
      </c>
      <c r="O170" s="7" t="n">
        <v>51.94</v>
      </c>
      <c r="P170" s="7" t="n">
        <v>45.66</v>
      </c>
      <c r="Q170" s="7" t="n">
        <v>50.2</v>
      </c>
      <c r="R170" s="7" t="n">
        <v>52.6</v>
      </c>
      <c r="S170" s="7" t="n">
        <v>47.53</v>
      </c>
      <c r="T170" s="7" t="n">
        <v>51.49</v>
      </c>
      <c r="U170" s="7" t="n">
        <v>51.68</v>
      </c>
      <c r="V170" s="7" t="n">
        <v>53.43</v>
      </c>
      <c r="W170" s="8" t="n">
        <v>69.5</v>
      </c>
      <c r="X170" s="7" t="n">
        <v>46.12</v>
      </c>
      <c r="Y170" s="7" t="n">
        <v>50.59</v>
      </c>
    </row>
    <row r="171" ht="15" customHeight="1">
      <c r="A171" s="13" t="n">
        <v>45987</v>
      </c>
      <c r="B171" s="7" t="n">
        <v>53.17</v>
      </c>
      <c r="C171" s="7" t="n">
        <v>57.02</v>
      </c>
      <c r="D171" s="7" t="n">
        <v>54.52</v>
      </c>
      <c r="E171" s="7" t="n">
        <v>53.4</v>
      </c>
      <c r="F171" s="7" t="n">
        <v>48.17</v>
      </c>
      <c r="G171" s="7" t="n">
        <v>47.11</v>
      </c>
      <c r="H171" s="7" t="n">
        <v>50.9</v>
      </c>
      <c r="I171" s="7" t="n">
        <v>49.55</v>
      </c>
      <c r="J171" s="7" t="n">
        <v>52.74</v>
      </c>
      <c r="K171" s="7" t="n">
        <v>44.23</v>
      </c>
      <c r="L171" s="7" t="n">
        <v>43.8</v>
      </c>
      <c r="M171" s="8" t="n">
        <v>64.2</v>
      </c>
      <c r="N171" s="8" t="n">
        <v>66</v>
      </c>
      <c r="O171" s="7" t="n">
        <v>53.03</v>
      </c>
      <c r="P171" s="7" t="n">
        <v>43.56</v>
      </c>
      <c r="Q171" s="7" t="n">
        <v>52.12</v>
      </c>
      <c r="R171" s="7" t="n">
        <v>51.44</v>
      </c>
      <c r="S171" s="7" t="n">
        <v>48.88</v>
      </c>
      <c r="T171" s="7" t="n">
        <v>49.94</v>
      </c>
      <c r="U171" s="7" t="n">
        <v>54.35</v>
      </c>
      <c r="V171" s="7" t="n">
        <v>51.56</v>
      </c>
      <c r="W171" s="8" t="n">
        <v>68.92</v>
      </c>
      <c r="X171" s="7" t="n">
        <v>51.14</v>
      </c>
      <c r="Y171" s="7" t="n">
        <v>44.87</v>
      </c>
    </row>
    <row r="172" ht="15" customHeight="1">
      <c r="A172" s="13" t="n">
        <v>45986</v>
      </c>
      <c r="B172" s="7" t="n">
        <v>44.31</v>
      </c>
      <c r="C172" s="7" t="n">
        <v>53.87</v>
      </c>
      <c r="D172" s="7" t="n">
        <v>47.51</v>
      </c>
      <c r="E172" s="7" t="n">
        <v>44.47</v>
      </c>
      <c r="F172" s="7" t="n">
        <v>40</v>
      </c>
      <c r="G172" s="7" t="n">
        <v>36.88</v>
      </c>
      <c r="H172" s="7" t="n">
        <v>44.41</v>
      </c>
      <c r="I172" s="7" t="n">
        <v>41.5</v>
      </c>
      <c r="J172" s="7" t="n">
        <v>48.72</v>
      </c>
      <c r="K172" s="7" t="n">
        <v>37.84</v>
      </c>
      <c r="L172" s="7" t="n">
        <v>39.92</v>
      </c>
      <c r="M172" s="7" t="n">
        <v>59.39</v>
      </c>
      <c r="N172" s="8" t="n">
        <v>63.61</v>
      </c>
      <c r="O172" s="7" t="n">
        <v>42.96</v>
      </c>
      <c r="P172" s="7" t="n">
        <v>38.69</v>
      </c>
      <c r="Q172" s="7" t="n">
        <v>48.22</v>
      </c>
      <c r="R172" s="7" t="n">
        <v>45.59</v>
      </c>
      <c r="S172" s="7" t="n">
        <v>43.26</v>
      </c>
      <c r="T172" s="7" t="n">
        <v>41.88</v>
      </c>
      <c r="U172" s="7" t="n">
        <v>41.39</v>
      </c>
      <c r="V172" s="7" t="n">
        <v>46.15</v>
      </c>
      <c r="W172" s="8" t="n">
        <v>64.06</v>
      </c>
      <c r="X172" s="7" t="n">
        <v>42.48</v>
      </c>
      <c r="Y172" s="7" t="n">
        <v>40.97</v>
      </c>
    </row>
    <row r="173" ht="15" customHeight="1">
      <c r="A173" s="13" t="n">
        <v>45985</v>
      </c>
      <c r="B173" s="7" t="n">
        <v>54.66</v>
      </c>
      <c r="C173" s="7" t="n">
        <v>57.36</v>
      </c>
      <c r="D173" s="7" t="n">
        <v>46.64</v>
      </c>
      <c r="E173" s="7" t="n">
        <v>44.32</v>
      </c>
      <c r="F173" s="7" t="n">
        <v>56.48</v>
      </c>
      <c r="G173" s="7" t="n">
        <v>41.63</v>
      </c>
      <c r="H173" s="7" t="n">
        <v>41.77</v>
      </c>
      <c r="I173" s="7" t="n">
        <v>41.13</v>
      </c>
      <c r="J173" s="7" t="n">
        <v>46.45</v>
      </c>
      <c r="K173" s="7" t="n">
        <v>37.67</v>
      </c>
      <c r="L173" s="7" t="n">
        <v>40.75</v>
      </c>
      <c r="M173" s="7" t="n">
        <v>54.49</v>
      </c>
      <c r="N173" s="7" t="n">
        <v>56.88</v>
      </c>
      <c r="O173" s="7" t="n">
        <v>41.97</v>
      </c>
      <c r="P173" s="7" t="n">
        <v>37.26</v>
      </c>
      <c r="Q173" s="7" t="n">
        <v>56.67</v>
      </c>
      <c r="R173" s="7" t="n">
        <v>46.39</v>
      </c>
      <c r="S173" s="7" t="n">
        <v>44.42</v>
      </c>
      <c r="T173" s="7" t="n">
        <v>40.15</v>
      </c>
      <c r="U173" s="7" t="n">
        <v>45.32</v>
      </c>
      <c r="V173" s="7" t="n">
        <v>45.18</v>
      </c>
      <c r="W173" s="8" t="n">
        <v>63.73</v>
      </c>
      <c r="X173" s="7" t="n">
        <v>45.03</v>
      </c>
      <c r="Y173" s="7" t="n">
        <v>46.79</v>
      </c>
    </row>
    <row r="174" ht="15" customHeight="1">
      <c r="A174" s="13" t="n">
        <v>45982</v>
      </c>
      <c r="B174" s="7" t="n">
        <v>58.78</v>
      </c>
      <c r="C174" s="8" t="n">
        <v>65.48</v>
      </c>
      <c r="D174" s="7" t="n">
        <v>45.2</v>
      </c>
      <c r="E174" s="7" t="n">
        <v>48.14</v>
      </c>
      <c r="F174" s="8" t="n">
        <v>61.16</v>
      </c>
      <c r="G174" s="7" t="n">
        <v>42.01</v>
      </c>
      <c r="H174" s="7" t="n">
        <v>46.26</v>
      </c>
      <c r="I174" s="7" t="n">
        <v>40.72</v>
      </c>
      <c r="J174" s="7" t="n">
        <v>45.83</v>
      </c>
      <c r="K174" s="7" t="n">
        <v>39.15</v>
      </c>
      <c r="L174" s="7" t="n">
        <v>43.17</v>
      </c>
      <c r="M174" s="7" t="n">
        <v>56.45</v>
      </c>
      <c r="N174" s="7" t="n">
        <v>57.05</v>
      </c>
      <c r="O174" s="7" t="n">
        <v>42.08</v>
      </c>
      <c r="P174" s="7" t="n">
        <v>41.05</v>
      </c>
      <c r="Q174" s="7" t="n">
        <v>51.45</v>
      </c>
      <c r="R174" s="7" t="n">
        <v>45.76</v>
      </c>
      <c r="S174" s="7" t="n">
        <v>43.09</v>
      </c>
      <c r="T174" s="7" t="n">
        <v>40.58</v>
      </c>
      <c r="U174" s="7" t="n">
        <v>45.72</v>
      </c>
      <c r="V174" s="7" t="n">
        <v>45.59</v>
      </c>
      <c r="W174" s="7" t="n">
        <v>59.92</v>
      </c>
      <c r="X174" s="7" t="n">
        <v>45.47</v>
      </c>
      <c r="Y174" s="7" t="n">
        <v>48.34</v>
      </c>
    </row>
    <row r="175" ht="15" customHeight="1">
      <c r="A175" s="13" t="n">
        <v>45981</v>
      </c>
      <c r="B175" s="7" t="n">
        <v>57.45</v>
      </c>
      <c r="C175" s="8" t="n">
        <v>68.69</v>
      </c>
      <c r="D175" s="7" t="n">
        <v>50.03</v>
      </c>
      <c r="E175" s="7" t="n">
        <v>55.23</v>
      </c>
      <c r="F175" s="8" t="n">
        <v>63.13</v>
      </c>
      <c r="G175" s="7" t="n">
        <v>45.49</v>
      </c>
      <c r="H175" s="7" t="n">
        <v>50.77</v>
      </c>
      <c r="I175" s="7" t="n">
        <v>46.12</v>
      </c>
      <c r="J175" s="7" t="n">
        <v>55.01</v>
      </c>
      <c r="K175" s="7" t="n">
        <v>48.95</v>
      </c>
      <c r="L175" s="7" t="n">
        <v>48.83</v>
      </c>
      <c r="M175" s="8" t="n">
        <v>61.82</v>
      </c>
      <c r="N175" s="7" t="n">
        <v>59.74</v>
      </c>
      <c r="O175" s="7" t="n">
        <v>45.77</v>
      </c>
      <c r="P175" s="7" t="n">
        <v>43.07</v>
      </c>
      <c r="Q175" s="7" t="n">
        <v>50.18</v>
      </c>
      <c r="R175" s="7" t="n">
        <v>51.26</v>
      </c>
      <c r="S175" s="7" t="n">
        <v>48.05</v>
      </c>
      <c r="T175" s="7" t="n">
        <v>41.48</v>
      </c>
      <c r="U175" s="7" t="n">
        <v>49.12</v>
      </c>
      <c r="V175" s="7" t="n">
        <v>54.45</v>
      </c>
      <c r="W175" s="8" t="n">
        <v>65.37</v>
      </c>
      <c r="X175" s="7" t="n">
        <v>44.68</v>
      </c>
      <c r="Y175" s="7" t="n">
        <v>50.58</v>
      </c>
    </row>
    <row r="176" ht="15" customHeight="1">
      <c r="A176" s="13" t="n">
        <v>45980</v>
      </c>
      <c r="B176" s="7" t="n">
        <v>58.38</v>
      </c>
      <c r="C176" s="8" t="n">
        <v>61.63</v>
      </c>
      <c r="D176" s="7" t="n">
        <v>46.14</v>
      </c>
      <c r="E176" s="7" t="n">
        <v>51.96</v>
      </c>
      <c r="F176" s="8" t="n">
        <v>60.77</v>
      </c>
      <c r="G176" s="7" t="n">
        <v>39.71</v>
      </c>
      <c r="H176" s="7" t="n">
        <v>48.46</v>
      </c>
      <c r="I176" s="7" t="n">
        <v>41.15</v>
      </c>
      <c r="J176" s="7" t="n">
        <v>51.14</v>
      </c>
      <c r="K176" s="7" t="n">
        <v>48.91</v>
      </c>
      <c r="L176" s="7" t="n">
        <v>46.78</v>
      </c>
      <c r="M176" s="7" t="n">
        <v>54.42</v>
      </c>
      <c r="N176" s="7" t="n">
        <v>56.13</v>
      </c>
      <c r="O176" s="7" t="n">
        <v>41.47</v>
      </c>
      <c r="P176" s="7" t="n">
        <v>38.93</v>
      </c>
      <c r="Q176" s="7" t="n">
        <v>50.42</v>
      </c>
      <c r="R176" s="7" t="n">
        <v>49.1</v>
      </c>
      <c r="S176" s="7" t="n">
        <v>45.75</v>
      </c>
      <c r="T176" s="7" t="n">
        <v>41.98</v>
      </c>
      <c r="U176" s="7" t="n">
        <v>42.67</v>
      </c>
      <c r="V176" s="7" t="n">
        <v>50.5</v>
      </c>
      <c r="W176" s="8" t="n">
        <v>61.03</v>
      </c>
      <c r="X176" s="7" t="n">
        <v>39.67</v>
      </c>
      <c r="Y176" s="7" t="n">
        <v>42.85</v>
      </c>
    </row>
    <row r="177" ht="15" customHeight="1">
      <c r="A177" s="13" t="n">
        <v>45979</v>
      </c>
      <c r="B177" s="7" t="n">
        <v>53.99</v>
      </c>
      <c r="C177" s="8" t="n">
        <v>60.43</v>
      </c>
      <c r="D177" s="7" t="n">
        <v>44.63</v>
      </c>
      <c r="E177" s="7" t="n">
        <v>49.85</v>
      </c>
      <c r="F177" s="8" t="n">
        <v>62.34</v>
      </c>
      <c r="G177" s="7" t="n">
        <v>36.92</v>
      </c>
      <c r="H177" s="7" t="n">
        <v>44.24</v>
      </c>
      <c r="I177" s="7" t="n">
        <v>41.82</v>
      </c>
      <c r="J177" s="7" t="n">
        <v>52.95</v>
      </c>
      <c r="K177" s="7" t="n">
        <v>49.97</v>
      </c>
      <c r="L177" s="7" t="n">
        <v>50.07</v>
      </c>
      <c r="M177" s="7" t="n">
        <v>55.01</v>
      </c>
      <c r="N177" s="8" t="n">
        <v>62.57</v>
      </c>
      <c r="O177" s="7" t="n">
        <v>41.78</v>
      </c>
      <c r="P177" s="7" t="n">
        <v>36.33</v>
      </c>
      <c r="Q177" s="7" t="n">
        <v>42.54</v>
      </c>
      <c r="R177" s="7" t="n">
        <v>49.1</v>
      </c>
      <c r="S177" s="7" t="n">
        <v>45.2</v>
      </c>
      <c r="T177" s="7" t="n">
        <v>41.89</v>
      </c>
      <c r="U177" s="7" t="n">
        <v>41.92</v>
      </c>
      <c r="V177" s="7" t="n">
        <v>52.17</v>
      </c>
      <c r="W177" s="7" t="n">
        <v>56.55</v>
      </c>
      <c r="X177" s="7" t="n">
        <v>39.51</v>
      </c>
      <c r="Y177" s="7" t="n">
        <v>45.04</v>
      </c>
    </row>
    <row r="178" ht="15" customHeight="1">
      <c r="A178" s="13" t="n">
        <v>45978</v>
      </c>
      <c r="B178" s="7" t="n">
        <v>58</v>
      </c>
      <c r="C178" s="8" t="n">
        <v>68.73</v>
      </c>
      <c r="D178" s="7" t="n">
        <v>47.05</v>
      </c>
      <c r="E178" s="8" t="n">
        <v>60.4</v>
      </c>
      <c r="F178" s="8" t="n">
        <v>69.83</v>
      </c>
      <c r="G178" s="7" t="n">
        <v>43.46</v>
      </c>
      <c r="H178" s="7" t="n">
        <v>49.48</v>
      </c>
      <c r="I178" s="7" t="n">
        <v>47.76</v>
      </c>
      <c r="J178" s="8" t="n">
        <v>60.17</v>
      </c>
      <c r="K178" s="7" t="n">
        <v>57.31</v>
      </c>
      <c r="L178" s="7" t="n">
        <v>56.53</v>
      </c>
      <c r="M178" s="8" t="n">
        <v>60.41</v>
      </c>
      <c r="N178" s="8" t="n">
        <v>62.72</v>
      </c>
      <c r="O178" s="7" t="n">
        <v>49.5</v>
      </c>
      <c r="P178" s="7" t="n">
        <v>40.1</v>
      </c>
      <c r="Q178" s="7" t="n">
        <v>52.03</v>
      </c>
      <c r="R178" s="7" t="n">
        <v>57.37</v>
      </c>
      <c r="S178" s="7" t="n">
        <v>51.75</v>
      </c>
      <c r="T178" s="7" t="n">
        <v>47.48</v>
      </c>
      <c r="U178" s="7" t="n">
        <v>50.48</v>
      </c>
      <c r="V178" s="8" t="n">
        <v>60.25</v>
      </c>
      <c r="W178" s="7" t="n">
        <v>59.72</v>
      </c>
      <c r="X178" s="7" t="n">
        <v>46.15</v>
      </c>
      <c r="Y178" s="7" t="n">
        <v>45.23</v>
      </c>
    </row>
    <row r="179" ht="15" customHeight="1">
      <c r="A179" s="13" t="n">
        <v>45975</v>
      </c>
      <c r="B179" s="7" t="n">
        <v>53.13</v>
      </c>
      <c r="C179" s="8" t="n">
        <v>69.11</v>
      </c>
      <c r="D179" s="7" t="n">
        <v>59.82</v>
      </c>
      <c r="E179" s="8" t="n">
        <v>60.24</v>
      </c>
      <c r="F179" s="9" t="n">
        <v>74.56999999999999</v>
      </c>
      <c r="G179" s="7" t="n">
        <v>44.68</v>
      </c>
      <c r="H179" s="7" t="n">
        <v>50.47</v>
      </c>
      <c r="I179" s="7" t="n">
        <v>46.49</v>
      </c>
      <c r="J179" s="7" t="n">
        <v>54.36</v>
      </c>
      <c r="K179" s="7" t="n">
        <v>52.13</v>
      </c>
      <c r="L179" s="7" t="n">
        <v>54.21</v>
      </c>
      <c r="M179" s="7" t="n">
        <v>57.74</v>
      </c>
      <c r="N179" s="7" t="n">
        <v>59.19</v>
      </c>
      <c r="O179" s="7" t="n">
        <v>46.02</v>
      </c>
      <c r="P179" s="7" t="n">
        <v>42.68</v>
      </c>
      <c r="Q179" s="7" t="n">
        <v>54.19</v>
      </c>
      <c r="R179" s="7" t="n">
        <v>57.71</v>
      </c>
      <c r="S179" s="7" t="n">
        <v>52.18</v>
      </c>
      <c r="T179" s="7" t="n">
        <v>51.02</v>
      </c>
      <c r="U179" s="7" t="n">
        <v>50.83</v>
      </c>
      <c r="V179" s="7" t="n">
        <v>55.44</v>
      </c>
      <c r="W179" s="7" t="n">
        <v>56.04</v>
      </c>
      <c r="X179" s="7" t="n">
        <v>46.19</v>
      </c>
      <c r="Y179" s="7" t="n">
        <v>45.27</v>
      </c>
    </row>
    <row r="180" ht="15" customHeight="1">
      <c r="A180" s="13" t="n">
        <v>45974</v>
      </c>
      <c r="B180" s="7" t="n">
        <v>56.54</v>
      </c>
      <c r="C180" s="8" t="n">
        <v>68.33</v>
      </c>
      <c r="D180" s="8" t="n">
        <v>60.32</v>
      </c>
      <c r="E180" s="8" t="n">
        <v>67.36</v>
      </c>
      <c r="F180" s="9" t="n">
        <v>74.09</v>
      </c>
      <c r="G180" s="7" t="n">
        <v>48.75</v>
      </c>
      <c r="H180" s="7" t="n">
        <v>56.62</v>
      </c>
      <c r="I180" s="7" t="n">
        <v>54.02</v>
      </c>
      <c r="J180" s="8" t="n">
        <v>68.39</v>
      </c>
      <c r="K180" s="8" t="n">
        <v>63.91</v>
      </c>
      <c r="L180" s="7" t="n">
        <v>54.58</v>
      </c>
      <c r="M180" s="8" t="n">
        <v>64.03</v>
      </c>
      <c r="N180" s="8" t="n">
        <v>65.41</v>
      </c>
      <c r="O180" s="7" t="n">
        <v>49.28</v>
      </c>
      <c r="P180" s="7" t="n">
        <v>47.61</v>
      </c>
      <c r="Q180" s="7" t="n">
        <v>56.61</v>
      </c>
      <c r="R180" s="8" t="n">
        <v>69.34999999999999</v>
      </c>
      <c r="S180" s="7" t="n">
        <v>59.56</v>
      </c>
      <c r="T180" s="8" t="n">
        <v>65.95</v>
      </c>
      <c r="U180" s="7" t="n">
        <v>53.84</v>
      </c>
      <c r="V180" s="8" t="n">
        <v>67.62</v>
      </c>
      <c r="W180" s="8" t="n">
        <v>60.08</v>
      </c>
      <c r="X180" s="7" t="n">
        <v>54.03</v>
      </c>
      <c r="Y180" s="7" t="n">
        <v>47.95</v>
      </c>
    </row>
    <row r="181" ht="15" customHeight="1">
      <c r="A181" s="13" t="n">
        <v>45973</v>
      </c>
      <c r="B181" s="7" t="n">
        <v>51.46</v>
      </c>
      <c r="C181" s="8" t="n">
        <v>67.56</v>
      </c>
      <c r="D181" s="8" t="n">
        <v>60.7</v>
      </c>
      <c r="E181" s="8" t="n">
        <v>64.12</v>
      </c>
      <c r="F181" s="9" t="n">
        <v>70.02</v>
      </c>
      <c r="G181" s="7" t="n">
        <v>49.62</v>
      </c>
      <c r="H181" s="7" t="n">
        <v>51.17</v>
      </c>
      <c r="I181" s="7" t="n">
        <v>47.85</v>
      </c>
      <c r="J181" s="8" t="n">
        <v>68.56999999999999</v>
      </c>
      <c r="K181" s="7" t="n">
        <v>58.57</v>
      </c>
      <c r="L181" s="7" t="n">
        <v>51.74</v>
      </c>
      <c r="M181" s="8" t="n">
        <v>65.63</v>
      </c>
      <c r="N181" s="8" t="n">
        <v>62.83</v>
      </c>
      <c r="O181" s="7" t="n">
        <v>43.68</v>
      </c>
      <c r="P181" s="7" t="n">
        <v>49.19</v>
      </c>
      <c r="Q181" s="7" t="n">
        <v>52.65</v>
      </c>
      <c r="R181" s="9" t="n">
        <v>70.66</v>
      </c>
      <c r="S181" s="7" t="n">
        <v>59.23</v>
      </c>
      <c r="T181" s="8" t="n">
        <v>69.67</v>
      </c>
      <c r="U181" s="7" t="n">
        <v>53.03</v>
      </c>
      <c r="V181" s="8" t="n">
        <v>66.45999999999999</v>
      </c>
      <c r="W181" s="7" t="n">
        <v>58.64</v>
      </c>
      <c r="X181" s="7" t="n">
        <v>54.13</v>
      </c>
      <c r="Y181" s="7" t="n">
        <v>42.2</v>
      </c>
    </row>
    <row r="182" ht="15" customHeight="1">
      <c r="A182" s="13" t="n">
        <v>45972</v>
      </c>
      <c r="B182" s="7" t="n">
        <v>43.54</v>
      </c>
      <c r="C182" s="8" t="n">
        <v>63.24</v>
      </c>
      <c r="D182" s="7" t="n">
        <v>48.69</v>
      </c>
      <c r="E182" s="7" t="n">
        <v>59.18</v>
      </c>
      <c r="F182" s="8" t="n">
        <v>62.95</v>
      </c>
      <c r="G182" s="7" t="n">
        <v>41.71</v>
      </c>
      <c r="H182" s="7" t="n">
        <v>41.77</v>
      </c>
      <c r="I182" s="7" t="n">
        <v>47.47</v>
      </c>
      <c r="J182" s="8" t="n">
        <v>68.98</v>
      </c>
      <c r="K182" s="7" t="n">
        <v>56.67</v>
      </c>
      <c r="L182" s="7" t="n">
        <v>49.58</v>
      </c>
      <c r="M182" s="8" t="n">
        <v>61.94</v>
      </c>
      <c r="N182" s="8" t="n">
        <v>68.81</v>
      </c>
      <c r="O182" s="7" t="n">
        <v>42.39</v>
      </c>
      <c r="P182" s="7" t="n">
        <v>43.34</v>
      </c>
      <c r="Q182" s="7" t="n">
        <v>53.35</v>
      </c>
      <c r="R182" s="8" t="n">
        <v>65.19</v>
      </c>
      <c r="S182" s="7" t="n">
        <v>52.14</v>
      </c>
      <c r="T182" s="8" t="n">
        <v>62.74</v>
      </c>
      <c r="U182" s="7" t="n">
        <v>48.41</v>
      </c>
      <c r="V182" s="8" t="n">
        <v>65.54000000000001</v>
      </c>
      <c r="W182" s="7" t="n">
        <v>55.2</v>
      </c>
      <c r="X182" s="7" t="n">
        <v>51.81</v>
      </c>
      <c r="Y182" s="7" t="n">
        <v>37.77</v>
      </c>
    </row>
    <row r="183" ht="15" customHeight="1">
      <c r="A183" s="13" t="n">
        <v>45971</v>
      </c>
      <c r="B183" s="7" t="n">
        <v>49.61</v>
      </c>
      <c r="C183" s="7" t="n">
        <v>50.47</v>
      </c>
      <c r="D183" s="7" t="n">
        <v>50.14</v>
      </c>
      <c r="E183" s="7" t="n">
        <v>59.39</v>
      </c>
      <c r="F183" s="8" t="n">
        <v>64.81999999999999</v>
      </c>
      <c r="G183" s="7" t="n">
        <v>41.62</v>
      </c>
      <c r="H183" s="7" t="n">
        <v>42.21</v>
      </c>
      <c r="I183" s="7" t="n">
        <v>49.28</v>
      </c>
      <c r="J183" s="8" t="n">
        <v>66.45999999999999</v>
      </c>
      <c r="K183" s="7" t="n">
        <v>52.01</v>
      </c>
      <c r="L183" s="7" t="n">
        <v>51.84</v>
      </c>
      <c r="M183" s="8" t="n">
        <v>61.46</v>
      </c>
      <c r="N183" s="8" t="n">
        <v>62.9</v>
      </c>
      <c r="O183" s="7" t="n">
        <v>42.91</v>
      </c>
      <c r="P183" s="7" t="n">
        <v>45.53</v>
      </c>
      <c r="Q183" s="7" t="n">
        <v>53.6</v>
      </c>
      <c r="R183" s="8" t="n">
        <v>65.43000000000001</v>
      </c>
      <c r="S183" s="7" t="n">
        <v>57.22</v>
      </c>
      <c r="T183" s="8" t="n">
        <v>64.79000000000001</v>
      </c>
      <c r="U183" s="7" t="n">
        <v>50.5</v>
      </c>
      <c r="V183" s="8" t="n">
        <v>63.79</v>
      </c>
      <c r="W183" s="7" t="n">
        <v>49.96</v>
      </c>
      <c r="X183" s="7" t="n">
        <v>49.66</v>
      </c>
      <c r="Y183" s="7" t="n">
        <v>48.53</v>
      </c>
    </row>
    <row r="184" ht="15" customHeight="1">
      <c r="A184" s="13" t="n">
        <v>45968</v>
      </c>
      <c r="B184" s="7" t="n">
        <v>41.31</v>
      </c>
      <c r="C184" s="7" t="n">
        <v>38.18</v>
      </c>
      <c r="D184" s="7" t="n">
        <v>49.58</v>
      </c>
      <c r="E184" s="7" t="n">
        <v>49.95</v>
      </c>
      <c r="F184" s="8" t="n">
        <v>64.02</v>
      </c>
      <c r="G184" s="10" t="n">
        <v>29.45</v>
      </c>
      <c r="H184" s="7" t="n">
        <v>37.14</v>
      </c>
      <c r="I184" s="7" t="n">
        <v>45.63</v>
      </c>
      <c r="J184" s="8" t="n">
        <v>62.59</v>
      </c>
      <c r="K184" s="7" t="n">
        <v>46.69</v>
      </c>
      <c r="L184" s="7" t="n">
        <v>45.11</v>
      </c>
      <c r="M184" s="7" t="n">
        <v>52.44</v>
      </c>
      <c r="N184" s="7" t="n">
        <v>57.51</v>
      </c>
      <c r="O184" s="7" t="n">
        <v>39.14</v>
      </c>
      <c r="P184" s="7" t="n">
        <v>37.42</v>
      </c>
      <c r="Q184" s="7" t="n">
        <v>46.47</v>
      </c>
      <c r="R184" s="7" t="n">
        <v>57.27</v>
      </c>
      <c r="S184" s="7" t="n">
        <v>47.7</v>
      </c>
      <c r="T184" s="7" t="n">
        <v>55.49</v>
      </c>
      <c r="U184" s="7" t="n">
        <v>41.17</v>
      </c>
      <c r="V184" s="7" t="n">
        <v>58.82</v>
      </c>
      <c r="W184" s="7" t="n">
        <v>51.82</v>
      </c>
      <c r="X184" s="7" t="n">
        <v>47.06</v>
      </c>
      <c r="Y184" s="7" t="n">
        <v>45.95</v>
      </c>
    </row>
    <row r="185" ht="15" customHeight="1">
      <c r="A185" s="13" t="n">
        <v>45967</v>
      </c>
      <c r="B185" s="7" t="n">
        <v>45.42</v>
      </c>
      <c r="C185" s="7" t="n">
        <v>42.41</v>
      </c>
      <c r="D185" s="7" t="n">
        <v>54.5</v>
      </c>
      <c r="E185" s="7" t="n">
        <v>54.91</v>
      </c>
      <c r="F185" s="8" t="n">
        <v>67.58</v>
      </c>
      <c r="G185" s="7" t="n">
        <v>30.24</v>
      </c>
      <c r="H185" s="7" t="n">
        <v>42.45</v>
      </c>
      <c r="I185" s="7" t="n">
        <v>48.45</v>
      </c>
      <c r="J185" s="8" t="n">
        <v>67.23</v>
      </c>
      <c r="K185" s="7" t="n">
        <v>52.45</v>
      </c>
      <c r="L185" s="7" t="n">
        <v>48.39</v>
      </c>
      <c r="M185" s="7" t="n">
        <v>55.79</v>
      </c>
      <c r="N185" s="8" t="n">
        <v>64.40000000000001</v>
      </c>
      <c r="O185" s="7" t="n">
        <v>44.3</v>
      </c>
      <c r="P185" s="7" t="n">
        <v>39.95</v>
      </c>
      <c r="Q185" s="7" t="n">
        <v>48.85</v>
      </c>
      <c r="R185" s="8" t="n">
        <v>63.74</v>
      </c>
      <c r="S185" s="7" t="n">
        <v>52.63</v>
      </c>
      <c r="T185" s="8" t="n">
        <v>61.38</v>
      </c>
      <c r="U185" s="7" t="n">
        <v>48.65</v>
      </c>
      <c r="V185" s="8" t="n">
        <v>64.08</v>
      </c>
      <c r="W185" s="7" t="n">
        <v>49.82</v>
      </c>
      <c r="X185" s="7" t="n">
        <v>49.12</v>
      </c>
      <c r="Y185" s="7" t="n">
        <v>54.29</v>
      </c>
    </row>
    <row r="186" ht="15" customHeight="1">
      <c r="A186" s="13" t="n">
        <v>45966</v>
      </c>
      <c r="B186" s="7" t="n">
        <v>42.86</v>
      </c>
      <c r="C186" s="10" t="n">
        <v>28.17</v>
      </c>
      <c r="D186" s="7" t="n">
        <v>51.84</v>
      </c>
      <c r="E186" s="7" t="n">
        <v>56.74</v>
      </c>
      <c r="F186" s="8" t="n">
        <v>68.12</v>
      </c>
      <c r="G186" s="10" t="n">
        <v>27.95</v>
      </c>
      <c r="H186" s="7" t="n">
        <v>42.45</v>
      </c>
      <c r="I186" s="7" t="n">
        <v>54.06</v>
      </c>
      <c r="J186" s="8" t="n">
        <v>66.84</v>
      </c>
      <c r="K186" s="7" t="n">
        <v>46.45</v>
      </c>
      <c r="L186" s="7" t="n">
        <v>48.91</v>
      </c>
      <c r="M186" s="7" t="n">
        <v>51.89</v>
      </c>
      <c r="N186" s="7" t="n">
        <v>57.3</v>
      </c>
      <c r="O186" s="7" t="n">
        <v>44.26</v>
      </c>
      <c r="P186" s="7" t="n">
        <v>36.68</v>
      </c>
      <c r="Q186" s="7" t="n">
        <v>37.54</v>
      </c>
      <c r="R186" s="7" t="n">
        <v>54.97</v>
      </c>
      <c r="S186" s="7" t="n">
        <v>51.78</v>
      </c>
      <c r="T186" s="7" t="n">
        <v>44.99</v>
      </c>
      <c r="U186" s="7" t="n">
        <v>49.54</v>
      </c>
      <c r="V186" s="8" t="n">
        <v>64.11</v>
      </c>
      <c r="W186" s="7" t="n">
        <v>40.28</v>
      </c>
      <c r="X186" s="7" t="n">
        <v>55.78</v>
      </c>
      <c r="Y186" s="8" t="n">
        <v>60.45</v>
      </c>
    </row>
    <row r="187" ht="15" customHeight="1">
      <c r="A187" s="13" t="n">
        <v>45965</v>
      </c>
      <c r="B187" s="7" t="n">
        <v>48.34</v>
      </c>
      <c r="C187" s="7" t="n">
        <v>30.31</v>
      </c>
      <c r="D187" s="7" t="n">
        <v>53.18</v>
      </c>
      <c r="E187" s="9" t="n">
        <v>72.68000000000001</v>
      </c>
      <c r="F187" s="8" t="n">
        <v>69.65000000000001</v>
      </c>
      <c r="G187" s="10" t="n">
        <v>29.27</v>
      </c>
      <c r="H187" s="7" t="n">
        <v>49.42</v>
      </c>
      <c r="I187" s="8" t="n">
        <v>65.76000000000001</v>
      </c>
      <c r="J187" s="9" t="n">
        <v>74.12</v>
      </c>
      <c r="K187" s="7" t="n">
        <v>55.4</v>
      </c>
      <c r="L187" s="8" t="n">
        <v>60.93</v>
      </c>
      <c r="M187" s="7" t="n">
        <v>58.21</v>
      </c>
      <c r="N187" s="8" t="n">
        <v>64.22</v>
      </c>
      <c r="O187" s="7" t="n">
        <v>51.55</v>
      </c>
      <c r="P187" s="7" t="n">
        <v>40.82</v>
      </c>
      <c r="Q187" s="7" t="n">
        <v>31.45</v>
      </c>
      <c r="R187" s="8" t="n">
        <v>63.22</v>
      </c>
      <c r="S187" s="7" t="n">
        <v>55.79</v>
      </c>
      <c r="T187" s="7" t="n">
        <v>37.76</v>
      </c>
      <c r="U187" s="7" t="n">
        <v>59.64</v>
      </c>
      <c r="V187" s="9" t="n">
        <v>74.48</v>
      </c>
      <c r="W187" s="7" t="n">
        <v>44.89</v>
      </c>
      <c r="X187" s="7" t="n">
        <v>59.59</v>
      </c>
      <c r="Y187" s="9" t="n">
        <v>72</v>
      </c>
    </row>
    <row r="188" ht="15" customHeight="1">
      <c r="A188" s="13" t="n">
        <v>45964</v>
      </c>
      <c r="B188" s="7" t="n">
        <v>37.34</v>
      </c>
      <c r="C188" s="10" t="n">
        <v>29.26</v>
      </c>
      <c r="D188" s="7" t="n">
        <v>46.14</v>
      </c>
      <c r="E188" s="9" t="n">
        <v>71.76000000000001</v>
      </c>
      <c r="F188" s="8" t="n">
        <v>67</v>
      </c>
      <c r="G188" s="10" t="n">
        <v>28.62</v>
      </c>
      <c r="H188" s="7" t="n">
        <v>52.69</v>
      </c>
      <c r="I188" s="8" t="n">
        <v>68.63</v>
      </c>
      <c r="J188" s="9" t="n">
        <v>87.38</v>
      </c>
      <c r="K188" s="7" t="n">
        <v>54.99</v>
      </c>
      <c r="L188" s="9" t="n">
        <v>73.64</v>
      </c>
      <c r="M188" s="8" t="n">
        <v>61.36</v>
      </c>
      <c r="N188" s="8" t="n">
        <v>64.8</v>
      </c>
      <c r="O188" s="7" t="n">
        <v>52.24</v>
      </c>
      <c r="P188" s="7" t="n">
        <v>44.63</v>
      </c>
      <c r="Q188" s="7" t="n">
        <v>33.36</v>
      </c>
      <c r="R188" s="8" t="n">
        <v>65.09999999999999</v>
      </c>
      <c r="S188" s="8" t="n">
        <v>66.76000000000001</v>
      </c>
      <c r="T188" s="7" t="n">
        <v>38.04</v>
      </c>
      <c r="U188" s="7" t="n">
        <v>57.88</v>
      </c>
      <c r="V188" s="9" t="n">
        <v>87.7</v>
      </c>
      <c r="W188" s="7" t="n">
        <v>47</v>
      </c>
      <c r="X188" s="8" t="n">
        <v>61.84</v>
      </c>
      <c r="Y188" s="9" t="n">
        <v>72.63</v>
      </c>
    </row>
    <row r="189" ht="15" customHeight="1">
      <c r="A189" s="13" t="n">
        <v>45961</v>
      </c>
      <c r="B189" s="7" t="n">
        <v>38.74</v>
      </c>
      <c r="C189" s="7" t="n">
        <v>34.38</v>
      </c>
      <c r="D189" s="7" t="n">
        <v>40.33</v>
      </c>
      <c r="E189" s="9" t="n">
        <v>70.48999999999999</v>
      </c>
      <c r="F189" s="8" t="n">
        <v>67.65000000000001</v>
      </c>
      <c r="G189" s="7" t="n">
        <v>32.5</v>
      </c>
      <c r="H189" s="7" t="n">
        <v>50.41</v>
      </c>
      <c r="I189" s="8" t="n">
        <v>67.09</v>
      </c>
      <c r="J189" s="9" t="n">
        <v>84.27</v>
      </c>
      <c r="K189" s="7" t="n">
        <v>54.35</v>
      </c>
      <c r="L189" s="9" t="n">
        <v>72.37</v>
      </c>
      <c r="M189" s="8" t="n">
        <v>61.51</v>
      </c>
      <c r="N189" s="7" t="n">
        <v>57.98</v>
      </c>
      <c r="O189" s="7" t="n">
        <v>57.83</v>
      </c>
      <c r="P189" s="7" t="n">
        <v>53.58</v>
      </c>
      <c r="Q189" s="7" t="n">
        <v>37.43</v>
      </c>
      <c r="R189" s="8" t="n">
        <v>60.91</v>
      </c>
      <c r="S189" s="8" t="n">
        <v>62.96</v>
      </c>
      <c r="T189" s="7" t="n">
        <v>40.79</v>
      </c>
      <c r="U189" s="7" t="n">
        <v>52.25</v>
      </c>
      <c r="V189" s="9" t="n">
        <v>85.06</v>
      </c>
      <c r="W189" s="7" t="n">
        <v>54.02</v>
      </c>
      <c r="X189" s="7" t="n">
        <v>59.07</v>
      </c>
      <c r="Y189" s="9" t="n">
        <v>72.73999999999999</v>
      </c>
    </row>
    <row r="190" ht="15" customHeight="1">
      <c r="A190" s="13" t="n">
        <v>45960</v>
      </c>
      <c r="B190" s="7" t="n">
        <v>37.28</v>
      </c>
      <c r="C190" s="7" t="n">
        <v>35.09</v>
      </c>
      <c r="D190" s="7" t="n">
        <v>42.55</v>
      </c>
      <c r="E190" s="9" t="n">
        <v>75.98999999999999</v>
      </c>
      <c r="F190" s="8" t="n">
        <v>66.04000000000001</v>
      </c>
      <c r="G190" s="7" t="n">
        <v>35.64</v>
      </c>
      <c r="H190" s="7" t="n">
        <v>56.42</v>
      </c>
      <c r="I190" s="8" t="n">
        <v>68.19</v>
      </c>
      <c r="J190" s="9" t="n">
        <v>83.69</v>
      </c>
      <c r="K190" s="7" t="n">
        <v>53.27</v>
      </c>
      <c r="L190" s="9" t="n">
        <v>70.11</v>
      </c>
      <c r="M190" s="8" t="n">
        <v>63.79</v>
      </c>
      <c r="N190" s="8" t="n">
        <v>60.05</v>
      </c>
      <c r="O190" s="7" t="n">
        <v>57.53</v>
      </c>
      <c r="P190" s="7" t="n">
        <v>46.92</v>
      </c>
      <c r="Q190" s="7" t="n">
        <v>36.51</v>
      </c>
      <c r="R190" s="8" t="n">
        <v>63.94</v>
      </c>
      <c r="S190" s="8" t="n">
        <v>61.65</v>
      </c>
      <c r="T190" s="7" t="n">
        <v>45.57</v>
      </c>
      <c r="U190" s="7" t="n">
        <v>56.34</v>
      </c>
      <c r="V190" s="9" t="n">
        <v>84.51000000000001</v>
      </c>
      <c r="W190" s="8" t="n">
        <v>67.13</v>
      </c>
      <c r="X190" s="7" t="n">
        <v>50.99</v>
      </c>
      <c r="Y190" s="8" t="n">
        <v>67.64</v>
      </c>
    </row>
    <row r="191" ht="15" customHeight="1">
      <c r="A191" s="13" t="n">
        <v>45959</v>
      </c>
      <c r="B191" s="7" t="n">
        <v>30.49</v>
      </c>
      <c r="C191" s="7" t="n">
        <v>39.76</v>
      </c>
      <c r="D191" s="7" t="n">
        <v>48.85</v>
      </c>
      <c r="E191" s="9" t="n">
        <v>83.77</v>
      </c>
      <c r="F191" s="8" t="n">
        <v>68.84999999999999</v>
      </c>
      <c r="G191" s="7" t="n">
        <v>42.86</v>
      </c>
      <c r="H191" s="8" t="n">
        <v>65.01000000000001</v>
      </c>
      <c r="I191" s="9" t="n">
        <v>80.25</v>
      </c>
      <c r="J191" s="9" t="n">
        <v>82.53</v>
      </c>
      <c r="K191" s="8" t="n">
        <v>61.74</v>
      </c>
      <c r="L191" s="8" t="n">
        <v>68.05</v>
      </c>
      <c r="M191" s="8" t="n">
        <v>69.73</v>
      </c>
      <c r="N191" s="9" t="n">
        <v>73.31</v>
      </c>
      <c r="O191" s="8" t="n">
        <v>68.98999999999999</v>
      </c>
      <c r="P191" s="7" t="n">
        <v>44.4</v>
      </c>
      <c r="Q191" s="7" t="n">
        <v>45.83</v>
      </c>
      <c r="R191" s="8" t="n">
        <v>66.03</v>
      </c>
      <c r="S191" s="8" t="n">
        <v>62</v>
      </c>
      <c r="T191" s="7" t="n">
        <v>48.55</v>
      </c>
      <c r="U191" s="8" t="n">
        <v>64.97</v>
      </c>
      <c r="V191" s="9" t="n">
        <v>83.86</v>
      </c>
      <c r="W191" s="8" t="n">
        <v>66.95999999999999</v>
      </c>
      <c r="X191" s="8" t="n">
        <v>61.9</v>
      </c>
      <c r="Y191" s="8" t="n">
        <v>61.55</v>
      </c>
    </row>
    <row r="192" ht="15" customHeight="1">
      <c r="A192" s="13" t="n">
        <v>45958</v>
      </c>
      <c r="B192" s="7" t="n">
        <v>33.8</v>
      </c>
      <c r="C192" s="7" t="n">
        <v>49.08</v>
      </c>
      <c r="D192" s="7" t="n">
        <v>51.68</v>
      </c>
      <c r="E192" s="9" t="n">
        <v>83.53</v>
      </c>
      <c r="F192" s="9" t="n">
        <v>74.54000000000001</v>
      </c>
      <c r="G192" s="7" t="n">
        <v>47.97</v>
      </c>
      <c r="H192" s="8" t="n">
        <v>60.61</v>
      </c>
      <c r="I192" s="9" t="n">
        <v>74.58</v>
      </c>
      <c r="J192" s="9" t="n">
        <v>80.33</v>
      </c>
      <c r="K192" s="7" t="n">
        <v>59.77</v>
      </c>
      <c r="L192" s="8" t="n">
        <v>67.2</v>
      </c>
      <c r="M192" s="7" t="n">
        <v>58.95</v>
      </c>
      <c r="N192" s="8" t="n">
        <v>69.92</v>
      </c>
      <c r="O192" s="8" t="n">
        <v>64.77</v>
      </c>
      <c r="P192" s="7" t="n">
        <v>47.71</v>
      </c>
      <c r="Q192" s="7" t="n">
        <v>44.34</v>
      </c>
      <c r="R192" s="8" t="n">
        <v>65.62</v>
      </c>
      <c r="S192" s="8" t="n">
        <v>63.08</v>
      </c>
      <c r="T192" s="7" t="n">
        <v>51.84</v>
      </c>
      <c r="U192" s="8" t="n">
        <v>69.73999999999999</v>
      </c>
      <c r="V192" s="9" t="n">
        <v>81.94</v>
      </c>
      <c r="W192" s="8" t="n">
        <v>66.47</v>
      </c>
      <c r="X192" s="7" t="n">
        <v>53.3</v>
      </c>
      <c r="Y192" s="8" t="n">
        <v>66.19</v>
      </c>
    </row>
    <row r="193" ht="15" customHeight="1">
      <c r="A193" s="13" t="n">
        <v>45957</v>
      </c>
      <c r="B193" s="7" t="n">
        <v>32.92</v>
      </c>
      <c r="C193" s="7" t="n">
        <v>50.67</v>
      </c>
      <c r="D193" s="7" t="n">
        <v>52.17</v>
      </c>
      <c r="E193" s="9" t="n">
        <v>82.68000000000001</v>
      </c>
      <c r="F193" s="9" t="n">
        <v>72.67</v>
      </c>
      <c r="G193" s="7" t="n">
        <v>48.24</v>
      </c>
      <c r="H193" s="8" t="n">
        <v>63.57</v>
      </c>
      <c r="I193" s="9" t="n">
        <v>72.95</v>
      </c>
      <c r="J193" s="9" t="n">
        <v>84.59999999999999</v>
      </c>
      <c r="K193" s="8" t="n">
        <v>62.6</v>
      </c>
      <c r="L193" s="9" t="n">
        <v>75.58</v>
      </c>
      <c r="M193" s="8" t="n">
        <v>66.27</v>
      </c>
      <c r="N193" s="8" t="n">
        <v>67.17</v>
      </c>
      <c r="O193" s="8" t="n">
        <v>67.23999999999999</v>
      </c>
      <c r="P193" s="7" t="n">
        <v>48.56</v>
      </c>
      <c r="Q193" s="7" t="n">
        <v>44.5</v>
      </c>
      <c r="R193" s="8" t="n">
        <v>69.88</v>
      </c>
      <c r="S193" s="8" t="n">
        <v>63.41</v>
      </c>
      <c r="T193" s="7" t="n">
        <v>55.66</v>
      </c>
      <c r="U193" s="9" t="n">
        <v>70.09999999999999</v>
      </c>
      <c r="V193" s="9" t="n">
        <v>86.29000000000001</v>
      </c>
      <c r="W193" s="8" t="n">
        <v>64.83</v>
      </c>
      <c r="X193" s="7" t="n">
        <v>50.4</v>
      </c>
      <c r="Y193" s="8" t="n">
        <v>64.66</v>
      </c>
    </row>
    <row r="194" ht="15" customHeight="1">
      <c r="A194" s="13" t="n">
        <v>45954</v>
      </c>
      <c r="B194" s="7" t="n">
        <v>34.06</v>
      </c>
      <c r="C194" s="7" t="n">
        <v>47.52</v>
      </c>
      <c r="D194" s="7" t="n">
        <v>48.93</v>
      </c>
      <c r="E194" s="9" t="n">
        <v>81.93000000000001</v>
      </c>
      <c r="F194" s="8" t="n">
        <v>64.81999999999999</v>
      </c>
      <c r="G194" s="7" t="n">
        <v>45.01</v>
      </c>
      <c r="H194" s="8" t="n">
        <v>67.87</v>
      </c>
      <c r="I194" s="9" t="n">
        <v>71.73</v>
      </c>
      <c r="J194" s="9" t="n">
        <v>82.44</v>
      </c>
      <c r="K194" s="8" t="n">
        <v>61.6</v>
      </c>
      <c r="L194" s="9" t="n">
        <v>71.52</v>
      </c>
      <c r="M194" s="8" t="n">
        <v>62.55</v>
      </c>
      <c r="N194" s="8" t="n">
        <v>68.69</v>
      </c>
      <c r="O194" s="8" t="n">
        <v>62.81</v>
      </c>
      <c r="P194" s="7" t="n">
        <v>43.48</v>
      </c>
      <c r="Q194" s="7" t="n">
        <v>43.19</v>
      </c>
      <c r="R194" s="8" t="n">
        <v>63.37</v>
      </c>
      <c r="S194" s="7" t="n">
        <v>58.62</v>
      </c>
      <c r="T194" s="7" t="n">
        <v>55.99</v>
      </c>
      <c r="U194" s="8" t="n">
        <v>64.67</v>
      </c>
      <c r="V194" s="9" t="n">
        <v>84.11</v>
      </c>
      <c r="W194" s="8" t="n">
        <v>62.4</v>
      </c>
      <c r="X194" s="7" t="n">
        <v>44.98</v>
      </c>
      <c r="Y194" s="7" t="n">
        <v>51.22</v>
      </c>
    </row>
    <row r="195" ht="15" customHeight="1">
      <c r="A195" s="13" t="n">
        <v>45953</v>
      </c>
      <c r="B195" s="7" t="n">
        <v>35.82</v>
      </c>
      <c r="C195" s="7" t="n">
        <v>50.06</v>
      </c>
      <c r="D195" s="7" t="n">
        <v>55.61</v>
      </c>
      <c r="E195" s="9" t="n">
        <v>78.39</v>
      </c>
      <c r="F195" s="8" t="n">
        <v>63.17</v>
      </c>
      <c r="G195" s="7" t="n">
        <v>40.93</v>
      </c>
      <c r="H195" s="8" t="n">
        <v>62.73</v>
      </c>
      <c r="I195" s="8" t="n">
        <v>67.65000000000001</v>
      </c>
      <c r="J195" s="9" t="n">
        <v>78.56</v>
      </c>
      <c r="K195" s="7" t="n">
        <v>58.4</v>
      </c>
      <c r="L195" s="9" t="n">
        <v>71.45</v>
      </c>
      <c r="M195" s="8" t="n">
        <v>62.07</v>
      </c>
      <c r="N195" s="8" t="n">
        <v>65.56</v>
      </c>
      <c r="O195" s="7" t="n">
        <v>48.94</v>
      </c>
      <c r="P195" s="7" t="n">
        <v>45.24</v>
      </c>
      <c r="Q195" s="7" t="n">
        <v>44.44</v>
      </c>
      <c r="R195" s="8" t="n">
        <v>60.5</v>
      </c>
      <c r="S195" s="7" t="n">
        <v>54.31</v>
      </c>
      <c r="T195" s="7" t="n">
        <v>54.96</v>
      </c>
      <c r="U195" s="8" t="n">
        <v>62.43</v>
      </c>
      <c r="V195" s="9" t="n">
        <v>80.87</v>
      </c>
      <c r="W195" s="7" t="n">
        <v>59.39</v>
      </c>
      <c r="X195" s="7" t="n">
        <v>41.13</v>
      </c>
      <c r="Y195" s="7" t="n">
        <v>51.74</v>
      </c>
    </row>
    <row r="196" ht="15" customHeight="1">
      <c r="A196" s="13" t="n">
        <v>45952</v>
      </c>
      <c r="B196" s="7" t="n">
        <v>36.94</v>
      </c>
      <c r="C196" s="7" t="n">
        <v>49.8</v>
      </c>
      <c r="D196" s="7" t="n">
        <v>52.13</v>
      </c>
      <c r="E196" s="9" t="n">
        <v>81.95999999999999</v>
      </c>
      <c r="F196" s="9" t="n">
        <v>71.23999999999999</v>
      </c>
      <c r="G196" s="7" t="n">
        <v>45.9</v>
      </c>
      <c r="H196" s="8" t="n">
        <v>62.92</v>
      </c>
      <c r="I196" s="9" t="n">
        <v>72.39</v>
      </c>
      <c r="J196" s="9" t="n">
        <v>81.76000000000001</v>
      </c>
      <c r="K196" s="8" t="n">
        <v>63.34</v>
      </c>
      <c r="L196" s="9" t="n">
        <v>72.67</v>
      </c>
      <c r="M196" s="8" t="n">
        <v>61.16</v>
      </c>
      <c r="N196" s="9" t="n">
        <v>76.51000000000001</v>
      </c>
      <c r="O196" s="7" t="n">
        <v>51.58</v>
      </c>
      <c r="P196" s="7" t="n">
        <v>49.12</v>
      </c>
      <c r="Q196" s="7" t="n">
        <v>48.5</v>
      </c>
      <c r="R196" s="8" t="n">
        <v>66.2</v>
      </c>
      <c r="S196" s="7" t="n">
        <v>58.23</v>
      </c>
      <c r="T196" s="7" t="n">
        <v>52.96</v>
      </c>
      <c r="U196" s="8" t="n">
        <v>66.63</v>
      </c>
      <c r="V196" s="9" t="n">
        <v>85.08</v>
      </c>
      <c r="W196" s="7" t="n">
        <v>58.46</v>
      </c>
      <c r="X196" s="7" t="n">
        <v>49.83</v>
      </c>
      <c r="Y196" s="7" t="n">
        <v>48.25</v>
      </c>
    </row>
    <row r="197" ht="15" customHeight="1">
      <c r="A197" s="13" t="n">
        <v>45951</v>
      </c>
      <c r="B197" s="7" t="n">
        <v>37.11</v>
      </c>
      <c r="C197" s="7" t="n">
        <v>43.27</v>
      </c>
      <c r="D197" s="7" t="n">
        <v>41.6</v>
      </c>
      <c r="E197" s="9" t="n">
        <v>74.79000000000001</v>
      </c>
      <c r="F197" s="8" t="n">
        <v>67.95</v>
      </c>
      <c r="G197" s="7" t="n">
        <v>39.49</v>
      </c>
      <c r="H197" s="8" t="n">
        <v>60.07</v>
      </c>
      <c r="I197" s="9" t="n">
        <v>72.91</v>
      </c>
      <c r="J197" s="9" t="n">
        <v>80.79000000000001</v>
      </c>
      <c r="K197" s="7" t="n">
        <v>58.36</v>
      </c>
      <c r="L197" s="8" t="n">
        <v>67.08</v>
      </c>
      <c r="M197" s="7" t="n">
        <v>55.7</v>
      </c>
      <c r="N197" s="9" t="n">
        <v>75.56999999999999</v>
      </c>
      <c r="O197" s="7" t="n">
        <v>50.79</v>
      </c>
      <c r="P197" s="7" t="n">
        <v>37.14</v>
      </c>
      <c r="Q197" s="7" t="n">
        <v>46.55</v>
      </c>
      <c r="R197" s="8" t="n">
        <v>63.24</v>
      </c>
      <c r="S197" s="7" t="n">
        <v>59.35</v>
      </c>
      <c r="T197" s="7" t="n">
        <v>52.15</v>
      </c>
      <c r="U197" s="8" t="n">
        <v>63.27</v>
      </c>
      <c r="V197" s="9" t="n">
        <v>83.37</v>
      </c>
      <c r="W197" s="7" t="n">
        <v>55.38</v>
      </c>
      <c r="X197" s="7" t="n">
        <v>49.76</v>
      </c>
      <c r="Y197" s="7" t="n">
        <v>48.23</v>
      </c>
    </row>
    <row r="198" ht="15" customHeight="1">
      <c r="A198" s="13" t="n">
        <v>45950</v>
      </c>
      <c r="B198" s="7" t="n">
        <v>42.2</v>
      </c>
      <c r="C198" s="7" t="n">
        <v>44.08</v>
      </c>
      <c r="D198" s="7" t="n">
        <v>40.16</v>
      </c>
      <c r="E198" s="9" t="n">
        <v>73.27</v>
      </c>
      <c r="F198" s="8" t="n">
        <v>66.51000000000001</v>
      </c>
      <c r="G198" s="7" t="n">
        <v>41.93</v>
      </c>
      <c r="H198" s="8" t="n">
        <v>60.81</v>
      </c>
      <c r="I198" s="9" t="n">
        <v>72.43000000000001</v>
      </c>
      <c r="J198" s="9" t="n">
        <v>83.01000000000001</v>
      </c>
      <c r="K198" s="8" t="n">
        <v>61.35</v>
      </c>
      <c r="L198" s="7" t="n">
        <v>59.55</v>
      </c>
      <c r="M198" s="7" t="n">
        <v>59.85</v>
      </c>
      <c r="N198" s="9" t="n">
        <v>71.59</v>
      </c>
      <c r="O198" s="7" t="n">
        <v>45.4</v>
      </c>
      <c r="P198" s="7" t="n">
        <v>39.07</v>
      </c>
      <c r="Q198" s="7" t="n">
        <v>48.52</v>
      </c>
      <c r="R198" s="8" t="n">
        <v>64.45</v>
      </c>
      <c r="S198" s="8" t="n">
        <v>65.87</v>
      </c>
      <c r="T198" s="7" t="n">
        <v>51.04</v>
      </c>
      <c r="U198" s="7" t="n">
        <v>52.91</v>
      </c>
      <c r="V198" s="9" t="n">
        <v>83.08</v>
      </c>
      <c r="W198" s="7" t="n">
        <v>55.81</v>
      </c>
      <c r="X198" s="7" t="n">
        <v>47.81</v>
      </c>
      <c r="Y198" s="7" t="n">
        <v>46.53</v>
      </c>
    </row>
    <row r="199" ht="15" customHeight="1">
      <c r="A199" s="13" t="n">
        <v>45947</v>
      </c>
      <c r="B199" s="7" t="n">
        <v>35.82</v>
      </c>
      <c r="C199" s="7" t="n">
        <v>34.93</v>
      </c>
      <c r="D199" s="7" t="n">
        <v>38.8</v>
      </c>
      <c r="E199" s="9" t="n">
        <v>70.34999999999999</v>
      </c>
      <c r="F199" s="8" t="n">
        <v>62.66</v>
      </c>
      <c r="G199" s="7" t="n">
        <v>41.78</v>
      </c>
      <c r="H199" s="7" t="n">
        <v>59.75</v>
      </c>
      <c r="I199" s="9" t="n">
        <v>71.09999999999999</v>
      </c>
      <c r="J199" s="9" t="n">
        <v>81.81</v>
      </c>
      <c r="K199" s="7" t="n">
        <v>56.54</v>
      </c>
      <c r="L199" s="7" t="n">
        <v>53.27</v>
      </c>
      <c r="M199" s="8" t="n">
        <v>61.43</v>
      </c>
      <c r="N199" s="9" t="n">
        <v>74.48999999999999</v>
      </c>
      <c r="O199" s="7" t="n">
        <v>43.15</v>
      </c>
      <c r="P199" s="7" t="n">
        <v>39.3</v>
      </c>
      <c r="Q199" s="7" t="n">
        <v>44.38</v>
      </c>
      <c r="R199" s="7" t="n">
        <v>55.39</v>
      </c>
      <c r="S199" s="7" t="n">
        <v>51.47</v>
      </c>
      <c r="T199" s="7" t="n">
        <v>44.94</v>
      </c>
      <c r="U199" s="7" t="n">
        <v>51.99</v>
      </c>
      <c r="V199" s="9" t="n">
        <v>81.33</v>
      </c>
      <c r="W199" s="7" t="n">
        <v>54.1</v>
      </c>
      <c r="X199" s="7" t="n">
        <v>44.18</v>
      </c>
      <c r="Y199" s="7" t="n">
        <v>40.36</v>
      </c>
    </row>
    <row r="200" ht="15" customHeight="1">
      <c r="A200" s="13" t="n">
        <v>45946</v>
      </c>
      <c r="B200" s="7" t="n">
        <v>38.45</v>
      </c>
      <c r="C200" s="7" t="n">
        <v>41.71</v>
      </c>
      <c r="D200" s="7" t="n">
        <v>48.96</v>
      </c>
      <c r="E200" s="8" t="n">
        <v>67.02</v>
      </c>
      <c r="F200" s="8" t="n">
        <v>67.89</v>
      </c>
      <c r="G200" s="7" t="n">
        <v>45.61</v>
      </c>
      <c r="H200" s="8" t="n">
        <v>64.84999999999999</v>
      </c>
      <c r="I200" s="9" t="n">
        <v>78.90000000000001</v>
      </c>
      <c r="J200" s="9" t="n">
        <v>80.86</v>
      </c>
      <c r="K200" s="8" t="n">
        <v>65.8</v>
      </c>
      <c r="L200" s="7" t="n">
        <v>55.38</v>
      </c>
      <c r="M200" s="8" t="n">
        <v>68.66</v>
      </c>
      <c r="N200" s="8" t="n">
        <v>67.5</v>
      </c>
      <c r="O200" s="7" t="n">
        <v>55.83</v>
      </c>
      <c r="P200" s="7" t="n">
        <v>41.98</v>
      </c>
      <c r="Q200" s="7" t="n">
        <v>47.45</v>
      </c>
      <c r="R200" s="7" t="n">
        <v>59.09</v>
      </c>
      <c r="S200" s="7" t="n">
        <v>57.17</v>
      </c>
      <c r="T200" s="7" t="n">
        <v>57.84</v>
      </c>
      <c r="U200" s="7" t="n">
        <v>54.27</v>
      </c>
      <c r="V200" s="9" t="n">
        <v>80.88</v>
      </c>
      <c r="W200" s="7" t="n">
        <v>57.71</v>
      </c>
      <c r="X200" s="7" t="n">
        <v>48.49</v>
      </c>
      <c r="Y200" s="7" t="n">
        <v>42.83</v>
      </c>
    </row>
    <row r="201" ht="15" customHeight="1">
      <c r="A201" s="13" t="n">
        <v>45945</v>
      </c>
      <c r="B201" s="7" t="n">
        <v>39.94</v>
      </c>
      <c r="C201" s="7" t="n">
        <v>41.22</v>
      </c>
      <c r="D201" s="7" t="n">
        <v>49.62</v>
      </c>
      <c r="E201" s="7" t="n">
        <v>56.22</v>
      </c>
      <c r="F201" s="8" t="n">
        <v>65.70999999999999</v>
      </c>
      <c r="G201" s="7" t="n">
        <v>46.25</v>
      </c>
      <c r="H201" s="9" t="n">
        <v>72.37</v>
      </c>
      <c r="I201" s="9" t="n">
        <v>78.09999999999999</v>
      </c>
      <c r="J201" s="9" t="n">
        <v>77.14</v>
      </c>
      <c r="K201" s="8" t="n">
        <v>65.34</v>
      </c>
      <c r="L201" s="7" t="n">
        <v>48.07</v>
      </c>
      <c r="M201" s="8" t="n">
        <v>61.43</v>
      </c>
      <c r="N201" s="8" t="n">
        <v>64.42</v>
      </c>
      <c r="O201" s="7" t="n">
        <v>54.69</v>
      </c>
      <c r="P201" s="7" t="n">
        <v>33.19</v>
      </c>
      <c r="Q201" s="7" t="n">
        <v>41.43</v>
      </c>
      <c r="R201" s="7" t="n">
        <v>56.7</v>
      </c>
      <c r="S201" s="7" t="n">
        <v>53.24</v>
      </c>
      <c r="T201" s="7" t="n">
        <v>56.54</v>
      </c>
      <c r="U201" s="7" t="n">
        <v>51.72</v>
      </c>
      <c r="V201" s="9" t="n">
        <v>77.01000000000001</v>
      </c>
      <c r="W201" s="7" t="n">
        <v>58.14</v>
      </c>
      <c r="X201" s="7" t="n">
        <v>47.86</v>
      </c>
      <c r="Y201" s="7" t="n">
        <v>45.41</v>
      </c>
    </row>
    <row r="202" ht="15" customHeight="1">
      <c r="A202" s="13" t="n">
        <v>45944</v>
      </c>
      <c r="B202" s="7" t="n">
        <v>39.29</v>
      </c>
      <c r="C202" s="7" t="n">
        <v>30.02</v>
      </c>
      <c r="D202" s="7" t="n">
        <v>33.85</v>
      </c>
      <c r="E202" s="7" t="n">
        <v>51.76</v>
      </c>
      <c r="F202" s="7" t="n">
        <v>46.85</v>
      </c>
      <c r="G202" s="7" t="n">
        <v>35.6</v>
      </c>
      <c r="H202" s="9" t="n">
        <v>70.79000000000001</v>
      </c>
      <c r="I202" s="9" t="n">
        <v>70.83</v>
      </c>
      <c r="J202" s="9" t="n">
        <v>73.98999999999999</v>
      </c>
      <c r="K202" s="7" t="n">
        <v>58.78</v>
      </c>
      <c r="L202" s="7" t="n">
        <v>41.92</v>
      </c>
      <c r="M202" s="7" t="n">
        <v>50.22</v>
      </c>
      <c r="N202" s="7" t="n">
        <v>55.63</v>
      </c>
      <c r="O202" s="7" t="n">
        <v>41.64</v>
      </c>
      <c r="P202" s="7" t="n">
        <v>31.39</v>
      </c>
      <c r="Q202" s="7" t="n">
        <v>30.82</v>
      </c>
      <c r="R202" s="7" t="n">
        <v>47.72</v>
      </c>
      <c r="S202" s="7" t="n">
        <v>45.63</v>
      </c>
      <c r="T202" s="8" t="n">
        <v>60.04</v>
      </c>
      <c r="U202" s="7" t="n">
        <v>45.96</v>
      </c>
      <c r="V202" s="9" t="n">
        <v>72.33</v>
      </c>
      <c r="W202" s="7" t="n">
        <v>53.73</v>
      </c>
      <c r="X202" s="7" t="n">
        <v>47.3</v>
      </c>
      <c r="Y202" s="7" t="n">
        <v>37.97</v>
      </c>
    </row>
    <row r="203" ht="15" customHeight="1">
      <c r="A203" s="13" t="n">
        <v>45943</v>
      </c>
      <c r="B203" s="7" t="n">
        <v>37.53</v>
      </c>
      <c r="C203" s="7" t="n">
        <v>31.12</v>
      </c>
      <c r="D203" s="7" t="n">
        <v>34.09</v>
      </c>
      <c r="E203" s="7" t="n">
        <v>50.68</v>
      </c>
      <c r="F203" s="7" t="n">
        <v>45.73</v>
      </c>
      <c r="G203" s="7" t="n">
        <v>32.45</v>
      </c>
      <c r="H203" s="7" t="n">
        <v>59.44</v>
      </c>
      <c r="I203" s="9" t="n">
        <v>76.70999999999999</v>
      </c>
      <c r="J203" s="9" t="n">
        <v>76.06</v>
      </c>
      <c r="K203" s="8" t="n">
        <v>69.5</v>
      </c>
      <c r="L203" s="7" t="n">
        <v>48.5</v>
      </c>
      <c r="M203" s="7" t="n">
        <v>58.13</v>
      </c>
      <c r="N203" s="7" t="n">
        <v>42</v>
      </c>
      <c r="O203" s="7" t="n">
        <v>44.75</v>
      </c>
      <c r="P203" s="10" t="n">
        <v>26.6</v>
      </c>
      <c r="Q203" s="7" t="n">
        <v>38.1</v>
      </c>
      <c r="R203" s="7" t="n">
        <v>50.86</v>
      </c>
      <c r="S203" s="7" t="n">
        <v>47.98</v>
      </c>
      <c r="T203" s="7" t="n">
        <v>52.48</v>
      </c>
      <c r="U203" s="7" t="n">
        <v>49.85</v>
      </c>
      <c r="V203" s="9" t="n">
        <v>74.98</v>
      </c>
      <c r="W203" s="7" t="n">
        <v>54.66</v>
      </c>
      <c r="X203" s="7" t="n">
        <v>51.9</v>
      </c>
      <c r="Y203" s="7" t="n">
        <v>47.39</v>
      </c>
    </row>
    <row r="204" ht="15" customHeight="1">
      <c r="A204" s="13" t="n">
        <v>45940</v>
      </c>
      <c r="B204" s="7" t="n">
        <v>41.74</v>
      </c>
      <c r="C204" s="7" t="n">
        <v>31.47</v>
      </c>
      <c r="D204" s="7" t="n">
        <v>35.51</v>
      </c>
      <c r="E204" s="7" t="n">
        <v>48.85</v>
      </c>
      <c r="F204" s="7" t="n">
        <v>48.11</v>
      </c>
      <c r="G204" s="7" t="n">
        <v>33.52</v>
      </c>
      <c r="H204" s="7" t="n">
        <v>39.95</v>
      </c>
      <c r="I204" s="9" t="n">
        <v>73.98999999999999</v>
      </c>
      <c r="J204" s="9" t="n">
        <v>80.58</v>
      </c>
      <c r="K204" s="8" t="n">
        <v>69.8</v>
      </c>
      <c r="L204" s="7" t="n">
        <v>53.53</v>
      </c>
      <c r="M204" s="7" t="n">
        <v>58.89</v>
      </c>
      <c r="N204" s="7" t="n">
        <v>42.15</v>
      </c>
      <c r="O204" s="7" t="n">
        <v>42.41</v>
      </c>
      <c r="P204" s="10" t="n">
        <v>28.23</v>
      </c>
      <c r="Q204" s="7" t="n">
        <v>40.84</v>
      </c>
      <c r="R204" s="7" t="n">
        <v>54.27</v>
      </c>
      <c r="S204" s="7" t="n">
        <v>53.2</v>
      </c>
      <c r="T204" s="7" t="n">
        <v>56.45</v>
      </c>
      <c r="U204" s="7" t="n">
        <v>44.96</v>
      </c>
      <c r="V204" s="9" t="n">
        <v>78.59999999999999</v>
      </c>
      <c r="W204" s="7" t="n">
        <v>59.02</v>
      </c>
      <c r="X204" s="7" t="n">
        <v>57.78</v>
      </c>
      <c r="Y204" s="7" t="n">
        <v>36.85</v>
      </c>
    </row>
    <row r="205" ht="15" customHeight="1">
      <c r="A205" s="13" t="n">
        <v>45939</v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5" customHeight="1">
      <c r="A206" s="13" t="n">
        <v>45938</v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 ht="15" customHeight="1">
      <c r="A207" s="13" t="n">
        <v>45937</v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5" customHeight="1">
      <c r="A208" s="13" t="n">
        <v>45936</v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 ht="15" customHeight="1">
      <c r="A209" s="13" t="n">
        <v>45933</v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5" customHeight="1">
      <c r="A210" s="13" t="n">
        <v>45932</v>
      </c>
      <c r="B210" s="7" t="n">
        <v>44.28</v>
      </c>
      <c r="C210" s="7" t="n">
        <v>35.63</v>
      </c>
      <c r="D210" s="7" t="n">
        <v>41.44</v>
      </c>
      <c r="E210" s="7" t="n">
        <v>49.49</v>
      </c>
      <c r="F210" s="7" t="n">
        <v>49.09</v>
      </c>
      <c r="G210" s="7" t="n">
        <v>36.3</v>
      </c>
      <c r="H210" s="7" t="n">
        <v>44.25</v>
      </c>
      <c r="I210" s="7" t="n">
        <v>59.31</v>
      </c>
      <c r="J210" s="9" t="n">
        <v>76.36</v>
      </c>
      <c r="K210" s="8" t="n">
        <v>68.42</v>
      </c>
      <c r="L210" s="8" t="n">
        <v>63.35</v>
      </c>
      <c r="M210" s="7" t="n">
        <v>59.34</v>
      </c>
      <c r="N210" s="7" t="n">
        <v>40.68</v>
      </c>
      <c r="O210" s="7" t="n">
        <v>40.37</v>
      </c>
      <c r="P210" s="7" t="n">
        <v>31.8</v>
      </c>
      <c r="Q210" s="7" t="n">
        <v>46.64</v>
      </c>
      <c r="R210" s="7" t="n">
        <v>57.72</v>
      </c>
      <c r="S210" s="7" t="n">
        <v>52.92</v>
      </c>
      <c r="T210" s="7" t="n">
        <v>56.68</v>
      </c>
      <c r="U210" s="7" t="n">
        <v>48.9</v>
      </c>
      <c r="V210" s="9" t="n">
        <v>74.66</v>
      </c>
      <c r="W210" s="7" t="n">
        <v>59.48</v>
      </c>
      <c r="X210" s="7" t="n">
        <v>49.89</v>
      </c>
      <c r="Y210" s="7" t="n">
        <v>36.93</v>
      </c>
    </row>
    <row r="211" ht="15" customHeight="1">
      <c r="A211" s="13" t="n">
        <v>45931</v>
      </c>
      <c r="B211" s="7" t="n">
        <v>48.7</v>
      </c>
      <c r="C211" s="7" t="n">
        <v>31.53</v>
      </c>
      <c r="D211" s="7" t="n">
        <v>39.31</v>
      </c>
      <c r="E211" s="7" t="n">
        <v>46.15</v>
      </c>
      <c r="F211" s="7" t="n">
        <v>48.25</v>
      </c>
      <c r="G211" s="7" t="n">
        <v>37.12</v>
      </c>
      <c r="H211" s="7" t="n">
        <v>45.34</v>
      </c>
      <c r="I211" s="7" t="n">
        <v>57.1</v>
      </c>
      <c r="J211" s="8" t="n">
        <v>69.34</v>
      </c>
      <c r="K211" s="8" t="n">
        <v>63.91</v>
      </c>
      <c r="L211" s="8" t="n">
        <v>60.61</v>
      </c>
      <c r="M211" s="7" t="n">
        <v>50.27</v>
      </c>
      <c r="N211" s="7" t="n">
        <v>40.93</v>
      </c>
      <c r="O211" s="7" t="n">
        <v>41.75</v>
      </c>
      <c r="P211" s="10" t="n">
        <v>26.25</v>
      </c>
      <c r="Q211" s="7" t="n">
        <v>43.64</v>
      </c>
      <c r="R211" s="7" t="n">
        <v>50.37</v>
      </c>
      <c r="S211" s="7" t="n">
        <v>47.72</v>
      </c>
      <c r="T211" s="7" t="n">
        <v>53.86</v>
      </c>
      <c r="U211" s="7" t="n">
        <v>45.43</v>
      </c>
      <c r="V211" s="8" t="n">
        <v>67.88</v>
      </c>
      <c r="W211" s="7" t="n">
        <v>57.01</v>
      </c>
      <c r="X211" s="7" t="n">
        <v>50.75</v>
      </c>
      <c r="Y211" s="7" t="n">
        <v>36.92</v>
      </c>
    </row>
    <row r="212" ht="15" customHeight="1">
      <c r="A212" s="13" t="n">
        <v>45930</v>
      </c>
      <c r="B212" s="7" t="n">
        <v>43.58</v>
      </c>
      <c r="C212" s="10" t="n">
        <v>28.97</v>
      </c>
      <c r="D212" s="7" t="n">
        <v>38.43</v>
      </c>
      <c r="E212" s="7" t="n">
        <v>44.28</v>
      </c>
      <c r="F212" s="7" t="n">
        <v>45.22</v>
      </c>
      <c r="G212" s="7" t="n">
        <v>38.11</v>
      </c>
      <c r="H212" s="7" t="n">
        <v>45.87</v>
      </c>
      <c r="I212" s="7" t="n">
        <v>52.63</v>
      </c>
      <c r="J212" s="8" t="n">
        <v>65.62</v>
      </c>
      <c r="K212" s="7" t="n">
        <v>56.29</v>
      </c>
      <c r="L212" s="7" t="n">
        <v>59.69</v>
      </c>
      <c r="M212" s="7" t="n">
        <v>48.95</v>
      </c>
      <c r="N212" s="7" t="n">
        <v>44.18</v>
      </c>
      <c r="O212" s="7" t="n">
        <v>39.14</v>
      </c>
      <c r="P212" s="10" t="n">
        <v>27.25</v>
      </c>
      <c r="Q212" s="7" t="n">
        <v>43.35</v>
      </c>
      <c r="R212" s="7" t="n">
        <v>51.29</v>
      </c>
      <c r="S212" s="7" t="n">
        <v>50.36</v>
      </c>
      <c r="T212" s="7" t="n">
        <v>55.77</v>
      </c>
      <c r="U212" s="7" t="n">
        <v>38.38</v>
      </c>
      <c r="V212" s="8" t="n">
        <v>63.95</v>
      </c>
      <c r="W212" s="7" t="n">
        <v>51.21</v>
      </c>
      <c r="X212" s="7" t="n">
        <v>55.15</v>
      </c>
      <c r="Y212" s="7" t="n">
        <v>37.02</v>
      </c>
    </row>
    <row r="213" ht="15" customHeight="1">
      <c r="A213" s="13" t="n">
        <v>45929</v>
      </c>
      <c r="B213" s="7" t="n">
        <v>45.53</v>
      </c>
      <c r="C213" s="7" t="n">
        <v>32.82</v>
      </c>
      <c r="D213" s="7" t="n">
        <v>41.33</v>
      </c>
      <c r="E213" s="7" t="n">
        <v>46.28</v>
      </c>
      <c r="F213" s="7" t="n">
        <v>50.04</v>
      </c>
      <c r="G213" s="7" t="n">
        <v>40.87</v>
      </c>
      <c r="H213" s="7" t="n">
        <v>45.61</v>
      </c>
      <c r="I213" s="7" t="n">
        <v>49.99</v>
      </c>
      <c r="J213" s="8" t="n">
        <v>67.02</v>
      </c>
      <c r="K213" s="7" t="n">
        <v>57.06</v>
      </c>
      <c r="L213" s="7" t="n">
        <v>52.18</v>
      </c>
      <c r="M213" s="7" t="n">
        <v>56.46</v>
      </c>
      <c r="N213" s="7" t="n">
        <v>48.83</v>
      </c>
      <c r="O213" s="7" t="n">
        <v>37.3</v>
      </c>
      <c r="P213" s="7" t="n">
        <v>31.23</v>
      </c>
      <c r="Q213" s="7" t="n">
        <v>44.34</v>
      </c>
      <c r="R213" s="7" t="n">
        <v>52.19</v>
      </c>
      <c r="S213" s="7" t="n">
        <v>53.78</v>
      </c>
      <c r="T213" s="7" t="n">
        <v>58.88</v>
      </c>
      <c r="U213" s="7" t="n">
        <v>39.38</v>
      </c>
      <c r="V213" s="8" t="n">
        <v>63.83</v>
      </c>
      <c r="W213" s="7" t="n">
        <v>53.28</v>
      </c>
      <c r="X213" s="8" t="n">
        <v>60.64</v>
      </c>
      <c r="Y213" s="7" t="n">
        <v>38.32</v>
      </c>
    </row>
    <row r="214" ht="15" customHeight="1">
      <c r="A214" s="13" t="n">
        <v>45926</v>
      </c>
      <c r="B214" s="7" t="n">
        <v>43.16</v>
      </c>
      <c r="C214" s="7" t="n">
        <v>30.93</v>
      </c>
      <c r="D214" s="7" t="n">
        <v>37.09</v>
      </c>
      <c r="E214" s="7" t="n">
        <v>40.28</v>
      </c>
      <c r="F214" s="7" t="n">
        <v>47.22</v>
      </c>
      <c r="G214" s="7" t="n">
        <v>33.84</v>
      </c>
      <c r="H214" s="7" t="n">
        <v>42.57</v>
      </c>
      <c r="I214" s="7" t="n">
        <v>49.62</v>
      </c>
      <c r="J214" s="8" t="n">
        <v>64.14</v>
      </c>
      <c r="K214" s="7" t="n">
        <v>55.36</v>
      </c>
      <c r="L214" s="7" t="n">
        <v>49.48</v>
      </c>
      <c r="M214" s="7" t="n">
        <v>55.38</v>
      </c>
      <c r="N214" s="7" t="n">
        <v>43.95</v>
      </c>
      <c r="O214" s="7" t="n">
        <v>35.37</v>
      </c>
      <c r="P214" s="10" t="n">
        <v>28.04</v>
      </c>
      <c r="Q214" s="7" t="n">
        <v>45.5</v>
      </c>
      <c r="R214" s="7" t="n">
        <v>45.97</v>
      </c>
      <c r="S214" s="7" t="n">
        <v>47.51</v>
      </c>
      <c r="T214" s="7" t="n">
        <v>53.27</v>
      </c>
      <c r="U214" s="7" t="n">
        <v>39.53</v>
      </c>
      <c r="V214" s="8" t="n">
        <v>60.3</v>
      </c>
      <c r="W214" s="7" t="n">
        <v>53.08</v>
      </c>
      <c r="X214" s="7" t="n">
        <v>51.4</v>
      </c>
      <c r="Y214" s="7" t="n">
        <v>36.53</v>
      </c>
    </row>
    <row r="215" ht="15" customHeight="1">
      <c r="A215" s="13" t="n">
        <v>45925</v>
      </c>
      <c r="B215" s="7" t="n">
        <v>40.72</v>
      </c>
      <c r="C215" s="7" t="n">
        <v>36.53</v>
      </c>
      <c r="D215" s="7" t="n">
        <v>42.37</v>
      </c>
      <c r="E215" s="7" t="n">
        <v>47.67</v>
      </c>
      <c r="F215" s="7" t="n">
        <v>53.99</v>
      </c>
      <c r="G215" s="7" t="n">
        <v>35.47</v>
      </c>
      <c r="H215" s="7" t="n">
        <v>49.82</v>
      </c>
      <c r="I215" s="7" t="n">
        <v>55.7</v>
      </c>
      <c r="J215" s="9" t="n">
        <v>78.59999999999999</v>
      </c>
      <c r="K215" s="8" t="n">
        <v>66.18000000000001</v>
      </c>
      <c r="L215" s="7" t="n">
        <v>58.45</v>
      </c>
      <c r="M215" s="8" t="n">
        <v>62.35</v>
      </c>
      <c r="N215" s="7" t="n">
        <v>43.05</v>
      </c>
      <c r="O215" s="7" t="n">
        <v>41.65</v>
      </c>
      <c r="P215" s="7" t="n">
        <v>31.17</v>
      </c>
      <c r="Q215" s="7" t="n">
        <v>46.77</v>
      </c>
      <c r="R215" s="7" t="n">
        <v>52.36</v>
      </c>
      <c r="S215" s="7" t="n">
        <v>48.88</v>
      </c>
      <c r="T215" s="7" t="n">
        <v>52.55</v>
      </c>
      <c r="U215" s="7" t="n">
        <v>50.55</v>
      </c>
      <c r="V215" s="9" t="n">
        <v>76.40000000000001</v>
      </c>
      <c r="W215" s="7" t="n">
        <v>57.73</v>
      </c>
      <c r="X215" s="7" t="n">
        <v>59.36</v>
      </c>
      <c r="Y215" s="7" t="n">
        <v>39.63</v>
      </c>
    </row>
    <row r="216" ht="15" customHeight="1">
      <c r="A216" s="13" t="n">
        <v>45924</v>
      </c>
      <c r="B216" s="7" t="n">
        <v>49.05</v>
      </c>
      <c r="C216" s="7" t="n">
        <v>39.12</v>
      </c>
      <c r="D216" s="7" t="n">
        <v>40.64</v>
      </c>
      <c r="E216" s="7" t="n">
        <v>44.73</v>
      </c>
      <c r="F216" s="8" t="n">
        <v>61.65</v>
      </c>
      <c r="G216" s="7" t="n">
        <v>32.51</v>
      </c>
      <c r="H216" s="7" t="n">
        <v>47.74</v>
      </c>
      <c r="I216" s="8" t="n">
        <v>61.75</v>
      </c>
      <c r="J216" s="9" t="n">
        <v>77.77</v>
      </c>
      <c r="K216" s="9" t="n">
        <v>73.90000000000001</v>
      </c>
      <c r="L216" s="8" t="n">
        <v>62.94</v>
      </c>
      <c r="M216" s="8" t="n">
        <v>63.69</v>
      </c>
      <c r="N216" s="7" t="n">
        <v>48.12</v>
      </c>
      <c r="O216" s="7" t="n">
        <v>45.11</v>
      </c>
      <c r="P216" s="7" t="n">
        <v>33</v>
      </c>
      <c r="Q216" s="7" t="n">
        <v>44.75</v>
      </c>
      <c r="R216" s="7" t="n">
        <v>55.86</v>
      </c>
      <c r="S216" s="7" t="n">
        <v>50.97</v>
      </c>
      <c r="T216" s="7" t="n">
        <v>56.5</v>
      </c>
      <c r="U216" s="7" t="n">
        <v>51.8</v>
      </c>
      <c r="V216" s="9" t="n">
        <v>76.33</v>
      </c>
      <c r="W216" s="7" t="n">
        <v>55.65</v>
      </c>
      <c r="X216" s="7" t="n">
        <v>48.08</v>
      </c>
      <c r="Y216" s="7" t="n">
        <v>42.94</v>
      </c>
    </row>
    <row r="217" ht="15" customHeight="1">
      <c r="A217" s="13" t="n">
        <v>45923</v>
      </c>
      <c r="B217" s="7" t="n">
        <v>55.51</v>
      </c>
      <c r="C217" s="7" t="n">
        <v>42.17</v>
      </c>
      <c r="D217" s="7" t="n">
        <v>44.07</v>
      </c>
      <c r="E217" s="7" t="n">
        <v>51.51</v>
      </c>
      <c r="F217" s="8" t="n">
        <v>68.59999999999999</v>
      </c>
      <c r="G217" s="7" t="n">
        <v>36.17</v>
      </c>
      <c r="H217" s="7" t="n">
        <v>48.38</v>
      </c>
      <c r="I217" s="7" t="n">
        <v>56.87</v>
      </c>
      <c r="J217" s="9" t="n">
        <v>78.72</v>
      </c>
      <c r="K217" s="9" t="n">
        <v>76.26000000000001</v>
      </c>
      <c r="L217" s="7" t="n">
        <v>58.23</v>
      </c>
      <c r="M217" s="9" t="n">
        <v>71.59</v>
      </c>
      <c r="N217" s="7" t="n">
        <v>48.26</v>
      </c>
      <c r="O217" s="7" t="n">
        <v>43.25</v>
      </c>
      <c r="P217" s="7" t="n">
        <v>34.87</v>
      </c>
      <c r="Q217" s="7" t="n">
        <v>37.59</v>
      </c>
      <c r="R217" s="8" t="n">
        <v>63.09</v>
      </c>
      <c r="S217" s="7" t="n">
        <v>58.41</v>
      </c>
      <c r="T217" s="8" t="n">
        <v>65.12</v>
      </c>
      <c r="U217" s="7" t="n">
        <v>56.23</v>
      </c>
      <c r="V217" s="9" t="n">
        <v>76.61</v>
      </c>
      <c r="W217" s="7" t="n">
        <v>53.82</v>
      </c>
      <c r="X217" s="7" t="n">
        <v>53.4</v>
      </c>
      <c r="Y217" s="7" t="n">
        <v>52.18</v>
      </c>
    </row>
    <row r="218" ht="15" customHeight="1">
      <c r="A218" s="13" t="n">
        <v>45922</v>
      </c>
      <c r="B218" s="7" t="n">
        <v>59.79</v>
      </c>
      <c r="C218" s="7" t="n">
        <v>45.1</v>
      </c>
      <c r="D218" s="7" t="n">
        <v>48.08</v>
      </c>
      <c r="E218" s="7" t="n">
        <v>54.19</v>
      </c>
      <c r="F218" s="7" t="n">
        <v>55.91</v>
      </c>
      <c r="G218" s="7" t="n">
        <v>38.49</v>
      </c>
      <c r="H218" s="7" t="n">
        <v>49.66</v>
      </c>
      <c r="I218" s="7" t="n">
        <v>55.36</v>
      </c>
      <c r="J218" s="9" t="n">
        <v>76.86</v>
      </c>
      <c r="K218" s="9" t="n">
        <v>74.95999999999999</v>
      </c>
      <c r="L218" s="7" t="n">
        <v>58.57</v>
      </c>
      <c r="M218" s="9" t="n">
        <v>74.25</v>
      </c>
      <c r="N218" s="7" t="n">
        <v>42.02</v>
      </c>
      <c r="O218" s="7" t="n">
        <v>44.54</v>
      </c>
      <c r="P218" s="7" t="n">
        <v>39.39</v>
      </c>
      <c r="Q218" s="7" t="n">
        <v>37.72</v>
      </c>
      <c r="R218" s="8" t="n">
        <v>67.15000000000001</v>
      </c>
      <c r="S218" s="8" t="n">
        <v>65.36</v>
      </c>
      <c r="T218" s="8" t="n">
        <v>63.48</v>
      </c>
      <c r="U218" s="7" t="n">
        <v>54.08</v>
      </c>
      <c r="V218" s="9" t="n">
        <v>74.59</v>
      </c>
      <c r="W218" s="8" t="n">
        <v>63.1</v>
      </c>
      <c r="X218" s="8" t="n">
        <v>60.41</v>
      </c>
      <c r="Y218" s="7" t="n">
        <v>53.86</v>
      </c>
    </row>
    <row r="219" ht="15" customHeight="1">
      <c r="A219" s="13" t="n">
        <v>45919</v>
      </c>
      <c r="B219" s="7" t="n">
        <v>59.76</v>
      </c>
      <c r="C219" s="7" t="n">
        <v>46.89</v>
      </c>
      <c r="D219" s="7" t="n">
        <v>48.34</v>
      </c>
      <c r="E219" s="7" t="n">
        <v>53.43</v>
      </c>
      <c r="F219" s="7" t="n">
        <v>54.83</v>
      </c>
      <c r="G219" s="7" t="n">
        <v>41.99</v>
      </c>
      <c r="H219" s="7" t="n">
        <v>53.92</v>
      </c>
      <c r="I219" s="7" t="n">
        <v>52.59</v>
      </c>
      <c r="J219" s="9" t="n">
        <v>74.05</v>
      </c>
      <c r="K219" s="9" t="n">
        <v>72.45999999999999</v>
      </c>
      <c r="L219" s="7" t="n">
        <v>59.15</v>
      </c>
      <c r="M219" s="9" t="n">
        <v>73.73</v>
      </c>
      <c r="N219" s="7" t="n">
        <v>39.51</v>
      </c>
      <c r="O219" s="7" t="n">
        <v>46.41</v>
      </c>
      <c r="P219" s="7" t="n">
        <v>43.29</v>
      </c>
      <c r="Q219" s="7" t="n">
        <v>45.18</v>
      </c>
      <c r="R219" s="8" t="n">
        <v>67.45</v>
      </c>
      <c r="S219" s="8" t="n">
        <v>64.79000000000001</v>
      </c>
      <c r="T219" s="8" t="n">
        <v>60.89</v>
      </c>
      <c r="U219" s="8" t="n">
        <v>63.06</v>
      </c>
      <c r="V219" s="9" t="n">
        <v>72.08</v>
      </c>
      <c r="W219" s="8" t="n">
        <v>68.39</v>
      </c>
      <c r="X219" s="8" t="n">
        <v>66.42</v>
      </c>
      <c r="Y219" s="7" t="n">
        <v>56.91</v>
      </c>
    </row>
    <row r="220" ht="15" customHeight="1">
      <c r="A220" s="13" t="n">
        <v>45918</v>
      </c>
      <c r="B220" s="8" t="n">
        <v>63.08</v>
      </c>
      <c r="C220" s="7" t="n">
        <v>54.82</v>
      </c>
      <c r="D220" s="7" t="n">
        <v>56.27</v>
      </c>
      <c r="E220" s="8" t="n">
        <v>60.72</v>
      </c>
      <c r="F220" s="7" t="n">
        <v>51.29</v>
      </c>
      <c r="G220" s="7" t="n">
        <v>44.54</v>
      </c>
      <c r="H220" s="7" t="n">
        <v>57.18</v>
      </c>
      <c r="I220" s="7" t="n">
        <v>51.93</v>
      </c>
      <c r="J220" s="9" t="n">
        <v>76.94</v>
      </c>
      <c r="K220" s="8" t="n">
        <v>68.11</v>
      </c>
      <c r="L220" s="7" t="n">
        <v>59.34</v>
      </c>
      <c r="M220" s="9" t="n">
        <v>74.91</v>
      </c>
      <c r="N220" s="7" t="n">
        <v>45.26</v>
      </c>
      <c r="O220" s="7" t="n">
        <v>48.86</v>
      </c>
      <c r="P220" s="7" t="n">
        <v>54.95</v>
      </c>
      <c r="Q220" s="7" t="n">
        <v>46.1</v>
      </c>
      <c r="R220" s="8" t="n">
        <v>68.66</v>
      </c>
      <c r="S220" s="8" t="n">
        <v>67.7</v>
      </c>
      <c r="T220" s="8" t="n">
        <v>61.37</v>
      </c>
      <c r="U220" s="7" t="n">
        <v>58.8</v>
      </c>
      <c r="V220" s="9" t="n">
        <v>74.95</v>
      </c>
      <c r="W220" s="8" t="n">
        <v>69.84999999999999</v>
      </c>
      <c r="X220" s="8" t="n">
        <v>67.2</v>
      </c>
      <c r="Y220" s="8" t="n">
        <v>60.4</v>
      </c>
    </row>
    <row r="221" ht="15" customHeight="1">
      <c r="A221" s="13" t="n">
        <v>45917</v>
      </c>
      <c r="B221" s="7" t="n">
        <v>59.78</v>
      </c>
      <c r="C221" s="7" t="n">
        <v>52.34</v>
      </c>
      <c r="D221" s="7" t="n">
        <v>56.03</v>
      </c>
      <c r="E221" s="7" t="n">
        <v>54.83</v>
      </c>
      <c r="F221" s="7" t="n">
        <v>47.17</v>
      </c>
      <c r="G221" s="7" t="n">
        <v>46.84</v>
      </c>
      <c r="H221" s="8" t="n">
        <v>63.81</v>
      </c>
      <c r="I221" s="7" t="n">
        <v>51.58</v>
      </c>
      <c r="J221" s="9" t="n">
        <v>72.63</v>
      </c>
      <c r="K221" s="8" t="n">
        <v>64.76000000000001</v>
      </c>
      <c r="L221" s="8" t="n">
        <v>60.52</v>
      </c>
      <c r="M221" s="9" t="n">
        <v>72.73999999999999</v>
      </c>
      <c r="N221" s="7" t="n">
        <v>46.2</v>
      </c>
      <c r="O221" s="7" t="n">
        <v>51.48</v>
      </c>
      <c r="P221" s="7" t="n">
        <v>57.69</v>
      </c>
      <c r="Q221" s="7" t="n">
        <v>41.34</v>
      </c>
      <c r="R221" s="8" t="n">
        <v>67.76000000000001</v>
      </c>
      <c r="S221" s="8" t="n">
        <v>64.56</v>
      </c>
      <c r="T221" s="8" t="n">
        <v>61</v>
      </c>
      <c r="U221" s="7" t="n">
        <v>54.91</v>
      </c>
      <c r="V221" s="9" t="n">
        <v>71.11</v>
      </c>
      <c r="W221" s="8" t="n">
        <v>69.53</v>
      </c>
      <c r="X221" s="8" t="n">
        <v>62.11</v>
      </c>
      <c r="Y221" s="7" t="n">
        <v>57.23</v>
      </c>
    </row>
    <row r="222" ht="15" customHeight="1">
      <c r="A222" s="13" t="n">
        <v>45916</v>
      </c>
      <c r="B222" s="7" t="n">
        <v>59.46</v>
      </c>
      <c r="C222" s="7" t="n">
        <v>51.9</v>
      </c>
      <c r="D222" s="7" t="n">
        <v>54.28</v>
      </c>
      <c r="E222" s="7" t="n">
        <v>53.63</v>
      </c>
      <c r="F222" s="7" t="n">
        <v>54.31</v>
      </c>
      <c r="G222" s="7" t="n">
        <v>47.65</v>
      </c>
      <c r="H222" s="8" t="n">
        <v>68.53</v>
      </c>
      <c r="I222" s="7" t="n">
        <v>56.7</v>
      </c>
      <c r="J222" s="9" t="n">
        <v>80.59999999999999</v>
      </c>
      <c r="K222" s="8" t="n">
        <v>65.38</v>
      </c>
      <c r="L222" s="7" t="n">
        <v>59.89</v>
      </c>
      <c r="M222" s="9" t="n">
        <v>73.84999999999999</v>
      </c>
      <c r="N222" s="7" t="n">
        <v>46.82</v>
      </c>
      <c r="O222" s="8" t="n">
        <v>62.14</v>
      </c>
      <c r="P222" s="7" t="n">
        <v>58.4</v>
      </c>
      <c r="Q222" s="7" t="n">
        <v>39.92</v>
      </c>
      <c r="R222" s="9" t="n">
        <v>75.22</v>
      </c>
      <c r="S222" s="9" t="n">
        <v>70.72</v>
      </c>
      <c r="T222" s="9" t="n">
        <v>72.83</v>
      </c>
      <c r="U222" s="7" t="n">
        <v>56.89</v>
      </c>
      <c r="V222" s="9" t="n">
        <v>78.17</v>
      </c>
      <c r="W222" s="8" t="n">
        <v>66.98999999999999</v>
      </c>
      <c r="X222" s="8" t="n">
        <v>62.65</v>
      </c>
      <c r="Y222" s="7" t="n">
        <v>53.29</v>
      </c>
    </row>
    <row r="223" ht="15" customHeight="1">
      <c r="A223" s="13" t="n">
        <v>45915</v>
      </c>
      <c r="B223" s="8" t="n">
        <v>66.56</v>
      </c>
      <c r="C223" s="7" t="n">
        <v>56.42</v>
      </c>
      <c r="D223" s="7" t="n">
        <v>57.17</v>
      </c>
      <c r="E223" s="7" t="n">
        <v>58.9</v>
      </c>
      <c r="F223" s="7" t="n">
        <v>56.67</v>
      </c>
      <c r="G223" s="8" t="n">
        <v>60.8</v>
      </c>
      <c r="H223" s="8" t="n">
        <v>67.8</v>
      </c>
      <c r="I223" s="7" t="n">
        <v>47.63</v>
      </c>
      <c r="J223" s="9" t="n">
        <v>76.72</v>
      </c>
      <c r="K223" s="8" t="n">
        <v>67.75</v>
      </c>
      <c r="L223" s="7" t="n">
        <v>55.68</v>
      </c>
      <c r="M223" s="9" t="n">
        <v>73.59999999999999</v>
      </c>
      <c r="N223" s="7" t="n">
        <v>46.57</v>
      </c>
      <c r="O223" s="7" t="n">
        <v>59.54</v>
      </c>
      <c r="P223" s="7" t="n">
        <v>57.21</v>
      </c>
      <c r="Q223" s="7" t="n">
        <v>41.99</v>
      </c>
      <c r="R223" s="9" t="n">
        <v>76.91</v>
      </c>
      <c r="S223" s="9" t="n">
        <v>74.05</v>
      </c>
      <c r="T223" s="9" t="n">
        <v>77.01000000000001</v>
      </c>
      <c r="U223" s="7" t="n">
        <v>56.06</v>
      </c>
      <c r="V223" s="9" t="n">
        <v>74.22</v>
      </c>
      <c r="W223" s="9" t="n">
        <v>75.66</v>
      </c>
      <c r="X223" s="8" t="n">
        <v>64.29000000000001</v>
      </c>
      <c r="Y223" s="7" t="n">
        <v>51.84</v>
      </c>
    </row>
    <row r="224" ht="15" customHeight="1">
      <c r="A224" s="13" t="n">
        <v>45912</v>
      </c>
      <c r="B224" s="8" t="n">
        <v>64.95</v>
      </c>
      <c r="C224" s="7" t="n">
        <v>56.92</v>
      </c>
      <c r="D224" s="7" t="n">
        <v>57.31</v>
      </c>
      <c r="E224" s="7" t="n">
        <v>55.77</v>
      </c>
      <c r="F224" s="7" t="n">
        <v>57.34</v>
      </c>
      <c r="G224" s="8" t="n">
        <v>60.59</v>
      </c>
      <c r="H224" s="8" t="n">
        <v>67.59999999999999</v>
      </c>
      <c r="I224" s="7" t="n">
        <v>52.88</v>
      </c>
      <c r="J224" s="9" t="n">
        <v>75.42</v>
      </c>
      <c r="K224" s="8" t="n">
        <v>61.76</v>
      </c>
      <c r="L224" s="8" t="n">
        <v>66.31</v>
      </c>
      <c r="M224" s="8" t="n">
        <v>64.79000000000001</v>
      </c>
      <c r="N224" s="7" t="n">
        <v>46.82</v>
      </c>
      <c r="O224" s="7" t="n">
        <v>57.47</v>
      </c>
      <c r="P224" s="9" t="n">
        <v>70.03</v>
      </c>
      <c r="Q224" s="7" t="n">
        <v>43.89</v>
      </c>
      <c r="R224" s="9" t="n">
        <v>73.59</v>
      </c>
      <c r="S224" s="8" t="n">
        <v>69.2</v>
      </c>
      <c r="T224" s="9" t="n">
        <v>75.88</v>
      </c>
      <c r="U224" s="7" t="n">
        <v>59.85</v>
      </c>
      <c r="V224" s="9" t="n">
        <v>74.15000000000001</v>
      </c>
      <c r="W224" s="9" t="n">
        <v>74.34</v>
      </c>
      <c r="X224" s="8" t="n">
        <v>68.28</v>
      </c>
      <c r="Y224" s="7" t="n">
        <v>56.86</v>
      </c>
    </row>
    <row r="225" ht="15" customHeight="1">
      <c r="A225" s="13" t="n">
        <v>45911</v>
      </c>
      <c r="B225" s="8" t="n">
        <v>61.63</v>
      </c>
      <c r="C225" s="7" t="n">
        <v>55.62</v>
      </c>
      <c r="D225" s="7" t="n">
        <v>55.83</v>
      </c>
      <c r="E225" s="7" t="n">
        <v>56.04</v>
      </c>
      <c r="F225" s="7" t="n">
        <v>55.59</v>
      </c>
      <c r="G225" s="8" t="n">
        <v>62.13</v>
      </c>
      <c r="H225" s="7" t="n">
        <v>57.74</v>
      </c>
      <c r="I225" s="7" t="n">
        <v>54.03</v>
      </c>
      <c r="J225" s="8" t="n">
        <v>69.59</v>
      </c>
      <c r="K225" s="7" t="n">
        <v>58.78</v>
      </c>
      <c r="L225" s="8" t="n">
        <v>68.55</v>
      </c>
      <c r="M225" s="8" t="n">
        <v>66.78</v>
      </c>
      <c r="N225" s="7" t="n">
        <v>49.92</v>
      </c>
      <c r="O225" s="8" t="n">
        <v>60.37</v>
      </c>
      <c r="P225" s="8" t="n">
        <v>66.69</v>
      </c>
      <c r="Q225" s="7" t="n">
        <v>47.23</v>
      </c>
      <c r="R225" s="9" t="n">
        <v>71.97</v>
      </c>
      <c r="S225" s="8" t="n">
        <v>68.90000000000001</v>
      </c>
      <c r="T225" s="9" t="n">
        <v>76</v>
      </c>
      <c r="U225" s="8" t="n">
        <v>63.32</v>
      </c>
      <c r="V225" s="8" t="n">
        <v>69.59</v>
      </c>
      <c r="W225" s="9" t="n">
        <v>71.92</v>
      </c>
      <c r="X225" s="7" t="n">
        <v>57.95</v>
      </c>
      <c r="Y225" s="7" t="n">
        <v>51.36</v>
      </c>
    </row>
    <row r="226" ht="15" customHeight="1">
      <c r="A226" s="13" t="n">
        <v>45910</v>
      </c>
      <c r="B226" s="7" t="n">
        <v>48.86</v>
      </c>
      <c r="C226" s="7" t="n">
        <v>52.56</v>
      </c>
      <c r="D226" s="7" t="n">
        <v>53.74</v>
      </c>
      <c r="E226" s="7" t="n">
        <v>52.99</v>
      </c>
      <c r="F226" s="7" t="n">
        <v>53.52</v>
      </c>
      <c r="G226" s="8" t="n">
        <v>61.88</v>
      </c>
      <c r="H226" s="7" t="n">
        <v>54.69</v>
      </c>
      <c r="I226" s="7" t="n">
        <v>55.11</v>
      </c>
      <c r="J226" s="8" t="n">
        <v>66.83</v>
      </c>
      <c r="K226" s="7" t="n">
        <v>59.93</v>
      </c>
      <c r="L226" s="8" t="n">
        <v>63.25</v>
      </c>
      <c r="M226" s="8" t="n">
        <v>62.47</v>
      </c>
      <c r="N226" s="7" t="n">
        <v>56.28</v>
      </c>
      <c r="O226" s="8" t="n">
        <v>60.72</v>
      </c>
      <c r="P226" s="8" t="n">
        <v>66.34</v>
      </c>
      <c r="Q226" s="7" t="n">
        <v>34.95</v>
      </c>
      <c r="R226" s="9" t="n">
        <v>71.65000000000001</v>
      </c>
      <c r="S226" s="9" t="n">
        <v>74.27</v>
      </c>
      <c r="T226" s="9" t="n">
        <v>74.83</v>
      </c>
      <c r="U226" s="8" t="n">
        <v>60.8</v>
      </c>
      <c r="V226" s="8" t="n">
        <v>65.97</v>
      </c>
      <c r="W226" s="9" t="n">
        <v>71.01000000000001</v>
      </c>
      <c r="X226" s="7" t="n">
        <v>57.93</v>
      </c>
      <c r="Y226" s="7" t="n">
        <v>55.18</v>
      </c>
    </row>
    <row r="227" ht="15" customHeight="1">
      <c r="A227" s="13" t="n">
        <v>45909</v>
      </c>
      <c r="B227" s="7" t="n">
        <v>47.89</v>
      </c>
      <c r="C227" s="7" t="n">
        <v>53.53</v>
      </c>
      <c r="D227" s="7" t="n">
        <v>52.01</v>
      </c>
      <c r="E227" s="7" t="n">
        <v>53.75</v>
      </c>
      <c r="F227" s="7" t="n">
        <v>54.99</v>
      </c>
      <c r="G227" s="7" t="n">
        <v>54.44</v>
      </c>
      <c r="H227" s="7" t="n">
        <v>50.74</v>
      </c>
      <c r="I227" s="7" t="n">
        <v>52.22</v>
      </c>
      <c r="J227" s="8" t="n">
        <v>61.14</v>
      </c>
      <c r="K227" s="7" t="n">
        <v>57.15</v>
      </c>
      <c r="L227" s="8" t="n">
        <v>60.24</v>
      </c>
      <c r="M227" s="7" t="n">
        <v>57.57</v>
      </c>
      <c r="N227" s="7" t="n">
        <v>52.59</v>
      </c>
      <c r="O227" s="7" t="n">
        <v>54.24</v>
      </c>
      <c r="P227" s="7" t="n">
        <v>59.76</v>
      </c>
      <c r="Q227" s="7" t="n">
        <v>34.51</v>
      </c>
      <c r="R227" s="8" t="n">
        <v>65.01000000000001</v>
      </c>
      <c r="S227" s="8" t="n">
        <v>69.86</v>
      </c>
      <c r="T227" s="9" t="n">
        <v>71.98999999999999</v>
      </c>
      <c r="U227" s="7" t="n">
        <v>57.92</v>
      </c>
      <c r="V227" s="8" t="n">
        <v>60.97</v>
      </c>
      <c r="W227" s="9" t="n">
        <v>70.84</v>
      </c>
      <c r="X227" s="7" t="n">
        <v>55.15</v>
      </c>
      <c r="Y227" s="7" t="n">
        <v>53.78</v>
      </c>
    </row>
    <row r="228" ht="15" customHeight="1">
      <c r="A228" s="13" t="n">
        <v>45908</v>
      </c>
      <c r="B228" s="7" t="n">
        <v>51.28</v>
      </c>
      <c r="C228" s="7" t="n">
        <v>48.8</v>
      </c>
      <c r="D228" s="7" t="n">
        <v>47.43</v>
      </c>
      <c r="E228" s="7" t="n">
        <v>46.39</v>
      </c>
      <c r="F228" s="7" t="n">
        <v>54.2</v>
      </c>
      <c r="G228" s="7" t="n">
        <v>54.04</v>
      </c>
      <c r="H228" s="7" t="n">
        <v>49.91</v>
      </c>
      <c r="I228" s="7" t="n">
        <v>50.52</v>
      </c>
      <c r="J228" s="7" t="n">
        <v>54.52</v>
      </c>
      <c r="K228" s="7" t="n">
        <v>54.17</v>
      </c>
      <c r="L228" s="8" t="n">
        <v>63.74</v>
      </c>
      <c r="M228" s="7" t="n">
        <v>53.92</v>
      </c>
      <c r="N228" s="7" t="n">
        <v>49.79</v>
      </c>
      <c r="O228" s="7" t="n">
        <v>58.26</v>
      </c>
      <c r="P228" s="7" t="n">
        <v>59.42</v>
      </c>
      <c r="Q228" s="7" t="n">
        <v>38.7</v>
      </c>
      <c r="R228" s="7" t="n">
        <v>57.08</v>
      </c>
      <c r="S228" s="7" t="n">
        <v>57.4</v>
      </c>
      <c r="T228" s="8" t="n">
        <v>66.79000000000001</v>
      </c>
      <c r="U228" s="8" t="n">
        <v>61</v>
      </c>
      <c r="V228" s="7" t="n">
        <v>56.39</v>
      </c>
      <c r="W228" s="9" t="n">
        <v>75.15000000000001</v>
      </c>
      <c r="X228" s="7" t="n">
        <v>51.12</v>
      </c>
      <c r="Y228" s="7" t="n">
        <v>56.59</v>
      </c>
    </row>
    <row r="229" ht="15" customHeight="1">
      <c r="A229" s="13" t="n">
        <v>45905</v>
      </c>
      <c r="B229" s="7" t="n">
        <v>53.98</v>
      </c>
      <c r="C229" s="7" t="n">
        <v>48</v>
      </c>
      <c r="D229" s="7" t="n">
        <v>45.04</v>
      </c>
      <c r="E229" s="7" t="n">
        <v>44.31</v>
      </c>
      <c r="F229" s="7" t="n">
        <v>51.93</v>
      </c>
      <c r="G229" s="7" t="n">
        <v>43.25</v>
      </c>
      <c r="H229" s="7" t="n">
        <v>47.34</v>
      </c>
      <c r="I229" s="7" t="n">
        <v>51.94</v>
      </c>
      <c r="J229" s="7" t="n">
        <v>52.17</v>
      </c>
      <c r="K229" s="7" t="n">
        <v>46.74</v>
      </c>
      <c r="L229" s="8" t="n">
        <v>62.83</v>
      </c>
      <c r="M229" s="7" t="n">
        <v>54.25</v>
      </c>
      <c r="N229" s="7" t="n">
        <v>44.81</v>
      </c>
      <c r="O229" s="7" t="n">
        <v>54.06</v>
      </c>
      <c r="P229" s="7" t="n">
        <v>58.88</v>
      </c>
      <c r="Q229" s="7" t="n">
        <v>41.76</v>
      </c>
      <c r="R229" s="7" t="n">
        <v>55.84</v>
      </c>
      <c r="S229" s="7" t="n">
        <v>50.2</v>
      </c>
      <c r="T229" s="8" t="n">
        <v>66.17</v>
      </c>
      <c r="U229" s="8" t="n">
        <v>60.93</v>
      </c>
      <c r="V229" s="7" t="n">
        <v>54.3</v>
      </c>
      <c r="W229" s="8" t="n">
        <v>67.56999999999999</v>
      </c>
      <c r="X229" s="7" t="n">
        <v>48.19</v>
      </c>
      <c r="Y229" s="7" t="n">
        <v>54.18</v>
      </c>
    </row>
    <row r="230" ht="15" customHeight="1">
      <c r="A230" s="13" t="n">
        <v>45904</v>
      </c>
      <c r="B230" s="7" t="n">
        <v>55.81</v>
      </c>
      <c r="C230" s="7" t="n">
        <v>43.11</v>
      </c>
      <c r="D230" s="7" t="n">
        <v>46.14</v>
      </c>
      <c r="E230" s="7" t="n">
        <v>44.57</v>
      </c>
      <c r="F230" s="7" t="n">
        <v>49.35</v>
      </c>
      <c r="G230" s="7" t="n">
        <v>44.45</v>
      </c>
      <c r="H230" s="7" t="n">
        <v>50.34</v>
      </c>
      <c r="I230" s="7" t="n">
        <v>52.98</v>
      </c>
      <c r="J230" s="7" t="n">
        <v>51.75</v>
      </c>
      <c r="K230" s="7" t="n">
        <v>47.72</v>
      </c>
      <c r="L230" s="8" t="n">
        <v>66.84</v>
      </c>
      <c r="M230" s="7" t="n">
        <v>53.47</v>
      </c>
      <c r="N230" s="7" t="n">
        <v>48.39</v>
      </c>
      <c r="O230" s="7" t="n">
        <v>51.24</v>
      </c>
      <c r="P230" s="7" t="n">
        <v>54.73</v>
      </c>
      <c r="Q230" s="7" t="n">
        <v>39.7</v>
      </c>
      <c r="R230" s="7" t="n">
        <v>53.16</v>
      </c>
      <c r="S230" s="7" t="n">
        <v>50.42</v>
      </c>
      <c r="T230" s="8" t="n">
        <v>64.11</v>
      </c>
      <c r="U230" s="7" t="n">
        <v>54.33</v>
      </c>
      <c r="V230" s="7" t="n">
        <v>54.93</v>
      </c>
      <c r="W230" s="8" t="n">
        <v>63.24</v>
      </c>
      <c r="X230" s="7" t="n">
        <v>46.68</v>
      </c>
      <c r="Y230" s="7" t="n">
        <v>49.42</v>
      </c>
    </row>
    <row r="231" ht="15" customHeight="1">
      <c r="A231" s="13" t="n">
        <v>45903</v>
      </c>
      <c r="B231" s="7" t="n">
        <v>54.37</v>
      </c>
      <c r="C231" s="7" t="n">
        <v>36.53</v>
      </c>
      <c r="D231" s="7" t="n">
        <v>43.09</v>
      </c>
      <c r="E231" s="7" t="n">
        <v>35.34</v>
      </c>
      <c r="F231" s="7" t="n">
        <v>48.36</v>
      </c>
      <c r="G231" s="7" t="n">
        <v>35.78</v>
      </c>
      <c r="H231" s="7" t="n">
        <v>47.93</v>
      </c>
      <c r="I231" s="7" t="n">
        <v>51.99</v>
      </c>
      <c r="J231" s="7" t="n">
        <v>50.04</v>
      </c>
      <c r="K231" s="7" t="n">
        <v>38.62</v>
      </c>
      <c r="L231" s="8" t="n">
        <v>67.06</v>
      </c>
      <c r="M231" s="7" t="n">
        <v>47.33</v>
      </c>
      <c r="N231" s="7" t="n">
        <v>44.68</v>
      </c>
      <c r="O231" s="7" t="n">
        <v>45.83</v>
      </c>
      <c r="P231" s="7" t="n">
        <v>53.1</v>
      </c>
      <c r="Q231" s="7" t="n">
        <v>33.79</v>
      </c>
      <c r="R231" s="7" t="n">
        <v>52.9</v>
      </c>
      <c r="S231" s="7" t="n">
        <v>47.59</v>
      </c>
      <c r="T231" s="8" t="n">
        <v>64.90000000000001</v>
      </c>
      <c r="U231" s="7" t="n">
        <v>51.56</v>
      </c>
      <c r="V231" s="7" t="n">
        <v>52.93</v>
      </c>
      <c r="W231" s="8" t="n">
        <v>60.77</v>
      </c>
      <c r="X231" s="7" t="n">
        <v>40.01</v>
      </c>
      <c r="Y231" s="7" t="n">
        <v>47.75</v>
      </c>
    </row>
    <row r="232" ht="15" customHeight="1">
      <c r="A232" s="13" t="n">
        <v>45902</v>
      </c>
      <c r="B232" s="7" t="n">
        <v>54.66</v>
      </c>
      <c r="C232" s="7" t="n">
        <v>33.18</v>
      </c>
      <c r="D232" s="7" t="n">
        <v>38.34</v>
      </c>
      <c r="E232" s="7" t="n">
        <v>35.7</v>
      </c>
      <c r="F232" s="7" t="n">
        <v>41.62</v>
      </c>
      <c r="G232" s="7" t="n">
        <v>38.73</v>
      </c>
      <c r="H232" s="7" t="n">
        <v>38.24</v>
      </c>
      <c r="I232" s="7" t="n">
        <v>48.81</v>
      </c>
      <c r="J232" s="7" t="n">
        <v>47.43</v>
      </c>
      <c r="K232" s="7" t="n">
        <v>36.85</v>
      </c>
      <c r="L232" s="8" t="n">
        <v>68.90000000000001</v>
      </c>
      <c r="M232" s="7" t="n">
        <v>43.2</v>
      </c>
      <c r="N232" s="7" t="n">
        <v>44.51</v>
      </c>
      <c r="O232" s="7" t="n">
        <v>43.26</v>
      </c>
      <c r="P232" s="7" t="n">
        <v>55.4</v>
      </c>
      <c r="Q232" s="10" t="n">
        <v>29.29</v>
      </c>
      <c r="R232" s="7" t="n">
        <v>54.04</v>
      </c>
      <c r="S232" s="7" t="n">
        <v>48.2</v>
      </c>
      <c r="T232" s="9" t="n">
        <v>71.02</v>
      </c>
      <c r="U232" s="7" t="n">
        <v>48.08</v>
      </c>
      <c r="V232" s="7" t="n">
        <v>50.38</v>
      </c>
      <c r="W232" s="7" t="n">
        <v>59.74</v>
      </c>
      <c r="X232" s="7" t="n">
        <v>42.03</v>
      </c>
      <c r="Y232" s="7" t="n">
        <v>46.27</v>
      </c>
    </row>
    <row r="233" ht="15" customHeight="1">
      <c r="A233" s="13" t="n">
        <v>45901</v>
      </c>
      <c r="B233" s="7" t="n">
        <v>57.57</v>
      </c>
      <c r="C233" s="7" t="n">
        <v>33.57</v>
      </c>
      <c r="D233" s="7" t="n">
        <v>39.81</v>
      </c>
      <c r="E233" s="7" t="n">
        <v>36.23</v>
      </c>
      <c r="F233" s="7" t="n">
        <v>38.96</v>
      </c>
      <c r="G233" s="7" t="n">
        <v>38.04</v>
      </c>
      <c r="H233" s="7" t="n">
        <v>36.94</v>
      </c>
      <c r="I233" s="7" t="n">
        <v>46.23</v>
      </c>
      <c r="J233" s="7" t="n">
        <v>41.43</v>
      </c>
      <c r="K233" s="7" t="n">
        <v>35.64</v>
      </c>
      <c r="L233" s="8" t="n">
        <v>65.23999999999999</v>
      </c>
      <c r="M233" s="7" t="n">
        <v>43.87</v>
      </c>
      <c r="N233" s="7" t="n">
        <v>42.77</v>
      </c>
      <c r="O233" s="7" t="n">
        <v>43.31</v>
      </c>
      <c r="P233" s="7" t="n">
        <v>54.03</v>
      </c>
      <c r="Q233" s="7" t="n">
        <v>35.8</v>
      </c>
      <c r="R233" s="7" t="n">
        <v>51.96</v>
      </c>
      <c r="S233" s="7" t="n">
        <v>49.65</v>
      </c>
      <c r="T233" s="8" t="n">
        <v>65.14</v>
      </c>
      <c r="U233" s="7" t="n">
        <v>49.65</v>
      </c>
      <c r="V233" s="7" t="n">
        <v>44.79</v>
      </c>
      <c r="W233" s="7" t="n">
        <v>54.85</v>
      </c>
      <c r="X233" s="7" t="n">
        <v>40.43</v>
      </c>
      <c r="Y233" s="7" t="n">
        <v>49.64</v>
      </c>
    </row>
    <row r="234" ht="15" customHeight="1">
      <c r="A234" s="13" t="n">
        <v>45898</v>
      </c>
      <c r="B234" s="7" t="n">
        <v>54.2</v>
      </c>
      <c r="C234" s="7" t="n">
        <v>37.97</v>
      </c>
      <c r="D234" s="7" t="n">
        <v>37.73</v>
      </c>
      <c r="E234" s="7" t="n">
        <v>40.98</v>
      </c>
      <c r="F234" s="7" t="n">
        <v>39.64</v>
      </c>
      <c r="G234" s="7" t="n">
        <v>42.49</v>
      </c>
      <c r="H234" s="7" t="n">
        <v>39.46</v>
      </c>
      <c r="I234" s="7" t="n">
        <v>51.73</v>
      </c>
      <c r="J234" s="7" t="n">
        <v>51.26</v>
      </c>
      <c r="K234" s="7" t="n">
        <v>44.59</v>
      </c>
      <c r="L234" s="8" t="n">
        <v>63.96</v>
      </c>
      <c r="M234" s="7" t="n">
        <v>47.47</v>
      </c>
      <c r="N234" s="7" t="n">
        <v>42.04</v>
      </c>
      <c r="O234" s="7" t="n">
        <v>44.73</v>
      </c>
      <c r="P234" s="7" t="n">
        <v>52.28</v>
      </c>
      <c r="Q234" s="7" t="n">
        <v>39.62</v>
      </c>
      <c r="R234" s="7" t="n">
        <v>54.1</v>
      </c>
      <c r="S234" s="7" t="n">
        <v>53.04</v>
      </c>
      <c r="T234" s="8" t="n">
        <v>61.56</v>
      </c>
      <c r="U234" s="7" t="n">
        <v>55.94</v>
      </c>
      <c r="V234" s="7" t="n">
        <v>52.42</v>
      </c>
      <c r="W234" s="7" t="n">
        <v>49.98</v>
      </c>
      <c r="X234" s="7" t="n">
        <v>43.6</v>
      </c>
      <c r="Y234" s="7" t="n">
        <v>52.5</v>
      </c>
    </row>
    <row r="235" ht="15" customHeight="1">
      <c r="A235" s="13" t="n">
        <v>45897</v>
      </c>
      <c r="B235" s="7" t="n">
        <v>58.72</v>
      </c>
      <c r="C235" s="7" t="n">
        <v>39.15</v>
      </c>
      <c r="D235" s="7" t="n">
        <v>41.44</v>
      </c>
      <c r="E235" s="7" t="n">
        <v>43.48</v>
      </c>
      <c r="F235" s="7" t="n">
        <v>45.29</v>
      </c>
      <c r="G235" s="7" t="n">
        <v>43.03</v>
      </c>
      <c r="H235" s="7" t="n">
        <v>38.99</v>
      </c>
      <c r="I235" s="7" t="n">
        <v>52.32</v>
      </c>
      <c r="J235" s="7" t="n">
        <v>52.84</v>
      </c>
      <c r="K235" s="7" t="n">
        <v>46.76</v>
      </c>
      <c r="L235" s="8" t="n">
        <v>62.06</v>
      </c>
      <c r="M235" s="7" t="n">
        <v>50.02</v>
      </c>
      <c r="N235" s="7" t="n">
        <v>44.89</v>
      </c>
      <c r="O235" s="7" t="n">
        <v>42.65</v>
      </c>
      <c r="P235" s="7" t="n">
        <v>46.34</v>
      </c>
      <c r="Q235" s="7" t="n">
        <v>41.53</v>
      </c>
      <c r="R235" s="7" t="n">
        <v>55.73</v>
      </c>
      <c r="S235" s="7" t="n">
        <v>53.74</v>
      </c>
      <c r="T235" s="8" t="n">
        <v>64.2</v>
      </c>
      <c r="U235" s="7" t="n">
        <v>57.8</v>
      </c>
      <c r="V235" s="7" t="n">
        <v>53.8</v>
      </c>
      <c r="W235" s="7" t="n">
        <v>55.19</v>
      </c>
      <c r="X235" s="7" t="n">
        <v>46.78</v>
      </c>
      <c r="Y235" s="7" t="n">
        <v>53.65</v>
      </c>
    </row>
    <row r="236" ht="15" customHeight="1">
      <c r="A236" s="13" t="n">
        <v>45896</v>
      </c>
      <c r="B236" s="7" t="n">
        <v>53.55</v>
      </c>
      <c r="C236" s="7" t="n">
        <v>40.25</v>
      </c>
      <c r="D236" s="7" t="n">
        <v>35.15</v>
      </c>
      <c r="E236" s="7" t="n">
        <v>44.1</v>
      </c>
      <c r="F236" s="7" t="n">
        <v>45.67</v>
      </c>
      <c r="G236" s="7" t="n">
        <v>39.52</v>
      </c>
      <c r="H236" s="7" t="n">
        <v>40.7</v>
      </c>
      <c r="I236" s="7" t="n">
        <v>52.57</v>
      </c>
      <c r="J236" s="7" t="n">
        <v>54.45</v>
      </c>
      <c r="K236" s="7" t="n">
        <v>44.86</v>
      </c>
      <c r="L236" s="8" t="n">
        <v>63</v>
      </c>
      <c r="M236" s="7" t="n">
        <v>44.81</v>
      </c>
      <c r="N236" s="7" t="n">
        <v>45.19</v>
      </c>
      <c r="O236" s="7" t="n">
        <v>41.34</v>
      </c>
      <c r="P236" s="7" t="n">
        <v>45.1</v>
      </c>
      <c r="Q236" s="7" t="n">
        <v>44.53</v>
      </c>
      <c r="R236" s="7" t="n">
        <v>47.11</v>
      </c>
      <c r="S236" s="7" t="n">
        <v>44.17</v>
      </c>
      <c r="T236" s="7" t="n">
        <v>57.2</v>
      </c>
      <c r="U236" s="8" t="n">
        <v>60.24</v>
      </c>
      <c r="V236" s="7" t="n">
        <v>55.12</v>
      </c>
      <c r="W236" s="7" t="n">
        <v>50.64</v>
      </c>
      <c r="X236" s="7" t="n">
        <v>48.6</v>
      </c>
      <c r="Y236" s="7" t="n">
        <v>58.04</v>
      </c>
    </row>
    <row r="237" ht="15" customHeight="1">
      <c r="A237" s="13" t="n">
        <v>45895</v>
      </c>
      <c r="B237" s="7" t="n">
        <v>52.86</v>
      </c>
      <c r="C237" s="7" t="n">
        <v>41.69</v>
      </c>
      <c r="D237" s="7" t="n">
        <v>35.78</v>
      </c>
      <c r="E237" s="7" t="n">
        <v>46.68</v>
      </c>
      <c r="F237" s="7" t="n">
        <v>46.71</v>
      </c>
      <c r="G237" s="7" t="n">
        <v>39.61</v>
      </c>
      <c r="H237" s="7" t="n">
        <v>43.21</v>
      </c>
      <c r="I237" s="7" t="n">
        <v>52.29</v>
      </c>
      <c r="J237" s="7" t="n">
        <v>55.07</v>
      </c>
      <c r="K237" s="7" t="n">
        <v>45.19</v>
      </c>
      <c r="L237" s="7" t="n">
        <v>56.02</v>
      </c>
      <c r="M237" s="7" t="n">
        <v>47.21</v>
      </c>
      <c r="N237" s="7" t="n">
        <v>44.52</v>
      </c>
      <c r="O237" s="7" t="n">
        <v>40.37</v>
      </c>
      <c r="P237" s="7" t="n">
        <v>45.31</v>
      </c>
      <c r="Q237" s="7" t="n">
        <v>50.34</v>
      </c>
      <c r="R237" s="7" t="n">
        <v>45.37</v>
      </c>
      <c r="S237" s="7" t="n">
        <v>43.9</v>
      </c>
      <c r="T237" s="7" t="n">
        <v>57.05</v>
      </c>
      <c r="U237" s="7" t="n">
        <v>57.77</v>
      </c>
      <c r="V237" s="7" t="n">
        <v>53.9</v>
      </c>
      <c r="W237" s="7" t="n">
        <v>55.24</v>
      </c>
      <c r="X237" s="7" t="n">
        <v>51.06</v>
      </c>
      <c r="Y237" s="8" t="n">
        <v>61.43</v>
      </c>
    </row>
    <row r="238" ht="15" customHeight="1">
      <c r="A238" s="13" t="n">
        <v>45894</v>
      </c>
      <c r="B238" s="7" t="n">
        <v>48.95</v>
      </c>
      <c r="C238" s="7" t="n">
        <v>34.98</v>
      </c>
      <c r="D238" s="7" t="n">
        <v>36.56</v>
      </c>
      <c r="E238" s="7" t="n">
        <v>48.28</v>
      </c>
      <c r="F238" s="7" t="n">
        <v>49.41</v>
      </c>
      <c r="G238" s="7" t="n">
        <v>41.7</v>
      </c>
      <c r="H238" s="7" t="n">
        <v>47.55</v>
      </c>
      <c r="I238" s="7" t="n">
        <v>56.23</v>
      </c>
      <c r="J238" s="7" t="n">
        <v>57.51</v>
      </c>
      <c r="K238" s="7" t="n">
        <v>45.6</v>
      </c>
      <c r="L238" s="8" t="n">
        <v>61.99</v>
      </c>
      <c r="M238" s="7" t="n">
        <v>49.82</v>
      </c>
      <c r="N238" s="7" t="n">
        <v>49.92</v>
      </c>
      <c r="O238" s="7" t="n">
        <v>47.28</v>
      </c>
      <c r="P238" s="7" t="n">
        <v>53.59</v>
      </c>
      <c r="Q238" s="7" t="n">
        <v>49.4</v>
      </c>
      <c r="R238" s="7" t="n">
        <v>50.13</v>
      </c>
      <c r="S238" s="7" t="n">
        <v>46.93</v>
      </c>
      <c r="T238" s="8" t="n">
        <v>61.06</v>
      </c>
      <c r="U238" s="7" t="n">
        <v>58.51</v>
      </c>
      <c r="V238" s="7" t="n">
        <v>57.87</v>
      </c>
      <c r="W238" s="7" t="n">
        <v>52.66</v>
      </c>
      <c r="X238" s="7" t="n">
        <v>51.14</v>
      </c>
      <c r="Y238" s="7" t="n">
        <v>58.55</v>
      </c>
    </row>
    <row r="239" ht="15" customHeight="1">
      <c r="A239" s="13" t="n">
        <v>45891</v>
      </c>
      <c r="B239" s="7" t="n">
        <v>47.3</v>
      </c>
      <c r="C239" s="7" t="n">
        <v>32.54</v>
      </c>
      <c r="D239" s="7" t="n">
        <v>35.83</v>
      </c>
      <c r="E239" s="7" t="n">
        <v>43.18</v>
      </c>
      <c r="F239" s="7" t="n">
        <v>47.99</v>
      </c>
      <c r="G239" s="7" t="n">
        <v>43.59</v>
      </c>
      <c r="H239" s="7" t="n">
        <v>44.81</v>
      </c>
      <c r="I239" s="7" t="n">
        <v>49.81</v>
      </c>
      <c r="J239" s="7" t="n">
        <v>53.09</v>
      </c>
      <c r="K239" s="7" t="n">
        <v>42.93</v>
      </c>
      <c r="L239" s="8" t="n">
        <v>60.23</v>
      </c>
      <c r="M239" s="7" t="n">
        <v>46.06</v>
      </c>
      <c r="N239" s="7" t="n">
        <v>51.22</v>
      </c>
      <c r="O239" s="7" t="n">
        <v>43.72</v>
      </c>
      <c r="P239" s="7" t="n">
        <v>50.69</v>
      </c>
      <c r="Q239" s="7" t="n">
        <v>49.26</v>
      </c>
      <c r="R239" s="7" t="n">
        <v>44.56</v>
      </c>
      <c r="S239" s="7" t="n">
        <v>39.12</v>
      </c>
      <c r="T239" s="8" t="n">
        <v>60.19</v>
      </c>
      <c r="U239" s="7" t="n">
        <v>51.81</v>
      </c>
      <c r="V239" s="7" t="n">
        <v>53.13</v>
      </c>
      <c r="W239" s="7" t="n">
        <v>50.18</v>
      </c>
      <c r="X239" s="7" t="n">
        <v>44.77</v>
      </c>
      <c r="Y239" s="7" t="n">
        <v>54.08</v>
      </c>
    </row>
    <row r="240" ht="15" customHeight="1">
      <c r="A240" s="13" t="n">
        <v>45890</v>
      </c>
      <c r="B240" s="7" t="n">
        <v>44.76</v>
      </c>
      <c r="C240" s="7" t="n">
        <v>33.53</v>
      </c>
      <c r="D240" s="7" t="n">
        <v>32.57</v>
      </c>
      <c r="E240" s="7" t="n">
        <v>44.89</v>
      </c>
      <c r="F240" s="7" t="n">
        <v>42.89</v>
      </c>
      <c r="G240" s="7" t="n">
        <v>42.78</v>
      </c>
      <c r="H240" s="7" t="n">
        <v>40.25</v>
      </c>
      <c r="I240" s="7" t="n">
        <v>49.15</v>
      </c>
      <c r="J240" s="7" t="n">
        <v>49.03</v>
      </c>
      <c r="K240" s="7" t="n">
        <v>45.98</v>
      </c>
      <c r="L240" s="7" t="n">
        <v>53.99</v>
      </c>
      <c r="M240" s="7" t="n">
        <v>40.6</v>
      </c>
      <c r="N240" s="7" t="n">
        <v>49.72</v>
      </c>
      <c r="O240" s="7" t="n">
        <v>41.49</v>
      </c>
      <c r="P240" s="7" t="n">
        <v>52.43</v>
      </c>
      <c r="Q240" s="7" t="n">
        <v>51.03</v>
      </c>
      <c r="R240" s="7" t="n">
        <v>44.11</v>
      </c>
      <c r="S240" s="7" t="n">
        <v>37.96</v>
      </c>
      <c r="T240" s="7" t="n">
        <v>59.73</v>
      </c>
      <c r="U240" s="7" t="n">
        <v>49.56</v>
      </c>
      <c r="V240" s="7" t="n">
        <v>48.02</v>
      </c>
      <c r="W240" s="7" t="n">
        <v>48.47</v>
      </c>
      <c r="X240" s="7" t="n">
        <v>45.41</v>
      </c>
      <c r="Y240" s="7" t="n">
        <v>58.14</v>
      </c>
    </row>
    <row r="241" ht="15" customHeight="1">
      <c r="A241" s="13" t="n">
        <v>45889</v>
      </c>
      <c r="B241" s="7" t="n">
        <v>42.42</v>
      </c>
      <c r="C241" s="10" t="n">
        <v>26.66</v>
      </c>
      <c r="D241" s="10" t="n">
        <v>28.01</v>
      </c>
      <c r="E241" s="7" t="n">
        <v>39.4</v>
      </c>
      <c r="F241" s="7" t="n">
        <v>43.62</v>
      </c>
      <c r="G241" s="7" t="n">
        <v>39.02</v>
      </c>
      <c r="H241" s="7" t="n">
        <v>36.57</v>
      </c>
      <c r="I241" s="7" t="n">
        <v>42.13</v>
      </c>
      <c r="J241" s="7" t="n">
        <v>51.89</v>
      </c>
      <c r="K241" s="7" t="n">
        <v>43.94</v>
      </c>
      <c r="L241" s="7" t="n">
        <v>47.78</v>
      </c>
      <c r="M241" s="7" t="n">
        <v>37.32</v>
      </c>
      <c r="N241" s="7" t="n">
        <v>45.83</v>
      </c>
      <c r="O241" s="7" t="n">
        <v>30.77</v>
      </c>
      <c r="P241" s="7" t="n">
        <v>55.59</v>
      </c>
      <c r="Q241" s="7" t="n">
        <v>54.21</v>
      </c>
      <c r="R241" s="7" t="n">
        <v>40.73</v>
      </c>
      <c r="S241" s="7" t="n">
        <v>37.29</v>
      </c>
      <c r="T241" s="7" t="n">
        <v>52.3</v>
      </c>
      <c r="U241" s="7" t="n">
        <v>44.38</v>
      </c>
      <c r="V241" s="7" t="n">
        <v>47.03</v>
      </c>
      <c r="W241" s="7" t="n">
        <v>46.19</v>
      </c>
      <c r="X241" s="7" t="n">
        <v>46.77</v>
      </c>
      <c r="Y241" s="7" t="n">
        <v>56.32</v>
      </c>
    </row>
    <row r="242" ht="15" customHeight="1">
      <c r="A242" s="13" t="n">
        <v>45888</v>
      </c>
      <c r="B242" s="7" t="n">
        <v>40.22</v>
      </c>
      <c r="C242" s="10" t="n">
        <v>24.31</v>
      </c>
      <c r="D242" s="10" t="n">
        <v>29.96</v>
      </c>
      <c r="E242" s="7" t="n">
        <v>40.28</v>
      </c>
      <c r="F242" s="7" t="n">
        <v>45.33</v>
      </c>
      <c r="G242" s="7" t="n">
        <v>41.44</v>
      </c>
      <c r="H242" s="7" t="n">
        <v>38.67</v>
      </c>
      <c r="I242" s="7" t="n">
        <v>45.88</v>
      </c>
      <c r="J242" s="7" t="n">
        <v>54.86</v>
      </c>
      <c r="K242" s="7" t="n">
        <v>48.21</v>
      </c>
      <c r="L242" s="7" t="n">
        <v>47.8</v>
      </c>
      <c r="M242" s="7" t="n">
        <v>37.89</v>
      </c>
      <c r="N242" s="7" t="n">
        <v>45.59</v>
      </c>
      <c r="O242" s="7" t="n">
        <v>33.99</v>
      </c>
      <c r="P242" s="7" t="n">
        <v>57.05</v>
      </c>
      <c r="Q242" s="7" t="n">
        <v>55.4</v>
      </c>
      <c r="R242" s="7" t="n">
        <v>42.86</v>
      </c>
      <c r="S242" s="7" t="n">
        <v>40.59</v>
      </c>
      <c r="T242" s="7" t="n">
        <v>52.1</v>
      </c>
      <c r="U242" s="7" t="n">
        <v>47.26</v>
      </c>
      <c r="V242" s="7" t="n">
        <v>49.64</v>
      </c>
      <c r="W242" s="7" t="n">
        <v>47.22</v>
      </c>
      <c r="X242" s="7" t="n">
        <v>50.53</v>
      </c>
      <c r="Y242" s="7" t="n">
        <v>55.78</v>
      </c>
    </row>
    <row r="243" ht="15" customHeight="1">
      <c r="A243" s="13" t="n">
        <v>45887</v>
      </c>
      <c r="B243" s="7" t="n">
        <v>40.86</v>
      </c>
      <c r="C243" s="10" t="n">
        <v>25.04</v>
      </c>
      <c r="D243" s="7" t="n">
        <v>30.83</v>
      </c>
      <c r="E243" s="7" t="n">
        <v>40.11</v>
      </c>
      <c r="F243" s="7" t="n">
        <v>46.35</v>
      </c>
      <c r="G243" s="7" t="n">
        <v>44.78</v>
      </c>
      <c r="H243" s="7" t="n">
        <v>40.7</v>
      </c>
      <c r="I243" s="7" t="n">
        <v>54.99</v>
      </c>
      <c r="J243" s="7" t="n">
        <v>56.83</v>
      </c>
      <c r="K243" s="7" t="n">
        <v>54.8</v>
      </c>
      <c r="L243" s="7" t="n">
        <v>55.29</v>
      </c>
      <c r="M243" s="7" t="n">
        <v>38.9</v>
      </c>
      <c r="N243" s="7" t="n">
        <v>53.51</v>
      </c>
      <c r="O243" s="7" t="n">
        <v>40.48</v>
      </c>
      <c r="P243" s="7" t="n">
        <v>59.8</v>
      </c>
      <c r="Q243" s="7" t="n">
        <v>55.07</v>
      </c>
      <c r="R243" s="7" t="n">
        <v>43.7</v>
      </c>
      <c r="S243" s="7" t="n">
        <v>41.7</v>
      </c>
      <c r="T243" s="7" t="n">
        <v>50.72</v>
      </c>
      <c r="U243" s="7" t="n">
        <v>53.49</v>
      </c>
      <c r="V243" s="7" t="n">
        <v>53.78</v>
      </c>
      <c r="W243" s="7" t="n">
        <v>43.48</v>
      </c>
      <c r="X243" s="7" t="n">
        <v>48.52</v>
      </c>
      <c r="Y243" s="7" t="n">
        <v>53.17</v>
      </c>
    </row>
    <row r="244" ht="15" customHeight="1">
      <c r="A244" s="13" t="n">
        <v>45884</v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</row>
    <row r="245" ht="15" customHeight="1">
      <c r="A245" s="13" t="n">
        <v>45883</v>
      </c>
      <c r="B245" s="7" t="n">
        <v>43.19</v>
      </c>
      <c r="C245" s="10" t="n">
        <v>29.33</v>
      </c>
      <c r="D245" s="7" t="n">
        <v>34.16</v>
      </c>
      <c r="E245" s="7" t="n">
        <v>44.13</v>
      </c>
      <c r="F245" s="7" t="n">
        <v>48.23</v>
      </c>
      <c r="G245" s="7" t="n">
        <v>46.54</v>
      </c>
      <c r="H245" s="7" t="n">
        <v>44.72</v>
      </c>
      <c r="I245" s="7" t="n">
        <v>57.71</v>
      </c>
      <c r="J245" s="8" t="n">
        <v>67.8</v>
      </c>
      <c r="K245" s="7" t="n">
        <v>53.78</v>
      </c>
      <c r="L245" s="7" t="n">
        <v>55.3</v>
      </c>
      <c r="M245" s="7" t="n">
        <v>41.95</v>
      </c>
      <c r="N245" s="7" t="n">
        <v>51.48</v>
      </c>
      <c r="O245" s="7" t="n">
        <v>41.13</v>
      </c>
      <c r="P245" s="7" t="n">
        <v>54.23</v>
      </c>
      <c r="Q245" s="7" t="n">
        <v>55.11</v>
      </c>
      <c r="R245" s="7" t="n">
        <v>49.85</v>
      </c>
      <c r="S245" s="7" t="n">
        <v>44.76</v>
      </c>
      <c r="T245" s="7" t="n">
        <v>51.6</v>
      </c>
      <c r="U245" s="7" t="n">
        <v>58.07</v>
      </c>
      <c r="V245" s="8" t="n">
        <v>62.24</v>
      </c>
      <c r="W245" s="7" t="n">
        <v>43.86</v>
      </c>
      <c r="X245" s="7" t="n">
        <v>48.34</v>
      </c>
      <c r="Y245" s="7" t="n">
        <v>54.81</v>
      </c>
    </row>
    <row r="246" ht="15" customHeight="1">
      <c r="A246" s="13" t="n">
        <v>45882</v>
      </c>
      <c r="B246" s="7" t="n">
        <v>46.79</v>
      </c>
      <c r="C246" s="10" t="n">
        <v>26</v>
      </c>
      <c r="D246" s="7" t="n">
        <v>35.68</v>
      </c>
      <c r="E246" s="7" t="n">
        <v>41.77</v>
      </c>
      <c r="F246" s="7" t="n">
        <v>49.46</v>
      </c>
      <c r="G246" s="7" t="n">
        <v>49.74</v>
      </c>
      <c r="H246" s="7" t="n">
        <v>44.08</v>
      </c>
      <c r="I246" s="7" t="n">
        <v>58.96</v>
      </c>
      <c r="J246" s="8" t="n">
        <v>68.58</v>
      </c>
      <c r="K246" s="7" t="n">
        <v>58.35</v>
      </c>
      <c r="L246" s="7" t="n">
        <v>53.92</v>
      </c>
      <c r="M246" s="7" t="n">
        <v>40.12</v>
      </c>
      <c r="N246" s="7" t="n">
        <v>54.1</v>
      </c>
      <c r="O246" s="7" t="n">
        <v>41.34</v>
      </c>
      <c r="P246" s="7" t="n">
        <v>56.54</v>
      </c>
      <c r="Q246" s="7" t="n">
        <v>48.17</v>
      </c>
      <c r="R246" s="7" t="n">
        <v>49.38</v>
      </c>
      <c r="S246" s="7" t="n">
        <v>45.82</v>
      </c>
      <c r="T246" s="7" t="n">
        <v>48.5</v>
      </c>
      <c r="U246" s="7" t="n">
        <v>54.25</v>
      </c>
      <c r="V246" s="8" t="n">
        <v>62.49</v>
      </c>
      <c r="W246" s="7" t="n">
        <v>55.72</v>
      </c>
      <c r="X246" s="7" t="n">
        <v>46.46</v>
      </c>
      <c r="Y246" s="7" t="n">
        <v>54.32</v>
      </c>
    </row>
    <row r="247" ht="15" customHeight="1">
      <c r="A247" s="13" t="n">
        <v>45881</v>
      </c>
      <c r="B247" s="7" t="n">
        <v>54.52</v>
      </c>
      <c r="C247" s="10" t="n">
        <v>26.61</v>
      </c>
      <c r="D247" s="7" t="n">
        <v>36.57</v>
      </c>
      <c r="E247" s="7" t="n">
        <v>41.8</v>
      </c>
      <c r="F247" s="7" t="n">
        <v>42.96</v>
      </c>
      <c r="G247" s="7" t="n">
        <v>51.64</v>
      </c>
      <c r="H247" s="7" t="n">
        <v>41.21</v>
      </c>
      <c r="I247" s="7" t="n">
        <v>57.77</v>
      </c>
      <c r="J247" s="8" t="n">
        <v>64.8</v>
      </c>
      <c r="K247" s="7" t="n">
        <v>50.11</v>
      </c>
      <c r="L247" s="7" t="n">
        <v>48.29</v>
      </c>
      <c r="M247" s="7" t="n">
        <v>39.76</v>
      </c>
      <c r="N247" s="7" t="n">
        <v>51</v>
      </c>
      <c r="O247" s="7" t="n">
        <v>45.83</v>
      </c>
      <c r="P247" s="7" t="n">
        <v>51.16</v>
      </c>
      <c r="Q247" s="7" t="n">
        <v>53.34</v>
      </c>
      <c r="R247" s="7" t="n">
        <v>47.08</v>
      </c>
      <c r="S247" s="7" t="n">
        <v>44.98</v>
      </c>
      <c r="T247" s="7" t="n">
        <v>47.91</v>
      </c>
      <c r="U247" s="7" t="n">
        <v>53.99</v>
      </c>
      <c r="V247" s="7" t="n">
        <v>57.9</v>
      </c>
      <c r="W247" s="7" t="n">
        <v>58.19</v>
      </c>
      <c r="X247" s="7" t="n">
        <v>46.25</v>
      </c>
      <c r="Y247" s="7" t="n">
        <v>56.24</v>
      </c>
    </row>
    <row r="248" ht="15" customHeight="1">
      <c r="A248" s="13" t="n">
        <v>45880</v>
      </c>
      <c r="B248" s="7" t="n">
        <v>58.53</v>
      </c>
      <c r="C248" s="10" t="n">
        <v>28.35</v>
      </c>
      <c r="D248" s="7" t="n">
        <v>38.29</v>
      </c>
      <c r="E248" s="7" t="n">
        <v>45.79</v>
      </c>
      <c r="F248" s="7" t="n">
        <v>45.35</v>
      </c>
      <c r="G248" s="7" t="n">
        <v>54.74</v>
      </c>
      <c r="H248" s="7" t="n">
        <v>43.2</v>
      </c>
      <c r="I248" s="8" t="n">
        <v>65.09</v>
      </c>
      <c r="J248" s="8" t="n">
        <v>65.23999999999999</v>
      </c>
      <c r="K248" s="7" t="n">
        <v>55.67</v>
      </c>
      <c r="L248" s="7" t="n">
        <v>52.32</v>
      </c>
      <c r="M248" s="7" t="n">
        <v>43.03</v>
      </c>
      <c r="N248" s="7" t="n">
        <v>52.82</v>
      </c>
      <c r="O248" s="7" t="n">
        <v>48.36</v>
      </c>
      <c r="P248" s="7" t="n">
        <v>49.23</v>
      </c>
      <c r="Q248" s="7" t="n">
        <v>48.4</v>
      </c>
      <c r="R248" s="7" t="n">
        <v>47</v>
      </c>
      <c r="S248" s="7" t="n">
        <v>40.34</v>
      </c>
      <c r="T248" s="7" t="n">
        <v>46.62</v>
      </c>
      <c r="U248" s="7" t="n">
        <v>57.74</v>
      </c>
      <c r="V248" s="8" t="n">
        <v>61.43</v>
      </c>
      <c r="W248" s="7" t="n">
        <v>57.69</v>
      </c>
      <c r="X248" s="7" t="n">
        <v>46.57</v>
      </c>
      <c r="Y248" s="8" t="n">
        <v>61.1</v>
      </c>
    </row>
    <row r="249" ht="15" customHeight="1">
      <c r="A249" s="13" t="n">
        <v>45877</v>
      </c>
      <c r="B249" s="8" t="n">
        <v>65.06999999999999</v>
      </c>
      <c r="C249" s="7" t="n">
        <v>30.73</v>
      </c>
      <c r="D249" s="7" t="n">
        <v>39.34</v>
      </c>
      <c r="E249" s="7" t="n">
        <v>50.52</v>
      </c>
      <c r="F249" s="7" t="n">
        <v>44.5</v>
      </c>
      <c r="G249" s="8" t="n">
        <v>60.01</v>
      </c>
      <c r="H249" s="7" t="n">
        <v>40.06</v>
      </c>
      <c r="I249" s="8" t="n">
        <v>61.25</v>
      </c>
      <c r="J249" s="8" t="n">
        <v>63.19</v>
      </c>
      <c r="K249" s="7" t="n">
        <v>56.14</v>
      </c>
      <c r="L249" s="7" t="n">
        <v>58.26</v>
      </c>
      <c r="M249" s="7" t="n">
        <v>44.12</v>
      </c>
      <c r="N249" s="7" t="n">
        <v>55.8</v>
      </c>
      <c r="O249" s="7" t="n">
        <v>52.32</v>
      </c>
      <c r="P249" s="7" t="n">
        <v>56.11</v>
      </c>
      <c r="Q249" s="7" t="n">
        <v>46.07</v>
      </c>
      <c r="R249" s="7" t="n">
        <v>48.66</v>
      </c>
      <c r="S249" s="7" t="n">
        <v>43.76</v>
      </c>
      <c r="T249" s="7" t="n">
        <v>46.88</v>
      </c>
      <c r="U249" s="7" t="n">
        <v>57.09</v>
      </c>
      <c r="V249" s="8" t="n">
        <v>60.75</v>
      </c>
      <c r="W249" s="7" t="n">
        <v>57.46</v>
      </c>
      <c r="X249" s="7" t="n">
        <v>49.02</v>
      </c>
      <c r="Y249" s="8" t="n">
        <v>63.01</v>
      </c>
    </row>
    <row r="250" ht="15" customHeight="1">
      <c r="A250" s="13" t="n">
        <v>45876</v>
      </c>
      <c r="B250" s="7" t="n">
        <v>57.87</v>
      </c>
      <c r="C250" s="7" t="n">
        <v>30.79</v>
      </c>
      <c r="D250" s="7" t="n">
        <v>38.5</v>
      </c>
      <c r="E250" s="7" t="n">
        <v>54.79</v>
      </c>
      <c r="F250" s="7" t="n">
        <v>44.76</v>
      </c>
      <c r="G250" s="7" t="n">
        <v>59.87</v>
      </c>
      <c r="H250" s="7" t="n">
        <v>49.6</v>
      </c>
      <c r="I250" s="7" t="n">
        <v>59.25</v>
      </c>
      <c r="J250" s="8" t="n">
        <v>63.09</v>
      </c>
      <c r="K250" s="7" t="n">
        <v>51.25</v>
      </c>
      <c r="L250" s="8" t="n">
        <v>65.86</v>
      </c>
      <c r="M250" s="7" t="n">
        <v>45.95</v>
      </c>
      <c r="N250" s="8" t="n">
        <v>65.78</v>
      </c>
      <c r="O250" s="7" t="n">
        <v>54.41</v>
      </c>
      <c r="P250" s="7" t="n">
        <v>57.02</v>
      </c>
      <c r="Q250" s="7" t="n">
        <v>46.18</v>
      </c>
      <c r="R250" s="7" t="n">
        <v>50.4</v>
      </c>
      <c r="S250" s="7" t="n">
        <v>45.04</v>
      </c>
      <c r="T250" s="7" t="n">
        <v>49.44</v>
      </c>
      <c r="U250" s="8" t="n">
        <v>60.11</v>
      </c>
      <c r="V250" s="8" t="n">
        <v>62.83</v>
      </c>
      <c r="W250" s="7" t="n">
        <v>57.92</v>
      </c>
      <c r="X250" s="7" t="n">
        <v>52.78</v>
      </c>
      <c r="Y250" s="7" t="n">
        <v>56.27</v>
      </c>
    </row>
    <row r="251" ht="15" customHeight="1">
      <c r="A251" s="13" t="n">
        <v>45875</v>
      </c>
      <c r="B251" s="7" t="n">
        <v>58.95</v>
      </c>
      <c r="C251" s="7" t="n">
        <v>31.57</v>
      </c>
      <c r="D251" s="7" t="n">
        <v>37.97</v>
      </c>
      <c r="E251" s="7" t="n">
        <v>55.07</v>
      </c>
      <c r="F251" s="7" t="n">
        <v>47.92</v>
      </c>
      <c r="G251" s="8" t="n">
        <v>61.59</v>
      </c>
      <c r="H251" s="7" t="n">
        <v>46.28</v>
      </c>
      <c r="I251" s="7" t="n">
        <v>59.42</v>
      </c>
      <c r="J251" s="7" t="n">
        <v>59.98</v>
      </c>
      <c r="K251" s="7" t="n">
        <v>49.4</v>
      </c>
      <c r="L251" s="8" t="n">
        <v>64.22</v>
      </c>
      <c r="M251" s="7" t="n">
        <v>44.04</v>
      </c>
      <c r="N251" s="8" t="n">
        <v>64.06</v>
      </c>
      <c r="O251" s="7" t="n">
        <v>54.17</v>
      </c>
      <c r="P251" s="7" t="n">
        <v>52.51</v>
      </c>
      <c r="Q251" s="7" t="n">
        <v>49.59</v>
      </c>
      <c r="R251" s="7" t="n">
        <v>48.74</v>
      </c>
      <c r="S251" s="7" t="n">
        <v>44.14</v>
      </c>
      <c r="T251" s="7" t="n">
        <v>47.77</v>
      </c>
      <c r="U251" s="8" t="n">
        <v>60.12</v>
      </c>
      <c r="V251" s="8" t="n">
        <v>60.61</v>
      </c>
      <c r="W251" s="7" t="n">
        <v>54.35</v>
      </c>
      <c r="X251" s="7" t="n">
        <v>40</v>
      </c>
      <c r="Y251" s="7" t="n">
        <v>45.25</v>
      </c>
    </row>
    <row r="252" ht="15" customHeight="1">
      <c r="A252" s="13" t="n">
        <v>45874</v>
      </c>
      <c r="B252" s="7" t="n">
        <v>53.69</v>
      </c>
      <c r="C252" s="10" t="n">
        <v>27.53</v>
      </c>
      <c r="D252" s="7" t="n">
        <v>37.08</v>
      </c>
      <c r="E252" s="7" t="n">
        <v>49.39</v>
      </c>
      <c r="F252" s="7" t="n">
        <v>50.4</v>
      </c>
      <c r="G252" s="8" t="n">
        <v>60.48</v>
      </c>
      <c r="H252" s="7" t="n">
        <v>46.16</v>
      </c>
      <c r="I252" s="7" t="n">
        <v>57.86</v>
      </c>
      <c r="J252" s="8" t="n">
        <v>64.22</v>
      </c>
      <c r="K252" s="7" t="n">
        <v>46.3</v>
      </c>
      <c r="L252" s="8" t="n">
        <v>66.73999999999999</v>
      </c>
      <c r="M252" s="7" t="n">
        <v>40.89</v>
      </c>
      <c r="N252" s="7" t="n">
        <v>54.57</v>
      </c>
      <c r="O252" s="7" t="n">
        <v>45.75</v>
      </c>
      <c r="P252" s="7" t="n">
        <v>44.7</v>
      </c>
      <c r="Q252" s="7" t="n">
        <v>51.98</v>
      </c>
      <c r="R252" s="7" t="n">
        <v>46.28</v>
      </c>
      <c r="S252" s="7" t="n">
        <v>41.71</v>
      </c>
      <c r="T252" s="7" t="n">
        <v>45.44</v>
      </c>
      <c r="U252" s="8" t="n">
        <v>61.41</v>
      </c>
      <c r="V252" s="8" t="n">
        <v>63</v>
      </c>
      <c r="W252" s="7" t="n">
        <v>53.44</v>
      </c>
      <c r="X252" s="7" t="n">
        <v>39.32</v>
      </c>
      <c r="Y252" s="7" t="n">
        <v>44.87</v>
      </c>
    </row>
    <row r="253" ht="15" customHeight="1">
      <c r="A253" s="13" t="n">
        <v>45873</v>
      </c>
      <c r="B253" s="7" t="n">
        <v>52.03</v>
      </c>
      <c r="C253" s="10" t="n">
        <v>28.62</v>
      </c>
      <c r="D253" s="7" t="n">
        <v>36.98</v>
      </c>
      <c r="E253" s="7" t="n">
        <v>42.44</v>
      </c>
      <c r="F253" s="7" t="n">
        <v>47.02</v>
      </c>
      <c r="G253" s="7" t="n">
        <v>58.33</v>
      </c>
      <c r="H253" s="7" t="n">
        <v>41.38</v>
      </c>
      <c r="I253" s="7" t="n">
        <v>55.44</v>
      </c>
      <c r="J253" s="8" t="n">
        <v>60.59</v>
      </c>
      <c r="K253" s="7" t="n">
        <v>42.49</v>
      </c>
      <c r="L253" s="8" t="n">
        <v>64</v>
      </c>
      <c r="M253" s="7" t="n">
        <v>38.92</v>
      </c>
      <c r="N253" s="7" t="n">
        <v>50.17</v>
      </c>
      <c r="O253" s="7" t="n">
        <v>40.15</v>
      </c>
      <c r="P253" s="7" t="n">
        <v>42.64</v>
      </c>
      <c r="Q253" s="7" t="n">
        <v>49.34</v>
      </c>
      <c r="R253" s="7" t="n">
        <v>39.82</v>
      </c>
      <c r="S253" s="7" t="n">
        <v>37.79</v>
      </c>
      <c r="T253" s="7" t="n">
        <v>39.32</v>
      </c>
      <c r="U253" s="7" t="n">
        <v>48.39</v>
      </c>
      <c r="V253" s="7" t="n">
        <v>58.7</v>
      </c>
      <c r="W253" s="7" t="n">
        <v>45.26</v>
      </c>
      <c r="X253" s="7" t="n">
        <v>39.32</v>
      </c>
      <c r="Y253" s="7" t="n">
        <v>42.13</v>
      </c>
    </row>
    <row r="254" ht="15" customHeight="1">
      <c r="A254" s="13" t="n">
        <v>45870</v>
      </c>
      <c r="B254" s="7" t="n">
        <v>46.7</v>
      </c>
      <c r="C254" s="10" t="n">
        <v>27.03</v>
      </c>
      <c r="D254" s="10" t="n">
        <v>29.8</v>
      </c>
      <c r="E254" s="7" t="n">
        <v>40.13</v>
      </c>
      <c r="F254" s="7" t="n">
        <v>43.14</v>
      </c>
      <c r="G254" s="7" t="n">
        <v>52.7</v>
      </c>
      <c r="H254" s="7" t="n">
        <v>40.35</v>
      </c>
      <c r="I254" s="7" t="n">
        <v>50.26</v>
      </c>
      <c r="J254" s="7" t="n">
        <v>58.58</v>
      </c>
      <c r="K254" s="7" t="n">
        <v>36.51</v>
      </c>
      <c r="L254" s="8" t="n">
        <v>64.54000000000001</v>
      </c>
      <c r="M254" s="7" t="n">
        <v>37.51</v>
      </c>
      <c r="N254" s="7" t="n">
        <v>45.5</v>
      </c>
      <c r="O254" s="7" t="n">
        <v>33.99</v>
      </c>
      <c r="P254" s="7" t="n">
        <v>41.69</v>
      </c>
      <c r="Q254" s="7" t="n">
        <v>44.31</v>
      </c>
      <c r="R254" s="7" t="n">
        <v>37.08</v>
      </c>
      <c r="S254" s="7" t="n">
        <v>34.13</v>
      </c>
      <c r="T254" s="7" t="n">
        <v>38.69</v>
      </c>
      <c r="U254" s="7" t="n">
        <v>41.69</v>
      </c>
      <c r="V254" s="7" t="n">
        <v>56.14</v>
      </c>
      <c r="W254" s="7" t="n">
        <v>31.66</v>
      </c>
      <c r="X254" s="7" t="n">
        <v>34.81</v>
      </c>
      <c r="Y254" s="7" t="n">
        <v>34.8</v>
      </c>
    </row>
    <row r="255" ht="15" customHeight="1">
      <c r="A255" s="13" t="n">
        <v>45869</v>
      </c>
      <c r="B255" s="7" t="n">
        <v>51.45</v>
      </c>
      <c r="C255" s="7" t="n">
        <v>34.34</v>
      </c>
      <c r="D255" s="7" t="n">
        <v>35.81</v>
      </c>
      <c r="E255" s="7" t="n">
        <v>57.21</v>
      </c>
      <c r="F255" s="7" t="n">
        <v>53.91</v>
      </c>
      <c r="G255" s="8" t="n">
        <v>63.47</v>
      </c>
      <c r="H255" s="7" t="n">
        <v>57.23</v>
      </c>
      <c r="I255" s="7" t="n">
        <v>59.46</v>
      </c>
      <c r="J255" s="9" t="n">
        <v>74.69</v>
      </c>
      <c r="K255" s="7" t="n">
        <v>47.39</v>
      </c>
      <c r="L255" s="9" t="n">
        <v>76.31999999999999</v>
      </c>
      <c r="M255" s="7" t="n">
        <v>44.65</v>
      </c>
      <c r="N255" s="7" t="n">
        <v>58.68</v>
      </c>
      <c r="O255" s="7" t="n">
        <v>42.05</v>
      </c>
      <c r="P255" s="7" t="n">
        <v>47.92</v>
      </c>
      <c r="Q255" s="7" t="n">
        <v>51.38</v>
      </c>
      <c r="R255" s="7" t="n">
        <v>48.51</v>
      </c>
      <c r="S255" s="7" t="n">
        <v>43.38</v>
      </c>
      <c r="T255" s="7" t="n">
        <v>46.71</v>
      </c>
      <c r="U255" s="8" t="n">
        <v>66.06999999999999</v>
      </c>
      <c r="V255" s="9" t="n">
        <v>76.59</v>
      </c>
      <c r="W255" s="7" t="n">
        <v>40.18</v>
      </c>
      <c r="X255" s="7" t="n">
        <v>43.54</v>
      </c>
      <c r="Y255" s="7" t="n">
        <v>40.6</v>
      </c>
    </row>
    <row r="256" ht="15" customHeight="1">
      <c r="A256" s="13" t="n">
        <v>45868</v>
      </c>
      <c r="B256" s="7" t="n">
        <v>46.76</v>
      </c>
      <c r="C256" s="7" t="n">
        <v>31.58</v>
      </c>
      <c r="D256" s="7" t="n">
        <v>32.44</v>
      </c>
      <c r="E256" s="8" t="n">
        <v>63.91</v>
      </c>
      <c r="F256" s="8" t="n">
        <v>61.15</v>
      </c>
      <c r="G256" s="7" t="n">
        <v>59.02</v>
      </c>
      <c r="H256" s="8" t="n">
        <v>62.35</v>
      </c>
      <c r="I256" s="7" t="n">
        <v>56.29</v>
      </c>
      <c r="J256" s="9" t="n">
        <v>76.14</v>
      </c>
      <c r="K256" s="7" t="n">
        <v>50.67</v>
      </c>
      <c r="L256" s="9" t="n">
        <v>75.84999999999999</v>
      </c>
      <c r="M256" s="7" t="n">
        <v>51.84</v>
      </c>
      <c r="N256" s="8" t="n">
        <v>62.36</v>
      </c>
      <c r="O256" s="7" t="n">
        <v>37.33</v>
      </c>
      <c r="P256" s="7" t="n">
        <v>50.39</v>
      </c>
      <c r="Q256" s="7" t="n">
        <v>48.86</v>
      </c>
      <c r="R256" s="7" t="n">
        <v>49.38</v>
      </c>
      <c r="S256" s="7" t="n">
        <v>43.27</v>
      </c>
      <c r="T256" s="7" t="n">
        <v>48.47</v>
      </c>
      <c r="U256" s="8" t="n">
        <v>66.08</v>
      </c>
      <c r="V256" s="9" t="n">
        <v>78.59999999999999</v>
      </c>
      <c r="W256" s="7" t="n">
        <v>46.3</v>
      </c>
      <c r="X256" s="7" t="n">
        <v>41.24</v>
      </c>
      <c r="Y256" s="7" t="n">
        <v>31.53</v>
      </c>
    </row>
    <row r="257" ht="15" customHeight="1">
      <c r="A257" s="13" t="n">
        <v>45867</v>
      </c>
      <c r="B257" s="7" t="n">
        <v>46.23</v>
      </c>
      <c r="C257" s="7" t="n">
        <v>32.07</v>
      </c>
      <c r="D257" s="7" t="n">
        <v>31.98</v>
      </c>
      <c r="E257" s="8" t="n">
        <v>63.8</v>
      </c>
      <c r="F257" s="7" t="n">
        <v>59.88</v>
      </c>
      <c r="G257" s="7" t="n">
        <v>47.5</v>
      </c>
      <c r="H257" s="8" t="n">
        <v>64.16</v>
      </c>
      <c r="I257" s="7" t="n">
        <v>58.3</v>
      </c>
      <c r="J257" s="9" t="n">
        <v>73.2</v>
      </c>
      <c r="K257" s="7" t="n">
        <v>45.46</v>
      </c>
      <c r="L257" s="9" t="n">
        <v>74.72</v>
      </c>
      <c r="M257" s="7" t="n">
        <v>49.04</v>
      </c>
      <c r="N257" s="8" t="n">
        <v>66.98999999999999</v>
      </c>
      <c r="O257" s="7" t="n">
        <v>40.36</v>
      </c>
      <c r="P257" s="7" t="n">
        <v>48.76</v>
      </c>
      <c r="Q257" s="7" t="n">
        <v>43</v>
      </c>
      <c r="R257" s="7" t="n">
        <v>48.23</v>
      </c>
      <c r="S257" s="7" t="n">
        <v>44.46</v>
      </c>
      <c r="T257" s="7" t="n">
        <v>46.92</v>
      </c>
      <c r="U257" s="8" t="n">
        <v>69.54000000000001</v>
      </c>
      <c r="V257" s="9" t="n">
        <v>76.51000000000001</v>
      </c>
      <c r="W257" s="7" t="n">
        <v>45.04</v>
      </c>
      <c r="X257" s="7" t="n">
        <v>41.81</v>
      </c>
      <c r="Y257" s="7" t="n">
        <v>34.92</v>
      </c>
    </row>
    <row r="258" ht="15" customHeight="1">
      <c r="A258" s="13" t="n">
        <v>45866</v>
      </c>
      <c r="B258" s="7" t="n">
        <v>43.96</v>
      </c>
      <c r="C258" s="7" t="n">
        <v>30.23</v>
      </c>
      <c r="D258" s="10" t="n">
        <v>29.46</v>
      </c>
      <c r="E258" s="8" t="n">
        <v>64.56999999999999</v>
      </c>
      <c r="F258" s="7" t="n">
        <v>56.09</v>
      </c>
      <c r="G258" s="7" t="n">
        <v>41.25</v>
      </c>
      <c r="H258" s="8" t="n">
        <v>64.45</v>
      </c>
      <c r="I258" s="7" t="n">
        <v>55.69</v>
      </c>
      <c r="J258" s="9" t="n">
        <v>72.38</v>
      </c>
      <c r="K258" s="7" t="n">
        <v>46.77</v>
      </c>
      <c r="L258" s="9" t="n">
        <v>72.2</v>
      </c>
      <c r="M258" s="7" t="n">
        <v>44.91</v>
      </c>
      <c r="N258" s="8" t="n">
        <v>68.19</v>
      </c>
      <c r="O258" s="7" t="n">
        <v>35.6</v>
      </c>
      <c r="P258" s="7" t="n">
        <v>51.96</v>
      </c>
      <c r="Q258" s="7" t="n">
        <v>45.79</v>
      </c>
      <c r="R258" s="7" t="n">
        <v>45.91</v>
      </c>
      <c r="S258" s="7" t="n">
        <v>42.61</v>
      </c>
      <c r="T258" s="7" t="n">
        <v>44.59</v>
      </c>
      <c r="U258" s="8" t="n">
        <v>64.48</v>
      </c>
      <c r="V258" s="9" t="n">
        <v>74.95999999999999</v>
      </c>
      <c r="W258" s="7" t="n">
        <v>42.63</v>
      </c>
      <c r="X258" s="7" t="n">
        <v>41.91</v>
      </c>
      <c r="Y258" s="7" t="n">
        <v>34.22</v>
      </c>
    </row>
    <row r="259" ht="15" customHeight="1">
      <c r="A259" s="13" t="n">
        <v>45863</v>
      </c>
      <c r="B259" s="7" t="n">
        <v>46.48</v>
      </c>
      <c r="C259" s="7" t="n">
        <v>34.95</v>
      </c>
      <c r="D259" s="7" t="n">
        <v>32.07</v>
      </c>
      <c r="E259" s="8" t="n">
        <v>67.23</v>
      </c>
      <c r="F259" s="7" t="n">
        <v>58.18</v>
      </c>
      <c r="G259" s="7" t="n">
        <v>47.56</v>
      </c>
      <c r="H259" s="8" t="n">
        <v>68.90000000000001</v>
      </c>
      <c r="I259" s="8" t="n">
        <v>60.42</v>
      </c>
      <c r="J259" s="8" t="n">
        <v>64.51000000000001</v>
      </c>
      <c r="K259" s="7" t="n">
        <v>39.65</v>
      </c>
      <c r="L259" s="8" t="n">
        <v>68.31</v>
      </c>
      <c r="M259" s="7" t="n">
        <v>50.56</v>
      </c>
      <c r="N259" s="8" t="n">
        <v>64.54000000000001</v>
      </c>
      <c r="O259" s="7" t="n">
        <v>38.34</v>
      </c>
      <c r="P259" s="7" t="n">
        <v>58.9</v>
      </c>
      <c r="Q259" s="7" t="n">
        <v>51.48</v>
      </c>
      <c r="R259" s="7" t="n">
        <v>56.93</v>
      </c>
      <c r="S259" s="7" t="n">
        <v>49.98</v>
      </c>
      <c r="T259" s="7" t="n">
        <v>52.3</v>
      </c>
      <c r="U259" s="8" t="n">
        <v>64.78</v>
      </c>
      <c r="V259" s="9" t="n">
        <v>70</v>
      </c>
      <c r="W259" s="7" t="n">
        <v>47.06</v>
      </c>
      <c r="X259" s="7" t="n">
        <v>42.67</v>
      </c>
      <c r="Y259" s="7" t="n">
        <v>37.45</v>
      </c>
    </row>
    <row r="260" ht="15" customHeight="1">
      <c r="A260" s="13" t="n">
        <v>45862</v>
      </c>
      <c r="B260" s="7" t="n">
        <v>44.97</v>
      </c>
      <c r="C260" s="7" t="n">
        <v>41.36</v>
      </c>
      <c r="D260" s="7" t="n">
        <v>32.35</v>
      </c>
      <c r="E260" s="9" t="n">
        <v>70.70999999999999</v>
      </c>
      <c r="F260" s="8" t="n">
        <v>64.88</v>
      </c>
      <c r="G260" s="7" t="n">
        <v>50.34</v>
      </c>
      <c r="H260" s="8" t="n">
        <v>68.14</v>
      </c>
      <c r="I260" s="7" t="n">
        <v>59</v>
      </c>
      <c r="J260" s="8" t="n">
        <v>66.86</v>
      </c>
      <c r="K260" s="7" t="n">
        <v>37.93</v>
      </c>
      <c r="L260" s="8" t="n">
        <v>66.14</v>
      </c>
      <c r="M260" s="7" t="n">
        <v>51.85</v>
      </c>
      <c r="N260" s="8" t="n">
        <v>62.41</v>
      </c>
      <c r="O260" s="7" t="n">
        <v>37.75</v>
      </c>
      <c r="P260" s="7" t="n">
        <v>57.24</v>
      </c>
      <c r="Q260" s="7" t="n">
        <v>52.92</v>
      </c>
      <c r="R260" s="7" t="n">
        <v>53.77</v>
      </c>
      <c r="S260" s="7" t="n">
        <v>48.01</v>
      </c>
      <c r="T260" s="7" t="n">
        <v>51.49</v>
      </c>
      <c r="U260" s="8" t="n">
        <v>63.57</v>
      </c>
      <c r="V260" s="9" t="n">
        <v>71.44</v>
      </c>
      <c r="W260" s="7" t="n">
        <v>46.3</v>
      </c>
      <c r="X260" s="7" t="n">
        <v>37.18</v>
      </c>
      <c r="Y260" s="7" t="n">
        <v>41.02</v>
      </c>
    </row>
    <row r="261" ht="15" customHeight="1">
      <c r="A261" s="13" t="n">
        <v>45861</v>
      </c>
      <c r="B261" s="7" t="n">
        <v>51.75</v>
      </c>
      <c r="C261" s="7" t="n">
        <v>48.77</v>
      </c>
      <c r="D261" s="7" t="n">
        <v>43.38</v>
      </c>
      <c r="E261" s="8" t="n">
        <v>69.06999999999999</v>
      </c>
      <c r="F261" s="8" t="n">
        <v>62.11</v>
      </c>
      <c r="G261" s="7" t="n">
        <v>50.37</v>
      </c>
      <c r="H261" s="9" t="n">
        <v>72.91</v>
      </c>
      <c r="I261" s="7" t="n">
        <v>55.63</v>
      </c>
      <c r="J261" s="8" t="n">
        <v>64.79000000000001</v>
      </c>
      <c r="K261" s="7" t="n">
        <v>39.23</v>
      </c>
      <c r="L261" s="8" t="n">
        <v>64.45999999999999</v>
      </c>
      <c r="M261" s="7" t="n">
        <v>55.7</v>
      </c>
      <c r="N261" s="8" t="n">
        <v>62.99</v>
      </c>
      <c r="O261" s="7" t="n">
        <v>37.19</v>
      </c>
      <c r="P261" s="8" t="n">
        <v>60.75</v>
      </c>
      <c r="Q261" s="7" t="n">
        <v>57.56</v>
      </c>
      <c r="R261" s="7" t="n">
        <v>54.55</v>
      </c>
      <c r="S261" s="7" t="n">
        <v>51.6</v>
      </c>
      <c r="T261" s="7" t="n">
        <v>54.07</v>
      </c>
      <c r="U261" s="8" t="n">
        <v>64.25</v>
      </c>
      <c r="V261" s="8" t="n">
        <v>69.48999999999999</v>
      </c>
      <c r="W261" s="7" t="n">
        <v>47.15</v>
      </c>
      <c r="X261" s="7" t="n">
        <v>42.49</v>
      </c>
      <c r="Y261" s="7" t="n">
        <v>46.3</v>
      </c>
    </row>
    <row r="262" ht="15" customHeight="1">
      <c r="A262" s="13" t="n">
        <v>45860</v>
      </c>
      <c r="B262" s="7" t="n">
        <v>54.23</v>
      </c>
      <c r="C262" s="7" t="n">
        <v>53.89</v>
      </c>
      <c r="D262" s="7" t="n">
        <v>52.37</v>
      </c>
      <c r="E262" s="8" t="n">
        <v>68.19</v>
      </c>
      <c r="F262" s="7" t="n">
        <v>59.81</v>
      </c>
      <c r="G262" s="7" t="n">
        <v>49.55</v>
      </c>
      <c r="H262" s="8" t="n">
        <v>69.84</v>
      </c>
      <c r="I262" s="7" t="n">
        <v>53.29</v>
      </c>
      <c r="J262" s="8" t="n">
        <v>63.19</v>
      </c>
      <c r="K262" s="7" t="n">
        <v>40.23</v>
      </c>
      <c r="L262" s="7" t="n">
        <v>59.81</v>
      </c>
      <c r="M262" s="7" t="n">
        <v>53.56</v>
      </c>
      <c r="N262" s="8" t="n">
        <v>60.34</v>
      </c>
      <c r="O262" s="7" t="n">
        <v>38.47</v>
      </c>
      <c r="P262" s="7" t="n">
        <v>57.37</v>
      </c>
      <c r="Q262" s="8" t="n">
        <v>65.15000000000001</v>
      </c>
      <c r="R262" s="7" t="n">
        <v>55.96</v>
      </c>
      <c r="S262" s="7" t="n">
        <v>54.07</v>
      </c>
      <c r="T262" s="7" t="n">
        <v>56.35</v>
      </c>
      <c r="U262" s="8" t="n">
        <v>64.14</v>
      </c>
      <c r="V262" s="8" t="n">
        <v>66.84</v>
      </c>
      <c r="W262" s="7" t="n">
        <v>46.71</v>
      </c>
      <c r="X262" s="7" t="n">
        <v>47.5</v>
      </c>
      <c r="Y262" s="7" t="n">
        <v>50.88</v>
      </c>
    </row>
    <row r="263" ht="15" customHeight="1">
      <c r="A263" s="13" t="n">
        <v>45859</v>
      </c>
      <c r="B263" s="7" t="n">
        <v>57.74</v>
      </c>
      <c r="C263" s="7" t="n">
        <v>54.02</v>
      </c>
      <c r="D263" s="7" t="n">
        <v>52.63</v>
      </c>
      <c r="E263" s="8" t="n">
        <v>69.25</v>
      </c>
      <c r="F263" s="7" t="n">
        <v>59.87</v>
      </c>
      <c r="G263" s="7" t="n">
        <v>53.09</v>
      </c>
      <c r="H263" s="9" t="n">
        <v>78.89</v>
      </c>
      <c r="I263" s="8" t="n">
        <v>63.02</v>
      </c>
      <c r="J263" s="9" t="n">
        <v>72.56999999999999</v>
      </c>
      <c r="K263" s="7" t="n">
        <v>43.56</v>
      </c>
      <c r="L263" s="8" t="n">
        <v>63.82</v>
      </c>
      <c r="M263" s="7" t="n">
        <v>58.78</v>
      </c>
      <c r="N263" s="8" t="n">
        <v>61.06</v>
      </c>
      <c r="O263" s="7" t="n">
        <v>45.74</v>
      </c>
      <c r="P263" s="7" t="n">
        <v>59.55</v>
      </c>
      <c r="Q263" s="8" t="n">
        <v>60.7</v>
      </c>
      <c r="R263" s="7" t="n">
        <v>57.72</v>
      </c>
      <c r="S263" s="7" t="n">
        <v>54.89</v>
      </c>
      <c r="T263" s="7" t="n">
        <v>57.44</v>
      </c>
      <c r="U263" s="8" t="n">
        <v>68.26000000000001</v>
      </c>
      <c r="V263" s="9" t="n">
        <v>77.65000000000001</v>
      </c>
      <c r="W263" s="7" t="n">
        <v>51.83</v>
      </c>
      <c r="X263" s="7" t="n">
        <v>51.93</v>
      </c>
      <c r="Y263" s="7" t="n">
        <v>53.16</v>
      </c>
    </row>
    <row r="264" ht="15" customHeight="1">
      <c r="A264" s="13" t="n">
        <v>45856</v>
      </c>
      <c r="B264" s="8" t="n">
        <v>62.26</v>
      </c>
      <c r="C264" s="7" t="n">
        <v>58.16</v>
      </c>
      <c r="D264" s="7" t="n">
        <v>58.55</v>
      </c>
      <c r="E264" s="8" t="n">
        <v>65.75</v>
      </c>
      <c r="F264" s="8" t="n">
        <v>63.76</v>
      </c>
      <c r="G264" s="7" t="n">
        <v>54.17</v>
      </c>
      <c r="H264" s="9" t="n">
        <v>73.76000000000001</v>
      </c>
      <c r="I264" s="7" t="n">
        <v>57.93</v>
      </c>
      <c r="J264" s="9" t="n">
        <v>70.11</v>
      </c>
      <c r="K264" s="7" t="n">
        <v>47.39</v>
      </c>
      <c r="L264" s="7" t="n">
        <v>59.72</v>
      </c>
      <c r="M264" s="7" t="n">
        <v>58.37</v>
      </c>
      <c r="N264" s="7" t="n">
        <v>57.34</v>
      </c>
      <c r="O264" s="7" t="n">
        <v>46.09</v>
      </c>
      <c r="P264" s="8" t="n">
        <v>67.38</v>
      </c>
      <c r="Q264" s="8" t="n">
        <v>64.81</v>
      </c>
      <c r="R264" s="7" t="n">
        <v>58.69</v>
      </c>
      <c r="S264" s="7" t="n">
        <v>57.12</v>
      </c>
      <c r="T264" s="8" t="n">
        <v>60.35</v>
      </c>
      <c r="U264" s="8" t="n">
        <v>65.84999999999999</v>
      </c>
      <c r="V264" s="9" t="n">
        <v>74.73</v>
      </c>
      <c r="W264" s="7" t="n">
        <v>51.52</v>
      </c>
      <c r="X264" s="7" t="n">
        <v>52.82</v>
      </c>
      <c r="Y264" s="7" t="n">
        <v>45.86</v>
      </c>
    </row>
    <row r="265" ht="15" customHeight="1">
      <c r="A265" s="13" t="n">
        <v>45855</v>
      </c>
      <c r="B265" s="8" t="n">
        <v>69.7</v>
      </c>
      <c r="C265" s="8" t="n">
        <v>65</v>
      </c>
      <c r="D265" s="8" t="n">
        <v>61.29</v>
      </c>
      <c r="E265" s="8" t="n">
        <v>66</v>
      </c>
      <c r="F265" s="8" t="n">
        <v>68.53</v>
      </c>
      <c r="G265" s="7" t="n">
        <v>52.56</v>
      </c>
      <c r="H265" s="9" t="n">
        <v>74.06999999999999</v>
      </c>
      <c r="I265" s="7" t="n">
        <v>56.21</v>
      </c>
      <c r="J265" s="8" t="n">
        <v>68.13</v>
      </c>
      <c r="K265" s="7" t="n">
        <v>49.66</v>
      </c>
      <c r="L265" s="8" t="n">
        <v>60.37</v>
      </c>
      <c r="M265" s="8" t="n">
        <v>67.40000000000001</v>
      </c>
      <c r="N265" s="7" t="n">
        <v>59.53</v>
      </c>
      <c r="O265" s="7" t="n">
        <v>45.85</v>
      </c>
      <c r="P265" s="9" t="n">
        <v>71.18000000000001</v>
      </c>
      <c r="Q265" s="9" t="n">
        <v>70.08</v>
      </c>
      <c r="R265" s="8" t="n">
        <v>61.77</v>
      </c>
      <c r="S265" s="8" t="n">
        <v>60.57</v>
      </c>
      <c r="T265" s="8" t="n">
        <v>67.03</v>
      </c>
      <c r="U265" s="8" t="n">
        <v>65.69</v>
      </c>
      <c r="V265" s="9" t="n">
        <v>73.93000000000001</v>
      </c>
      <c r="W265" s="7" t="n">
        <v>49.29</v>
      </c>
      <c r="X265" s="7" t="n">
        <v>53.6</v>
      </c>
      <c r="Y265" s="7" t="n">
        <v>48.76</v>
      </c>
    </row>
    <row r="266" ht="15" customHeight="1">
      <c r="A266" s="13" t="n">
        <v>45854</v>
      </c>
      <c r="B266" s="8" t="n">
        <v>68.45999999999999</v>
      </c>
      <c r="C266" s="8" t="n">
        <v>65</v>
      </c>
      <c r="D266" s="8" t="n">
        <v>64.98</v>
      </c>
      <c r="E266" s="8" t="n">
        <v>65.02</v>
      </c>
      <c r="F266" s="7" t="n">
        <v>58.18</v>
      </c>
      <c r="G266" s="7" t="n">
        <v>54.25</v>
      </c>
      <c r="H266" s="9" t="n">
        <v>72.75</v>
      </c>
      <c r="I266" s="7" t="n">
        <v>57.67</v>
      </c>
      <c r="J266" s="9" t="n">
        <v>71.81999999999999</v>
      </c>
      <c r="K266" s="7" t="n">
        <v>48.24</v>
      </c>
      <c r="L266" s="7" t="n">
        <v>54.77</v>
      </c>
      <c r="M266" s="8" t="n">
        <v>66.59999999999999</v>
      </c>
      <c r="N266" s="7" t="n">
        <v>59.61</v>
      </c>
      <c r="O266" s="7" t="n">
        <v>46.47</v>
      </c>
      <c r="P266" s="9" t="n">
        <v>70.39</v>
      </c>
      <c r="Q266" s="8" t="n">
        <v>68.72</v>
      </c>
      <c r="R266" s="8" t="n">
        <v>63.45</v>
      </c>
      <c r="S266" s="8" t="n">
        <v>61.41</v>
      </c>
      <c r="T266" s="8" t="n">
        <v>64.64</v>
      </c>
      <c r="U266" s="8" t="n">
        <v>62.12</v>
      </c>
      <c r="V266" s="9" t="n">
        <v>72.86</v>
      </c>
      <c r="W266" s="7" t="n">
        <v>47.04</v>
      </c>
      <c r="X266" s="7" t="n">
        <v>55</v>
      </c>
      <c r="Y266" s="7" t="n">
        <v>44.57</v>
      </c>
    </row>
    <row r="267" ht="15" customHeight="1">
      <c r="A267" s="13" t="n">
        <v>45853</v>
      </c>
      <c r="B267" s="9" t="n">
        <v>76.3</v>
      </c>
      <c r="C267" s="8" t="n">
        <v>68.64</v>
      </c>
      <c r="D267" s="9" t="n">
        <v>70.14</v>
      </c>
      <c r="E267" s="9" t="n">
        <v>73.98999999999999</v>
      </c>
      <c r="F267" s="8" t="n">
        <v>60.13</v>
      </c>
      <c r="G267" s="8" t="n">
        <v>60.68</v>
      </c>
      <c r="H267" s="9" t="n">
        <v>82.81</v>
      </c>
      <c r="I267" s="8" t="n">
        <v>61.22</v>
      </c>
      <c r="J267" s="9" t="n">
        <v>71.31</v>
      </c>
      <c r="K267" s="7" t="n">
        <v>53.83</v>
      </c>
      <c r="L267" s="7" t="n">
        <v>54.83</v>
      </c>
      <c r="M267" s="9" t="n">
        <v>70.59999999999999</v>
      </c>
      <c r="N267" s="8" t="n">
        <v>60.67</v>
      </c>
      <c r="O267" s="7" t="n">
        <v>51.71</v>
      </c>
      <c r="P267" s="9" t="n">
        <v>81.40000000000001</v>
      </c>
      <c r="Q267" s="9" t="n">
        <v>73.43000000000001</v>
      </c>
      <c r="R267" s="9" t="n">
        <v>72.65000000000001</v>
      </c>
      <c r="S267" s="9" t="n">
        <v>74.25</v>
      </c>
      <c r="T267" s="9" t="n">
        <v>71.08</v>
      </c>
      <c r="U267" s="8" t="n">
        <v>67.67</v>
      </c>
      <c r="V267" s="9" t="n">
        <v>75.06999999999999</v>
      </c>
      <c r="W267" s="7" t="n">
        <v>52.05</v>
      </c>
      <c r="X267" s="7" t="n">
        <v>56.27</v>
      </c>
      <c r="Y267" s="7" t="n">
        <v>50.61</v>
      </c>
    </row>
    <row r="268" ht="15" customHeight="1">
      <c r="A268" s="13" t="n">
        <v>45852</v>
      </c>
      <c r="B268" s="9" t="n">
        <v>76.56999999999999</v>
      </c>
      <c r="C268" s="9" t="n">
        <v>72.7</v>
      </c>
      <c r="D268" s="9" t="n">
        <v>72.27</v>
      </c>
      <c r="E268" s="9" t="n">
        <v>73.72</v>
      </c>
      <c r="F268" s="8" t="n">
        <v>60.36</v>
      </c>
      <c r="G268" s="8" t="n">
        <v>64.59</v>
      </c>
      <c r="H268" s="9" t="n">
        <v>81.37</v>
      </c>
      <c r="I268" s="7" t="n">
        <v>53.67</v>
      </c>
      <c r="J268" s="8" t="n">
        <v>69.23999999999999</v>
      </c>
      <c r="K268" s="7" t="n">
        <v>52.74</v>
      </c>
      <c r="L268" s="7" t="n">
        <v>53.5</v>
      </c>
      <c r="M268" s="9" t="n">
        <v>73.8</v>
      </c>
      <c r="N268" s="8" t="n">
        <v>63.06</v>
      </c>
      <c r="O268" s="7" t="n">
        <v>48.95</v>
      </c>
      <c r="P268" s="9" t="n">
        <v>81.11</v>
      </c>
      <c r="Q268" s="9" t="n">
        <v>73.33</v>
      </c>
      <c r="R268" s="9" t="n">
        <v>75.26000000000001</v>
      </c>
      <c r="S268" s="9" t="n">
        <v>74.47</v>
      </c>
      <c r="T268" s="9" t="n">
        <v>81.62</v>
      </c>
      <c r="U268" s="8" t="n">
        <v>65.79000000000001</v>
      </c>
      <c r="V268" s="9" t="n">
        <v>72.87</v>
      </c>
      <c r="W268" s="7" t="n">
        <v>58.15</v>
      </c>
      <c r="X268" s="7" t="n">
        <v>56.91</v>
      </c>
      <c r="Y268" s="7" t="n">
        <v>52.24</v>
      </c>
    </row>
    <row r="269" ht="15" customHeight="1">
      <c r="A269" s="13" t="n">
        <v>45849</v>
      </c>
      <c r="B269" s="9" t="n">
        <v>74.02</v>
      </c>
      <c r="C269" s="9" t="n">
        <v>71.56</v>
      </c>
      <c r="D269" s="9" t="n">
        <v>70.17</v>
      </c>
      <c r="E269" s="9" t="n">
        <v>72.22</v>
      </c>
      <c r="F269" s="8" t="n">
        <v>64.48</v>
      </c>
      <c r="G269" s="7" t="n">
        <v>59.45</v>
      </c>
      <c r="H269" s="9" t="n">
        <v>80.73</v>
      </c>
      <c r="I269" s="7" t="n">
        <v>55.63</v>
      </c>
      <c r="J269" s="8" t="n">
        <v>68.63</v>
      </c>
      <c r="K269" s="7" t="n">
        <v>52.38</v>
      </c>
      <c r="L269" s="7" t="n">
        <v>49.63</v>
      </c>
      <c r="M269" s="8" t="n">
        <v>66.7</v>
      </c>
      <c r="N269" s="8" t="n">
        <v>62.85</v>
      </c>
      <c r="O269" s="7" t="n">
        <v>49.88</v>
      </c>
      <c r="P269" s="9" t="n">
        <v>77.69</v>
      </c>
      <c r="Q269" s="9" t="n">
        <v>72.47</v>
      </c>
      <c r="R269" s="9" t="n">
        <v>71.98999999999999</v>
      </c>
      <c r="S269" s="9" t="n">
        <v>72.77</v>
      </c>
      <c r="T269" s="9" t="n">
        <v>75.09999999999999</v>
      </c>
      <c r="U269" s="8" t="n">
        <v>66.05</v>
      </c>
      <c r="V269" s="9" t="n">
        <v>71.84999999999999</v>
      </c>
      <c r="W269" s="8" t="n">
        <v>61.87</v>
      </c>
      <c r="X269" s="8" t="n">
        <v>61.76</v>
      </c>
      <c r="Y269" s="7" t="n">
        <v>51.28</v>
      </c>
    </row>
    <row r="270" ht="15" customHeight="1">
      <c r="A270" s="13" t="n">
        <v>45848</v>
      </c>
      <c r="B270" s="9" t="n">
        <v>75.77</v>
      </c>
      <c r="C270" s="9" t="n">
        <v>72.65000000000001</v>
      </c>
      <c r="D270" s="8" t="n">
        <v>69.61</v>
      </c>
      <c r="E270" s="9" t="n">
        <v>74.62</v>
      </c>
      <c r="F270" s="9" t="n">
        <v>70.03</v>
      </c>
      <c r="G270" s="8" t="n">
        <v>62.74</v>
      </c>
      <c r="H270" s="9" t="n">
        <v>79.89</v>
      </c>
      <c r="I270" s="8" t="n">
        <v>61.27</v>
      </c>
      <c r="J270" s="8" t="n">
        <v>66.48</v>
      </c>
      <c r="K270" s="7" t="n">
        <v>53.88</v>
      </c>
      <c r="L270" s="7" t="n">
        <v>56.32</v>
      </c>
      <c r="M270" s="9" t="n">
        <v>72.64</v>
      </c>
      <c r="N270" s="8" t="n">
        <v>63.42</v>
      </c>
      <c r="O270" s="7" t="n">
        <v>51.81</v>
      </c>
      <c r="P270" s="9" t="n">
        <v>74.52</v>
      </c>
      <c r="Q270" s="8" t="n">
        <v>66.81999999999999</v>
      </c>
      <c r="R270" s="9" t="n">
        <v>74.98999999999999</v>
      </c>
      <c r="S270" s="9" t="n">
        <v>72.51000000000001</v>
      </c>
      <c r="T270" s="9" t="n">
        <v>74.90000000000001</v>
      </c>
      <c r="U270" s="8" t="n">
        <v>67.25</v>
      </c>
      <c r="V270" s="9" t="n">
        <v>72.39</v>
      </c>
      <c r="W270" s="8" t="n">
        <v>62.58</v>
      </c>
      <c r="X270" s="8" t="n">
        <v>63.19</v>
      </c>
      <c r="Y270" s="7" t="n">
        <v>52.92</v>
      </c>
    </row>
    <row r="271" ht="15" customHeight="1">
      <c r="A271" s="13" t="n">
        <v>45847</v>
      </c>
      <c r="B271" s="9" t="n">
        <v>75.66</v>
      </c>
      <c r="C271" s="9" t="n">
        <v>73.68000000000001</v>
      </c>
      <c r="D271" s="8" t="n">
        <v>68.81999999999999</v>
      </c>
      <c r="E271" s="9" t="n">
        <v>71.04000000000001</v>
      </c>
      <c r="F271" s="8" t="n">
        <v>60.37</v>
      </c>
      <c r="G271" s="8" t="n">
        <v>60.42</v>
      </c>
      <c r="H271" s="9" t="n">
        <v>78.64</v>
      </c>
      <c r="I271" s="8" t="n">
        <v>61.99</v>
      </c>
      <c r="J271" s="8" t="n">
        <v>60.56</v>
      </c>
      <c r="K271" s="7" t="n">
        <v>52.26</v>
      </c>
      <c r="L271" s="7" t="n">
        <v>55.29</v>
      </c>
      <c r="M271" s="8" t="n">
        <v>69.11</v>
      </c>
      <c r="N271" s="8" t="n">
        <v>63.83</v>
      </c>
      <c r="O271" s="7" t="n">
        <v>53.67</v>
      </c>
      <c r="P271" s="9" t="n">
        <v>73.77</v>
      </c>
      <c r="Q271" s="8" t="n">
        <v>64.18000000000001</v>
      </c>
      <c r="R271" s="9" t="n">
        <v>73.69</v>
      </c>
      <c r="S271" s="9" t="n">
        <v>71.05</v>
      </c>
      <c r="T271" s="9" t="n">
        <v>73.95</v>
      </c>
      <c r="U271" s="8" t="n">
        <v>65.81</v>
      </c>
      <c r="V271" s="8" t="n">
        <v>67.34</v>
      </c>
      <c r="W271" s="8" t="n">
        <v>60.94</v>
      </c>
      <c r="X271" s="8" t="n">
        <v>61.22</v>
      </c>
      <c r="Y271" s="7" t="n">
        <v>54.03</v>
      </c>
    </row>
    <row r="272" ht="15" customHeight="1">
      <c r="A272" s="13" t="n">
        <v>45846</v>
      </c>
      <c r="B272" s="9" t="n">
        <v>72.33</v>
      </c>
      <c r="C272" s="8" t="n">
        <v>68.55</v>
      </c>
      <c r="D272" s="7" t="n">
        <v>59.12</v>
      </c>
      <c r="E272" s="8" t="n">
        <v>68.51000000000001</v>
      </c>
      <c r="F272" s="7" t="n">
        <v>57.58</v>
      </c>
      <c r="G272" s="7" t="n">
        <v>52.94</v>
      </c>
      <c r="H272" s="9" t="n">
        <v>77.38</v>
      </c>
      <c r="I272" s="8" t="n">
        <v>64.75</v>
      </c>
      <c r="J272" s="8" t="n">
        <v>64.03</v>
      </c>
      <c r="K272" s="7" t="n">
        <v>44.26</v>
      </c>
      <c r="L272" s="7" t="n">
        <v>49.74</v>
      </c>
      <c r="M272" s="8" t="n">
        <v>64.55</v>
      </c>
      <c r="N272" s="8" t="n">
        <v>67.27</v>
      </c>
      <c r="O272" s="7" t="n">
        <v>52.2</v>
      </c>
      <c r="P272" s="8" t="n">
        <v>69.81999999999999</v>
      </c>
      <c r="Q272" s="8" t="n">
        <v>63.74</v>
      </c>
      <c r="R272" s="9" t="n">
        <v>71.06</v>
      </c>
      <c r="S272" s="8" t="n">
        <v>64.97</v>
      </c>
      <c r="T272" s="8" t="n">
        <v>69.83</v>
      </c>
      <c r="U272" s="8" t="n">
        <v>60.1</v>
      </c>
      <c r="V272" s="8" t="n">
        <v>66.83</v>
      </c>
      <c r="W272" s="7" t="n">
        <v>56.95</v>
      </c>
      <c r="X272" s="8" t="n">
        <v>62.18</v>
      </c>
      <c r="Y272" s="7" t="n">
        <v>55.2</v>
      </c>
    </row>
    <row r="273" ht="15" customHeight="1">
      <c r="A273" s="13" t="n">
        <v>45845</v>
      </c>
      <c r="B273" s="9" t="n">
        <v>70.48999999999999</v>
      </c>
      <c r="C273" s="8" t="n">
        <v>67.19</v>
      </c>
      <c r="D273" s="7" t="n">
        <v>58.18</v>
      </c>
      <c r="E273" s="8" t="n">
        <v>66.83</v>
      </c>
      <c r="F273" s="8" t="n">
        <v>64.45</v>
      </c>
      <c r="G273" s="7" t="n">
        <v>50.94</v>
      </c>
      <c r="H273" s="9" t="n">
        <v>74.23999999999999</v>
      </c>
      <c r="I273" s="8" t="n">
        <v>60.07</v>
      </c>
      <c r="J273" s="8" t="n">
        <v>62.29</v>
      </c>
      <c r="K273" s="7" t="n">
        <v>42.74</v>
      </c>
      <c r="L273" s="7" t="n">
        <v>43.19</v>
      </c>
      <c r="M273" s="8" t="n">
        <v>60.84</v>
      </c>
      <c r="N273" s="8" t="n">
        <v>63.49</v>
      </c>
      <c r="O273" s="7" t="n">
        <v>48.63</v>
      </c>
      <c r="P273" s="8" t="n">
        <v>66.93000000000001</v>
      </c>
      <c r="Q273" s="8" t="n">
        <v>62.52</v>
      </c>
      <c r="R273" s="8" t="n">
        <v>62.69</v>
      </c>
      <c r="S273" s="7" t="n">
        <v>56.59</v>
      </c>
      <c r="T273" s="8" t="n">
        <v>63.72</v>
      </c>
      <c r="U273" s="7" t="n">
        <v>56.42</v>
      </c>
      <c r="V273" s="8" t="n">
        <v>63.97</v>
      </c>
      <c r="W273" s="7" t="n">
        <v>55.23</v>
      </c>
      <c r="X273" s="8" t="n">
        <v>60.65</v>
      </c>
      <c r="Y273" s="7" t="n">
        <v>50.08</v>
      </c>
    </row>
    <row r="274" ht="15" customHeight="1">
      <c r="A274" s="13" t="n">
        <v>45842</v>
      </c>
      <c r="B274" s="8" t="n">
        <v>62.12</v>
      </c>
      <c r="C274" s="8" t="n">
        <v>63.65</v>
      </c>
      <c r="D274" s="7" t="n">
        <v>56.68</v>
      </c>
      <c r="E274" s="8" t="n">
        <v>68.18000000000001</v>
      </c>
      <c r="F274" s="8" t="n">
        <v>65.31</v>
      </c>
      <c r="G274" s="7" t="n">
        <v>54.81</v>
      </c>
      <c r="H274" s="9" t="n">
        <v>72.44</v>
      </c>
      <c r="I274" s="7" t="n">
        <v>56.48</v>
      </c>
      <c r="J274" s="8" t="n">
        <v>67.01000000000001</v>
      </c>
      <c r="K274" s="7" t="n">
        <v>45.42</v>
      </c>
      <c r="L274" s="7" t="n">
        <v>39.9</v>
      </c>
      <c r="M274" s="8" t="n">
        <v>61.93</v>
      </c>
      <c r="N274" s="8" t="n">
        <v>65.13</v>
      </c>
      <c r="O274" s="7" t="n">
        <v>49.08</v>
      </c>
      <c r="P274" s="8" t="n">
        <v>69.48</v>
      </c>
      <c r="Q274" s="9" t="n">
        <v>70.75</v>
      </c>
      <c r="R274" s="7" t="n">
        <v>59.78</v>
      </c>
      <c r="S274" s="7" t="n">
        <v>54.86</v>
      </c>
      <c r="T274" s="7" t="n">
        <v>59.8</v>
      </c>
      <c r="U274" s="7" t="n">
        <v>55.52</v>
      </c>
      <c r="V274" s="8" t="n">
        <v>65.05</v>
      </c>
      <c r="W274" s="7" t="n">
        <v>56.85</v>
      </c>
      <c r="X274" s="7" t="n">
        <v>58.22</v>
      </c>
      <c r="Y274" s="7" t="n">
        <v>48.44</v>
      </c>
    </row>
    <row r="275" ht="15" customHeight="1">
      <c r="A275" s="13" t="n">
        <v>45841</v>
      </c>
      <c r="B275" s="9" t="n">
        <v>71.7</v>
      </c>
      <c r="C275" s="9" t="n">
        <v>72.15000000000001</v>
      </c>
      <c r="D275" s="8" t="n">
        <v>61.95</v>
      </c>
      <c r="E275" s="9" t="n">
        <v>75.34999999999999</v>
      </c>
      <c r="F275" s="8" t="n">
        <v>65.2</v>
      </c>
      <c r="G275" s="8" t="n">
        <v>62.43</v>
      </c>
      <c r="H275" s="9" t="n">
        <v>80.39</v>
      </c>
      <c r="I275" s="8" t="n">
        <v>63.03</v>
      </c>
      <c r="J275" s="9" t="n">
        <v>75.04000000000001</v>
      </c>
      <c r="K275" s="7" t="n">
        <v>51.14</v>
      </c>
      <c r="L275" s="7" t="n">
        <v>51.48</v>
      </c>
      <c r="M275" s="8" t="n">
        <v>65.43000000000001</v>
      </c>
      <c r="N275" s="8" t="n">
        <v>62.02</v>
      </c>
      <c r="O275" s="7" t="n">
        <v>55.11</v>
      </c>
      <c r="P275" s="9" t="n">
        <v>70.40000000000001</v>
      </c>
      <c r="Q275" s="9" t="n">
        <v>80.56999999999999</v>
      </c>
      <c r="R275" s="9" t="n">
        <v>71.56</v>
      </c>
      <c r="S275" s="8" t="n">
        <v>68.78</v>
      </c>
      <c r="T275" s="8" t="n">
        <v>66.15000000000001</v>
      </c>
      <c r="U275" s="8" t="n">
        <v>65.41</v>
      </c>
      <c r="V275" s="9" t="n">
        <v>76.86</v>
      </c>
      <c r="W275" s="7" t="n">
        <v>54.26</v>
      </c>
      <c r="X275" s="8" t="n">
        <v>61.42</v>
      </c>
      <c r="Y275" s="7" t="n">
        <v>54.33</v>
      </c>
    </row>
    <row r="276" ht="15" customHeight="1">
      <c r="A276" s="13" t="n">
        <v>45840</v>
      </c>
      <c r="B276" s="9" t="n">
        <v>78.17</v>
      </c>
      <c r="C276" s="8" t="n">
        <v>69.73999999999999</v>
      </c>
      <c r="D276" s="7" t="n">
        <v>58.64</v>
      </c>
      <c r="E276" s="9" t="n">
        <v>72.5</v>
      </c>
      <c r="F276" s="7" t="n">
        <v>56.71</v>
      </c>
      <c r="G276" s="7" t="n">
        <v>59.95</v>
      </c>
      <c r="H276" s="9" t="n">
        <v>74.2</v>
      </c>
      <c r="I276" s="8" t="n">
        <v>63.56</v>
      </c>
      <c r="J276" s="8" t="n">
        <v>69.83</v>
      </c>
      <c r="K276" s="7" t="n">
        <v>41.2</v>
      </c>
      <c r="L276" s="7" t="n">
        <v>54.47</v>
      </c>
      <c r="M276" s="8" t="n">
        <v>64.15000000000001</v>
      </c>
      <c r="N276" s="8" t="n">
        <v>61.41</v>
      </c>
      <c r="O276" s="7" t="n">
        <v>56.24</v>
      </c>
      <c r="P276" s="8" t="n">
        <v>66.43000000000001</v>
      </c>
      <c r="Q276" s="9" t="n">
        <v>82.13</v>
      </c>
      <c r="R276" s="9" t="n">
        <v>70.70999999999999</v>
      </c>
      <c r="S276" s="8" t="n">
        <v>67.78</v>
      </c>
      <c r="T276" s="8" t="n">
        <v>66.45</v>
      </c>
      <c r="U276" s="8" t="n">
        <v>66.26000000000001</v>
      </c>
      <c r="V276" s="9" t="n">
        <v>72.59999999999999</v>
      </c>
      <c r="W276" s="7" t="n">
        <v>53.55</v>
      </c>
      <c r="X276" s="8" t="n">
        <v>60.42</v>
      </c>
      <c r="Y276" s="8" t="n">
        <v>62.27</v>
      </c>
    </row>
    <row r="277" ht="15" customHeight="1">
      <c r="A277" s="13" t="n">
        <v>45839</v>
      </c>
      <c r="B277" s="9" t="n">
        <v>73.29000000000001</v>
      </c>
      <c r="C277" s="8" t="n">
        <v>67.79000000000001</v>
      </c>
      <c r="D277" s="7" t="n">
        <v>59.9</v>
      </c>
      <c r="E277" s="9" t="n">
        <v>75.26000000000001</v>
      </c>
      <c r="F277" s="7" t="n">
        <v>49.52</v>
      </c>
      <c r="G277" s="7" t="n">
        <v>59.33</v>
      </c>
      <c r="H277" s="9" t="n">
        <v>71.56</v>
      </c>
      <c r="I277" s="8" t="n">
        <v>66.15000000000001</v>
      </c>
      <c r="J277" s="9" t="n">
        <v>70.58</v>
      </c>
      <c r="K277" s="7" t="n">
        <v>42.53</v>
      </c>
      <c r="L277" s="7" t="n">
        <v>56.47</v>
      </c>
      <c r="M277" s="8" t="n">
        <v>66.06999999999999</v>
      </c>
      <c r="N277" s="8" t="n">
        <v>68.25</v>
      </c>
      <c r="O277" s="8" t="n">
        <v>60.42</v>
      </c>
      <c r="P277" s="8" t="n">
        <v>64.01000000000001</v>
      </c>
      <c r="Q277" s="9" t="n">
        <v>82.42</v>
      </c>
      <c r="R277" s="9" t="n">
        <v>77.65000000000001</v>
      </c>
      <c r="S277" s="9" t="n">
        <v>73.47</v>
      </c>
      <c r="T277" s="9" t="n">
        <v>70.86</v>
      </c>
      <c r="U277" s="8" t="n">
        <v>67.52</v>
      </c>
      <c r="V277" s="9" t="n">
        <v>72.56</v>
      </c>
      <c r="W277" s="7" t="n">
        <v>47.8</v>
      </c>
      <c r="X277" s="8" t="n">
        <v>65.23</v>
      </c>
      <c r="Y277" s="8" t="n">
        <v>66.36</v>
      </c>
    </row>
    <row r="278" ht="15" customHeight="1">
      <c r="A278" s="13" t="n">
        <v>45838</v>
      </c>
      <c r="B278" s="9" t="n">
        <v>71.3</v>
      </c>
      <c r="C278" s="8" t="n">
        <v>61.94</v>
      </c>
      <c r="D278" s="7" t="n">
        <v>54.65</v>
      </c>
      <c r="E278" s="9" t="n">
        <v>70.23999999999999</v>
      </c>
      <c r="F278" s="7" t="n">
        <v>45.14</v>
      </c>
      <c r="G278" s="7" t="n">
        <v>54.88</v>
      </c>
      <c r="H278" s="8" t="n">
        <v>68.18000000000001</v>
      </c>
      <c r="I278" s="9" t="n">
        <v>81.08</v>
      </c>
      <c r="J278" s="9" t="n">
        <v>71.17</v>
      </c>
      <c r="K278" s="7" t="n">
        <v>43.12</v>
      </c>
      <c r="L278" s="7" t="n">
        <v>54.84</v>
      </c>
      <c r="M278" s="8" t="n">
        <v>60.46</v>
      </c>
      <c r="N278" s="9" t="n">
        <v>73.05</v>
      </c>
      <c r="O278" s="8" t="n">
        <v>61.12</v>
      </c>
      <c r="P278" s="7" t="n">
        <v>57.85</v>
      </c>
      <c r="Q278" s="9" t="n">
        <v>78.93000000000001</v>
      </c>
      <c r="R278" s="9" t="n">
        <v>75.31999999999999</v>
      </c>
      <c r="S278" s="9" t="n">
        <v>71.95999999999999</v>
      </c>
      <c r="T278" s="8" t="n">
        <v>67.98</v>
      </c>
      <c r="U278" s="8" t="n">
        <v>65.16</v>
      </c>
      <c r="V278" s="9" t="n">
        <v>72.08</v>
      </c>
      <c r="W278" s="7" t="n">
        <v>43.95</v>
      </c>
      <c r="X278" s="8" t="n">
        <v>64.79000000000001</v>
      </c>
      <c r="Y278" s="8" t="n">
        <v>64.70999999999999</v>
      </c>
    </row>
    <row r="279" ht="15" customHeight="1">
      <c r="A279" s="13" t="n">
        <v>45835</v>
      </c>
      <c r="B279" s="8" t="n">
        <v>61.7</v>
      </c>
      <c r="C279" s="8" t="n">
        <v>60.05</v>
      </c>
      <c r="D279" s="7" t="n">
        <v>54.89</v>
      </c>
      <c r="E279" s="8" t="n">
        <v>61.78</v>
      </c>
      <c r="F279" s="7" t="n">
        <v>45.79</v>
      </c>
      <c r="G279" s="7" t="n">
        <v>53.81</v>
      </c>
      <c r="H279" s="9" t="n">
        <v>71.93000000000001</v>
      </c>
      <c r="I279" s="9" t="n">
        <v>79.5</v>
      </c>
      <c r="J279" s="9" t="n">
        <v>70.20999999999999</v>
      </c>
      <c r="K279" s="7" t="n">
        <v>47.1</v>
      </c>
      <c r="L279" s="7" t="n">
        <v>57.91</v>
      </c>
      <c r="M279" s="7" t="n">
        <v>57.02</v>
      </c>
      <c r="N279" s="9" t="n">
        <v>72.58</v>
      </c>
      <c r="O279" s="8" t="n">
        <v>65.03</v>
      </c>
      <c r="P279" s="8" t="n">
        <v>60.12</v>
      </c>
      <c r="Q279" s="9" t="n">
        <v>75.95999999999999</v>
      </c>
      <c r="R279" s="9" t="n">
        <v>74.53</v>
      </c>
      <c r="S279" s="9" t="n">
        <v>71.90000000000001</v>
      </c>
      <c r="T279" s="8" t="n">
        <v>67.33</v>
      </c>
      <c r="U279" s="8" t="n">
        <v>63.79</v>
      </c>
      <c r="V279" s="9" t="n">
        <v>70.68000000000001</v>
      </c>
      <c r="W279" s="7" t="n">
        <v>50.02</v>
      </c>
      <c r="X279" s="8" t="n">
        <v>65.23</v>
      </c>
      <c r="Y279" s="8" t="n">
        <v>62.42</v>
      </c>
    </row>
    <row r="280" ht="15" customHeight="1">
      <c r="A280" s="13" t="n">
        <v>45834</v>
      </c>
      <c r="B280" s="8" t="n">
        <v>67.09</v>
      </c>
      <c r="C280" s="8" t="n">
        <v>64.20999999999999</v>
      </c>
      <c r="D280" s="7" t="n">
        <v>56.87</v>
      </c>
      <c r="E280" s="8" t="n">
        <v>67.93000000000001</v>
      </c>
      <c r="F280" s="7" t="n">
        <v>46.95</v>
      </c>
      <c r="G280" s="8" t="n">
        <v>60.45</v>
      </c>
      <c r="H280" s="8" t="n">
        <v>69.15000000000001</v>
      </c>
      <c r="I280" s="9" t="n">
        <v>78.87</v>
      </c>
      <c r="J280" s="9" t="n">
        <v>73.84</v>
      </c>
      <c r="K280" s="7" t="n">
        <v>51.78</v>
      </c>
      <c r="L280" s="8" t="n">
        <v>60.59</v>
      </c>
      <c r="M280" s="8" t="n">
        <v>60.42</v>
      </c>
      <c r="N280" s="9" t="n">
        <v>78.95999999999999</v>
      </c>
      <c r="O280" s="8" t="n">
        <v>69.56</v>
      </c>
      <c r="P280" s="9" t="n">
        <v>70.64</v>
      </c>
      <c r="Q280" s="9" t="n">
        <v>72.40000000000001</v>
      </c>
      <c r="R280" s="9" t="n">
        <v>78.87</v>
      </c>
      <c r="S280" s="9" t="n">
        <v>76.90000000000001</v>
      </c>
      <c r="T280" s="8" t="n">
        <v>69.13</v>
      </c>
      <c r="U280" s="8" t="n">
        <v>69.70999999999999</v>
      </c>
      <c r="V280" s="9" t="n">
        <v>74.33</v>
      </c>
      <c r="W280" s="7" t="n">
        <v>54.63</v>
      </c>
      <c r="X280" s="8" t="n">
        <v>67.17</v>
      </c>
      <c r="Y280" s="8" t="n">
        <v>64.01000000000001</v>
      </c>
    </row>
    <row r="281" ht="15" customHeight="1">
      <c r="A281" s="13" t="n">
        <v>45833</v>
      </c>
      <c r="B281" s="8" t="n">
        <v>68.47</v>
      </c>
      <c r="C281" s="8" t="n">
        <v>63.48</v>
      </c>
      <c r="D281" s="8" t="n">
        <v>61.96</v>
      </c>
      <c r="E281" s="8" t="n">
        <v>69.37</v>
      </c>
      <c r="F281" s="7" t="n">
        <v>48.63</v>
      </c>
      <c r="G281" s="8" t="n">
        <v>66.65000000000001</v>
      </c>
      <c r="H281" s="9" t="n">
        <v>71.06</v>
      </c>
      <c r="I281" s="9" t="n">
        <v>81.78</v>
      </c>
      <c r="J281" s="9" t="n">
        <v>75.62</v>
      </c>
      <c r="K281" s="7" t="n">
        <v>55.75</v>
      </c>
      <c r="L281" s="8" t="n">
        <v>64.03</v>
      </c>
      <c r="M281" s="8" t="n">
        <v>65.91</v>
      </c>
      <c r="N281" s="9" t="n">
        <v>75.90000000000001</v>
      </c>
      <c r="O281" s="9" t="n">
        <v>73.18000000000001</v>
      </c>
      <c r="P281" s="8" t="n">
        <v>69.67</v>
      </c>
      <c r="Q281" s="9" t="n">
        <v>71.09999999999999</v>
      </c>
      <c r="R281" s="9" t="n">
        <v>86.7</v>
      </c>
      <c r="S281" s="9" t="n">
        <v>88.45999999999999</v>
      </c>
      <c r="T281" s="9" t="n">
        <v>72.73</v>
      </c>
      <c r="U281" s="9" t="n">
        <v>73.55</v>
      </c>
      <c r="V281" s="9" t="n">
        <v>77.31999999999999</v>
      </c>
      <c r="W281" s="7" t="n">
        <v>49.75</v>
      </c>
      <c r="X281" s="9" t="n">
        <v>81.06999999999999</v>
      </c>
      <c r="Y281" s="9" t="n">
        <v>70.5</v>
      </c>
    </row>
    <row r="282" ht="15" customHeight="1">
      <c r="A282" s="13" t="n">
        <v>45832</v>
      </c>
      <c r="B282" s="8" t="n">
        <v>67.53</v>
      </c>
      <c r="C282" s="8" t="n">
        <v>63.29</v>
      </c>
      <c r="D282" s="8" t="n">
        <v>61.22</v>
      </c>
      <c r="E282" s="8" t="n">
        <v>69.89</v>
      </c>
      <c r="F282" s="7" t="n">
        <v>49.53</v>
      </c>
      <c r="G282" s="8" t="n">
        <v>65.17</v>
      </c>
      <c r="H282" s="9" t="n">
        <v>73.37</v>
      </c>
      <c r="I282" s="9" t="n">
        <v>89.36</v>
      </c>
      <c r="J282" s="9" t="n">
        <v>73.97</v>
      </c>
      <c r="K282" s="7" t="n">
        <v>55.94</v>
      </c>
      <c r="L282" s="8" t="n">
        <v>68.25</v>
      </c>
      <c r="M282" s="8" t="n">
        <v>63.61</v>
      </c>
      <c r="N282" s="8" t="n">
        <v>69.25</v>
      </c>
      <c r="O282" s="8" t="n">
        <v>69</v>
      </c>
      <c r="P282" s="8" t="n">
        <v>68.48999999999999</v>
      </c>
      <c r="Q282" s="8" t="n">
        <v>69.55</v>
      </c>
      <c r="R282" s="9" t="n">
        <v>86.67</v>
      </c>
      <c r="S282" s="9" t="n">
        <v>87.59</v>
      </c>
      <c r="T282" s="9" t="n">
        <v>72.36</v>
      </c>
      <c r="U282" s="9" t="n">
        <v>80.45</v>
      </c>
      <c r="V282" s="9" t="n">
        <v>76.89</v>
      </c>
      <c r="W282" s="7" t="n">
        <v>40.97</v>
      </c>
      <c r="X282" s="9" t="n">
        <v>91.37</v>
      </c>
      <c r="Y282" s="9" t="n">
        <v>70.20999999999999</v>
      </c>
    </row>
    <row r="283" ht="15" customHeight="1">
      <c r="A283" s="13" t="n">
        <v>45831</v>
      </c>
      <c r="B283" s="8" t="n">
        <v>64.22</v>
      </c>
      <c r="C283" s="8" t="n">
        <v>60.59</v>
      </c>
      <c r="D283" s="7" t="n">
        <v>58.19</v>
      </c>
      <c r="E283" s="8" t="n">
        <v>66.75</v>
      </c>
      <c r="F283" s="7" t="n">
        <v>45.14</v>
      </c>
      <c r="G283" s="7" t="n">
        <v>57.16</v>
      </c>
      <c r="H283" s="9" t="n">
        <v>79.8</v>
      </c>
      <c r="I283" s="9" t="n">
        <v>88.47</v>
      </c>
      <c r="J283" s="8" t="n">
        <v>65.89</v>
      </c>
      <c r="K283" s="7" t="n">
        <v>50.82</v>
      </c>
      <c r="L283" s="8" t="n">
        <v>66.3</v>
      </c>
      <c r="M283" s="8" t="n">
        <v>61.96</v>
      </c>
      <c r="N283" s="7" t="n">
        <v>50.13</v>
      </c>
      <c r="O283" s="8" t="n">
        <v>66.79000000000001</v>
      </c>
      <c r="P283" s="8" t="n">
        <v>67.89</v>
      </c>
      <c r="Q283" s="8" t="n">
        <v>62.74</v>
      </c>
      <c r="R283" s="9" t="n">
        <v>83.08</v>
      </c>
      <c r="S283" s="9" t="n">
        <v>84.72</v>
      </c>
      <c r="T283" s="8" t="n">
        <v>67.98999999999999</v>
      </c>
      <c r="U283" s="9" t="n">
        <v>77.16</v>
      </c>
      <c r="V283" s="9" t="n">
        <v>71.41</v>
      </c>
      <c r="W283" s="10" t="n">
        <v>27.43</v>
      </c>
      <c r="X283" s="9" t="n">
        <v>90.62</v>
      </c>
      <c r="Y283" s="8" t="n">
        <v>65.39</v>
      </c>
    </row>
    <row r="284" ht="15" customHeight="1">
      <c r="A284" s="13" t="n">
        <v>45828</v>
      </c>
      <c r="B284" s="9" t="n">
        <v>70.40000000000001</v>
      </c>
      <c r="C284" s="8" t="n">
        <v>66.58</v>
      </c>
      <c r="D284" s="8" t="n">
        <v>67.20999999999999</v>
      </c>
      <c r="E284" s="9" t="n">
        <v>72.81</v>
      </c>
      <c r="F284" s="7" t="n">
        <v>53.39</v>
      </c>
      <c r="G284" s="7" t="n">
        <v>59.62</v>
      </c>
      <c r="H284" s="9" t="n">
        <v>80.76000000000001</v>
      </c>
      <c r="I284" s="9" t="n">
        <v>84.29000000000001</v>
      </c>
      <c r="J284" s="9" t="n">
        <v>72.45999999999999</v>
      </c>
      <c r="K284" s="7" t="n">
        <v>58.58</v>
      </c>
      <c r="L284" s="9" t="n">
        <v>77.26000000000001</v>
      </c>
      <c r="M284" s="8" t="n">
        <v>62.65</v>
      </c>
      <c r="N284" s="7" t="n">
        <v>54.51</v>
      </c>
      <c r="O284" s="8" t="n">
        <v>65.44</v>
      </c>
      <c r="P284" s="8" t="n">
        <v>66.33</v>
      </c>
      <c r="Q284" s="8" t="n">
        <v>66.40000000000001</v>
      </c>
      <c r="R284" s="9" t="n">
        <v>81.5</v>
      </c>
      <c r="S284" s="9" t="n">
        <v>80.89</v>
      </c>
      <c r="T284" s="9" t="n">
        <v>71.38</v>
      </c>
      <c r="U284" s="9" t="n">
        <v>83.23999999999999</v>
      </c>
      <c r="V284" s="9" t="n">
        <v>78.25</v>
      </c>
      <c r="W284" s="10" t="n">
        <v>27.73</v>
      </c>
      <c r="X284" s="9" t="n">
        <v>89</v>
      </c>
      <c r="Y284" s="8" t="n">
        <v>69.73</v>
      </c>
    </row>
    <row r="285" ht="15" customHeight="1">
      <c r="A285" s="13" t="n">
        <v>45827</v>
      </c>
      <c r="B285" s="8" t="n">
        <v>67.83</v>
      </c>
      <c r="C285" s="9" t="n">
        <v>71.16</v>
      </c>
      <c r="D285" s="8" t="n">
        <v>69.63</v>
      </c>
      <c r="E285" s="8" t="n">
        <v>68.59999999999999</v>
      </c>
      <c r="F285" s="7" t="n">
        <v>46.14</v>
      </c>
      <c r="G285" s="8" t="n">
        <v>64.16</v>
      </c>
      <c r="H285" s="9" t="n">
        <v>80.42</v>
      </c>
      <c r="I285" s="9" t="n">
        <v>86.11</v>
      </c>
      <c r="J285" s="8" t="n">
        <v>68.66</v>
      </c>
      <c r="K285" s="8" t="n">
        <v>63.31</v>
      </c>
      <c r="L285" s="9" t="n">
        <v>76.61</v>
      </c>
      <c r="M285" s="8" t="n">
        <v>62.49</v>
      </c>
      <c r="N285" s="7" t="n">
        <v>50.8</v>
      </c>
      <c r="O285" s="9" t="n">
        <v>72.25</v>
      </c>
      <c r="P285" s="8" t="n">
        <v>63.17</v>
      </c>
      <c r="Q285" s="8" t="n">
        <v>64.39</v>
      </c>
      <c r="R285" s="9" t="n">
        <v>79.66</v>
      </c>
      <c r="S285" s="9" t="n">
        <v>81.37</v>
      </c>
      <c r="T285" s="8" t="n">
        <v>69.73999999999999</v>
      </c>
      <c r="U285" s="9" t="n">
        <v>82.17</v>
      </c>
      <c r="V285" s="9" t="n">
        <v>75.62</v>
      </c>
      <c r="W285" s="10" t="n">
        <v>29.28</v>
      </c>
      <c r="X285" s="9" t="n">
        <v>86.39</v>
      </c>
      <c r="Y285" s="8" t="n">
        <v>66.27</v>
      </c>
    </row>
    <row r="286" ht="15" customHeight="1">
      <c r="A286" s="13" t="n">
        <v>45826</v>
      </c>
      <c r="B286" s="8" t="n">
        <v>67.64</v>
      </c>
      <c r="C286" s="8" t="n">
        <v>67.04000000000001</v>
      </c>
      <c r="D286" s="8" t="n">
        <v>64.31999999999999</v>
      </c>
      <c r="E286" s="8" t="n">
        <v>67.87</v>
      </c>
      <c r="F286" s="7" t="n">
        <v>49.12</v>
      </c>
      <c r="G286" s="8" t="n">
        <v>67.06999999999999</v>
      </c>
      <c r="H286" s="9" t="n">
        <v>77.87</v>
      </c>
      <c r="I286" s="9" t="n">
        <v>85.51000000000001</v>
      </c>
      <c r="J286" s="9" t="n">
        <v>70.69</v>
      </c>
      <c r="K286" s="8" t="n">
        <v>63.22</v>
      </c>
      <c r="L286" s="9" t="n">
        <v>76.41</v>
      </c>
      <c r="M286" s="8" t="n">
        <v>61.62</v>
      </c>
      <c r="N286" s="7" t="n">
        <v>54.21</v>
      </c>
      <c r="O286" s="9" t="n">
        <v>70.56</v>
      </c>
      <c r="P286" s="8" t="n">
        <v>65.34</v>
      </c>
      <c r="Q286" s="8" t="n">
        <v>66.72</v>
      </c>
      <c r="R286" s="9" t="n">
        <v>79.2</v>
      </c>
      <c r="S286" s="9" t="n">
        <v>85.52</v>
      </c>
      <c r="T286" s="8" t="n">
        <v>68.75</v>
      </c>
      <c r="U286" s="9" t="n">
        <v>80.3</v>
      </c>
      <c r="V286" s="9" t="n">
        <v>76.11</v>
      </c>
      <c r="W286" s="7" t="n">
        <v>31.66</v>
      </c>
      <c r="X286" s="9" t="n">
        <v>84.54000000000001</v>
      </c>
      <c r="Y286" s="8" t="n">
        <v>67.36</v>
      </c>
    </row>
    <row r="287" ht="15" customHeight="1">
      <c r="A287" s="13" t="n">
        <v>45825</v>
      </c>
      <c r="B287" s="8" t="n">
        <v>68.95</v>
      </c>
      <c r="C287" s="8" t="n">
        <v>65.05</v>
      </c>
      <c r="D287" s="8" t="n">
        <v>62.87</v>
      </c>
      <c r="E287" s="8" t="n">
        <v>65.22</v>
      </c>
      <c r="F287" s="7" t="n">
        <v>49.76</v>
      </c>
      <c r="G287" s="8" t="n">
        <v>68.84999999999999</v>
      </c>
      <c r="H287" s="9" t="n">
        <v>77.59</v>
      </c>
      <c r="I287" s="9" t="n">
        <v>84.76000000000001</v>
      </c>
      <c r="J287" s="8" t="n">
        <v>68.04000000000001</v>
      </c>
      <c r="K287" s="8" t="n">
        <v>60.91</v>
      </c>
      <c r="L287" s="9" t="n">
        <v>78.09</v>
      </c>
      <c r="M287" s="8" t="n">
        <v>66.98</v>
      </c>
      <c r="N287" s="7" t="n">
        <v>51.61</v>
      </c>
      <c r="O287" s="9" t="n">
        <v>74.73</v>
      </c>
      <c r="P287" s="8" t="n">
        <v>62.38</v>
      </c>
      <c r="Q287" s="8" t="n">
        <v>68.17</v>
      </c>
      <c r="R287" s="9" t="n">
        <v>82.95999999999999</v>
      </c>
      <c r="S287" s="9" t="n">
        <v>84.73</v>
      </c>
      <c r="T287" s="9" t="n">
        <v>77.98</v>
      </c>
      <c r="U287" s="9" t="n">
        <v>81.11</v>
      </c>
      <c r="V287" s="9" t="n">
        <v>74.68000000000001</v>
      </c>
      <c r="W287" s="7" t="n">
        <v>34.22</v>
      </c>
      <c r="X287" s="9" t="n">
        <v>76.08</v>
      </c>
      <c r="Y287" s="8" t="n">
        <v>63.64</v>
      </c>
    </row>
    <row r="288" ht="15" customHeight="1">
      <c r="A288" s="13" t="n">
        <v>45824</v>
      </c>
      <c r="B288" s="8" t="n">
        <v>68.33</v>
      </c>
      <c r="C288" s="8" t="n">
        <v>65.09</v>
      </c>
      <c r="D288" s="8" t="n">
        <v>64.06</v>
      </c>
      <c r="E288" s="8" t="n">
        <v>69.16</v>
      </c>
      <c r="F288" s="7" t="n">
        <v>50.7</v>
      </c>
      <c r="G288" s="9" t="n">
        <v>75.79000000000001</v>
      </c>
      <c r="H288" s="9" t="n">
        <v>76.36</v>
      </c>
      <c r="I288" s="9" t="n">
        <v>84.27</v>
      </c>
      <c r="J288" s="8" t="n">
        <v>65.76000000000001</v>
      </c>
      <c r="K288" s="8" t="n">
        <v>61.62</v>
      </c>
      <c r="L288" s="9" t="n">
        <v>77.56</v>
      </c>
      <c r="M288" s="9" t="n">
        <v>71.67</v>
      </c>
      <c r="N288" s="7" t="n">
        <v>49.09</v>
      </c>
      <c r="O288" s="9" t="n">
        <v>78.51000000000001</v>
      </c>
      <c r="P288" s="9" t="n">
        <v>70.87</v>
      </c>
      <c r="Q288" s="8" t="n">
        <v>69.88</v>
      </c>
      <c r="R288" s="9" t="n">
        <v>85.31</v>
      </c>
      <c r="S288" s="9" t="n">
        <v>84.59</v>
      </c>
      <c r="T288" s="9" t="n">
        <v>79.34999999999999</v>
      </c>
      <c r="U288" s="9" t="n">
        <v>81.45999999999999</v>
      </c>
      <c r="V288" s="9" t="n">
        <v>73.53</v>
      </c>
      <c r="W288" s="7" t="n">
        <v>34.42</v>
      </c>
      <c r="X288" s="9" t="n">
        <v>82.44</v>
      </c>
      <c r="Y288" s="8" t="n">
        <v>65.16</v>
      </c>
    </row>
    <row r="289" ht="15" customHeight="1">
      <c r="A289" s="13" t="n">
        <v>45821</v>
      </c>
      <c r="B289" s="8" t="n">
        <v>63.16</v>
      </c>
      <c r="C289" s="8" t="n">
        <v>60.5</v>
      </c>
      <c r="D289" s="8" t="n">
        <v>65.79000000000001</v>
      </c>
      <c r="E289" s="8" t="n">
        <v>66.94</v>
      </c>
      <c r="F289" s="7" t="n">
        <v>51.46</v>
      </c>
      <c r="G289" s="9" t="n">
        <v>72.48999999999999</v>
      </c>
      <c r="H289" s="9" t="n">
        <v>75.17</v>
      </c>
      <c r="I289" s="9" t="n">
        <v>80.59999999999999</v>
      </c>
      <c r="J289" s="8" t="n">
        <v>63.95</v>
      </c>
      <c r="K289" s="8" t="n">
        <v>62.43</v>
      </c>
      <c r="L289" s="9" t="n">
        <v>74.34</v>
      </c>
      <c r="M289" s="8" t="n">
        <v>66.88</v>
      </c>
      <c r="N289" s="7" t="n">
        <v>48.3</v>
      </c>
      <c r="O289" s="9" t="n">
        <v>73.7</v>
      </c>
      <c r="P289" s="8" t="n">
        <v>69.94</v>
      </c>
      <c r="Q289" s="8" t="n">
        <v>63.97</v>
      </c>
      <c r="R289" s="9" t="n">
        <v>82.59999999999999</v>
      </c>
      <c r="S289" s="9" t="n">
        <v>81.75</v>
      </c>
      <c r="T289" s="9" t="n">
        <v>77.44</v>
      </c>
      <c r="U289" s="9" t="n">
        <v>79.18000000000001</v>
      </c>
      <c r="V289" s="9" t="n">
        <v>70.84999999999999</v>
      </c>
      <c r="W289" s="7" t="n">
        <v>40.23</v>
      </c>
      <c r="X289" s="9" t="n">
        <v>75.86</v>
      </c>
      <c r="Y289" s="8" t="n">
        <v>64.13</v>
      </c>
    </row>
    <row r="290" ht="15" customHeight="1">
      <c r="A290" s="13" t="n">
        <v>45820</v>
      </c>
      <c r="B290" s="8" t="n">
        <v>67.83</v>
      </c>
      <c r="C290" s="9" t="n">
        <v>77.08</v>
      </c>
      <c r="D290" s="9" t="n">
        <v>72.52</v>
      </c>
      <c r="E290" s="9" t="n">
        <v>77.26000000000001</v>
      </c>
      <c r="F290" s="7" t="n">
        <v>58.62</v>
      </c>
      <c r="G290" s="9" t="n">
        <v>75.16</v>
      </c>
      <c r="H290" s="9" t="n">
        <v>71.09</v>
      </c>
      <c r="I290" s="9" t="n">
        <v>82.23</v>
      </c>
      <c r="J290" s="9" t="n">
        <v>70.88</v>
      </c>
      <c r="K290" s="9" t="n">
        <v>73.54000000000001</v>
      </c>
      <c r="L290" s="9" t="n">
        <v>73.98</v>
      </c>
      <c r="M290" s="9" t="n">
        <v>75.16</v>
      </c>
      <c r="N290" s="7" t="n">
        <v>52.29</v>
      </c>
      <c r="O290" s="9" t="n">
        <v>84.23999999999999</v>
      </c>
      <c r="P290" s="8" t="n">
        <v>66.91</v>
      </c>
      <c r="Q290" s="8" t="n">
        <v>64.73999999999999</v>
      </c>
      <c r="R290" s="9" t="n">
        <v>85.45999999999999</v>
      </c>
      <c r="S290" s="9" t="n">
        <v>84.37</v>
      </c>
      <c r="T290" s="9" t="n">
        <v>78.36</v>
      </c>
      <c r="U290" s="9" t="n">
        <v>79.86</v>
      </c>
      <c r="V290" s="9" t="n">
        <v>76.81</v>
      </c>
      <c r="W290" s="7" t="n">
        <v>49.73</v>
      </c>
      <c r="X290" s="9" t="n">
        <v>75.59999999999999</v>
      </c>
      <c r="Y290" s="9" t="n">
        <v>70.97</v>
      </c>
    </row>
    <row r="291" ht="15" customHeight="1">
      <c r="A291" s="13" t="n">
        <v>45819</v>
      </c>
      <c r="B291" s="8" t="n">
        <v>67.98999999999999</v>
      </c>
      <c r="C291" s="9" t="n">
        <v>76.68000000000001</v>
      </c>
      <c r="D291" s="9" t="n">
        <v>78.38</v>
      </c>
      <c r="E291" s="9" t="n">
        <v>77.59999999999999</v>
      </c>
      <c r="F291" s="8" t="n">
        <v>60.29</v>
      </c>
      <c r="G291" s="9" t="n">
        <v>75.06999999999999</v>
      </c>
      <c r="H291" s="8" t="n">
        <v>69.44</v>
      </c>
      <c r="I291" s="9" t="n">
        <v>79.19</v>
      </c>
      <c r="J291" s="9" t="n">
        <v>71.62</v>
      </c>
      <c r="K291" s="9" t="n">
        <v>72.44</v>
      </c>
      <c r="L291" s="9" t="n">
        <v>70.59</v>
      </c>
      <c r="M291" s="9" t="n">
        <v>80.44</v>
      </c>
      <c r="N291" s="7" t="n">
        <v>50.34</v>
      </c>
      <c r="O291" s="9" t="n">
        <v>81.64</v>
      </c>
      <c r="P291" s="8" t="n">
        <v>65.88</v>
      </c>
      <c r="Q291" s="8" t="n">
        <v>62.09</v>
      </c>
      <c r="R291" s="9" t="n">
        <v>85.40000000000001</v>
      </c>
      <c r="S291" s="9" t="n">
        <v>84.23999999999999</v>
      </c>
      <c r="T291" s="9" t="n">
        <v>77.16</v>
      </c>
      <c r="U291" s="9" t="n">
        <v>75.62</v>
      </c>
      <c r="V291" s="9" t="n">
        <v>75.89</v>
      </c>
      <c r="W291" s="7" t="n">
        <v>48.49</v>
      </c>
      <c r="X291" s="9" t="n">
        <v>74.84999999999999</v>
      </c>
      <c r="Y291" s="8" t="n">
        <v>69.95999999999999</v>
      </c>
    </row>
    <row r="292" ht="15" customHeight="1">
      <c r="A292" s="13" t="n">
        <v>45818</v>
      </c>
      <c r="B292" s="8" t="n">
        <v>66.23999999999999</v>
      </c>
      <c r="C292" s="9" t="n">
        <v>76.39</v>
      </c>
      <c r="D292" s="9" t="n">
        <v>75.63</v>
      </c>
      <c r="E292" s="9" t="n">
        <v>75.12</v>
      </c>
      <c r="F292" s="7" t="n">
        <v>59.63</v>
      </c>
      <c r="G292" s="9" t="n">
        <v>76.56</v>
      </c>
      <c r="H292" s="8" t="n">
        <v>68.01000000000001</v>
      </c>
      <c r="I292" s="9" t="n">
        <v>76.54000000000001</v>
      </c>
      <c r="J292" s="8" t="n">
        <v>68.14</v>
      </c>
      <c r="K292" s="8" t="n">
        <v>67.39</v>
      </c>
      <c r="L292" s="9" t="n">
        <v>70.03</v>
      </c>
      <c r="M292" s="9" t="n">
        <v>78.31999999999999</v>
      </c>
      <c r="N292" s="7" t="n">
        <v>47.13</v>
      </c>
      <c r="O292" s="9" t="n">
        <v>81.23999999999999</v>
      </c>
      <c r="P292" s="8" t="n">
        <v>64.98999999999999</v>
      </c>
      <c r="Q292" s="7" t="n">
        <v>55.5</v>
      </c>
      <c r="R292" s="9" t="n">
        <v>84.45999999999999</v>
      </c>
      <c r="S292" s="9" t="n">
        <v>82.41</v>
      </c>
      <c r="T292" s="9" t="n">
        <v>73.95999999999999</v>
      </c>
      <c r="U292" s="9" t="n">
        <v>71.8</v>
      </c>
      <c r="V292" s="9" t="n">
        <v>73.36</v>
      </c>
      <c r="W292" s="7" t="n">
        <v>48.82</v>
      </c>
      <c r="X292" s="9" t="n">
        <v>73.75</v>
      </c>
      <c r="Y292" s="9" t="n">
        <v>77.51000000000001</v>
      </c>
    </row>
    <row r="293" ht="15" customHeight="1">
      <c r="A293" s="13" t="n">
        <v>45817</v>
      </c>
      <c r="B293" s="8" t="n">
        <v>67.18000000000001</v>
      </c>
      <c r="C293" s="9" t="n">
        <v>75.63</v>
      </c>
      <c r="D293" s="9" t="n">
        <v>71.76000000000001</v>
      </c>
      <c r="E293" s="9" t="n">
        <v>72.7</v>
      </c>
      <c r="F293" s="7" t="n">
        <v>56.91</v>
      </c>
      <c r="G293" s="9" t="n">
        <v>75.81999999999999</v>
      </c>
      <c r="H293" s="8" t="n">
        <v>63.99</v>
      </c>
      <c r="I293" s="9" t="n">
        <v>74.44</v>
      </c>
      <c r="J293" s="8" t="n">
        <v>67.67</v>
      </c>
      <c r="K293" s="8" t="n">
        <v>66.42</v>
      </c>
      <c r="L293" s="8" t="n">
        <v>65.65000000000001</v>
      </c>
      <c r="M293" s="9" t="n">
        <v>81.95999999999999</v>
      </c>
      <c r="N293" s="8" t="n">
        <v>68.2</v>
      </c>
      <c r="O293" s="9" t="n">
        <v>78.56999999999999</v>
      </c>
      <c r="P293" s="8" t="n">
        <v>64.05</v>
      </c>
      <c r="Q293" s="7" t="n">
        <v>56.06</v>
      </c>
      <c r="R293" s="9" t="n">
        <v>84.95999999999999</v>
      </c>
      <c r="S293" s="9" t="n">
        <v>83.56</v>
      </c>
      <c r="T293" s="9" t="n">
        <v>82.64</v>
      </c>
      <c r="U293" s="8" t="n">
        <v>68.18000000000001</v>
      </c>
      <c r="V293" s="9" t="n">
        <v>71.33</v>
      </c>
      <c r="W293" s="7" t="n">
        <v>45.72</v>
      </c>
      <c r="X293" s="9" t="n">
        <v>73.25</v>
      </c>
      <c r="Y293" s="9" t="n">
        <v>75.14</v>
      </c>
    </row>
    <row r="294" ht="15" customHeight="1">
      <c r="A294" s="13" t="n">
        <v>45814</v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</row>
    <row r="295" ht="15" customHeight="1">
      <c r="A295" s="13" t="n">
        <v>45813</v>
      </c>
      <c r="B295" s="8" t="n">
        <v>64.58</v>
      </c>
      <c r="C295" s="9" t="n">
        <v>73.91</v>
      </c>
      <c r="D295" s="8" t="n">
        <v>63.92</v>
      </c>
      <c r="E295" s="9" t="n">
        <v>70.83</v>
      </c>
      <c r="F295" s="7" t="n">
        <v>52.06</v>
      </c>
      <c r="G295" s="9" t="n">
        <v>74.34</v>
      </c>
      <c r="H295" s="8" t="n">
        <v>62.97</v>
      </c>
      <c r="I295" s="9" t="n">
        <v>73.13</v>
      </c>
      <c r="J295" s="8" t="n">
        <v>65.95</v>
      </c>
      <c r="K295" s="8" t="n">
        <v>65.25</v>
      </c>
      <c r="L295" s="8" t="n">
        <v>64.81999999999999</v>
      </c>
      <c r="M295" s="9" t="n">
        <v>80.37</v>
      </c>
      <c r="N295" s="8" t="n">
        <v>62.19</v>
      </c>
      <c r="O295" s="9" t="n">
        <v>77.98999999999999</v>
      </c>
      <c r="P295" s="7" t="n">
        <v>58.97</v>
      </c>
      <c r="Q295" s="7" t="n">
        <v>51.71</v>
      </c>
      <c r="R295" s="9" t="n">
        <v>82.43000000000001</v>
      </c>
      <c r="S295" s="9" t="n">
        <v>81.31</v>
      </c>
      <c r="T295" s="9" t="n">
        <v>82.06999999999999</v>
      </c>
      <c r="U295" s="8" t="n">
        <v>68</v>
      </c>
      <c r="V295" s="8" t="n">
        <v>69.40000000000001</v>
      </c>
      <c r="W295" s="7" t="n">
        <v>48.39</v>
      </c>
      <c r="X295" s="8" t="n">
        <v>63.15</v>
      </c>
      <c r="Y295" s="8" t="n">
        <v>67.83</v>
      </c>
    </row>
    <row r="296" ht="15" customHeight="1">
      <c r="A296" s="13" t="n">
        <v>45812</v>
      </c>
      <c r="B296" s="8" t="n">
        <v>65.53</v>
      </c>
      <c r="C296" s="9" t="n">
        <v>72.48999999999999</v>
      </c>
      <c r="D296" s="8" t="n">
        <v>62.15</v>
      </c>
      <c r="E296" s="8" t="n">
        <v>69.42</v>
      </c>
      <c r="F296" s="7" t="n">
        <v>53.34</v>
      </c>
      <c r="G296" s="9" t="n">
        <v>72.3</v>
      </c>
      <c r="H296" s="8" t="n">
        <v>60</v>
      </c>
      <c r="I296" s="8" t="n">
        <v>69.31999999999999</v>
      </c>
      <c r="J296" s="8" t="n">
        <v>61.19</v>
      </c>
      <c r="K296" s="8" t="n">
        <v>63.06</v>
      </c>
      <c r="L296" s="8" t="n">
        <v>60.48</v>
      </c>
      <c r="M296" s="9" t="n">
        <v>76.26000000000001</v>
      </c>
      <c r="N296" s="8" t="n">
        <v>65.18000000000001</v>
      </c>
      <c r="O296" s="9" t="n">
        <v>77.3</v>
      </c>
      <c r="P296" s="8" t="n">
        <v>64.09999999999999</v>
      </c>
      <c r="Q296" s="7" t="n">
        <v>51.79</v>
      </c>
      <c r="R296" s="9" t="n">
        <v>81.73</v>
      </c>
      <c r="S296" s="9" t="n">
        <v>81.09</v>
      </c>
      <c r="T296" s="9" t="n">
        <v>77.04000000000001</v>
      </c>
      <c r="U296" s="8" t="n">
        <v>62.2</v>
      </c>
      <c r="V296" s="8" t="n">
        <v>65.14</v>
      </c>
      <c r="W296" s="7" t="n">
        <v>52.52</v>
      </c>
      <c r="X296" s="7" t="n">
        <v>55.13</v>
      </c>
      <c r="Y296" s="8" t="n">
        <v>65.67</v>
      </c>
    </row>
    <row r="297" ht="15" customHeight="1">
      <c r="A297" s="13" t="n">
        <v>45811</v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</row>
    <row r="298" ht="15" customHeight="1">
      <c r="A298" s="13" t="n">
        <v>45810</v>
      </c>
      <c r="B298" s="7" t="n">
        <v>55.57</v>
      </c>
      <c r="C298" s="8" t="n">
        <v>67.84</v>
      </c>
      <c r="D298" s="7" t="n">
        <v>55.78</v>
      </c>
      <c r="E298" s="8" t="n">
        <v>62.19</v>
      </c>
      <c r="F298" s="7" t="n">
        <v>53.46</v>
      </c>
      <c r="G298" s="8" t="n">
        <v>62.91</v>
      </c>
      <c r="H298" s="7" t="n">
        <v>54.09</v>
      </c>
      <c r="I298" s="8" t="n">
        <v>65.23</v>
      </c>
      <c r="J298" s="7" t="n">
        <v>55.37</v>
      </c>
      <c r="K298" s="7" t="n">
        <v>57.17</v>
      </c>
      <c r="L298" s="7" t="n">
        <v>58.02</v>
      </c>
      <c r="M298" s="9" t="n">
        <v>70.3</v>
      </c>
      <c r="N298" s="8" t="n">
        <v>66.98</v>
      </c>
      <c r="O298" s="9" t="n">
        <v>74.45</v>
      </c>
      <c r="P298" s="8" t="n">
        <v>61.06</v>
      </c>
      <c r="Q298" s="7" t="n">
        <v>44.2</v>
      </c>
      <c r="R298" s="9" t="n">
        <v>73.81999999999999</v>
      </c>
      <c r="S298" s="9" t="n">
        <v>74.43000000000001</v>
      </c>
      <c r="T298" s="8" t="n">
        <v>66.02</v>
      </c>
      <c r="U298" s="7" t="n">
        <v>59.38</v>
      </c>
      <c r="V298" s="7" t="n">
        <v>59.27</v>
      </c>
      <c r="W298" s="7" t="n">
        <v>43.68</v>
      </c>
      <c r="X298" s="7" t="n">
        <v>56.77</v>
      </c>
      <c r="Y298" s="7" t="n">
        <v>59.79</v>
      </c>
    </row>
    <row r="299" ht="15" customHeight="1">
      <c r="A299" s="13" t="n">
        <v>45807</v>
      </c>
      <c r="B299" s="8" t="n">
        <v>60.16</v>
      </c>
      <c r="C299" s="9" t="n">
        <v>72.56</v>
      </c>
      <c r="D299" s="7" t="n">
        <v>55.2</v>
      </c>
      <c r="E299" s="8" t="n">
        <v>62.09</v>
      </c>
      <c r="F299" s="7" t="n">
        <v>53.5</v>
      </c>
      <c r="G299" s="8" t="n">
        <v>62.93</v>
      </c>
      <c r="H299" s="7" t="n">
        <v>56.46</v>
      </c>
      <c r="I299" s="8" t="n">
        <v>64.23999999999999</v>
      </c>
      <c r="J299" s="7" t="n">
        <v>53.3</v>
      </c>
      <c r="K299" s="8" t="n">
        <v>60.59</v>
      </c>
      <c r="L299" s="7" t="n">
        <v>55.91</v>
      </c>
      <c r="M299" s="9" t="n">
        <v>73.91</v>
      </c>
      <c r="N299" s="9" t="n">
        <v>70.8</v>
      </c>
      <c r="O299" s="9" t="n">
        <v>73.53</v>
      </c>
      <c r="P299" s="7" t="n">
        <v>56.13</v>
      </c>
      <c r="Q299" s="7" t="n">
        <v>48.71</v>
      </c>
      <c r="R299" s="9" t="n">
        <v>82.31</v>
      </c>
      <c r="S299" s="9" t="n">
        <v>77.53</v>
      </c>
      <c r="T299" s="9" t="n">
        <v>71.47</v>
      </c>
      <c r="U299" s="8" t="n">
        <v>60.34</v>
      </c>
      <c r="V299" s="7" t="n">
        <v>57.62</v>
      </c>
      <c r="W299" s="7" t="n">
        <v>48.7</v>
      </c>
      <c r="X299" s="7" t="n">
        <v>54.9</v>
      </c>
      <c r="Y299" s="7" t="n">
        <v>54.82</v>
      </c>
    </row>
    <row r="300" ht="15" customHeight="1">
      <c r="A300" s="13" t="n">
        <v>45806</v>
      </c>
      <c r="B300" s="8" t="n">
        <v>60.95</v>
      </c>
      <c r="C300" s="9" t="n">
        <v>71.52</v>
      </c>
      <c r="D300" s="7" t="n">
        <v>54.23</v>
      </c>
      <c r="E300" s="8" t="n">
        <v>62.06</v>
      </c>
      <c r="F300" s="7" t="n">
        <v>51</v>
      </c>
      <c r="G300" s="8" t="n">
        <v>65.83</v>
      </c>
      <c r="H300" s="8" t="n">
        <v>60.27</v>
      </c>
      <c r="I300" s="9" t="n">
        <v>71.51000000000001</v>
      </c>
      <c r="J300" s="7" t="n">
        <v>56.47</v>
      </c>
      <c r="K300" s="8" t="n">
        <v>63.45</v>
      </c>
      <c r="L300" s="8" t="n">
        <v>62.4</v>
      </c>
      <c r="M300" s="9" t="n">
        <v>80.48999999999999</v>
      </c>
      <c r="N300" s="8" t="n">
        <v>67.06999999999999</v>
      </c>
      <c r="O300" s="9" t="n">
        <v>82.66</v>
      </c>
      <c r="P300" s="8" t="n">
        <v>62.67</v>
      </c>
      <c r="Q300" s="7" t="n">
        <v>49.31</v>
      </c>
      <c r="R300" s="9" t="n">
        <v>84.93000000000001</v>
      </c>
      <c r="S300" s="9" t="n">
        <v>83.56</v>
      </c>
      <c r="T300" s="9" t="n">
        <v>72.78</v>
      </c>
      <c r="U300" s="8" t="n">
        <v>60.4</v>
      </c>
      <c r="V300" s="8" t="n">
        <v>62.02</v>
      </c>
      <c r="W300" s="7" t="n">
        <v>47.44</v>
      </c>
      <c r="X300" s="8" t="n">
        <v>62.71</v>
      </c>
      <c r="Y300" s="8" t="n">
        <v>60.26</v>
      </c>
    </row>
    <row r="301" ht="15" customHeight="1">
      <c r="A301" s="13" t="n">
        <v>45805</v>
      </c>
      <c r="B301" s="7" t="n">
        <v>59.76</v>
      </c>
      <c r="C301" s="8" t="n">
        <v>66.12</v>
      </c>
      <c r="D301" s="7" t="n">
        <v>49.86</v>
      </c>
      <c r="E301" s="7" t="n">
        <v>57.46</v>
      </c>
      <c r="F301" s="7" t="n">
        <v>48.51</v>
      </c>
      <c r="G301" s="8" t="n">
        <v>60.31</v>
      </c>
      <c r="H301" s="7" t="n">
        <v>56.23</v>
      </c>
      <c r="I301" s="8" t="n">
        <v>67.47</v>
      </c>
      <c r="J301" s="7" t="n">
        <v>54.48</v>
      </c>
      <c r="K301" s="8" t="n">
        <v>62.67</v>
      </c>
      <c r="L301" s="7" t="n">
        <v>55.6</v>
      </c>
      <c r="M301" s="9" t="n">
        <v>77.66</v>
      </c>
      <c r="N301" s="9" t="n">
        <v>73.19</v>
      </c>
      <c r="O301" s="9" t="n">
        <v>78.8</v>
      </c>
      <c r="P301" s="8" t="n">
        <v>60.05</v>
      </c>
      <c r="Q301" s="7" t="n">
        <v>49.45</v>
      </c>
      <c r="R301" s="9" t="n">
        <v>79.61</v>
      </c>
      <c r="S301" s="9" t="n">
        <v>72.40000000000001</v>
      </c>
      <c r="T301" s="8" t="n">
        <v>67.98</v>
      </c>
      <c r="U301" s="7" t="n">
        <v>54.99</v>
      </c>
      <c r="V301" s="7" t="n">
        <v>57.44</v>
      </c>
      <c r="W301" s="7" t="n">
        <v>44.69</v>
      </c>
      <c r="X301" s="7" t="n">
        <v>58.61</v>
      </c>
      <c r="Y301" s="8" t="n">
        <v>66.68000000000001</v>
      </c>
    </row>
    <row r="302" ht="15" customHeight="1">
      <c r="A302" s="13" t="n">
        <v>45804</v>
      </c>
      <c r="B302" s="8" t="n">
        <v>61.81</v>
      </c>
      <c r="C302" s="8" t="n">
        <v>69.37</v>
      </c>
      <c r="D302" s="7" t="n">
        <v>48.85</v>
      </c>
      <c r="E302" s="7" t="n">
        <v>50.43</v>
      </c>
      <c r="F302" s="7" t="n">
        <v>48.6</v>
      </c>
      <c r="G302" s="8" t="n">
        <v>60.59</v>
      </c>
      <c r="H302" s="7" t="n">
        <v>50.94</v>
      </c>
      <c r="I302" s="9" t="n">
        <v>75.94</v>
      </c>
      <c r="J302" s="7" t="n">
        <v>44.02</v>
      </c>
      <c r="K302" s="8" t="n">
        <v>63.32</v>
      </c>
      <c r="L302" s="8" t="n">
        <v>60.9</v>
      </c>
      <c r="M302" s="9" t="n">
        <v>76.68000000000001</v>
      </c>
      <c r="N302" s="9" t="n">
        <v>76.09</v>
      </c>
      <c r="O302" s="9" t="n">
        <v>79.90000000000001</v>
      </c>
      <c r="P302" s="7" t="n">
        <v>59.42</v>
      </c>
      <c r="Q302" s="7" t="n">
        <v>51.81</v>
      </c>
      <c r="R302" s="9" t="n">
        <v>77.31999999999999</v>
      </c>
      <c r="S302" s="9" t="n">
        <v>71.06999999999999</v>
      </c>
      <c r="T302" s="8" t="n">
        <v>68.58</v>
      </c>
      <c r="U302" s="7" t="n">
        <v>57.25</v>
      </c>
      <c r="V302" s="7" t="n">
        <v>51.74</v>
      </c>
      <c r="W302" s="7" t="n">
        <v>47.15</v>
      </c>
      <c r="X302" s="7" t="n">
        <v>55.13</v>
      </c>
      <c r="Y302" s="9" t="n">
        <v>75.05</v>
      </c>
    </row>
    <row r="303" ht="15" customHeight="1">
      <c r="A303" s="13" t="n">
        <v>45803</v>
      </c>
      <c r="B303" s="8" t="n">
        <v>62.79</v>
      </c>
      <c r="C303" s="8" t="n">
        <v>67.81</v>
      </c>
      <c r="D303" s="7" t="n">
        <v>50.32</v>
      </c>
      <c r="E303" s="7" t="n">
        <v>48.74</v>
      </c>
      <c r="F303" s="7" t="n">
        <v>49.54</v>
      </c>
      <c r="G303" s="7" t="n">
        <v>59.96</v>
      </c>
      <c r="H303" s="7" t="n">
        <v>54.61</v>
      </c>
      <c r="I303" s="9" t="n">
        <v>75.53</v>
      </c>
      <c r="J303" s="7" t="n">
        <v>47.48</v>
      </c>
      <c r="K303" s="7" t="n">
        <v>56.08</v>
      </c>
      <c r="L303" s="7" t="n">
        <v>56.8</v>
      </c>
      <c r="M303" s="9" t="n">
        <v>82.20999999999999</v>
      </c>
      <c r="N303" s="9" t="n">
        <v>87.62</v>
      </c>
      <c r="O303" s="9" t="n">
        <v>77.88</v>
      </c>
      <c r="P303" s="8" t="n">
        <v>63.41</v>
      </c>
      <c r="Q303" s="7" t="n">
        <v>52.69</v>
      </c>
      <c r="R303" s="9" t="n">
        <v>77.91</v>
      </c>
      <c r="S303" s="9" t="n">
        <v>76.45</v>
      </c>
      <c r="T303" s="9" t="n">
        <v>74.14</v>
      </c>
      <c r="U303" s="7" t="n">
        <v>56.43</v>
      </c>
      <c r="V303" s="7" t="n">
        <v>52.99</v>
      </c>
      <c r="W303" s="7" t="n">
        <v>50.3</v>
      </c>
      <c r="X303" s="7" t="n">
        <v>55.03</v>
      </c>
      <c r="Y303" s="9" t="n">
        <v>77.81</v>
      </c>
    </row>
    <row r="304" ht="15" customHeight="1">
      <c r="A304" s="13" t="n">
        <v>45800</v>
      </c>
      <c r="B304" s="7" t="n">
        <v>59</v>
      </c>
      <c r="C304" s="8" t="n">
        <v>66</v>
      </c>
      <c r="D304" s="7" t="n">
        <v>50.08</v>
      </c>
      <c r="E304" s="7" t="n">
        <v>41.32</v>
      </c>
      <c r="F304" s="7" t="n">
        <v>45.22</v>
      </c>
      <c r="G304" s="7" t="n">
        <v>54.44</v>
      </c>
      <c r="H304" s="7" t="n">
        <v>48.75</v>
      </c>
      <c r="I304" s="9" t="n">
        <v>73.19</v>
      </c>
      <c r="J304" s="7" t="n">
        <v>42.28</v>
      </c>
      <c r="K304" s="7" t="n">
        <v>53.5</v>
      </c>
      <c r="L304" s="7" t="n">
        <v>49.22</v>
      </c>
      <c r="M304" s="9" t="n">
        <v>74.52</v>
      </c>
      <c r="N304" s="9" t="n">
        <v>85.12</v>
      </c>
      <c r="O304" s="9" t="n">
        <v>74.94</v>
      </c>
      <c r="P304" s="8" t="n">
        <v>61.36</v>
      </c>
      <c r="Q304" s="7" t="n">
        <v>40.98</v>
      </c>
      <c r="R304" s="9" t="n">
        <v>73.12</v>
      </c>
      <c r="S304" s="9" t="n">
        <v>75.66</v>
      </c>
      <c r="T304" s="8" t="n">
        <v>65.09999999999999</v>
      </c>
      <c r="U304" s="7" t="n">
        <v>51.38</v>
      </c>
      <c r="V304" s="7" t="n">
        <v>45.53</v>
      </c>
      <c r="W304" s="7" t="n">
        <v>48.8</v>
      </c>
      <c r="X304" s="7" t="n">
        <v>46.56</v>
      </c>
      <c r="Y304" s="9" t="n">
        <v>76.38</v>
      </c>
    </row>
    <row r="305" ht="15" customHeight="1">
      <c r="A305" s="13" t="n">
        <v>45799</v>
      </c>
      <c r="B305" s="7" t="n">
        <v>58.11</v>
      </c>
      <c r="C305" s="8" t="n">
        <v>62.58</v>
      </c>
      <c r="D305" s="7" t="n">
        <v>50.9</v>
      </c>
      <c r="E305" s="7" t="n">
        <v>43.06</v>
      </c>
      <c r="F305" s="7" t="n">
        <v>54.18</v>
      </c>
      <c r="G305" s="7" t="n">
        <v>45.95</v>
      </c>
      <c r="H305" s="7" t="n">
        <v>49.8</v>
      </c>
      <c r="I305" s="8" t="n">
        <v>69.90000000000001</v>
      </c>
      <c r="J305" s="7" t="n">
        <v>43.43</v>
      </c>
      <c r="K305" s="7" t="n">
        <v>59.18</v>
      </c>
      <c r="L305" s="7" t="n">
        <v>51.84</v>
      </c>
      <c r="M305" s="9" t="n">
        <v>71.87</v>
      </c>
      <c r="N305" s="9" t="n">
        <v>82.08</v>
      </c>
      <c r="O305" s="8" t="n">
        <v>64.70999999999999</v>
      </c>
      <c r="P305" s="8" t="n">
        <v>62.48</v>
      </c>
      <c r="Q305" s="7" t="n">
        <v>46.12</v>
      </c>
      <c r="R305" s="8" t="n">
        <v>69.81</v>
      </c>
      <c r="S305" s="9" t="n">
        <v>74.88</v>
      </c>
      <c r="T305" s="7" t="n">
        <v>58.08</v>
      </c>
      <c r="U305" s="7" t="n">
        <v>47.17</v>
      </c>
      <c r="V305" s="7" t="n">
        <v>48.12</v>
      </c>
      <c r="W305" s="7" t="n">
        <v>48.68</v>
      </c>
      <c r="X305" s="7" t="n">
        <v>49.11</v>
      </c>
      <c r="Y305" s="9" t="n">
        <v>74.88</v>
      </c>
    </row>
    <row r="306" ht="15" customHeight="1">
      <c r="A306" s="13" t="n">
        <v>45798</v>
      </c>
      <c r="B306" s="7" t="n">
        <v>59.16</v>
      </c>
      <c r="C306" s="7" t="n">
        <v>55.2</v>
      </c>
      <c r="D306" s="7" t="n">
        <v>52.35</v>
      </c>
      <c r="E306" s="7" t="n">
        <v>47.81</v>
      </c>
      <c r="F306" s="7" t="n">
        <v>58.53</v>
      </c>
      <c r="G306" s="7" t="n">
        <v>49.53</v>
      </c>
      <c r="H306" s="7" t="n">
        <v>55.9</v>
      </c>
      <c r="I306" s="9" t="n">
        <v>78.87</v>
      </c>
      <c r="J306" s="7" t="n">
        <v>47.9</v>
      </c>
      <c r="K306" s="7" t="n">
        <v>57.9</v>
      </c>
      <c r="L306" s="7" t="n">
        <v>57.68</v>
      </c>
      <c r="M306" s="9" t="n">
        <v>73.16</v>
      </c>
      <c r="N306" s="9" t="n">
        <v>81.11</v>
      </c>
      <c r="O306" s="9" t="n">
        <v>70.67</v>
      </c>
      <c r="P306" s="8" t="n">
        <v>61.99</v>
      </c>
      <c r="Q306" s="7" t="n">
        <v>51.89</v>
      </c>
      <c r="R306" s="9" t="n">
        <v>75.20999999999999</v>
      </c>
      <c r="S306" s="9" t="n">
        <v>77.65000000000001</v>
      </c>
      <c r="T306" s="8" t="n">
        <v>65.94</v>
      </c>
      <c r="U306" s="7" t="n">
        <v>51.67</v>
      </c>
      <c r="V306" s="7" t="n">
        <v>55.02</v>
      </c>
      <c r="W306" s="7" t="n">
        <v>52.36</v>
      </c>
      <c r="X306" s="7" t="n">
        <v>51.91</v>
      </c>
      <c r="Y306" s="9" t="n">
        <v>73.69</v>
      </c>
    </row>
    <row r="307" ht="15" customHeight="1">
      <c r="A307" s="13" t="n">
        <v>45797</v>
      </c>
      <c r="B307" s="8" t="n">
        <v>60.17</v>
      </c>
      <c r="C307" s="7" t="n">
        <v>54.1</v>
      </c>
      <c r="D307" s="7" t="n">
        <v>52.3</v>
      </c>
      <c r="E307" s="7" t="n">
        <v>45.42</v>
      </c>
      <c r="F307" s="7" t="n">
        <v>45.78</v>
      </c>
      <c r="G307" s="7" t="n">
        <v>47.87</v>
      </c>
      <c r="H307" s="7" t="n">
        <v>54.85</v>
      </c>
      <c r="I307" s="9" t="n">
        <v>76.5</v>
      </c>
      <c r="J307" s="7" t="n">
        <v>49.05</v>
      </c>
      <c r="K307" s="7" t="n">
        <v>52.89</v>
      </c>
      <c r="L307" s="7" t="n">
        <v>52.83</v>
      </c>
      <c r="M307" s="7" t="n">
        <v>59.66</v>
      </c>
      <c r="N307" s="9" t="n">
        <v>80.11</v>
      </c>
      <c r="O307" s="8" t="n">
        <v>67.41</v>
      </c>
      <c r="P307" s="8" t="n">
        <v>61.1</v>
      </c>
      <c r="Q307" s="7" t="n">
        <v>53.38</v>
      </c>
      <c r="R307" s="9" t="n">
        <v>72.68000000000001</v>
      </c>
      <c r="S307" s="9" t="n">
        <v>73.01000000000001</v>
      </c>
      <c r="T307" s="8" t="n">
        <v>61.2</v>
      </c>
      <c r="U307" s="7" t="n">
        <v>49.01</v>
      </c>
      <c r="V307" s="7" t="n">
        <v>51.89</v>
      </c>
      <c r="W307" s="7" t="n">
        <v>52.43</v>
      </c>
      <c r="X307" s="7" t="n">
        <v>47.03</v>
      </c>
      <c r="Y307" s="9" t="n">
        <v>72.90000000000001</v>
      </c>
    </row>
    <row r="308" ht="15" customHeight="1">
      <c r="A308" s="13" t="n">
        <v>45796</v>
      </c>
      <c r="B308" s="8" t="n">
        <v>63.2</v>
      </c>
      <c r="C308" s="7" t="n">
        <v>51.91</v>
      </c>
      <c r="D308" s="7" t="n">
        <v>45.64</v>
      </c>
      <c r="E308" s="7" t="n">
        <v>50.86</v>
      </c>
      <c r="F308" s="7" t="n">
        <v>45.69</v>
      </c>
      <c r="G308" s="7" t="n">
        <v>45.87</v>
      </c>
      <c r="H308" s="7" t="n">
        <v>54.57</v>
      </c>
      <c r="I308" s="9" t="n">
        <v>72.75</v>
      </c>
      <c r="J308" s="7" t="n">
        <v>49.11</v>
      </c>
      <c r="K308" s="7" t="n">
        <v>53.14</v>
      </c>
      <c r="L308" s="7" t="n">
        <v>59.69</v>
      </c>
      <c r="M308" s="7" t="n">
        <v>55.17</v>
      </c>
      <c r="N308" s="9" t="n">
        <v>76.8</v>
      </c>
      <c r="O308" s="8" t="n">
        <v>63.24</v>
      </c>
      <c r="P308" s="8" t="n">
        <v>66.01000000000001</v>
      </c>
      <c r="Q308" s="7" t="n">
        <v>52.3</v>
      </c>
      <c r="R308" s="9" t="n">
        <v>71.08</v>
      </c>
      <c r="S308" s="9" t="n">
        <v>70.45</v>
      </c>
      <c r="T308" s="8" t="n">
        <v>62.57</v>
      </c>
      <c r="U308" s="7" t="n">
        <v>51.06</v>
      </c>
      <c r="V308" s="7" t="n">
        <v>53.47</v>
      </c>
      <c r="W308" s="7" t="n">
        <v>51.07</v>
      </c>
      <c r="X308" s="7" t="n">
        <v>47.62</v>
      </c>
      <c r="Y308" s="8" t="n">
        <v>69.05</v>
      </c>
    </row>
    <row r="309" ht="15" customHeight="1">
      <c r="A309" s="13" t="n">
        <v>45793</v>
      </c>
      <c r="B309" s="8" t="n">
        <v>69.55</v>
      </c>
      <c r="C309" s="7" t="n">
        <v>53.84</v>
      </c>
      <c r="D309" s="7" t="n">
        <v>47.83</v>
      </c>
      <c r="E309" s="7" t="n">
        <v>52.26</v>
      </c>
      <c r="F309" s="7" t="n">
        <v>41.46</v>
      </c>
      <c r="G309" s="7" t="n">
        <v>48.51</v>
      </c>
      <c r="H309" s="7" t="n">
        <v>59.3</v>
      </c>
      <c r="I309" s="9" t="n">
        <v>76.20999999999999</v>
      </c>
      <c r="J309" s="7" t="n">
        <v>53.99</v>
      </c>
      <c r="K309" s="7" t="n">
        <v>55.65</v>
      </c>
      <c r="L309" s="8" t="n">
        <v>64.52</v>
      </c>
      <c r="M309" s="7" t="n">
        <v>56.29</v>
      </c>
      <c r="N309" s="9" t="n">
        <v>75.45</v>
      </c>
      <c r="O309" s="8" t="n">
        <v>63.65</v>
      </c>
      <c r="P309" s="9" t="n">
        <v>70.44</v>
      </c>
      <c r="Q309" s="7" t="n">
        <v>54.35</v>
      </c>
      <c r="R309" s="9" t="n">
        <v>72.88</v>
      </c>
      <c r="S309" s="9" t="n">
        <v>80.73999999999999</v>
      </c>
      <c r="T309" s="7" t="n">
        <v>56.58</v>
      </c>
      <c r="U309" s="7" t="n">
        <v>56.47</v>
      </c>
      <c r="V309" s="7" t="n">
        <v>58.7</v>
      </c>
      <c r="W309" s="7" t="n">
        <v>56.81</v>
      </c>
      <c r="X309" s="7" t="n">
        <v>53.74</v>
      </c>
      <c r="Y309" s="9" t="n">
        <v>75.01000000000001</v>
      </c>
    </row>
    <row r="310" ht="15" customHeight="1">
      <c r="A310" s="13" t="n">
        <v>45792</v>
      </c>
      <c r="B310" s="7" t="n">
        <v>58.73</v>
      </c>
      <c r="C310" s="7" t="n">
        <v>59.72</v>
      </c>
      <c r="D310" s="7" t="n">
        <v>52.76</v>
      </c>
      <c r="E310" s="7" t="n">
        <v>55.4</v>
      </c>
      <c r="F310" s="7" t="n">
        <v>41.03</v>
      </c>
      <c r="G310" s="8" t="n">
        <v>60.28</v>
      </c>
      <c r="H310" s="7" t="n">
        <v>58.84</v>
      </c>
      <c r="I310" s="9" t="n">
        <v>70.56</v>
      </c>
      <c r="J310" s="7" t="n">
        <v>56.1</v>
      </c>
      <c r="K310" s="7" t="n">
        <v>53.37</v>
      </c>
      <c r="L310" s="8" t="n">
        <v>62.02</v>
      </c>
      <c r="M310" s="7" t="n">
        <v>57.64</v>
      </c>
      <c r="N310" s="8" t="n">
        <v>66.55</v>
      </c>
      <c r="O310" s="7" t="n">
        <v>59.57</v>
      </c>
      <c r="P310" s="8" t="n">
        <v>68.27</v>
      </c>
      <c r="Q310" s="7" t="n">
        <v>49.67</v>
      </c>
      <c r="R310" s="9" t="n">
        <v>72.53</v>
      </c>
      <c r="S310" s="9" t="n">
        <v>79.53</v>
      </c>
      <c r="T310" s="7" t="n">
        <v>55.94</v>
      </c>
      <c r="U310" s="7" t="n">
        <v>56.26</v>
      </c>
      <c r="V310" s="7" t="n">
        <v>58.4</v>
      </c>
      <c r="W310" s="7" t="n">
        <v>53.28</v>
      </c>
      <c r="X310" s="7" t="n">
        <v>52.68</v>
      </c>
      <c r="Y310" s="9" t="n">
        <v>74.95999999999999</v>
      </c>
    </row>
    <row r="311" ht="15" customHeight="1">
      <c r="A311" s="13" t="n">
        <v>45791</v>
      </c>
      <c r="B311" s="8" t="n">
        <v>61.99</v>
      </c>
      <c r="C311" s="8" t="n">
        <v>67.77</v>
      </c>
      <c r="D311" s="7" t="n">
        <v>57.62</v>
      </c>
      <c r="E311" s="7" t="n">
        <v>57.68</v>
      </c>
      <c r="F311" s="7" t="n">
        <v>42.07</v>
      </c>
      <c r="G311" s="8" t="n">
        <v>65</v>
      </c>
      <c r="H311" s="8" t="n">
        <v>62.22</v>
      </c>
      <c r="I311" s="9" t="n">
        <v>72.83</v>
      </c>
      <c r="J311" s="7" t="n">
        <v>59.37</v>
      </c>
      <c r="K311" s="7" t="n">
        <v>54.18</v>
      </c>
      <c r="L311" s="8" t="n">
        <v>64.15000000000001</v>
      </c>
      <c r="M311" s="8" t="n">
        <v>60.76</v>
      </c>
      <c r="N311" s="8" t="n">
        <v>63.18</v>
      </c>
      <c r="O311" s="8" t="n">
        <v>67.33</v>
      </c>
      <c r="P311" s="8" t="n">
        <v>63.41</v>
      </c>
      <c r="Q311" s="7" t="n">
        <v>52.29</v>
      </c>
      <c r="R311" s="9" t="n">
        <v>79.38</v>
      </c>
      <c r="S311" s="9" t="n">
        <v>85.62</v>
      </c>
      <c r="T311" s="8" t="n">
        <v>63.75</v>
      </c>
      <c r="U311" s="7" t="n">
        <v>59.17</v>
      </c>
      <c r="V311" s="8" t="n">
        <v>62.3</v>
      </c>
      <c r="W311" s="8" t="n">
        <v>60</v>
      </c>
      <c r="X311" s="7" t="n">
        <v>55.64</v>
      </c>
      <c r="Y311" s="9" t="n">
        <v>74.26000000000001</v>
      </c>
    </row>
    <row r="312" ht="15" customHeight="1">
      <c r="A312" s="13" t="n">
        <v>45790</v>
      </c>
      <c r="B312" s="7" t="n">
        <v>58.17</v>
      </c>
      <c r="C312" s="8" t="n">
        <v>65.06</v>
      </c>
      <c r="D312" s="7" t="n">
        <v>55.85</v>
      </c>
      <c r="E312" s="7" t="n">
        <v>54.44</v>
      </c>
      <c r="F312" s="7" t="n">
        <v>40.56</v>
      </c>
      <c r="G312" s="8" t="n">
        <v>64</v>
      </c>
      <c r="H312" s="8" t="n">
        <v>60.29</v>
      </c>
      <c r="I312" s="8" t="n">
        <v>68.88</v>
      </c>
      <c r="J312" s="7" t="n">
        <v>55.84</v>
      </c>
      <c r="K312" s="7" t="n">
        <v>48.16</v>
      </c>
      <c r="L312" s="8" t="n">
        <v>61.69</v>
      </c>
      <c r="M312" s="8" t="n">
        <v>60.2</v>
      </c>
      <c r="N312" s="8" t="n">
        <v>62.27</v>
      </c>
      <c r="O312" s="8" t="n">
        <v>65.41</v>
      </c>
      <c r="P312" s="8" t="n">
        <v>61.41</v>
      </c>
      <c r="Q312" s="7" t="n">
        <v>50.1</v>
      </c>
      <c r="R312" s="9" t="n">
        <v>76.34999999999999</v>
      </c>
      <c r="S312" s="9" t="n">
        <v>86.06999999999999</v>
      </c>
      <c r="T312" s="8" t="n">
        <v>62.46</v>
      </c>
      <c r="U312" s="8" t="n">
        <v>61.01</v>
      </c>
      <c r="V312" s="7" t="n">
        <v>58.18</v>
      </c>
      <c r="W312" s="8" t="n">
        <v>63.31</v>
      </c>
      <c r="X312" s="7" t="n">
        <v>51.48</v>
      </c>
      <c r="Y312" s="9" t="n">
        <v>70.54000000000001</v>
      </c>
    </row>
    <row r="313" ht="15" customHeight="1">
      <c r="A313" s="13" t="n">
        <v>45789</v>
      </c>
      <c r="B313" s="8" t="n">
        <v>60.57</v>
      </c>
      <c r="C313" s="8" t="n">
        <v>62.87</v>
      </c>
      <c r="D313" s="8" t="n">
        <v>61.21</v>
      </c>
      <c r="E313" s="7" t="n">
        <v>56.66</v>
      </c>
      <c r="F313" s="7" t="n">
        <v>36.75</v>
      </c>
      <c r="G313" s="8" t="n">
        <v>69.51000000000001</v>
      </c>
      <c r="H313" s="8" t="n">
        <v>68.53</v>
      </c>
      <c r="I313" s="8" t="n">
        <v>66.68000000000001</v>
      </c>
      <c r="J313" s="7" t="n">
        <v>57.72</v>
      </c>
      <c r="K313" s="7" t="n">
        <v>44.17</v>
      </c>
      <c r="L313" s="8" t="n">
        <v>61.38</v>
      </c>
      <c r="M313" s="8" t="n">
        <v>64.7</v>
      </c>
      <c r="N313" s="9" t="n">
        <v>78.59</v>
      </c>
      <c r="O313" s="8" t="n">
        <v>69.18000000000001</v>
      </c>
      <c r="P313" s="7" t="n">
        <v>54.24</v>
      </c>
      <c r="Q313" s="7" t="n">
        <v>52.82</v>
      </c>
      <c r="R313" s="9" t="n">
        <v>73.91</v>
      </c>
      <c r="S313" s="9" t="n">
        <v>84.53</v>
      </c>
      <c r="T313" s="8" t="n">
        <v>63.55</v>
      </c>
      <c r="U313" s="7" t="n">
        <v>53.73</v>
      </c>
      <c r="V313" s="7" t="n">
        <v>59.52</v>
      </c>
      <c r="W313" s="8" t="n">
        <v>62.03</v>
      </c>
      <c r="X313" s="7" t="n">
        <v>55.4</v>
      </c>
      <c r="Y313" s="8" t="n">
        <v>69.11</v>
      </c>
    </row>
    <row r="314" ht="15" customHeight="1">
      <c r="A314" s="13" t="n">
        <v>45786</v>
      </c>
      <c r="B314" s="9" t="n">
        <v>71.40000000000001</v>
      </c>
      <c r="C314" s="7" t="n">
        <v>56</v>
      </c>
      <c r="D314" s="7" t="n">
        <v>45.21</v>
      </c>
      <c r="E314" s="7" t="n">
        <v>53.69</v>
      </c>
      <c r="F314" s="7" t="n">
        <v>44.97</v>
      </c>
      <c r="G314" s="8" t="n">
        <v>63.93</v>
      </c>
      <c r="H314" s="8" t="n">
        <v>67.56</v>
      </c>
      <c r="I314" s="8" t="n">
        <v>62.77</v>
      </c>
      <c r="J314" s="7" t="n">
        <v>48.22</v>
      </c>
      <c r="K314" s="7" t="n">
        <v>43.06</v>
      </c>
      <c r="L314" s="8" t="n">
        <v>68.95</v>
      </c>
      <c r="M314" s="8" t="n">
        <v>60.2</v>
      </c>
      <c r="N314" s="9" t="n">
        <v>78.45999999999999</v>
      </c>
      <c r="O314" s="8" t="n">
        <v>61.47</v>
      </c>
      <c r="P314" s="7" t="n">
        <v>42.64</v>
      </c>
      <c r="Q314" s="7" t="n">
        <v>55.85</v>
      </c>
      <c r="R314" s="9" t="n">
        <v>71.04000000000001</v>
      </c>
      <c r="S314" s="9" t="n">
        <v>80.27</v>
      </c>
      <c r="T314" s="7" t="n">
        <v>58.17</v>
      </c>
      <c r="U314" s="7" t="n">
        <v>53.67</v>
      </c>
      <c r="V314" s="7" t="n">
        <v>55.43</v>
      </c>
      <c r="W314" s="8" t="n">
        <v>61.91</v>
      </c>
      <c r="X314" s="7" t="n">
        <v>53</v>
      </c>
      <c r="Y314" s="9" t="n">
        <v>73.33</v>
      </c>
    </row>
    <row r="315" ht="15" customHeight="1">
      <c r="A315" s="13" t="n">
        <v>45785</v>
      </c>
      <c r="B315" s="8" t="n">
        <v>68.04000000000001</v>
      </c>
      <c r="C315" s="7" t="n">
        <v>56.79</v>
      </c>
      <c r="D315" s="7" t="n">
        <v>45.85</v>
      </c>
      <c r="E315" s="7" t="n">
        <v>57.77</v>
      </c>
      <c r="F315" s="7" t="n">
        <v>45.25</v>
      </c>
      <c r="G315" s="8" t="n">
        <v>69.16</v>
      </c>
      <c r="H315" s="8" t="n">
        <v>62.75</v>
      </c>
      <c r="I315" s="8" t="n">
        <v>62.41</v>
      </c>
      <c r="J315" s="7" t="n">
        <v>49.24</v>
      </c>
      <c r="K315" s="7" t="n">
        <v>55.09</v>
      </c>
      <c r="L315" s="8" t="n">
        <v>67.91</v>
      </c>
      <c r="M315" s="7" t="n">
        <v>58.91</v>
      </c>
      <c r="N315" s="9" t="n">
        <v>75.64</v>
      </c>
      <c r="O315" s="9" t="n">
        <v>70.52</v>
      </c>
      <c r="P315" s="7" t="n">
        <v>43.52</v>
      </c>
      <c r="Q315" s="7" t="n">
        <v>53.19</v>
      </c>
      <c r="R315" s="9" t="n">
        <v>73.61</v>
      </c>
      <c r="S315" s="9" t="n">
        <v>81.95</v>
      </c>
      <c r="T315" s="8" t="n">
        <v>60.3</v>
      </c>
      <c r="U315" s="8" t="n">
        <v>60.98</v>
      </c>
      <c r="V315" s="7" t="n">
        <v>55.63</v>
      </c>
      <c r="W315" s="8" t="n">
        <v>64.48999999999999</v>
      </c>
      <c r="X315" s="7" t="n">
        <v>50.07</v>
      </c>
      <c r="Y315" s="9" t="n">
        <v>71.70999999999999</v>
      </c>
    </row>
    <row r="316" ht="15" customHeight="1">
      <c r="A316" s="13" t="n">
        <v>45784</v>
      </c>
      <c r="B316" s="8" t="n">
        <v>64.47</v>
      </c>
      <c r="C316" s="7" t="n">
        <v>59.36</v>
      </c>
      <c r="D316" s="7" t="n">
        <v>46.28</v>
      </c>
      <c r="E316" s="7" t="n">
        <v>52.09</v>
      </c>
      <c r="F316" s="7" t="n">
        <v>45.72</v>
      </c>
      <c r="G316" s="8" t="n">
        <v>66.81999999999999</v>
      </c>
      <c r="H316" s="7" t="n">
        <v>57.15</v>
      </c>
      <c r="I316" s="8" t="n">
        <v>61.02</v>
      </c>
      <c r="J316" s="7" t="n">
        <v>48.28</v>
      </c>
      <c r="K316" s="7" t="n">
        <v>50.77</v>
      </c>
      <c r="L316" s="8" t="n">
        <v>67.94</v>
      </c>
      <c r="M316" s="7" t="n">
        <v>59.65</v>
      </c>
      <c r="N316" s="9" t="n">
        <v>80.51000000000001</v>
      </c>
      <c r="O316" s="9" t="n">
        <v>75.73</v>
      </c>
      <c r="P316" s="7" t="n">
        <v>46.73</v>
      </c>
      <c r="Q316" s="7" t="n">
        <v>56.79</v>
      </c>
      <c r="R316" s="9" t="n">
        <v>73.27</v>
      </c>
      <c r="S316" s="9" t="n">
        <v>81.25</v>
      </c>
      <c r="T316" s="8" t="n">
        <v>60.29</v>
      </c>
      <c r="U316" s="7" t="n">
        <v>55.72</v>
      </c>
      <c r="V316" s="7" t="n">
        <v>53.97</v>
      </c>
      <c r="W316" s="8" t="n">
        <v>62.1</v>
      </c>
      <c r="X316" s="8" t="n">
        <v>60.47</v>
      </c>
      <c r="Y316" s="9" t="n">
        <v>71.63</v>
      </c>
    </row>
    <row r="317" ht="15" customHeight="1">
      <c r="A317" s="13" t="n">
        <v>45783</v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</row>
    <row r="318" ht="15" customHeight="1">
      <c r="A318" s="13" t="n">
        <v>45782</v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</row>
    <row r="319" ht="15" customHeight="1">
      <c r="A319" s="13" t="n">
        <v>45779</v>
      </c>
      <c r="B319" s="9" t="n">
        <v>70.26000000000001</v>
      </c>
      <c r="C319" s="8" t="n">
        <v>62.88</v>
      </c>
      <c r="D319" s="7" t="n">
        <v>46.79</v>
      </c>
      <c r="E319" s="7" t="n">
        <v>51.88</v>
      </c>
      <c r="F319" s="7" t="n">
        <v>54.28</v>
      </c>
      <c r="G319" s="8" t="n">
        <v>66.45</v>
      </c>
      <c r="H319" s="7" t="n">
        <v>55.2</v>
      </c>
      <c r="I319" s="8" t="n">
        <v>60.77</v>
      </c>
      <c r="J319" s="7" t="n">
        <v>45.3</v>
      </c>
      <c r="K319" s="7" t="n">
        <v>50.5</v>
      </c>
      <c r="L319" s="8" t="n">
        <v>63.89</v>
      </c>
      <c r="M319" s="7" t="n">
        <v>58.85</v>
      </c>
      <c r="N319" s="9" t="n">
        <v>75.02</v>
      </c>
      <c r="O319" s="9" t="n">
        <v>72.53</v>
      </c>
      <c r="P319" s="7" t="n">
        <v>37.71</v>
      </c>
      <c r="Q319" s="8" t="n">
        <v>63.99</v>
      </c>
      <c r="R319" s="9" t="n">
        <v>72.28</v>
      </c>
      <c r="S319" s="9" t="n">
        <v>80.45999999999999</v>
      </c>
      <c r="T319" s="8" t="n">
        <v>63.14</v>
      </c>
      <c r="U319" s="7" t="n">
        <v>59.85</v>
      </c>
      <c r="V319" s="7" t="n">
        <v>52.13</v>
      </c>
      <c r="W319" s="8" t="n">
        <v>67.65000000000001</v>
      </c>
      <c r="X319" s="7" t="n">
        <v>58.11</v>
      </c>
      <c r="Y319" s="9" t="n">
        <v>70.41</v>
      </c>
    </row>
    <row r="320" ht="15" customHeight="1">
      <c r="A320" s="13" t="n">
        <v>45778</v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</row>
    <row r="321" ht="15" customHeight="1">
      <c r="A321" s="13" t="n">
        <v>45777</v>
      </c>
      <c r="B321" s="8" t="n">
        <v>67.69</v>
      </c>
      <c r="C321" s="8" t="n">
        <v>62.61</v>
      </c>
      <c r="D321" s="7" t="n">
        <v>52.67</v>
      </c>
      <c r="E321" s="7" t="n">
        <v>53.32</v>
      </c>
      <c r="F321" s="7" t="n">
        <v>49.11</v>
      </c>
      <c r="G321" s="8" t="n">
        <v>66.19</v>
      </c>
      <c r="H321" s="7" t="n">
        <v>58.25</v>
      </c>
      <c r="I321" s="8" t="n">
        <v>64.38</v>
      </c>
      <c r="J321" s="7" t="n">
        <v>45.38</v>
      </c>
      <c r="K321" s="7" t="n">
        <v>49.91</v>
      </c>
      <c r="L321" s="8" t="n">
        <v>63.57</v>
      </c>
      <c r="M321" s="8" t="n">
        <v>61.02</v>
      </c>
      <c r="N321" s="9" t="n">
        <v>77.98999999999999</v>
      </c>
      <c r="O321" s="9" t="n">
        <v>75.38</v>
      </c>
      <c r="P321" s="7" t="n">
        <v>40.97</v>
      </c>
      <c r="Q321" s="7" t="n">
        <v>59.48</v>
      </c>
      <c r="R321" s="9" t="n">
        <v>71.26000000000001</v>
      </c>
      <c r="S321" s="9" t="n">
        <v>79.79000000000001</v>
      </c>
      <c r="T321" s="8" t="n">
        <v>63.18</v>
      </c>
      <c r="U321" s="8" t="n">
        <v>61.91</v>
      </c>
      <c r="V321" s="7" t="n">
        <v>51.81</v>
      </c>
      <c r="W321" s="8" t="n">
        <v>64.86</v>
      </c>
      <c r="X321" s="7" t="n">
        <v>57.23</v>
      </c>
      <c r="Y321" s="9" t="n">
        <v>72.73999999999999</v>
      </c>
    </row>
    <row r="322" ht="15" customHeight="1">
      <c r="A322" s="13" t="n">
        <v>45776</v>
      </c>
      <c r="B322" s="8" t="n">
        <v>68.08</v>
      </c>
      <c r="C322" s="8" t="n">
        <v>61.82</v>
      </c>
      <c r="D322" s="7" t="n">
        <v>53.48</v>
      </c>
      <c r="E322" s="7" t="n">
        <v>57.45</v>
      </c>
      <c r="F322" s="7" t="n">
        <v>50.05</v>
      </c>
      <c r="G322" s="9" t="n">
        <v>71.26000000000001</v>
      </c>
      <c r="H322" s="7" t="n">
        <v>58.18</v>
      </c>
      <c r="I322" s="8" t="n">
        <v>65.56999999999999</v>
      </c>
      <c r="J322" s="7" t="n">
        <v>50.09</v>
      </c>
      <c r="K322" s="7" t="n">
        <v>52.43</v>
      </c>
      <c r="L322" s="8" t="n">
        <v>64.05</v>
      </c>
      <c r="M322" s="7" t="n">
        <v>57.1</v>
      </c>
      <c r="N322" s="9" t="n">
        <v>79.06999999999999</v>
      </c>
      <c r="O322" s="9" t="n">
        <v>74.77</v>
      </c>
      <c r="P322" s="7" t="n">
        <v>41.68</v>
      </c>
      <c r="Q322" s="7" t="n">
        <v>55.89</v>
      </c>
      <c r="R322" s="8" t="n">
        <v>67.5</v>
      </c>
      <c r="S322" s="9" t="n">
        <v>73.83</v>
      </c>
      <c r="T322" s="7" t="n">
        <v>59.68</v>
      </c>
      <c r="U322" s="7" t="n">
        <v>58.67</v>
      </c>
      <c r="V322" s="7" t="n">
        <v>55.88</v>
      </c>
      <c r="W322" s="8" t="n">
        <v>62.85</v>
      </c>
      <c r="X322" s="7" t="n">
        <v>55.93</v>
      </c>
      <c r="Y322" s="8" t="n">
        <v>66.95999999999999</v>
      </c>
    </row>
    <row r="323" ht="15" customHeight="1">
      <c r="A323" s="13" t="n">
        <v>45775</v>
      </c>
      <c r="B323" s="8" t="n">
        <v>64</v>
      </c>
      <c r="C323" s="7" t="n">
        <v>58.07</v>
      </c>
      <c r="D323" s="7" t="n">
        <v>49.43</v>
      </c>
      <c r="E323" s="7" t="n">
        <v>54.33</v>
      </c>
      <c r="F323" s="7" t="n">
        <v>43.46</v>
      </c>
      <c r="G323" s="8" t="n">
        <v>67.23</v>
      </c>
      <c r="H323" s="7" t="n">
        <v>56.7</v>
      </c>
      <c r="I323" s="8" t="n">
        <v>63.07</v>
      </c>
      <c r="J323" s="7" t="n">
        <v>49.46</v>
      </c>
      <c r="K323" s="7" t="n">
        <v>48.79</v>
      </c>
      <c r="L323" s="8" t="n">
        <v>66.87</v>
      </c>
      <c r="M323" s="7" t="n">
        <v>53.98</v>
      </c>
      <c r="N323" s="9" t="n">
        <v>78.20999999999999</v>
      </c>
      <c r="O323" s="9" t="n">
        <v>72.61</v>
      </c>
      <c r="P323" s="7" t="n">
        <v>42.14</v>
      </c>
      <c r="Q323" s="7" t="n">
        <v>55.4</v>
      </c>
      <c r="R323" s="8" t="n">
        <v>63.59</v>
      </c>
      <c r="S323" s="8" t="n">
        <v>68.47</v>
      </c>
      <c r="T323" s="7" t="n">
        <v>54.18</v>
      </c>
      <c r="U323" s="7" t="n">
        <v>56.18</v>
      </c>
      <c r="V323" s="7" t="n">
        <v>54.52</v>
      </c>
      <c r="W323" s="8" t="n">
        <v>62.14</v>
      </c>
      <c r="X323" s="7" t="n">
        <v>55.44</v>
      </c>
      <c r="Y323" s="8" t="n">
        <v>64.62</v>
      </c>
    </row>
    <row r="324" ht="15" customHeight="1">
      <c r="A324" s="13" t="n">
        <v>45772</v>
      </c>
      <c r="B324" s="8" t="n">
        <v>64.27</v>
      </c>
      <c r="C324" s="7" t="n">
        <v>59.4</v>
      </c>
      <c r="D324" s="7" t="n">
        <v>53.61</v>
      </c>
      <c r="E324" s="7" t="n">
        <v>54.99</v>
      </c>
      <c r="F324" s="7" t="n">
        <v>43.95</v>
      </c>
      <c r="G324" s="8" t="n">
        <v>65.81</v>
      </c>
      <c r="H324" s="7" t="n">
        <v>50.64</v>
      </c>
      <c r="I324" s="8" t="n">
        <v>64.26000000000001</v>
      </c>
      <c r="J324" s="7" t="n">
        <v>49.7</v>
      </c>
      <c r="K324" s="7" t="n">
        <v>51.24</v>
      </c>
      <c r="L324" s="8" t="n">
        <v>66.81</v>
      </c>
      <c r="M324" s="7" t="n">
        <v>52.13</v>
      </c>
      <c r="N324" s="9" t="n">
        <v>75.58</v>
      </c>
      <c r="O324" s="8" t="n">
        <v>66.31</v>
      </c>
      <c r="P324" s="7" t="n">
        <v>43.45</v>
      </c>
      <c r="Q324" s="8" t="n">
        <v>63.16</v>
      </c>
      <c r="R324" s="8" t="n">
        <v>64.42</v>
      </c>
      <c r="S324" s="8" t="n">
        <v>66.92</v>
      </c>
      <c r="T324" s="7" t="n">
        <v>52.7</v>
      </c>
      <c r="U324" s="7" t="n">
        <v>55.53</v>
      </c>
      <c r="V324" s="7" t="n">
        <v>54.5</v>
      </c>
      <c r="W324" s="7" t="n">
        <v>58.93</v>
      </c>
      <c r="X324" s="7" t="n">
        <v>51.46</v>
      </c>
      <c r="Y324" s="7" t="n">
        <v>53.79</v>
      </c>
    </row>
    <row r="325" ht="15" customHeight="1">
      <c r="A325" s="13" t="n">
        <v>45771</v>
      </c>
      <c r="B325" s="8" t="n">
        <v>63.93</v>
      </c>
      <c r="C325" s="7" t="n">
        <v>59.31</v>
      </c>
      <c r="D325" s="7" t="n">
        <v>53.45</v>
      </c>
      <c r="E325" s="7" t="n">
        <v>51.38</v>
      </c>
      <c r="F325" s="7" t="n">
        <v>45.56</v>
      </c>
      <c r="G325" s="8" t="n">
        <v>63.12</v>
      </c>
      <c r="H325" s="7" t="n">
        <v>50.03</v>
      </c>
      <c r="I325" s="8" t="n">
        <v>61.64</v>
      </c>
      <c r="J325" s="7" t="n">
        <v>47.4</v>
      </c>
      <c r="K325" s="7" t="n">
        <v>49.52</v>
      </c>
      <c r="L325" s="8" t="n">
        <v>62.92</v>
      </c>
      <c r="M325" s="7" t="n">
        <v>51.81</v>
      </c>
      <c r="N325" s="9" t="n">
        <v>74.56999999999999</v>
      </c>
      <c r="O325" s="8" t="n">
        <v>66.12</v>
      </c>
      <c r="P325" s="7" t="n">
        <v>43.54</v>
      </c>
      <c r="Q325" s="7" t="n">
        <v>59.94</v>
      </c>
      <c r="R325" s="8" t="n">
        <v>60.75</v>
      </c>
      <c r="S325" s="8" t="n">
        <v>65.53</v>
      </c>
      <c r="T325" s="7" t="n">
        <v>53.33</v>
      </c>
      <c r="U325" s="7" t="n">
        <v>54.73</v>
      </c>
      <c r="V325" s="7" t="n">
        <v>51.67</v>
      </c>
      <c r="W325" s="7" t="n">
        <v>58.64</v>
      </c>
      <c r="X325" s="7" t="n">
        <v>53.19</v>
      </c>
      <c r="Y325" s="7" t="n">
        <v>49.44</v>
      </c>
    </row>
    <row r="326" ht="15" customHeight="1">
      <c r="A326" s="13" t="n">
        <v>45770</v>
      </c>
      <c r="B326" s="8" t="n">
        <v>63.38</v>
      </c>
      <c r="C326" s="7" t="n">
        <v>59.32</v>
      </c>
      <c r="D326" s="7" t="n">
        <v>54.78</v>
      </c>
      <c r="E326" s="7" t="n">
        <v>49.35</v>
      </c>
      <c r="F326" s="7" t="n">
        <v>48.58</v>
      </c>
      <c r="G326" s="8" t="n">
        <v>64.91</v>
      </c>
      <c r="H326" s="7" t="n">
        <v>49.96</v>
      </c>
      <c r="I326" s="7" t="n">
        <v>59.74</v>
      </c>
      <c r="J326" s="7" t="n">
        <v>49.01</v>
      </c>
      <c r="K326" s="7" t="n">
        <v>49.25</v>
      </c>
      <c r="L326" s="8" t="n">
        <v>61.33</v>
      </c>
      <c r="M326" s="7" t="n">
        <v>52.06</v>
      </c>
      <c r="N326" s="9" t="n">
        <v>78.19</v>
      </c>
      <c r="O326" s="8" t="n">
        <v>60.78</v>
      </c>
      <c r="P326" s="7" t="n">
        <v>45.58</v>
      </c>
      <c r="Q326" s="8" t="n">
        <v>63.82</v>
      </c>
      <c r="R326" s="7" t="n">
        <v>59.87</v>
      </c>
      <c r="S326" s="8" t="n">
        <v>65.43000000000001</v>
      </c>
      <c r="T326" s="7" t="n">
        <v>53.13</v>
      </c>
      <c r="U326" s="7" t="n">
        <v>57.86</v>
      </c>
      <c r="V326" s="7" t="n">
        <v>52.37</v>
      </c>
      <c r="W326" s="7" t="n">
        <v>57.55</v>
      </c>
      <c r="X326" s="7" t="n">
        <v>51.72</v>
      </c>
      <c r="Y326" s="7" t="n">
        <v>51.68</v>
      </c>
    </row>
    <row r="327" ht="15" customHeight="1">
      <c r="A327" s="13" t="n">
        <v>45769</v>
      </c>
      <c r="B327" s="8" t="n">
        <v>69.03</v>
      </c>
      <c r="C327" s="7" t="n">
        <v>53.34</v>
      </c>
      <c r="D327" s="7" t="n">
        <v>56.06</v>
      </c>
      <c r="E327" s="7" t="n">
        <v>43.45</v>
      </c>
      <c r="F327" s="7" t="n">
        <v>48.22</v>
      </c>
      <c r="G327" s="8" t="n">
        <v>66.66</v>
      </c>
      <c r="H327" s="7" t="n">
        <v>46.21</v>
      </c>
      <c r="I327" s="7" t="n">
        <v>55.53</v>
      </c>
      <c r="J327" s="7" t="n">
        <v>43.01</v>
      </c>
      <c r="K327" s="7" t="n">
        <v>43.62</v>
      </c>
      <c r="L327" s="7" t="n">
        <v>59.15</v>
      </c>
      <c r="M327" s="7" t="n">
        <v>48.42</v>
      </c>
      <c r="N327" s="9" t="n">
        <v>79.45</v>
      </c>
      <c r="O327" s="7" t="n">
        <v>59.86</v>
      </c>
      <c r="P327" s="7" t="n">
        <v>41.53</v>
      </c>
      <c r="Q327" s="8" t="n">
        <v>67.15000000000001</v>
      </c>
      <c r="R327" s="7" t="n">
        <v>55.88</v>
      </c>
      <c r="S327" s="8" t="n">
        <v>62.16</v>
      </c>
      <c r="T327" s="7" t="n">
        <v>50.56</v>
      </c>
      <c r="U327" s="7" t="n">
        <v>54.65</v>
      </c>
      <c r="V327" s="7" t="n">
        <v>47.35</v>
      </c>
      <c r="W327" s="7" t="n">
        <v>55.69</v>
      </c>
      <c r="X327" s="7" t="n">
        <v>51.69</v>
      </c>
      <c r="Y327" s="7" t="n">
        <v>50.78</v>
      </c>
    </row>
    <row r="328" ht="15" customHeight="1">
      <c r="A328" s="13" t="n">
        <v>45768</v>
      </c>
      <c r="B328" s="8" t="n">
        <v>66.33</v>
      </c>
      <c r="C328" s="7" t="n">
        <v>58.64</v>
      </c>
      <c r="D328" s="8" t="n">
        <v>64.23</v>
      </c>
      <c r="E328" s="7" t="n">
        <v>43.72</v>
      </c>
      <c r="F328" s="7" t="n">
        <v>47.84</v>
      </c>
      <c r="G328" s="8" t="n">
        <v>66.76000000000001</v>
      </c>
      <c r="H328" s="7" t="n">
        <v>40.46</v>
      </c>
      <c r="I328" s="7" t="n">
        <v>55.36</v>
      </c>
      <c r="J328" s="7" t="n">
        <v>44.9</v>
      </c>
      <c r="K328" s="7" t="n">
        <v>44.04</v>
      </c>
      <c r="L328" s="7" t="n">
        <v>58.21</v>
      </c>
      <c r="M328" s="7" t="n">
        <v>47.94</v>
      </c>
      <c r="N328" s="9" t="n">
        <v>78.48</v>
      </c>
      <c r="O328" s="8" t="n">
        <v>61.94</v>
      </c>
      <c r="P328" s="7" t="n">
        <v>42.77</v>
      </c>
      <c r="Q328" s="8" t="n">
        <v>65.29000000000001</v>
      </c>
      <c r="R328" s="7" t="n">
        <v>54.51</v>
      </c>
      <c r="S328" s="7" t="n">
        <v>58.26</v>
      </c>
      <c r="T328" s="7" t="n">
        <v>47.72</v>
      </c>
      <c r="U328" s="7" t="n">
        <v>55.5</v>
      </c>
      <c r="V328" s="7" t="n">
        <v>48.06</v>
      </c>
      <c r="W328" s="8" t="n">
        <v>60.49</v>
      </c>
      <c r="X328" s="7" t="n">
        <v>49.25</v>
      </c>
      <c r="Y328" s="7" t="n">
        <v>50.43</v>
      </c>
    </row>
    <row r="329" ht="15" customHeight="1">
      <c r="A329" s="13" t="n">
        <v>45765</v>
      </c>
      <c r="B329" s="8" t="n">
        <v>65.76000000000001</v>
      </c>
      <c r="C329" s="7" t="n">
        <v>56.45</v>
      </c>
      <c r="D329" s="7" t="n">
        <v>59.86</v>
      </c>
      <c r="E329" s="7" t="n">
        <v>43.38</v>
      </c>
      <c r="F329" s="7" t="n">
        <v>44.86</v>
      </c>
      <c r="G329" s="7" t="n">
        <v>59.34</v>
      </c>
      <c r="H329" s="7" t="n">
        <v>40.52</v>
      </c>
      <c r="I329" s="7" t="n">
        <v>55.07</v>
      </c>
      <c r="J329" s="7" t="n">
        <v>44.85</v>
      </c>
      <c r="K329" s="7" t="n">
        <v>42.76</v>
      </c>
      <c r="L329" s="7" t="n">
        <v>59.57</v>
      </c>
      <c r="M329" s="7" t="n">
        <v>48.24</v>
      </c>
      <c r="N329" s="9" t="n">
        <v>72.19</v>
      </c>
      <c r="O329" s="8" t="n">
        <v>62.27</v>
      </c>
      <c r="P329" s="7" t="n">
        <v>46.65</v>
      </c>
      <c r="Q329" s="8" t="n">
        <v>62.46</v>
      </c>
      <c r="R329" s="7" t="n">
        <v>51.76</v>
      </c>
      <c r="S329" s="7" t="n">
        <v>50.74</v>
      </c>
      <c r="T329" s="7" t="n">
        <v>45.71</v>
      </c>
      <c r="U329" s="7" t="n">
        <v>58.31</v>
      </c>
      <c r="V329" s="7" t="n">
        <v>47.82</v>
      </c>
      <c r="W329" s="7" t="n">
        <v>57.49</v>
      </c>
      <c r="X329" s="7" t="n">
        <v>49.64</v>
      </c>
      <c r="Y329" s="7" t="n">
        <v>50.46</v>
      </c>
    </row>
    <row r="330" ht="15" customHeight="1">
      <c r="A330" s="13" t="n">
        <v>45764</v>
      </c>
      <c r="B330" s="8" t="n">
        <v>65.27</v>
      </c>
      <c r="C330" s="7" t="n">
        <v>50.7</v>
      </c>
      <c r="D330" s="7" t="n">
        <v>58.09</v>
      </c>
      <c r="E330" s="7" t="n">
        <v>42.68</v>
      </c>
      <c r="F330" s="7" t="n">
        <v>46.18</v>
      </c>
      <c r="G330" s="7" t="n">
        <v>53.13</v>
      </c>
      <c r="H330" s="7" t="n">
        <v>41.73</v>
      </c>
      <c r="I330" s="7" t="n">
        <v>50.44</v>
      </c>
      <c r="J330" s="7" t="n">
        <v>44.66</v>
      </c>
      <c r="K330" s="7" t="n">
        <v>43.26</v>
      </c>
      <c r="L330" s="7" t="n">
        <v>58.01</v>
      </c>
      <c r="M330" s="7" t="n">
        <v>46.72</v>
      </c>
      <c r="N330" s="9" t="n">
        <v>70.48</v>
      </c>
      <c r="O330" s="7" t="n">
        <v>58.13</v>
      </c>
      <c r="P330" s="7" t="n">
        <v>41.6</v>
      </c>
      <c r="Q330" s="8" t="n">
        <v>61.13</v>
      </c>
      <c r="R330" s="7" t="n">
        <v>48.78</v>
      </c>
      <c r="S330" s="7" t="n">
        <v>47.57</v>
      </c>
      <c r="T330" s="7" t="n">
        <v>43.97</v>
      </c>
      <c r="U330" s="7" t="n">
        <v>55.07</v>
      </c>
      <c r="V330" s="7" t="n">
        <v>47.17</v>
      </c>
      <c r="W330" s="7" t="n">
        <v>56.06</v>
      </c>
      <c r="X330" s="7" t="n">
        <v>46.09</v>
      </c>
      <c r="Y330" s="7" t="n">
        <v>47.08</v>
      </c>
    </row>
    <row r="331" ht="15" customHeight="1">
      <c r="A331" s="13" t="n">
        <v>45763</v>
      </c>
      <c r="B331" s="8" t="n">
        <v>64.72</v>
      </c>
      <c r="C331" s="7" t="n">
        <v>44.38</v>
      </c>
      <c r="D331" s="7" t="n">
        <v>56.61</v>
      </c>
      <c r="E331" s="7" t="n">
        <v>39.63</v>
      </c>
      <c r="F331" s="7" t="n">
        <v>41.25</v>
      </c>
      <c r="G331" s="7" t="n">
        <v>51.06</v>
      </c>
      <c r="H331" s="7" t="n">
        <v>40.84</v>
      </c>
      <c r="I331" s="7" t="n">
        <v>45.65</v>
      </c>
      <c r="J331" s="7" t="n">
        <v>43.14</v>
      </c>
      <c r="K331" s="7" t="n">
        <v>38.51</v>
      </c>
      <c r="L331" s="7" t="n">
        <v>54.67</v>
      </c>
      <c r="M331" s="7" t="n">
        <v>46.93</v>
      </c>
      <c r="N331" s="9" t="n">
        <v>71.04000000000001</v>
      </c>
      <c r="O331" s="7" t="n">
        <v>56.03</v>
      </c>
      <c r="P331" s="7" t="n">
        <v>41.8</v>
      </c>
      <c r="Q331" s="7" t="n">
        <v>59.66</v>
      </c>
      <c r="R331" s="7" t="n">
        <v>47.91</v>
      </c>
      <c r="S331" s="7" t="n">
        <v>47.16</v>
      </c>
      <c r="T331" s="7" t="n">
        <v>43.7</v>
      </c>
      <c r="U331" s="7" t="n">
        <v>52.55</v>
      </c>
      <c r="V331" s="7" t="n">
        <v>44.29</v>
      </c>
      <c r="W331" s="7" t="n">
        <v>53.66</v>
      </c>
      <c r="X331" s="7" t="n">
        <v>42.95</v>
      </c>
      <c r="Y331" s="7" t="n">
        <v>46.53</v>
      </c>
    </row>
    <row r="332" ht="15" customHeight="1">
      <c r="A332" s="13" t="n">
        <v>45762</v>
      </c>
      <c r="B332" s="7" t="n">
        <v>59.88</v>
      </c>
      <c r="C332" s="7" t="n">
        <v>48.09</v>
      </c>
      <c r="D332" s="8" t="n">
        <v>61.08</v>
      </c>
      <c r="E332" s="7" t="n">
        <v>41.73</v>
      </c>
      <c r="F332" s="7" t="n">
        <v>42.69</v>
      </c>
      <c r="G332" s="7" t="n">
        <v>52.61</v>
      </c>
      <c r="H332" s="7" t="n">
        <v>41.77</v>
      </c>
      <c r="I332" s="7" t="n">
        <v>48.79</v>
      </c>
      <c r="J332" s="7" t="n">
        <v>47.75</v>
      </c>
      <c r="K332" s="7" t="n">
        <v>43.36</v>
      </c>
      <c r="L332" s="7" t="n">
        <v>56.32</v>
      </c>
      <c r="M332" s="7" t="n">
        <v>49.52</v>
      </c>
      <c r="N332" s="9" t="n">
        <v>71.81</v>
      </c>
      <c r="O332" s="8" t="n">
        <v>60.28</v>
      </c>
      <c r="P332" s="7" t="n">
        <v>42.2</v>
      </c>
      <c r="Q332" s="7" t="n">
        <v>49.42</v>
      </c>
      <c r="R332" s="7" t="n">
        <v>47.39</v>
      </c>
      <c r="S332" s="7" t="n">
        <v>46.42</v>
      </c>
      <c r="T332" s="7" t="n">
        <v>44.18</v>
      </c>
      <c r="U332" s="7" t="n">
        <v>53.69</v>
      </c>
      <c r="V332" s="7" t="n">
        <v>48.02</v>
      </c>
      <c r="W332" s="7" t="n">
        <v>52.18</v>
      </c>
      <c r="X332" s="7" t="n">
        <v>43.58</v>
      </c>
      <c r="Y332" s="7" t="n">
        <v>44.15</v>
      </c>
    </row>
    <row r="333" ht="15" customHeight="1">
      <c r="A333" s="13" t="n">
        <v>45761</v>
      </c>
      <c r="B333" s="7" t="n">
        <v>56.34</v>
      </c>
      <c r="C333" s="7" t="n">
        <v>44.47</v>
      </c>
      <c r="D333" s="7" t="n">
        <v>59.46</v>
      </c>
      <c r="E333" s="7" t="n">
        <v>40.89</v>
      </c>
      <c r="F333" s="7" t="n">
        <v>44.14</v>
      </c>
      <c r="G333" s="7" t="n">
        <v>50.82</v>
      </c>
      <c r="H333" s="7" t="n">
        <v>39.55</v>
      </c>
      <c r="I333" s="7" t="n">
        <v>45.04</v>
      </c>
      <c r="J333" s="7" t="n">
        <v>46.38</v>
      </c>
      <c r="K333" s="7" t="n">
        <v>42.38</v>
      </c>
      <c r="L333" s="7" t="n">
        <v>53.94</v>
      </c>
      <c r="M333" s="7" t="n">
        <v>45.24</v>
      </c>
      <c r="N333" s="8" t="n">
        <v>66.31</v>
      </c>
      <c r="O333" s="7" t="n">
        <v>56.77</v>
      </c>
      <c r="P333" s="7" t="n">
        <v>40.45</v>
      </c>
      <c r="Q333" s="7" t="n">
        <v>47.01</v>
      </c>
      <c r="R333" s="7" t="n">
        <v>43.01</v>
      </c>
      <c r="S333" s="7" t="n">
        <v>41.31</v>
      </c>
      <c r="T333" s="7" t="n">
        <v>40.99</v>
      </c>
      <c r="U333" s="7" t="n">
        <v>52.51</v>
      </c>
      <c r="V333" s="7" t="n">
        <v>46.32</v>
      </c>
      <c r="W333" s="7" t="n">
        <v>45.21</v>
      </c>
      <c r="X333" s="7" t="n">
        <v>43.16</v>
      </c>
      <c r="Y333" s="7" t="n">
        <v>42.09</v>
      </c>
    </row>
    <row r="334" ht="15" customHeight="1">
      <c r="A334" s="13" t="n">
        <v>45758</v>
      </c>
      <c r="B334" s="7" t="n">
        <v>53.63</v>
      </c>
      <c r="C334" s="7" t="n">
        <v>37.15</v>
      </c>
      <c r="D334" s="7" t="n">
        <v>57.72</v>
      </c>
      <c r="E334" s="7" t="n">
        <v>39.62</v>
      </c>
      <c r="F334" s="7" t="n">
        <v>43.31</v>
      </c>
      <c r="G334" s="7" t="n">
        <v>49.8</v>
      </c>
      <c r="H334" s="7" t="n">
        <v>37.94</v>
      </c>
      <c r="I334" s="7" t="n">
        <v>43.46</v>
      </c>
      <c r="J334" s="7" t="n">
        <v>43.9</v>
      </c>
      <c r="K334" s="7" t="n">
        <v>41.55</v>
      </c>
      <c r="L334" s="7" t="n">
        <v>51.5</v>
      </c>
      <c r="M334" s="7" t="n">
        <v>45.95</v>
      </c>
      <c r="N334" s="8" t="n">
        <v>61.84</v>
      </c>
      <c r="O334" s="7" t="n">
        <v>56.41</v>
      </c>
      <c r="P334" s="7" t="n">
        <v>40.32</v>
      </c>
      <c r="Q334" s="7" t="n">
        <v>48.59</v>
      </c>
      <c r="R334" s="7" t="n">
        <v>40.48</v>
      </c>
      <c r="S334" s="7" t="n">
        <v>40.26</v>
      </c>
      <c r="T334" s="7" t="n">
        <v>37.82</v>
      </c>
      <c r="U334" s="7" t="n">
        <v>48.24</v>
      </c>
      <c r="V334" s="7" t="n">
        <v>43.74</v>
      </c>
      <c r="W334" s="7" t="n">
        <v>43.48</v>
      </c>
      <c r="X334" s="7" t="n">
        <v>42.42</v>
      </c>
      <c r="Y334" s="7" t="n">
        <v>43.17</v>
      </c>
    </row>
    <row r="335" ht="15" customHeight="1">
      <c r="A335" s="13" t="n">
        <v>45757</v>
      </c>
      <c r="B335" s="7" t="n">
        <v>52.81</v>
      </c>
      <c r="C335" s="7" t="n">
        <v>37.49</v>
      </c>
      <c r="D335" s="7" t="n">
        <v>58.78</v>
      </c>
      <c r="E335" s="7" t="n">
        <v>39.99</v>
      </c>
      <c r="F335" s="7" t="n">
        <v>40.86</v>
      </c>
      <c r="G335" s="7" t="n">
        <v>48.14</v>
      </c>
      <c r="H335" s="7" t="n">
        <v>38.93</v>
      </c>
      <c r="I335" s="7" t="n">
        <v>36.38</v>
      </c>
      <c r="J335" s="7" t="n">
        <v>46.7</v>
      </c>
      <c r="K335" s="7" t="n">
        <v>39.71</v>
      </c>
      <c r="L335" s="7" t="n">
        <v>51.04</v>
      </c>
      <c r="M335" s="7" t="n">
        <v>45.11</v>
      </c>
      <c r="N335" s="8" t="n">
        <v>60.09</v>
      </c>
      <c r="O335" s="7" t="n">
        <v>52.51</v>
      </c>
      <c r="P335" s="7" t="n">
        <v>41.83</v>
      </c>
      <c r="Q335" s="7" t="n">
        <v>48.44</v>
      </c>
      <c r="R335" s="7" t="n">
        <v>41.35</v>
      </c>
      <c r="S335" s="7" t="n">
        <v>40.79</v>
      </c>
      <c r="T335" s="7" t="n">
        <v>40.45</v>
      </c>
      <c r="U335" s="7" t="n">
        <v>44.75</v>
      </c>
      <c r="V335" s="7" t="n">
        <v>44.98</v>
      </c>
      <c r="W335" s="7" t="n">
        <v>42.62</v>
      </c>
      <c r="X335" s="7" t="n">
        <v>42.54</v>
      </c>
      <c r="Y335" s="7" t="n">
        <v>44.4</v>
      </c>
    </row>
    <row r="336" ht="15" customHeight="1">
      <c r="A336" s="13" t="n">
        <v>45756</v>
      </c>
      <c r="B336" s="7" t="n">
        <v>36.56</v>
      </c>
      <c r="C336" s="10" t="n">
        <v>19.14</v>
      </c>
      <c r="D336" s="7" t="n">
        <v>53.36</v>
      </c>
      <c r="E336" s="10" t="n">
        <v>22.99</v>
      </c>
      <c r="F336" s="7" t="n">
        <v>30.99</v>
      </c>
      <c r="G336" s="7" t="n">
        <v>34.89</v>
      </c>
      <c r="H336" s="10" t="n">
        <v>26.48</v>
      </c>
      <c r="I336" s="10" t="n">
        <v>19.67</v>
      </c>
      <c r="J336" s="10" t="n">
        <v>29.32</v>
      </c>
      <c r="K336" s="10" t="n">
        <v>27.49</v>
      </c>
      <c r="L336" s="7" t="n">
        <v>39.47</v>
      </c>
      <c r="M336" s="10" t="n">
        <v>25.87</v>
      </c>
      <c r="N336" s="7" t="n">
        <v>51.23</v>
      </c>
      <c r="O336" s="7" t="n">
        <v>38.16</v>
      </c>
      <c r="P336" s="10" t="n">
        <v>25.92</v>
      </c>
      <c r="Q336" s="7" t="n">
        <v>36.57</v>
      </c>
      <c r="R336" s="10" t="n">
        <v>19.37</v>
      </c>
      <c r="S336" s="10" t="n">
        <v>24</v>
      </c>
      <c r="T336" s="10" t="n">
        <v>22.82</v>
      </c>
      <c r="U336" s="10" t="n">
        <v>29.88</v>
      </c>
      <c r="V336" s="10" t="n">
        <v>26.47</v>
      </c>
      <c r="W336" s="7" t="n">
        <v>30.88</v>
      </c>
      <c r="X336" s="10" t="n">
        <v>28.96</v>
      </c>
      <c r="Y336" s="7" t="n">
        <v>32.38</v>
      </c>
    </row>
    <row r="337" ht="15" customHeight="1">
      <c r="A337" s="13" t="n">
        <v>45755</v>
      </c>
      <c r="B337" s="7" t="n">
        <v>44.15</v>
      </c>
      <c r="C337" s="10" t="n">
        <v>22.8</v>
      </c>
      <c r="D337" s="8" t="n">
        <v>69.64</v>
      </c>
      <c r="E337" s="10" t="n">
        <v>25.88</v>
      </c>
      <c r="F337" s="7" t="n">
        <v>34.35</v>
      </c>
      <c r="G337" s="7" t="n">
        <v>41.14</v>
      </c>
      <c r="H337" s="10" t="n">
        <v>27.8</v>
      </c>
      <c r="I337" s="10" t="n">
        <v>21.26</v>
      </c>
      <c r="J337" s="7" t="n">
        <v>31.12</v>
      </c>
      <c r="K337" s="7" t="n">
        <v>31.18</v>
      </c>
      <c r="L337" s="7" t="n">
        <v>40.4</v>
      </c>
      <c r="M337" s="10" t="n">
        <v>28.14</v>
      </c>
      <c r="N337" s="7" t="n">
        <v>48.75</v>
      </c>
      <c r="O337" s="7" t="n">
        <v>41.46</v>
      </c>
      <c r="P337" s="10" t="n">
        <v>27.17</v>
      </c>
      <c r="Q337" s="7" t="n">
        <v>38.52</v>
      </c>
      <c r="R337" s="10" t="n">
        <v>21.62</v>
      </c>
      <c r="S337" s="10" t="n">
        <v>26.14</v>
      </c>
      <c r="T337" s="10" t="n">
        <v>26.57</v>
      </c>
      <c r="U337" s="7" t="n">
        <v>33.6</v>
      </c>
      <c r="V337" s="10" t="n">
        <v>28.66</v>
      </c>
      <c r="W337" s="7" t="n">
        <v>34.04</v>
      </c>
      <c r="X337" s="7" t="n">
        <v>32.41</v>
      </c>
      <c r="Y337" s="7" t="n">
        <v>40.47</v>
      </c>
    </row>
    <row r="338" ht="15" customHeight="1">
      <c r="A338" s="13" t="n">
        <v>45754</v>
      </c>
      <c r="B338" s="7" t="n">
        <v>37.23</v>
      </c>
      <c r="C338" s="10" t="n">
        <v>23.36</v>
      </c>
      <c r="D338" s="7" t="n">
        <v>56.68</v>
      </c>
      <c r="E338" s="10" t="n">
        <v>26.33</v>
      </c>
      <c r="F338" s="7" t="n">
        <v>34.42</v>
      </c>
      <c r="G338" s="10" t="n">
        <v>28.13</v>
      </c>
      <c r="H338" s="10" t="n">
        <v>27.98</v>
      </c>
      <c r="I338" s="10" t="n">
        <v>18.2</v>
      </c>
      <c r="J338" s="10" t="n">
        <v>29.28</v>
      </c>
      <c r="K338" s="7" t="n">
        <v>31.2</v>
      </c>
      <c r="L338" s="7" t="n">
        <v>34.63</v>
      </c>
      <c r="M338" s="10" t="n">
        <v>29.14</v>
      </c>
      <c r="N338" s="7" t="n">
        <v>48.8</v>
      </c>
      <c r="O338" s="7" t="n">
        <v>33.44</v>
      </c>
      <c r="P338" s="10" t="n">
        <v>29.25</v>
      </c>
      <c r="Q338" s="7" t="n">
        <v>45.76</v>
      </c>
      <c r="R338" s="10" t="n">
        <v>22.7</v>
      </c>
      <c r="S338" s="10" t="n">
        <v>25.48</v>
      </c>
      <c r="T338" s="10" t="n">
        <v>27.98</v>
      </c>
      <c r="U338" s="10" t="n">
        <v>29.82</v>
      </c>
      <c r="V338" s="10" t="n">
        <v>25.75</v>
      </c>
      <c r="W338" s="10" t="n">
        <v>29.86</v>
      </c>
      <c r="X338" s="7" t="n">
        <v>37.35</v>
      </c>
      <c r="Y338" s="7" t="n">
        <v>40.58</v>
      </c>
    </row>
    <row r="339" ht="15" customHeight="1">
      <c r="A339" s="13" t="n">
        <v>45751</v>
      </c>
      <c r="B339" s="7" t="n">
        <v>47.87</v>
      </c>
      <c r="C339" s="10" t="n">
        <v>28.73</v>
      </c>
      <c r="D339" s="8" t="n">
        <v>61.55</v>
      </c>
      <c r="E339" s="7" t="n">
        <v>34.49</v>
      </c>
      <c r="F339" s="7" t="n">
        <v>43.47</v>
      </c>
      <c r="G339" s="7" t="n">
        <v>37.6</v>
      </c>
      <c r="H339" s="7" t="n">
        <v>34.85</v>
      </c>
      <c r="I339" s="10" t="n">
        <v>25.33</v>
      </c>
      <c r="J339" s="7" t="n">
        <v>37.52</v>
      </c>
      <c r="K339" s="7" t="n">
        <v>40.51</v>
      </c>
      <c r="L339" s="7" t="n">
        <v>46.12</v>
      </c>
      <c r="M339" s="7" t="n">
        <v>40.07</v>
      </c>
      <c r="N339" s="7" t="n">
        <v>47.11</v>
      </c>
      <c r="O339" s="7" t="n">
        <v>48.18</v>
      </c>
      <c r="P339" s="7" t="n">
        <v>38.74</v>
      </c>
      <c r="Q339" s="7" t="n">
        <v>52.5</v>
      </c>
      <c r="R339" s="7" t="n">
        <v>33.57</v>
      </c>
      <c r="S339" s="7" t="n">
        <v>36.26</v>
      </c>
      <c r="T339" s="7" t="n">
        <v>34.15</v>
      </c>
      <c r="U339" s="7" t="n">
        <v>41.08</v>
      </c>
      <c r="V339" s="7" t="n">
        <v>35.61</v>
      </c>
      <c r="W339" s="7" t="n">
        <v>41.05</v>
      </c>
      <c r="X339" s="7" t="n">
        <v>45.71</v>
      </c>
      <c r="Y339" s="7" t="n">
        <v>54.12</v>
      </c>
    </row>
    <row r="340" ht="15" customHeight="1">
      <c r="A340" s="13" t="n">
        <v>45750</v>
      </c>
      <c r="B340" s="7" t="n">
        <v>50.06</v>
      </c>
      <c r="C340" s="10" t="n">
        <v>23.93</v>
      </c>
      <c r="D340" s="7" t="n">
        <v>43.06</v>
      </c>
      <c r="E340" s="7" t="n">
        <v>30.11</v>
      </c>
      <c r="F340" s="7" t="n">
        <v>47.94</v>
      </c>
      <c r="G340" s="10" t="n">
        <v>27.05</v>
      </c>
      <c r="H340" s="7" t="n">
        <v>34.93</v>
      </c>
      <c r="I340" s="10" t="n">
        <v>27.62</v>
      </c>
      <c r="J340" s="7" t="n">
        <v>41.02</v>
      </c>
      <c r="K340" s="7" t="n">
        <v>43.41</v>
      </c>
      <c r="L340" s="7" t="n">
        <v>47.69</v>
      </c>
      <c r="M340" s="7" t="n">
        <v>34.38</v>
      </c>
      <c r="N340" s="7" t="n">
        <v>43.95</v>
      </c>
      <c r="O340" s="7" t="n">
        <v>46.96</v>
      </c>
      <c r="P340" s="7" t="n">
        <v>37.9</v>
      </c>
      <c r="Q340" s="7" t="n">
        <v>45.32</v>
      </c>
      <c r="R340" s="7" t="n">
        <v>35.32</v>
      </c>
      <c r="S340" s="7" t="n">
        <v>37.68</v>
      </c>
      <c r="T340" s="7" t="n">
        <v>35.32</v>
      </c>
      <c r="U340" s="7" t="n">
        <v>43.89</v>
      </c>
      <c r="V340" s="7" t="n">
        <v>38.58</v>
      </c>
      <c r="W340" s="7" t="n">
        <v>43.77</v>
      </c>
      <c r="X340" s="7" t="n">
        <v>43.51</v>
      </c>
      <c r="Y340" s="7" t="n">
        <v>43.04</v>
      </c>
    </row>
    <row r="341" ht="15" customHeight="1">
      <c r="A341" s="13" t="n">
        <v>45749</v>
      </c>
      <c r="B341" s="7" t="n">
        <v>53.78</v>
      </c>
      <c r="C341" s="7" t="n">
        <v>30.2</v>
      </c>
      <c r="D341" s="7" t="n">
        <v>44.71</v>
      </c>
      <c r="E341" s="7" t="n">
        <v>33.24</v>
      </c>
      <c r="F341" s="7" t="n">
        <v>36.59</v>
      </c>
      <c r="G341" s="10" t="n">
        <v>28.2</v>
      </c>
      <c r="H341" s="7" t="n">
        <v>35.76</v>
      </c>
      <c r="I341" s="10" t="n">
        <v>28.14</v>
      </c>
      <c r="J341" s="7" t="n">
        <v>45.7</v>
      </c>
      <c r="K341" s="7" t="n">
        <v>46.43</v>
      </c>
      <c r="L341" s="7" t="n">
        <v>46.05</v>
      </c>
      <c r="M341" s="7" t="n">
        <v>36.65</v>
      </c>
      <c r="N341" s="7" t="n">
        <v>40.68</v>
      </c>
      <c r="O341" s="7" t="n">
        <v>47.02</v>
      </c>
      <c r="P341" s="7" t="n">
        <v>43.41</v>
      </c>
      <c r="Q341" s="7" t="n">
        <v>42.79</v>
      </c>
      <c r="R341" s="7" t="n">
        <v>40.04</v>
      </c>
      <c r="S341" s="7" t="n">
        <v>42.83</v>
      </c>
      <c r="T341" s="7" t="n">
        <v>37.95</v>
      </c>
      <c r="U341" s="7" t="n">
        <v>40.09</v>
      </c>
      <c r="V341" s="7" t="n">
        <v>40.66</v>
      </c>
      <c r="W341" s="7" t="n">
        <v>47.24</v>
      </c>
      <c r="X341" s="7" t="n">
        <v>37.91</v>
      </c>
      <c r="Y341" s="7" t="n">
        <v>42.82</v>
      </c>
    </row>
    <row r="342" ht="15" customHeight="1">
      <c r="A342" s="13" t="n">
        <v>45748</v>
      </c>
      <c r="B342" s="7" t="n">
        <v>52.34</v>
      </c>
      <c r="C342" s="7" t="n">
        <v>31.34</v>
      </c>
      <c r="D342" s="7" t="n">
        <v>47.18</v>
      </c>
      <c r="E342" s="7" t="n">
        <v>36.41</v>
      </c>
      <c r="F342" s="7" t="n">
        <v>39.91</v>
      </c>
      <c r="G342" s="7" t="n">
        <v>30.22</v>
      </c>
      <c r="H342" s="7" t="n">
        <v>39.27</v>
      </c>
      <c r="I342" s="10" t="n">
        <v>28.94</v>
      </c>
      <c r="J342" s="7" t="n">
        <v>46.12</v>
      </c>
      <c r="K342" s="7" t="n">
        <v>47.74</v>
      </c>
      <c r="L342" s="7" t="n">
        <v>48.08</v>
      </c>
      <c r="M342" s="7" t="n">
        <v>37.29</v>
      </c>
      <c r="N342" s="7" t="n">
        <v>43.41</v>
      </c>
      <c r="O342" s="7" t="n">
        <v>48.35</v>
      </c>
      <c r="P342" s="7" t="n">
        <v>43.17</v>
      </c>
      <c r="Q342" s="7" t="n">
        <v>43.54</v>
      </c>
      <c r="R342" s="7" t="n">
        <v>41.28</v>
      </c>
      <c r="S342" s="7" t="n">
        <v>41.04</v>
      </c>
      <c r="T342" s="7" t="n">
        <v>39.64</v>
      </c>
      <c r="U342" s="7" t="n">
        <v>40.02</v>
      </c>
      <c r="V342" s="7" t="n">
        <v>42.52</v>
      </c>
      <c r="W342" s="7" t="n">
        <v>45.63</v>
      </c>
      <c r="X342" s="7" t="n">
        <v>39.69</v>
      </c>
      <c r="Y342" s="7" t="n">
        <v>46.55</v>
      </c>
    </row>
    <row r="343" ht="15" customHeight="1">
      <c r="A343" s="13" t="n">
        <v>45747</v>
      </c>
      <c r="B343" s="7" t="n">
        <v>50.16</v>
      </c>
      <c r="C343" s="10" t="n">
        <v>27.75</v>
      </c>
      <c r="D343" s="7" t="n">
        <v>30.41</v>
      </c>
      <c r="E343" s="7" t="n">
        <v>33.09</v>
      </c>
      <c r="F343" s="10" t="n">
        <v>27.22</v>
      </c>
      <c r="G343" s="10" t="n">
        <v>24.53</v>
      </c>
      <c r="H343" s="7" t="n">
        <v>38</v>
      </c>
      <c r="I343" s="10" t="n">
        <v>27.25</v>
      </c>
      <c r="J343" s="7" t="n">
        <v>42.32</v>
      </c>
      <c r="K343" s="7" t="n">
        <v>37.73</v>
      </c>
      <c r="L343" s="7" t="n">
        <v>41.89</v>
      </c>
      <c r="M343" s="7" t="n">
        <v>36.65</v>
      </c>
      <c r="N343" s="7" t="n">
        <v>44.37</v>
      </c>
      <c r="O343" s="7" t="n">
        <v>40.16</v>
      </c>
      <c r="P343" s="7" t="n">
        <v>32.34</v>
      </c>
      <c r="Q343" s="7" t="n">
        <v>47.77</v>
      </c>
      <c r="R343" s="7" t="n">
        <v>34.85</v>
      </c>
      <c r="S343" s="7" t="n">
        <v>39.44</v>
      </c>
      <c r="T343" s="7" t="n">
        <v>37.04</v>
      </c>
      <c r="U343" s="7" t="n">
        <v>36.45</v>
      </c>
      <c r="V343" s="7" t="n">
        <v>36.11</v>
      </c>
      <c r="W343" s="7" t="n">
        <v>42.86</v>
      </c>
      <c r="X343" s="10" t="n">
        <v>28.25</v>
      </c>
      <c r="Y343" s="7" t="n">
        <v>44.48</v>
      </c>
    </row>
    <row r="344" ht="15" customHeight="1">
      <c r="A344" s="13" t="n">
        <v>45744</v>
      </c>
      <c r="B344" s="7" t="n">
        <v>55.12</v>
      </c>
      <c r="C344" s="7" t="n">
        <v>30.75</v>
      </c>
      <c r="D344" s="7" t="n">
        <v>39.35</v>
      </c>
      <c r="E344" s="7" t="n">
        <v>42.06</v>
      </c>
      <c r="F344" s="7" t="n">
        <v>34.41</v>
      </c>
      <c r="G344" s="7" t="n">
        <v>33.51</v>
      </c>
      <c r="H344" s="7" t="n">
        <v>40.72</v>
      </c>
      <c r="I344" s="7" t="n">
        <v>32.01</v>
      </c>
      <c r="J344" s="7" t="n">
        <v>52.65</v>
      </c>
      <c r="K344" s="7" t="n">
        <v>45.46</v>
      </c>
      <c r="L344" s="7" t="n">
        <v>44.98</v>
      </c>
      <c r="M344" s="7" t="n">
        <v>44.72</v>
      </c>
      <c r="N344" s="7" t="n">
        <v>48.85</v>
      </c>
      <c r="O344" s="7" t="n">
        <v>42.4</v>
      </c>
      <c r="P344" s="7" t="n">
        <v>35.27</v>
      </c>
      <c r="Q344" s="7" t="n">
        <v>50.33</v>
      </c>
      <c r="R344" s="7" t="n">
        <v>40.44</v>
      </c>
      <c r="S344" s="7" t="n">
        <v>47.47</v>
      </c>
      <c r="T344" s="7" t="n">
        <v>39.3</v>
      </c>
      <c r="U344" s="7" t="n">
        <v>42.61</v>
      </c>
      <c r="V344" s="7" t="n">
        <v>45.89</v>
      </c>
      <c r="W344" s="7" t="n">
        <v>52.69</v>
      </c>
      <c r="X344" s="7" t="n">
        <v>36.29</v>
      </c>
      <c r="Y344" s="7" t="n">
        <v>50.69</v>
      </c>
    </row>
    <row r="345" ht="15" customHeight="1">
      <c r="A345" s="13" t="n">
        <v>45743</v>
      </c>
      <c r="B345" s="7" t="n">
        <v>54.44</v>
      </c>
      <c r="C345" s="7" t="n">
        <v>36.96</v>
      </c>
      <c r="D345" s="7" t="n">
        <v>44.17</v>
      </c>
      <c r="E345" s="7" t="n">
        <v>47.17</v>
      </c>
      <c r="F345" s="7" t="n">
        <v>38.88</v>
      </c>
      <c r="G345" s="7" t="n">
        <v>35.44</v>
      </c>
      <c r="H345" s="7" t="n">
        <v>47.69</v>
      </c>
      <c r="I345" s="7" t="n">
        <v>34.87</v>
      </c>
      <c r="J345" s="8" t="n">
        <v>60.71</v>
      </c>
      <c r="K345" s="7" t="n">
        <v>49.31</v>
      </c>
      <c r="L345" s="7" t="n">
        <v>50.08</v>
      </c>
      <c r="M345" s="7" t="n">
        <v>52.47</v>
      </c>
      <c r="N345" s="7" t="n">
        <v>52.29</v>
      </c>
      <c r="O345" s="7" t="n">
        <v>47.42</v>
      </c>
      <c r="P345" s="7" t="n">
        <v>41.08</v>
      </c>
      <c r="Q345" s="7" t="n">
        <v>53.3</v>
      </c>
      <c r="R345" s="7" t="n">
        <v>45.16</v>
      </c>
      <c r="S345" s="7" t="n">
        <v>58.48</v>
      </c>
      <c r="T345" s="7" t="n">
        <v>40.44</v>
      </c>
      <c r="U345" s="7" t="n">
        <v>44.22</v>
      </c>
      <c r="V345" s="7" t="n">
        <v>55.07</v>
      </c>
      <c r="W345" s="7" t="n">
        <v>54.65</v>
      </c>
      <c r="X345" s="7" t="n">
        <v>37.25</v>
      </c>
      <c r="Y345" s="7" t="n">
        <v>55.26</v>
      </c>
    </row>
    <row r="346" ht="15" customHeight="1">
      <c r="A346" s="13" t="n">
        <v>45742</v>
      </c>
      <c r="B346" s="7" t="n">
        <v>54.28</v>
      </c>
      <c r="C346" s="7" t="n">
        <v>34.1</v>
      </c>
      <c r="D346" s="7" t="n">
        <v>45.77</v>
      </c>
      <c r="E346" s="7" t="n">
        <v>51.94</v>
      </c>
      <c r="F346" s="7" t="n">
        <v>44.24</v>
      </c>
      <c r="G346" s="7" t="n">
        <v>36.98</v>
      </c>
      <c r="H346" s="7" t="n">
        <v>51.79</v>
      </c>
      <c r="I346" s="7" t="n">
        <v>39.64</v>
      </c>
      <c r="J346" s="8" t="n">
        <v>64.78</v>
      </c>
      <c r="K346" s="7" t="n">
        <v>52.99</v>
      </c>
      <c r="L346" s="7" t="n">
        <v>57.8</v>
      </c>
      <c r="M346" s="7" t="n">
        <v>54.49</v>
      </c>
      <c r="N346" s="7" t="n">
        <v>57.03</v>
      </c>
      <c r="O346" s="7" t="n">
        <v>45.72</v>
      </c>
      <c r="P346" s="7" t="n">
        <v>47.39</v>
      </c>
      <c r="Q346" s="7" t="n">
        <v>53.82</v>
      </c>
      <c r="R346" s="7" t="n">
        <v>50.17</v>
      </c>
      <c r="S346" s="8" t="n">
        <v>65.93000000000001</v>
      </c>
      <c r="T346" s="7" t="n">
        <v>41.9</v>
      </c>
      <c r="U346" s="7" t="n">
        <v>50.28</v>
      </c>
      <c r="V346" s="8" t="n">
        <v>63.12</v>
      </c>
      <c r="W346" s="7" t="n">
        <v>59.98</v>
      </c>
      <c r="X346" s="7" t="n">
        <v>42.57</v>
      </c>
      <c r="Y346" s="7" t="n">
        <v>53.48</v>
      </c>
    </row>
    <row r="347" ht="15" customHeight="1">
      <c r="A347" s="13" t="n">
        <v>45741</v>
      </c>
      <c r="B347" s="7" t="n">
        <v>59.63</v>
      </c>
      <c r="C347" s="7" t="n">
        <v>35.89</v>
      </c>
      <c r="D347" s="7" t="n">
        <v>44.01</v>
      </c>
      <c r="E347" s="7" t="n">
        <v>46.99</v>
      </c>
      <c r="F347" s="7" t="n">
        <v>45.84</v>
      </c>
      <c r="G347" s="7" t="n">
        <v>34.53</v>
      </c>
      <c r="H347" s="7" t="n">
        <v>50.36</v>
      </c>
      <c r="I347" s="7" t="n">
        <v>43.6</v>
      </c>
      <c r="J347" s="7" t="n">
        <v>57.71</v>
      </c>
      <c r="K347" s="7" t="n">
        <v>48.68</v>
      </c>
      <c r="L347" s="7" t="n">
        <v>55.97</v>
      </c>
      <c r="M347" s="7" t="n">
        <v>53.98</v>
      </c>
      <c r="N347" s="7" t="n">
        <v>56.88</v>
      </c>
      <c r="O347" s="7" t="n">
        <v>46.5</v>
      </c>
      <c r="P347" s="7" t="n">
        <v>47.87</v>
      </c>
      <c r="Q347" s="7" t="n">
        <v>56.32</v>
      </c>
      <c r="R347" s="7" t="n">
        <v>51.7</v>
      </c>
      <c r="S347" s="8" t="n">
        <v>62.77</v>
      </c>
      <c r="T347" s="7" t="n">
        <v>45.51</v>
      </c>
      <c r="U347" s="7" t="n">
        <v>51.95</v>
      </c>
      <c r="V347" s="7" t="n">
        <v>56.84</v>
      </c>
      <c r="W347" s="7" t="n">
        <v>59.98</v>
      </c>
      <c r="X347" s="7" t="n">
        <v>42.16</v>
      </c>
      <c r="Y347" s="7" t="n">
        <v>51.55</v>
      </c>
    </row>
    <row r="348" ht="15" customHeight="1">
      <c r="A348" s="13" t="n">
        <v>45740</v>
      </c>
      <c r="B348" s="8" t="n">
        <v>64.52</v>
      </c>
      <c r="C348" s="7" t="n">
        <v>37.06</v>
      </c>
      <c r="D348" s="7" t="n">
        <v>47.74</v>
      </c>
      <c r="E348" s="7" t="n">
        <v>50.99</v>
      </c>
      <c r="F348" s="7" t="n">
        <v>44.25</v>
      </c>
      <c r="G348" s="7" t="n">
        <v>38.39</v>
      </c>
      <c r="H348" s="7" t="n">
        <v>52.75</v>
      </c>
      <c r="I348" s="7" t="n">
        <v>45.85</v>
      </c>
      <c r="J348" s="8" t="n">
        <v>60.98</v>
      </c>
      <c r="K348" s="7" t="n">
        <v>46.82</v>
      </c>
      <c r="L348" s="7" t="n">
        <v>59.14</v>
      </c>
      <c r="M348" s="8" t="n">
        <v>61.26</v>
      </c>
      <c r="N348" s="7" t="n">
        <v>55.31</v>
      </c>
      <c r="O348" s="7" t="n">
        <v>44.23</v>
      </c>
      <c r="P348" s="7" t="n">
        <v>49.63</v>
      </c>
      <c r="Q348" s="7" t="n">
        <v>53.26</v>
      </c>
      <c r="R348" s="7" t="n">
        <v>54.32</v>
      </c>
      <c r="S348" s="8" t="n">
        <v>62.09</v>
      </c>
      <c r="T348" s="7" t="n">
        <v>50.19</v>
      </c>
      <c r="U348" s="7" t="n">
        <v>48.03</v>
      </c>
      <c r="V348" s="8" t="n">
        <v>61.57</v>
      </c>
      <c r="W348" s="8" t="n">
        <v>61.54</v>
      </c>
      <c r="X348" s="7" t="n">
        <v>41.65</v>
      </c>
      <c r="Y348" s="7" t="n">
        <v>45.31</v>
      </c>
    </row>
    <row r="349" ht="15" customHeight="1">
      <c r="A349" s="13" t="n">
        <v>45737</v>
      </c>
      <c r="B349" s="8" t="n">
        <v>69.84</v>
      </c>
      <c r="C349" s="7" t="n">
        <v>39.54</v>
      </c>
      <c r="D349" s="7" t="n">
        <v>46.37</v>
      </c>
      <c r="E349" s="7" t="n">
        <v>49.34</v>
      </c>
      <c r="F349" s="7" t="n">
        <v>48.16</v>
      </c>
      <c r="G349" s="7" t="n">
        <v>40.93</v>
      </c>
      <c r="H349" s="7" t="n">
        <v>58.92</v>
      </c>
      <c r="I349" s="7" t="n">
        <v>50.2</v>
      </c>
      <c r="J349" s="8" t="n">
        <v>66.72</v>
      </c>
      <c r="K349" s="7" t="n">
        <v>43.12</v>
      </c>
      <c r="L349" s="7" t="n">
        <v>53.05</v>
      </c>
      <c r="M349" s="8" t="n">
        <v>67.22</v>
      </c>
      <c r="N349" s="7" t="n">
        <v>53.83</v>
      </c>
      <c r="O349" s="7" t="n">
        <v>49.42</v>
      </c>
      <c r="P349" s="7" t="n">
        <v>41.64</v>
      </c>
      <c r="Q349" s="7" t="n">
        <v>56.28</v>
      </c>
      <c r="R349" s="7" t="n">
        <v>54.21</v>
      </c>
      <c r="S349" s="8" t="n">
        <v>62.59</v>
      </c>
      <c r="T349" s="7" t="n">
        <v>50.1</v>
      </c>
      <c r="U349" s="7" t="n">
        <v>52.43</v>
      </c>
      <c r="V349" s="8" t="n">
        <v>64.87</v>
      </c>
      <c r="W349" s="8" t="n">
        <v>65.83</v>
      </c>
      <c r="X349" s="7" t="n">
        <v>44.17</v>
      </c>
      <c r="Y349" s="7" t="n">
        <v>45.32</v>
      </c>
    </row>
    <row r="350" ht="15" customHeight="1">
      <c r="A350" s="13" t="n">
        <v>45736</v>
      </c>
      <c r="B350" s="8" t="n">
        <v>69.03</v>
      </c>
      <c r="C350" s="7" t="n">
        <v>40.02</v>
      </c>
      <c r="D350" s="7" t="n">
        <v>52.71</v>
      </c>
      <c r="E350" s="7" t="n">
        <v>52.44</v>
      </c>
      <c r="F350" s="7" t="n">
        <v>46.12</v>
      </c>
      <c r="G350" s="7" t="n">
        <v>44.16</v>
      </c>
      <c r="H350" s="8" t="n">
        <v>61.57</v>
      </c>
      <c r="I350" s="7" t="n">
        <v>44.84</v>
      </c>
      <c r="J350" s="8" t="n">
        <v>63.89</v>
      </c>
      <c r="K350" s="7" t="n">
        <v>49.41</v>
      </c>
      <c r="L350" s="7" t="n">
        <v>58.47</v>
      </c>
      <c r="M350" s="8" t="n">
        <v>62.4</v>
      </c>
      <c r="N350" s="7" t="n">
        <v>51.47</v>
      </c>
      <c r="O350" s="7" t="n">
        <v>49.99</v>
      </c>
      <c r="P350" s="7" t="n">
        <v>39.99</v>
      </c>
      <c r="Q350" s="8" t="n">
        <v>61.75</v>
      </c>
      <c r="R350" s="7" t="n">
        <v>55.82</v>
      </c>
      <c r="S350" s="8" t="n">
        <v>61.67</v>
      </c>
      <c r="T350" s="7" t="n">
        <v>51.52</v>
      </c>
      <c r="U350" s="7" t="n">
        <v>51.64</v>
      </c>
      <c r="V350" s="8" t="n">
        <v>63.86</v>
      </c>
      <c r="W350" s="8" t="n">
        <v>64.78</v>
      </c>
      <c r="X350" s="7" t="n">
        <v>42.57</v>
      </c>
      <c r="Y350" s="7" t="n">
        <v>42.24</v>
      </c>
    </row>
    <row r="351" ht="15" customHeight="1">
      <c r="A351" s="13" t="n">
        <v>45735</v>
      </c>
      <c r="B351" s="8" t="n">
        <v>64.02</v>
      </c>
      <c r="C351" s="7" t="n">
        <v>40.8</v>
      </c>
      <c r="D351" s="7" t="n">
        <v>52.74</v>
      </c>
      <c r="E351" s="7" t="n">
        <v>51.13</v>
      </c>
      <c r="F351" s="7" t="n">
        <v>48.24</v>
      </c>
      <c r="G351" s="7" t="n">
        <v>45.09</v>
      </c>
      <c r="H351" s="7" t="n">
        <v>57.87</v>
      </c>
      <c r="I351" s="7" t="n">
        <v>51.32</v>
      </c>
      <c r="J351" s="7" t="n">
        <v>58.43</v>
      </c>
      <c r="K351" s="7" t="n">
        <v>51.06</v>
      </c>
      <c r="L351" s="8" t="n">
        <v>67.40000000000001</v>
      </c>
      <c r="M351" s="8" t="n">
        <v>61.06</v>
      </c>
      <c r="N351" s="7" t="n">
        <v>51.63</v>
      </c>
      <c r="O351" s="7" t="n">
        <v>49.93</v>
      </c>
      <c r="P351" s="7" t="n">
        <v>40.74</v>
      </c>
      <c r="Q351" s="8" t="n">
        <v>64.18000000000001</v>
      </c>
      <c r="R351" s="7" t="n">
        <v>56.22</v>
      </c>
      <c r="S351" s="8" t="n">
        <v>63.64</v>
      </c>
      <c r="T351" s="7" t="n">
        <v>52.66</v>
      </c>
      <c r="U351" s="7" t="n">
        <v>54.54</v>
      </c>
      <c r="V351" s="8" t="n">
        <v>61.66</v>
      </c>
      <c r="W351" s="8" t="n">
        <v>65.40000000000001</v>
      </c>
      <c r="X351" s="7" t="n">
        <v>46.56</v>
      </c>
      <c r="Y351" s="7" t="n">
        <v>46.19</v>
      </c>
    </row>
    <row r="352" ht="15" customHeight="1">
      <c r="A352" s="13" t="n">
        <v>45734</v>
      </c>
      <c r="B352" s="7" t="n">
        <v>58.63</v>
      </c>
      <c r="C352" s="7" t="n">
        <v>39.15</v>
      </c>
      <c r="D352" s="7" t="n">
        <v>51.22</v>
      </c>
      <c r="E352" s="7" t="n">
        <v>48.45</v>
      </c>
      <c r="F352" s="7" t="n">
        <v>48.95</v>
      </c>
      <c r="G352" s="7" t="n">
        <v>43.14</v>
      </c>
      <c r="H352" s="7" t="n">
        <v>59.15</v>
      </c>
      <c r="I352" s="7" t="n">
        <v>49.38</v>
      </c>
      <c r="J352" s="7" t="n">
        <v>54.83</v>
      </c>
      <c r="K352" s="7" t="n">
        <v>46.98</v>
      </c>
      <c r="L352" s="8" t="n">
        <v>66.87</v>
      </c>
      <c r="M352" s="7" t="n">
        <v>59.01</v>
      </c>
      <c r="N352" s="7" t="n">
        <v>49.42</v>
      </c>
      <c r="O352" s="7" t="n">
        <v>53.09</v>
      </c>
      <c r="P352" s="7" t="n">
        <v>45.92</v>
      </c>
      <c r="Q352" s="7" t="n">
        <v>57.77</v>
      </c>
      <c r="R352" s="7" t="n">
        <v>53.01</v>
      </c>
      <c r="S352" s="8" t="n">
        <v>62.34</v>
      </c>
      <c r="T352" s="7" t="n">
        <v>48.73</v>
      </c>
      <c r="U352" s="7" t="n">
        <v>58.18</v>
      </c>
      <c r="V352" s="7" t="n">
        <v>58.97</v>
      </c>
      <c r="W352" s="8" t="n">
        <v>61.75</v>
      </c>
      <c r="X352" s="7" t="n">
        <v>47.52</v>
      </c>
      <c r="Y352" s="7" t="n">
        <v>40.93</v>
      </c>
    </row>
    <row r="353" ht="15" customHeight="1">
      <c r="A353" s="13" t="n">
        <v>45733</v>
      </c>
      <c r="B353" s="7" t="n">
        <v>57.26</v>
      </c>
      <c r="C353" s="7" t="n">
        <v>39.78</v>
      </c>
      <c r="D353" s="7" t="n">
        <v>53.57</v>
      </c>
      <c r="E353" s="7" t="n">
        <v>49.95</v>
      </c>
      <c r="F353" s="7" t="n">
        <v>46.3</v>
      </c>
      <c r="G353" s="7" t="n">
        <v>42.59</v>
      </c>
      <c r="H353" s="8" t="n">
        <v>60.7</v>
      </c>
      <c r="I353" s="7" t="n">
        <v>46.19</v>
      </c>
      <c r="J353" s="7" t="n">
        <v>55.94</v>
      </c>
      <c r="K353" s="7" t="n">
        <v>49.43</v>
      </c>
      <c r="L353" s="8" t="n">
        <v>65.53</v>
      </c>
      <c r="M353" s="8" t="n">
        <v>60.03</v>
      </c>
      <c r="N353" s="7" t="n">
        <v>53.31</v>
      </c>
      <c r="O353" s="7" t="n">
        <v>51.96</v>
      </c>
      <c r="P353" s="7" t="n">
        <v>46.84</v>
      </c>
      <c r="Q353" s="7" t="n">
        <v>59.57</v>
      </c>
      <c r="R353" s="7" t="n">
        <v>50.97</v>
      </c>
      <c r="S353" s="8" t="n">
        <v>60.82</v>
      </c>
      <c r="T353" s="7" t="n">
        <v>45.48</v>
      </c>
      <c r="U353" s="7" t="n">
        <v>54.37</v>
      </c>
      <c r="V353" s="7" t="n">
        <v>58.84</v>
      </c>
      <c r="W353" s="7" t="n">
        <v>57.64</v>
      </c>
      <c r="X353" s="7" t="n">
        <v>49.13</v>
      </c>
      <c r="Y353" s="7" t="n">
        <v>48.8</v>
      </c>
    </row>
    <row r="354" ht="15" customHeight="1">
      <c r="A354" s="13" t="n">
        <v>45730</v>
      </c>
      <c r="B354" s="7" t="n">
        <v>52.34</v>
      </c>
      <c r="C354" s="7" t="n">
        <v>36.64</v>
      </c>
      <c r="D354" s="7" t="n">
        <v>48.45</v>
      </c>
      <c r="E354" s="7" t="n">
        <v>51.49</v>
      </c>
      <c r="F354" s="7" t="n">
        <v>41.77</v>
      </c>
      <c r="G354" s="7" t="n">
        <v>40.4</v>
      </c>
      <c r="H354" s="8" t="n">
        <v>60.24</v>
      </c>
      <c r="I354" s="7" t="n">
        <v>49.02</v>
      </c>
      <c r="J354" s="7" t="n">
        <v>46</v>
      </c>
      <c r="K354" s="7" t="n">
        <v>44.09</v>
      </c>
      <c r="L354" s="8" t="n">
        <v>60.46</v>
      </c>
      <c r="M354" s="7" t="n">
        <v>55.15</v>
      </c>
      <c r="N354" s="7" t="n">
        <v>54.07</v>
      </c>
      <c r="O354" s="7" t="n">
        <v>50.91</v>
      </c>
      <c r="P354" s="7" t="n">
        <v>45.61</v>
      </c>
      <c r="Q354" s="7" t="n">
        <v>54.47</v>
      </c>
      <c r="R354" s="7" t="n">
        <v>45.54</v>
      </c>
      <c r="S354" s="7" t="n">
        <v>54.65</v>
      </c>
      <c r="T354" s="7" t="n">
        <v>42.37</v>
      </c>
      <c r="U354" s="7" t="n">
        <v>51.83</v>
      </c>
      <c r="V354" s="7" t="n">
        <v>50.83</v>
      </c>
      <c r="W354" s="7" t="n">
        <v>53.29</v>
      </c>
      <c r="X354" s="7" t="n">
        <v>47.36</v>
      </c>
      <c r="Y354" s="7" t="n">
        <v>41</v>
      </c>
    </row>
    <row r="355" ht="15" customHeight="1">
      <c r="A355" s="13" t="n">
        <v>45729</v>
      </c>
      <c r="B355" s="7" t="n">
        <v>49.81</v>
      </c>
      <c r="C355" s="7" t="n">
        <v>37.78</v>
      </c>
      <c r="D355" s="7" t="n">
        <v>42.72</v>
      </c>
      <c r="E355" s="7" t="n">
        <v>55.99</v>
      </c>
      <c r="F355" s="7" t="n">
        <v>40.12</v>
      </c>
      <c r="G355" s="7" t="n">
        <v>42.41</v>
      </c>
      <c r="H355" s="8" t="n">
        <v>65.45999999999999</v>
      </c>
      <c r="I355" s="7" t="n">
        <v>49.15</v>
      </c>
      <c r="J355" s="7" t="n">
        <v>46.04</v>
      </c>
      <c r="K355" s="7" t="n">
        <v>39.59</v>
      </c>
      <c r="L355" s="8" t="n">
        <v>62.21</v>
      </c>
      <c r="M355" s="7" t="n">
        <v>55.41</v>
      </c>
      <c r="N355" s="7" t="n">
        <v>54.85</v>
      </c>
      <c r="O355" s="7" t="n">
        <v>51.87</v>
      </c>
      <c r="P355" s="7" t="n">
        <v>45.87</v>
      </c>
      <c r="Q355" s="7" t="n">
        <v>54.16</v>
      </c>
      <c r="R355" s="7" t="n">
        <v>46.24</v>
      </c>
      <c r="S355" s="7" t="n">
        <v>58.26</v>
      </c>
      <c r="T355" s="7" t="n">
        <v>45.87</v>
      </c>
      <c r="U355" s="7" t="n">
        <v>52.04</v>
      </c>
      <c r="V355" s="7" t="n">
        <v>52.17</v>
      </c>
      <c r="W355" s="7" t="n">
        <v>52.74</v>
      </c>
      <c r="X355" s="7" t="n">
        <v>49.83</v>
      </c>
      <c r="Y355" s="7" t="n">
        <v>41.68</v>
      </c>
    </row>
    <row r="356" ht="15" customHeight="1">
      <c r="A356" s="13" t="n">
        <v>45728</v>
      </c>
      <c r="B356" s="7" t="n">
        <v>50.76</v>
      </c>
      <c r="C356" s="7" t="n">
        <v>43.46</v>
      </c>
      <c r="D356" s="7" t="n">
        <v>43.18</v>
      </c>
      <c r="E356" s="7" t="n">
        <v>57.01</v>
      </c>
      <c r="F356" s="7" t="n">
        <v>43.86</v>
      </c>
      <c r="G356" s="7" t="n">
        <v>43.63</v>
      </c>
      <c r="H356" s="9" t="n">
        <v>73.20999999999999</v>
      </c>
      <c r="I356" s="7" t="n">
        <v>49.41</v>
      </c>
      <c r="J356" s="7" t="n">
        <v>48.01</v>
      </c>
      <c r="K356" s="7" t="n">
        <v>36.12</v>
      </c>
      <c r="L356" s="7" t="n">
        <v>55.77</v>
      </c>
      <c r="M356" s="7" t="n">
        <v>58.43</v>
      </c>
      <c r="N356" s="7" t="n">
        <v>53.36</v>
      </c>
      <c r="O356" s="7" t="n">
        <v>54.37</v>
      </c>
      <c r="P356" s="7" t="n">
        <v>48.88</v>
      </c>
      <c r="Q356" s="7" t="n">
        <v>55.58</v>
      </c>
      <c r="R356" s="7" t="n">
        <v>44.4</v>
      </c>
      <c r="S356" s="7" t="n">
        <v>55.4</v>
      </c>
      <c r="T356" s="7" t="n">
        <v>48.67</v>
      </c>
      <c r="U356" s="7" t="n">
        <v>48.54</v>
      </c>
      <c r="V356" s="7" t="n">
        <v>52.9</v>
      </c>
      <c r="W356" s="7" t="n">
        <v>53.03</v>
      </c>
      <c r="X356" s="7" t="n">
        <v>48.49</v>
      </c>
      <c r="Y356" s="7" t="n">
        <v>44.53</v>
      </c>
    </row>
    <row r="357" ht="15" customHeight="1">
      <c r="A357" s="13" t="n">
        <v>45727</v>
      </c>
      <c r="B357" s="7" t="n">
        <v>51.02</v>
      </c>
      <c r="C357" s="7" t="n">
        <v>44.81</v>
      </c>
      <c r="D357" s="7" t="n">
        <v>42.76</v>
      </c>
      <c r="E357" s="7" t="n">
        <v>53.01</v>
      </c>
      <c r="F357" s="7" t="n">
        <v>39.97</v>
      </c>
      <c r="G357" s="7" t="n">
        <v>41.67</v>
      </c>
      <c r="H357" s="8" t="n">
        <v>63.79</v>
      </c>
      <c r="I357" s="7" t="n">
        <v>46.91</v>
      </c>
      <c r="J357" s="7" t="n">
        <v>37.6</v>
      </c>
      <c r="K357" s="7" t="n">
        <v>30.94</v>
      </c>
      <c r="L357" s="7" t="n">
        <v>58.35</v>
      </c>
      <c r="M357" s="7" t="n">
        <v>58.57</v>
      </c>
      <c r="N357" s="7" t="n">
        <v>54.62</v>
      </c>
      <c r="O357" s="7" t="n">
        <v>54.37</v>
      </c>
      <c r="P357" s="7" t="n">
        <v>52.24</v>
      </c>
      <c r="Q357" s="7" t="n">
        <v>47.83</v>
      </c>
      <c r="R357" s="7" t="n">
        <v>40.33</v>
      </c>
      <c r="S357" s="7" t="n">
        <v>50.39</v>
      </c>
      <c r="T357" s="7" t="n">
        <v>44.17</v>
      </c>
      <c r="U357" s="7" t="n">
        <v>43.04</v>
      </c>
      <c r="V357" s="7" t="n">
        <v>44.81</v>
      </c>
      <c r="W357" s="7" t="n">
        <v>59.11</v>
      </c>
      <c r="X357" s="7" t="n">
        <v>46.95</v>
      </c>
      <c r="Y357" s="7" t="n">
        <v>46.98</v>
      </c>
    </row>
    <row r="358" ht="15" customHeight="1">
      <c r="A358" s="13" t="n">
        <v>45726</v>
      </c>
      <c r="B358" s="7" t="n">
        <v>55.48</v>
      </c>
      <c r="C358" s="7" t="n">
        <v>48.04</v>
      </c>
      <c r="D358" s="7" t="n">
        <v>46.87</v>
      </c>
      <c r="E358" s="7" t="n">
        <v>58.5</v>
      </c>
      <c r="F358" s="7" t="n">
        <v>42.3</v>
      </c>
      <c r="G358" s="7" t="n">
        <v>43.37</v>
      </c>
      <c r="H358" s="8" t="n">
        <v>69.72</v>
      </c>
      <c r="I358" s="7" t="n">
        <v>50.27</v>
      </c>
      <c r="J358" s="7" t="n">
        <v>39.28</v>
      </c>
      <c r="K358" s="7" t="n">
        <v>33.27</v>
      </c>
      <c r="L358" s="8" t="n">
        <v>64.81999999999999</v>
      </c>
      <c r="M358" s="8" t="n">
        <v>66.95</v>
      </c>
      <c r="N358" s="8" t="n">
        <v>60.47</v>
      </c>
      <c r="O358" s="8" t="n">
        <v>64.04000000000001</v>
      </c>
      <c r="P358" s="8" t="n">
        <v>64.52</v>
      </c>
      <c r="Q358" s="7" t="n">
        <v>49.94</v>
      </c>
      <c r="R358" s="7" t="n">
        <v>44.98</v>
      </c>
      <c r="S358" s="7" t="n">
        <v>56.16</v>
      </c>
      <c r="T358" s="7" t="n">
        <v>47.06</v>
      </c>
      <c r="U358" s="7" t="n">
        <v>46.76</v>
      </c>
      <c r="V358" s="7" t="n">
        <v>49.42</v>
      </c>
      <c r="W358" s="8" t="n">
        <v>68.93000000000001</v>
      </c>
      <c r="X358" s="7" t="n">
        <v>51.16</v>
      </c>
      <c r="Y358" s="7" t="n">
        <v>49.64</v>
      </c>
    </row>
    <row r="359" ht="15" customHeight="1">
      <c r="A359" s="13" t="n">
        <v>45723</v>
      </c>
      <c r="B359" s="7" t="n">
        <v>57.37</v>
      </c>
      <c r="C359" s="7" t="n">
        <v>50.75</v>
      </c>
      <c r="D359" s="7" t="n">
        <v>45.75</v>
      </c>
      <c r="E359" s="7" t="n">
        <v>55.48</v>
      </c>
      <c r="F359" s="7" t="n">
        <v>44.54</v>
      </c>
      <c r="G359" s="7" t="n">
        <v>43.31</v>
      </c>
      <c r="H359" s="8" t="n">
        <v>66.90000000000001</v>
      </c>
      <c r="I359" s="7" t="n">
        <v>49.18</v>
      </c>
      <c r="J359" s="7" t="n">
        <v>39.29</v>
      </c>
      <c r="K359" s="7" t="n">
        <v>34.24</v>
      </c>
      <c r="L359" s="8" t="n">
        <v>66.15000000000001</v>
      </c>
      <c r="M359" s="8" t="n">
        <v>65.26000000000001</v>
      </c>
      <c r="N359" s="7" t="n">
        <v>57.6</v>
      </c>
      <c r="O359" s="8" t="n">
        <v>63.83</v>
      </c>
      <c r="P359" s="8" t="n">
        <v>62.71</v>
      </c>
      <c r="Q359" s="7" t="n">
        <v>50.43</v>
      </c>
      <c r="R359" s="7" t="n">
        <v>40.39</v>
      </c>
      <c r="S359" s="7" t="n">
        <v>55.24</v>
      </c>
      <c r="T359" s="7" t="n">
        <v>39.07</v>
      </c>
      <c r="U359" s="7" t="n">
        <v>47.14</v>
      </c>
      <c r="V359" s="7" t="n">
        <v>49.19</v>
      </c>
      <c r="W359" s="9" t="n">
        <v>71.83</v>
      </c>
      <c r="X359" s="7" t="n">
        <v>49.53</v>
      </c>
      <c r="Y359" s="7" t="n">
        <v>57.09</v>
      </c>
    </row>
    <row r="360" ht="15" customHeight="1">
      <c r="A360" s="13" t="n">
        <v>45722</v>
      </c>
      <c r="B360" s="7" t="n">
        <v>59.43</v>
      </c>
      <c r="C360" s="7" t="n">
        <v>51.34</v>
      </c>
      <c r="D360" s="7" t="n">
        <v>52.75</v>
      </c>
      <c r="E360" s="7" t="n">
        <v>50.93</v>
      </c>
      <c r="F360" s="7" t="n">
        <v>52.71</v>
      </c>
      <c r="G360" s="7" t="n">
        <v>45.8</v>
      </c>
      <c r="H360" s="8" t="n">
        <v>60.94</v>
      </c>
      <c r="I360" s="7" t="n">
        <v>49.07</v>
      </c>
      <c r="J360" s="7" t="n">
        <v>40.01</v>
      </c>
      <c r="K360" s="7" t="n">
        <v>34.85</v>
      </c>
      <c r="L360" s="8" t="n">
        <v>64.88</v>
      </c>
      <c r="M360" s="8" t="n">
        <v>65.58</v>
      </c>
      <c r="N360" s="8" t="n">
        <v>60.47</v>
      </c>
      <c r="O360" s="8" t="n">
        <v>63.55</v>
      </c>
      <c r="P360" s="8" t="n">
        <v>64.23999999999999</v>
      </c>
      <c r="Q360" s="7" t="n">
        <v>55.05</v>
      </c>
      <c r="R360" s="7" t="n">
        <v>47.62</v>
      </c>
      <c r="S360" s="7" t="n">
        <v>57.23</v>
      </c>
      <c r="T360" s="7" t="n">
        <v>43.47</v>
      </c>
      <c r="U360" s="7" t="n">
        <v>52.76</v>
      </c>
      <c r="V360" s="7" t="n">
        <v>49.19</v>
      </c>
      <c r="W360" s="9" t="n">
        <v>80.84</v>
      </c>
      <c r="X360" s="7" t="n">
        <v>53.85</v>
      </c>
      <c r="Y360" s="7" t="n">
        <v>56.56</v>
      </c>
    </row>
    <row r="361" ht="15" customHeight="1">
      <c r="A361" s="13" t="n">
        <v>45721</v>
      </c>
      <c r="B361" s="7" t="n">
        <v>47.29</v>
      </c>
      <c r="C361" s="7" t="n">
        <v>51.8</v>
      </c>
      <c r="D361" s="7" t="n">
        <v>49.53</v>
      </c>
      <c r="E361" s="7" t="n">
        <v>50.06</v>
      </c>
      <c r="F361" s="7" t="n">
        <v>54.14</v>
      </c>
      <c r="G361" s="7" t="n">
        <v>41.9</v>
      </c>
      <c r="H361" s="7" t="n">
        <v>54.08</v>
      </c>
      <c r="I361" s="7" t="n">
        <v>51.23</v>
      </c>
      <c r="J361" s="7" t="n">
        <v>40.04</v>
      </c>
      <c r="K361" s="7" t="n">
        <v>37.07</v>
      </c>
      <c r="L361" s="8" t="n">
        <v>63.4</v>
      </c>
      <c r="M361" s="8" t="n">
        <v>65.91</v>
      </c>
      <c r="N361" s="7" t="n">
        <v>59</v>
      </c>
      <c r="O361" s="8" t="n">
        <v>63.41</v>
      </c>
      <c r="P361" s="8" t="n">
        <v>62.73</v>
      </c>
      <c r="Q361" s="7" t="n">
        <v>52.75</v>
      </c>
      <c r="R361" s="7" t="n">
        <v>40.97</v>
      </c>
      <c r="S361" s="7" t="n">
        <v>44.93</v>
      </c>
      <c r="T361" s="7" t="n">
        <v>43.21</v>
      </c>
      <c r="U361" s="7" t="n">
        <v>44.79</v>
      </c>
      <c r="V361" s="7" t="n">
        <v>47.88</v>
      </c>
      <c r="W361" s="9" t="n">
        <v>78.41</v>
      </c>
      <c r="X361" s="7" t="n">
        <v>44.96</v>
      </c>
      <c r="Y361" s="7" t="n">
        <v>56.76</v>
      </c>
    </row>
    <row r="362" ht="15" customHeight="1">
      <c r="A362" s="13" t="n">
        <v>45720</v>
      </c>
      <c r="B362" s="7" t="n">
        <v>45.35</v>
      </c>
      <c r="C362" s="7" t="n">
        <v>45.32</v>
      </c>
      <c r="D362" s="7" t="n">
        <v>44.42</v>
      </c>
      <c r="E362" s="7" t="n">
        <v>43.59</v>
      </c>
      <c r="F362" s="7" t="n">
        <v>48.99</v>
      </c>
      <c r="G362" s="7" t="n">
        <v>31.8</v>
      </c>
      <c r="H362" s="7" t="n">
        <v>49.61</v>
      </c>
      <c r="I362" s="7" t="n">
        <v>43.44</v>
      </c>
      <c r="J362" s="7" t="n">
        <v>37.72</v>
      </c>
      <c r="K362" s="7" t="n">
        <v>33.29</v>
      </c>
      <c r="L362" s="8" t="n">
        <v>61.88</v>
      </c>
      <c r="M362" s="7" t="n">
        <v>56.9</v>
      </c>
      <c r="N362" s="7" t="n">
        <v>49.83</v>
      </c>
      <c r="O362" s="7" t="n">
        <v>51.73</v>
      </c>
      <c r="P362" s="7" t="n">
        <v>56.96</v>
      </c>
      <c r="Q362" s="7" t="n">
        <v>51.73</v>
      </c>
      <c r="R362" s="7" t="n">
        <v>39.25</v>
      </c>
      <c r="S362" s="7" t="n">
        <v>46.99</v>
      </c>
      <c r="T362" s="7" t="n">
        <v>41.69</v>
      </c>
      <c r="U362" s="7" t="n">
        <v>42.28</v>
      </c>
      <c r="V362" s="7" t="n">
        <v>43.35</v>
      </c>
      <c r="W362" s="9" t="n">
        <v>75.72</v>
      </c>
      <c r="X362" s="7" t="n">
        <v>39.83</v>
      </c>
      <c r="Y362" s="7" t="n">
        <v>56.52</v>
      </c>
    </row>
    <row r="363" ht="15" customHeight="1">
      <c r="A363" s="13" t="n">
        <v>45719</v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</row>
    <row r="364" ht="15" customHeight="1">
      <c r="A364" s="13" t="n">
        <v>45716</v>
      </c>
      <c r="B364" s="7" t="n">
        <v>42.32</v>
      </c>
      <c r="C364" s="7" t="n">
        <v>50.93</v>
      </c>
      <c r="D364" s="7" t="n">
        <v>49.12</v>
      </c>
      <c r="E364" s="7" t="n">
        <v>48.6</v>
      </c>
      <c r="F364" s="7" t="n">
        <v>47.62</v>
      </c>
      <c r="G364" s="7" t="n">
        <v>34.53</v>
      </c>
      <c r="H364" s="7" t="n">
        <v>49.04</v>
      </c>
      <c r="I364" s="7" t="n">
        <v>45.26</v>
      </c>
      <c r="J364" s="7" t="n">
        <v>40.72</v>
      </c>
      <c r="K364" s="7" t="n">
        <v>38.71</v>
      </c>
      <c r="L364" s="7" t="n">
        <v>51.24</v>
      </c>
      <c r="M364" s="7" t="n">
        <v>55.88</v>
      </c>
      <c r="N364" s="7" t="n">
        <v>49.2</v>
      </c>
      <c r="O364" s="7" t="n">
        <v>51.09</v>
      </c>
      <c r="P364" s="7" t="n">
        <v>51.31</v>
      </c>
      <c r="Q364" s="7" t="n">
        <v>49.85</v>
      </c>
      <c r="R364" s="7" t="n">
        <v>41.85</v>
      </c>
      <c r="S364" s="7" t="n">
        <v>50.03</v>
      </c>
      <c r="T364" s="7" t="n">
        <v>43</v>
      </c>
      <c r="U364" s="7" t="n">
        <v>38.65</v>
      </c>
      <c r="V364" s="7" t="n">
        <v>43.36</v>
      </c>
      <c r="W364" s="9" t="n">
        <v>74.47</v>
      </c>
      <c r="X364" s="7" t="n">
        <v>44.28</v>
      </c>
      <c r="Y364" s="8" t="n">
        <v>64.53</v>
      </c>
    </row>
    <row r="365" ht="15" customHeight="1">
      <c r="A365" s="13" t="n">
        <v>45715</v>
      </c>
      <c r="B365" s="7" t="n">
        <v>52.02</v>
      </c>
      <c r="C365" s="8" t="n">
        <v>66.03</v>
      </c>
      <c r="D365" s="7" t="n">
        <v>53.43</v>
      </c>
      <c r="E365" s="8" t="n">
        <v>62.55</v>
      </c>
      <c r="F365" s="7" t="n">
        <v>57.29</v>
      </c>
      <c r="G365" s="7" t="n">
        <v>44.71</v>
      </c>
      <c r="H365" s="7" t="n">
        <v>57.74</v>
      </c>
      <c r="I365" s="7" t="n">
        <v>55.7</v>
      </c>
      <c r="J365" s="7" t="n">
        <v>52.18</v>
      </c>
      <c r="K365" s="7" t="n">
        <v>46.17</v>
      </c>
      <c r="L365" s="8" t="n">
        <v>62.73</v>
      </c>
      <c r="M365" s="8" t="n">
        <v>68.11</v>
      </c>
      <c r="N365" s="8" t="n">
        <v>69.94</v>
      </c>
      <c r="O365" s="8" t="n">
        <v>63.18</v>
      </c>
      <c r="P365" s="8" t="n">
        <v>66.06999999999999</v>
      </c>
      <c r="Q365" s="7" t="n">
        <v>53.64</v>
      </c>
      <c r="R365" s="7" t="n">
        <v>53.52</v>
      </c>
      <c r="S365" s="8" t="n">
        <v>63.12</v>
      </c>
      <c r="T365" s="7" t="n">
        <v>47.71</v>
      </c>
      <c r="U365" s="7" t="n">
        <v>49.93</v>
      </c>
      <c r="V365" s="7" t="n">
        <v>57.86</v>
      </c>
      <c r="W365" s="9" t="n">
        <v>80.17</v>
      </c>
      <c r="X365" s="7" t="n">
        <v>55.2</v>
      </c>
      <c r="Y365" s="9" t="n">
        <v>74.37</v>
      </c>
    </row>
    <row r="366" ht="15" customHeight="1">
      <c r="A366" s="13" t="n">
        <v>45714</v>
      </c>
      <c r="B366" s="7" t="n">
        <v>57.77</v>
      </c>
      <c r="C366" s="8" t="n">
        <v>63.47</v>
      </c>
      <c r="D366" s="7" t="n">
        <v>53.37</v>
      </c>
      <c r="E366" s="8" t="n">
        <v>61.33</v>
      </c>
      <c r="F366" s="8" t="n">
        <v>64.01000000000001</v>
      </c>
      <c r="G366" s="7" t="n">
        <v>49.56</v>
      </c>
      <c r="H366" s="7" t="n">
        <v>59.16</v>
      </c>
      <c r="I366" s="8" t="n">
        <v>60.66</v>
      </c>
      <c r="J366" s="7" t="n">
        <v>55.74</v>
      </c>
      <c r="K366" s="7" t="n">
        <v>53.09</v>
      </c>
      <c r="L366" s="8" t="n">
        <v>63.8</v>
      </c>
      <c r="M366" s="8" t="n">
        <v>66.08</v>
      </c>
      <c r="N366" s="9" t="n">
        <v>75.70999999999999</v>
      </c>
      <c r="O366" s="8" t="n">
        <v>65.56999999999999</v>
      </c>
      <c r="P366" s="8" t="n">
        <v>67.23999999999999</v>
      </c>
      <c r="Q366" s="8" t="n">
        <v>62.12</v>
      </c>
      <c r="R366" s="7" t="n">
        <v>59.18</v>
      </c>
      <c r="S366" s="8" t="n">
        <v>66.73999999999999</v>
      </c>
      <c r="T366" s="7" t="n">
        <v>48.97</v>
      </c>
      <c r="U366" s="7" t="n">
        <v>49.23</v>
      </c>
      <c r="V366" s="8" t="n">
        <v>62.03</v>
      </c>
      <c r="W366" s="9" t="n">
        <v>78.45</v>
      </c>
      <c r="X366" s="7" t="n">
        <v>59.31</v>
      </c>
      <c r="Y366" s="8" t="n">
        <v>69.31</v>
      </c>
    </row>
    <row r="367" ht="15" customHeight="1">
      <c r="A367" s="13" t="n">
        <v>45713</v>
      </c>
      <c r="B367" s="7" t="n">
        <v>57.2</v>
      </c>
      <c r="C367" s="8" t="n">
        <v>62.28</v>
      </c>
      <c r="D367" s="7" t="n">
        <v>57.08</v>
      </c>
      <c r="E367" s="7" t="n">
        <v>57.79</v>
      </c>
      <c r="F367" s="7" t="n">
        <v>57.59</v>
      </c>
      <c r="G367" s="7" t="n">
        <v>44.63</v>
      </c>
      <c r="H367" s="7" t="n">
        <v>56.92</v>
      </c>
      <c r="I367" s="8" t="n">
        <v>61.49</v>
      </c>
      <c r="J367" s="7" t="n">
        <v>55.95</v>
      </c>
      <c r="K367" s="7" t="n">
        <v>55.79</v>
      </c>
      <c r="L367" s="8" t="n">
        <v>66.83</v>
      </c>
      <c r="M367" s="9" t="n">
        <v>71.73999999999999</v>
      </c>
      <c r="N367" s="9" t="n">
        <v>73.19</v>
      </c>
      <c r="O367" s="8" t="n">
        <v>63.64</v>
      </c>
      <c r="P367" s="9" t="n">
        <v>72.37</v>
      </c>
      <c r="Q367" s="8" t="n">
        <v>61.36</v>
      </c>
      <c r="R367" s="7" t="n">
        <v>55.05</v>
      </c>
      <c r="S367" s="8" t="n">
        <v>63.84</v>
      </c>
      <c r="T367" s="7" t="n">
        <v>47.52</v>
      </c>
      <c r="U367" s="7" t="n">
        <v>47.27</v>
      </c>
      <c r="V367" s="8" t="n">
        <v>61.29</v>
      </c>
      <c r="W367" s="9" t="n">
        <v>78.56999999999999</v>
      </c>
      <c r="X367" s="7" t="n">
        <v>51.45</v>
      </c>
      <c r="Y367" s="8" t="n">
        <v>68.25</v>
      </c>
    </row>
    <row r="368" ht="15" customHeight="1">
      <c r="A368" s="13" t="n">
        <v>45712</v>
      </c>
      <c r="B368" s="8" t="n">
        <v>61.43</v>
      </c>
      <c r="C368" s="8" t="n">
        <v>67.91</v>
      </c>
      <c r="D368" s="7" t="n">
        <v>57.52</v>
      </c>
      <c r="E368" s="8" t="n">
        <v>65.88</v>
      </c>
      <c r="F368" s="7" t="n">
        <v>55.56</v>
      </c>
      <c r="G368" s="7" t="n">
        <v>46.63</v>
      </c>
      <c r="H368" s="8" t="n">
        <v>64.04000000000001</v>
      </c>
      <c r="I368" s="8" t="n">
        <v>61.6</v>
      </c>
      <c r="J368" s="8" t="n">
        <v>61.04</v>
      </c>
      <c r="K368" s="7" t="n">
        <v>58.15</v>
      </c>
      <c r="L368" s="8" t="n">
        <v>64.89</v>
      </c>
      <c r="M368" s="9" t="n">
        <v>75.65000000000001</v>
      </c>
      <c r="N368" s="8" t="n">
        <v>65.48999999999999</v>
      </c>
      <c r="O368" s="8" t="n">
        <v>64.02</v>
      </c>
      <c r="P368" s="9" t="n">
        <v>70.48999999999999</v>
      </c>
      <c r="Q368" s="8" t="n">
        <v>64.90000000000001</v>
      </c>
      <c r="R368" s="7" t="n">
        <v>57.74</v>
      </c>
      <c r="S368" s="8" t="n">
        <v>61.02</v>
      </c>
      <c r="T368" s="7" t="n">
        <v>49.52</v>
      </c>
      <c r="U368" s="7" t="n">
        <v>49.83</v>
      </c>
      <c r="V368" s="8" t="n">
        <v>65.28</v>
      </c>
      <c r="W368" s="9" t="n">
        <v>77.45</v>
      </c>
      <c r="X368" s="7" t="n">
        <v>52.72</v>
      </c>
      <c r="Y368" s="8" t="n">
        <v>64.33</v>
      </c>
    </row>
    <row r="369" ht="15" customHeight="1">
      <c r="A369" s="13" t="n">
        <v>45709</v>
      </c>
      <c r="B369" s="8" t="n">
        <v>61.04</v>
      </c>
      <c r="C369" s="8" t="n">
        <v>69.81</v>
      </c>
      <c r="D369" s="7" t="n">
        <v>52.41</v>
      </c>
      <c r="E369" s="8" t="n">
        <v>66.3</v>
      </c>
      <c r="F369" s="7" t="n">
        <v>57.72</v>
      </c>
      <c r="G369" s="7" t="n">
        <v>47.07</v>
      </c>
      <c r="H369" s="8" t="n">
        <v>65.34999999999999</v>
      </c>
      <c r="I369" s="8" t="n">
        <v>67.09999999999999</v>
      </c>
      <c r="J369" s="8" t="n">
        <v>64.83</v>
      </c>
      <c r="K369" s="7" t="n">
        <v>59.66</v>
      </c>
      <c r="L369" s="8" t="n">
        <v>65</v>
      </c>
      <c r="M369" s="9" t="n">
        <v>72.34999999999999</v>
      </c>
      <c r="N369" s="8" t="n">
        <v>61.91</v>
      </c>
      <c r="O369" s="8" t="n">
        <v>64.17</v>
      </c>
      <c r="P369" s="7" t="n">
        <v>59.68</v>
      </c>
      <c r="Q369" s="8" t="n">
        <v>61.36</v>
      </c>
      <c r="R369" s="7" t="n">
        <v>59.42</v>
      </c>
      <c r="S369" s="8" t="n">
        <v>62.46</v>
      </c>
      <c r="T369" s="7" t="n">
        <v>49.13</v>
      </c>
      <c r="U369" s="7" t="n">
        <v>54.67</v>
      </c>
      <c r="V369" s="8" t="n">
        <v>68.78</v>
      </c>
      <c r="W369" s="9" t="n">
        <v>75.84</v>
      </c>
      <c r="X369" s="7" t="n">
        <v>53.8</v>
      </c>
      <c r="Y369" s="8" t="n">
        <v>64.81999999999999</v>
      </c>
    </row>
    <row r="370" ht="15" customHeight="1">
      <c r="A370" s="13" t="n">
        <v>45708</v>
      </c>
      <c r="B370" s="8" t="n">
        <v>61.54</v>
      </c>
      <c r="C370" s="8" t="n">
        <v>69.73</v>
      </c>
      <c r="D370" s="7" t="n">
        <v>56.47</v>
      </c>
      <c r="E370" s="8" t="n">
        <v>65.5</v>
      </c>
      <c r="F370" s="7" t="n">
        <v>57.23</v>
      </c>
      <c r="G370" s="7" t="n">
        <v>48.18</v>
      </c>
      <c r="H370" s="8" t="n">
        <v>62.08</v>
      </c>
      <c r="I370" s="8" t="n">
        <v>67.03</v>
      </c>
      <c r="J370" s="8" t="n">
        <v>65.98</v>
      </c>
      <c r="K370" s="8" t="n">
        <v>61.38</v>
      </c>
      <c r="L370" s="8" t="n">
        <v>63.84</v>
      </c>
      <c r="M370" s="9" t="n">
        <v>71.66</v>
      </c>
      <c r="N370" s="8" t="n">
        <v>63.39</v>
      </c>
      <c r="O370" s="8" t="n">
        <v>64.09</v>
      </c>
      <c r="P370" s="7" t="n">
        <v>57.44</v>
      </c>
      <c r="Q370" s="8" t="n">
        <v>68.09999999999999</v>
      </c>
      <c r="R370" s="8" t="n">
        <v>61.59</v>
      </c>
      <c r="S370" s="9" t="n">
        <v>70.13</v>
      </c>
      <c r="T370" s="7" t="n">
        <v>54.82</v>
      </c>
      <c r="U370" s="7" t="n">
        <v>56.26</v>
      </c>
      <c r="V370" s="8" t="n">
        <v>68.56</v>
      </c>
      <c r="W370" s="9" t="n">
        <v>71.61</v>
      </c>
      <c r="X370" s="7" t="n">
        <v>52.23</v>
      </c>
      <c r="Y370" s="8" t="n">
        <v>67.55</v>
      </c>
    </row>
    <row r="371" ht="15" customHeight="1">
      <c r="A371" s="13" t="n">
        <v>45707</v>
      </c>
      <c r="B371" s="8" t="n">
        <v>60.33</v>
      </c>
      <c r="C371" s="8" t="n">
        <v>67.15000000000001</v>
      </c>
      <c r="D371" s="7" t="n">
        <v>55.31</v>
      </c>
      <c r="E371" s="8" t="n">
        <v>64.84999999999999</v>
      </c>
      <c r="F371" s="7" t="n">
        <v>58.61</v>
      </c>
      <c r="G371" s="7" t="n">
        <v>48.67</v>
      </c>
      <c r="H371" s="7" t="n">
        <v>59.06</v>
      </c>
      <c r="I371" s="9" t="n">
        <v>74.03</v>
      </c>
      <c r="J371" s="8" t="n">
        <v>68.58</v>
      </c>
      <c r="K371" s="8" t="n">
        <v>62.36</v>
      </c>
      <c r="L371" s="9" t="n">
        <v>73.54000000000001</v>
      </c>
      <c r="M371" s="9" t="n">
        <v>71.59999999999999</v>
      </c>
      <c r="N371" s="7" t="n">
        <v>55.88</v>
      </c>
      <c r="O371" s="9" t="n">
        <v>71.48</v>
      </c>
      <c r="P371" s="7" t="n">
        <v>51.82</v>
      </c>
      <c r="Q371" s="8" t="n">
        <v>61.4</v>
      </c>
      <c r="R371" s="8" t="n">
        <v>67.81999999999999</v>
      </c>
      <c r="S371" s="9" t="n">
        <v>70.01000000000001</v>
      </c>
      <c r="T371" s="8" t="n">
        <v>60.62</v>
      </c>
      <c r="U371" s="8" t="n">
        <v>66.62</v>
      </c>
      <c r="V371" s="9" t="n">
        <v>72.81</v>
      </c>
      <c r="W371" s="8" t="n">
        <v>67.53</v>
      </c>
      <c r="X371" s="7" t="n">
        <v>52.51</v>
      </c>
      <c r="Y371" s="8" t="n">
        <v>63.39</v>
      </c>
    </row>
    <row r="372" ht="15" customHeight="1">
      <c r="A372" s="13" t="n">
        <v>45706</v>
      </c>
      <c r="B372" s="7" t="n">
        <v>57.09</v>
      </c>
      <c r="C372" s="9" t="n">
        <v>73.37</v>
      </c>
      <c r="D372" s="7" t="n">
        <v>47.91</v>
      </c>
      <c r="E372" s="8" t="n">
        <v>62.21</v>
      </c>
      <c r="F372" s="8" t="n">
        <v>62.44</v>
      </c>
      <c r="G372" s="7" t="n">
        <v>49.78</v>
      </c>
      <c r="H372" s="7" t="n">
        <v>53.7</v>
      </c>
      <c r="I372" s="9" t="n">
        <v>73.66</v>
      </c>
      <c r="J372" s="8" t="n">
        <v>61.71</v>
      </c>
      <c r="K372" s="8" t="n">
        <v>60.06</v>
      </c>
      <c r="L372" s="9" t="n">
        <v>70.45999999999999</v>
      </c>
      <c r="M372" s="8" t="n">
        <v>68.2</v>
      </c>
      <c r="N372" s="7" t="n">
        <v>52.85</v>
      </c>
      <c r="O372" s="9" t="n">
        <v>75.02</v>
      </c>
      <c r="P372" s="7" t="n">
        <v>48.25</v>
      </c>
      <c r="Q372" s="7" t="n">
        <v>55.28</v>
      </c>
      <c r="R372" s="8" t="n">
        <v>65.7</v>
      </c>
      <c r="S372" s="8" t="n">
        <v>66.75</v>
      </c>
      <c r="T372" s="8" t="n">
        <v>62.41</v>
      </c>
      <c r="U372" s="8" t="n">
        <v>61.31</v>
      </c>
      <c r="V372" s="8" t="n">
        <v>67.93000000000001</v>
      </c>
      <c r="W372" s="8" t="n">
        <v>63.25</v>
      </c>
      <c r="X372" s="7" t="n">
        <v>49.46</v>
      </c>
      <c r="Y372" s="8" t="n">
        <v>61.39</v>
      </c>
    </row>
    <row r="373" ht="15" customHeight="1">
      <c r="A373" s="13" t="n">
        <v>45705</v>
      </c>
      <c r="B373" s="8" t="n">
        <v>63.14</v>
      </c>
      <c r="C373" s="9" t="n">
        <v>72.68000000000001</v>
      </c>
      <c r="D373" s="7" t="n">
        <v>47.23</v>
      </c>
      <c r="E373" s="8" t="n">
        <v>61.09</v>
      </c>
      <c r="F373" s="8" t="n">
        <v>65.34</v>
      </c>
      <c r="G373" s="7" t="n">
        <v>52.67</v>
      </c>
      <c r="H373" s="7" t="n">
        <v>51.61</v>
      </c>
      <c r="I373" s="8" t="n">
        <v>69.72</v>
      </c>
      <c r="J373" s="7" t="n">
        <v>59.72</v>
      </c>
      <c r="K373" s="7" t="n">
        <v>57.91</v>
      </c>
      <c r="L373" s="8" t="n">
        <v>66.63</v>
      </c>
      <c r="M373" s="8" t="n">
        <v>66.56999999999999</v>
      </c>
      <c r="N373" s="7" t="n">
        <v>52.63</v>
      </c>
      <c r="O373" s="8" t="n">
        <v>68.78</v>
      </c>
      <c r="P373" s="7" t="n">
        <v>46.38</v>
      </c>
      <c r="Q373" s="7" t="n">
        <v>59.21</v>
      </c>
      <c r="R373" s="8" t="n">
        <v>65.25</v>
      </c>
      <c r="S373" s="8" t="n">
        <v>68.40000000000001</v>
      </c>
      <c r="T373" s="8" t="n">
        <v>68.7</v>
      </c>
      <c r="U373" s="8" t="n">
        <v>65</v>
      </c>
      <c r="V373" s="8" t="n">
        <v>65.59999999999999</v>
      </c>
      <c r="W373" s="8" t="n">
        <v>62.36</v>
      </c>
      <c r="X373" s="7" t="n">
        <v>50.08</v>
      </c>
      <c r="Y373" s="8" t="n">
        <v>60.2</v>
      </c>
    </row>
    <row r="374" ht="15" customHeight="1">
      <c r="A374" s="13" t="n">
        <v>45702</v>
      </c>
      <c r="B374" s="8" t="n">
        <v>61.21</v>
      </c>
      <c r="C374" s="8" t="n">
        <v>68.73</v>
      </c>
      <c r="D374" s="7" t="n">
        <v>47.06</v>
      </c>
      <c r="E374" s="7" t="n">
        <v>54.55</v>
      </c>
      <c r="F374" s="8" t="n">
        <v>64.51000000000001</v>
      </c>
      <c r="G374" s="7" t="n">
        <v>54.32</v>
      </c>
      <c r="H374" s="7" t="n">
        <v>48.43</v>
      </c>
      <c r="I374" s="8" t="n">
        <v>68.44</v>
      </c>
      <c r="J374" s="7" t="n">
        <v>58.74</v>
      </c>
      <c r="K374" s="7" t="n">
        <v>55.3</v>
      </c>
      <c r="L374" s="8" t="n">
        <v>67.54000000000001</v>
      </c>
      <c r="M374" s="8" t="n">
        <v>61.41</v>
      </c>
      <c r="N374" s="7" t="n">
        <v>48.35</v>
      </c>
      <c r="O374" s="9" t="n">
        <v>70.64</v>
      </c>
      <c r="P374" s="7" t="n">
        <v>48.2</v>
      </c>
      <c r="Q374" s="7" t="n">
        <v>59.11</v>
      </c>
      <c r="R374" s="7" t="n">
        <v>59.05</v>
      </c>
      <c r="S374" s="8" t="n">
        <v>62.42</v>
      </c>
      <c r="T374" s="7" t="n">
        <v>59.71</v>
      </c>
      <c r="U374" s="8" t="n">
        <v>61.86</v>
      </c>
      <c r="V374" s="8" t="n">
        <v>64.08</v>
      </c>
      <c r="W374" s="7" t="n">
        <v>53.9</v>
      </c>
      <c r="X374" s="7" t="n">
        <v>48.37</v>
      </c>
      <c r="Y374" s="8" t="n">
        <v>68.8</v>
      </c>
    </row>
    <row r="375" ht="15" customHeight="1">
      <c r="A375" s="13" t="n">
        <v>45701</v>
      </c>
      <c r="B375" s="7" t="n">
        <v>52.12</v>
      </c>
      <c r="C375" s="8" t="n">
        <v>67.51000000000001</v>
      </c>
      <c r="D375" s="7" t="n">
        <v>46.05</v>
      </c>
      <c r="E375" s="7" t="n">
        <v>56.44</v>
      </c>
      <c r="F375" s="8" t="n">
        <v>63.69</v>
      </c>
      <c r="G375" s="7" t="n">
        <v>51.34</v>
      </c>
      <c r="H375" s="7" t="n">
        <v>47.06</v>
      </c>
      <c r="I375" s="8" t="n">
        <v>63.48</v>
      </c>
      <c r="J375" s="7" t="n">
        <v>58.97</v>
      </c>
      <c r="K375" s="7" t="n">
        <v>53.93</v>
      </c>
      <c r="L375" s="9" t="n">
        <v>70.92</v>
      </c>
      <c r="M375" s="7" t="n">
        <v>55.33</v>
      </c>
      <c r="N375" s="7" t="n">
        <v>43.73</v>
      </c>
      <c r="O375" s="8" t="n">
        <v>67.98999999999999</v>
      </c>
      <c r="P375" s="7" t="n">
        <v>46.54</v>
      </c>
      <c r="Q375" s="7" t="n">
        <v>51.26</v>
      </c>
      <c r="R375" s="7" t="n">
        <v>54.3</v>
      </c>
      <c r="S375" s="7" t="n">
        <v>56.07</v>
      </c>
      <c r="T375" s="7" t="n">
        <v>45.46</v>
      </c>
      <c r="U375" s="8" t="n">
        <v>60.63</v>
      </c>
      <c r="V375" s="8" t="n">
        <v>63.94</v>
      </c>
      <c r="W375" s="7" t="n">
        <v>51.12</v>
      </c>
      <c r="X375" s="7" t="n">
        <v>49.77</v>
      </c>
      <c r="Y375" s="8" t="n">
        <v>67.8</v>
      </c>
    </row>
    <row r="376" ht="15" customHeight="1">
      <c r="A376" s="13" t="n">
        <v>45700</v>
      </c>
      <c r="B376" s="7" t="n">
        <v>58.29</v>
      </c>
      <c r="C376" s="8" t="n">
        <v>60.39</v>
      </c>
      <c r="D376" s="7" t="n">
        <v>46</v>
      </c>
      <c r="E376" s="7" t="n">
        <v>48.56</v>
      </c>
      <c r="F376" s="8" t="n">
        <v>61.45</v>
      </c>
      <c r="G376" s="7" t="n">
        <v>37.75</v>
      </c>
      <c r="H376" s="7" t="n">
        <v>41.16</v>
      </c>
      <c r="I376" s="7" t="n">
        <v>59.1</v>
      </c>
      <c r="J376" s="7" t="n">
        <v>53.7</v>
      </c>
      <c r="K376" s="7" t="n">
        <v>46.81</v>
      </c>
      <c r="L376" s="8" t="n">
        <v>66.51000000000001</v>
      </c>
      <c r="M376" s="7" t="n">
        <v>52.34</v>
      </c>
      <c r="N376" s="7" t="n">
        <v>40.64</v>
      </c>
      <c r="O376" s="8" t="n">
        <v>61.18</v>
      </c>
      <c r="P376" s="7" t="n">
        <v>48.42</v>
      </c>
      <c r="Q376" s="7" t="n">
        <v>49.84</v>
      </c>
      <c r="R376" s="7" t="n">
        <v>53.63</v>
      </c>
      <c r="S376" s="7" t="n">
        <v>56.82</v>
      </c>
      <c r="T376" s="7" t="n">
        <v>50.22</v>
      </c>
      <c r="U376" s="8" t="n">
        <v>60.03</v>
      </c>
      <c r="V376" s="7" t="n">
        <v>57.97</v>
      </c>
      <c r="W376" s="7" t="n">
        <v>50.82</v>
      </c>
      <c r="X376" s="7" t="n">
        <v>54.24</v>
      </c>
      <c r="Y376" s="9" t="n">
        <v>71.95999999999999</v>
      </c>
    </row>
    <row r="377" ht="15" customHeight="1">
      <c r="A377" s="13" t="n">
        <v>45699</v>
      </c>
      <c r="B377" s="7" t="n">
        <v>58.14</v>
      </c>
      <c r="C377" s="8" t="n">
        <v>62.46</v>
      </c>
      <c r="D377" s="7" t="n">
        <v>46.07</v>
      </c>
      <c r="E377" s="7" t="n">
        <v>47.55</v>
      </c>
      <c r="F377" s="8" t="n">
        <v>67.59999999999999</v>
      </c>
      <c r="G377" s="7" t="n">
        <v>42.8</v>
      </c>
      <c r="H377" s="7" t="n">
        <v>40.07</v>
      </c>
      <c r="I377" s="7" t="n">
        <v>56.92</v>
      </c>
      <c r="J377" s="7" t="n">
        <v>53.04</v>
      </c>
      <c r="K377" s="7" t="n">
        <v>46.55</v>
      </c>
      <c r="L377" s="7" t="n">
        <v>58.74</v>
      </c>
      <c r="M377" s="7" t="n">
        <v>48.19</v>
      </c>
      <c r="N377" s="7" t="n">
        <v>39.5</v>
      </c>
      <c r="O377" s="8" t="n">
        <v>63.55</v>
      </c>
      <c r="P377" s="7" t="n">
        <v>49.17</v>
      </c>
      <c r="Q377" s="7" t="n">
        <v>54.29</v>
      </c>
      <c r="R377" s="7" t="n">
        <v>50.03</v>
      </c>
      <c r="S377" s="7" t="n">
        <v>52.56</v>
      </c>
      <c r="T377" s="7" t="n">
        <v>46.47</v>
      </c>
      <c r="U377" s="7" t="n">
        <v>59.53</v>
      </c>
      <c r="V377" s="7" t="n">
        <v>55.97</v>
      </c>
      <c r="W377" s="7" t="n">
        <v>50.61</v>
      </c>
      <c r="X377" s="8" t="n">
        <v>66.98999999999999</v>
      </c>
      <c r="Y377" s="8" t="n">
        <v>69.13</v>
      </c>
    </row>
    <row r="378" ht="15" customHeight="1">
      <c r="A378" s="13" t="n">
        <v>45698</v>
      </c>
      <c r="B378" s="7" t="n">
        <v>57.52</v>
      </c>
      <c r="C378" s="8" t="n">
        <v>66.77</v>
      </c>
      <c r="D378" s="7" t="n">
        <v>47.5</v>
      </c>
      <c r="E378" s="7" t="n">
        <v>47.17</v>
      </c>
      <c r="F378" s="8" t="n">
        <v>63.59</v>
      </c>
      <c r="G378" s="7" t="n">
        <v>44.81</v>
      </c>
      <c r="H378" s="7" t="n">
        <v>36.56</v>
      </c>
      <c r="I378" s="7" t="n">
        <v>55.04</v>
      </c>
      <c r="J378" s="7" t="n">
        <v>52.48</v>
      </c>
      <c r="K378" s="7" t="n">
        <v>48.18</v>
      </c>
      <c r="L378" s="7" t="n">
        <v>50.96</v>
      </c>
      <c r="M378" s="7" t="n">
        <v>44.48</v>
      </c>
      <c r="N378" s="7" t="n">
        <v>40.13</v>
      </c>
      <c r="O378" s="8" t="n">
        <v>60.9</v>
      </c>
      <c r="P378" s="7" t="n">
        <v>48.83</v>
      </c>
      <c r="Q378" s="7" t="n">
        <v>49.8</v>
      </c>
      <c r="R378" s="7" t="n">
        <v>49.56</v>
      </c>
      <c r="S378" s="7" t="n">
        <v>51.93</v>
      </c>
      <c r="T378" s="7" t="n">
        <v>46.8</v>
      </c>
      <c r="U378" s="7" t="n">
        <v>56.3</v>
      </c>
      <c r="V378" s="7" t="n">
        <v>53.02</v>
      </c>
      <c r="W378" s="7" t="n">
        <v>48.72</v>
      </c>
      <c r="X378" s="8" t="n">
        <v>66.43000000000001</v>
      </c>
      <c r="Y378" s="8" t="n">
        <v>64.66</v>
      </c>
    </row>
    <row r="379" ht="15" customHeight="1">
      <c r="A379" s="13" t="n">
        <v>45695</v>
      </c>
      <c r="B379" s="7" t="n">
        <v>57.3</v>
      </c>
      <c r="C379" s="8" t="n">
        <v>64.61</v>
      </c>
      <c r="D379" s="7" t="n">
        <v>45.03</v>
      </c>
      <c r="E379" s="7" t="n">
        <v>45.31</v>
      </c>
      <c r="F379" s="8" t="n">
        <v>69.28</v>
      </c>
      <c r="G379" s="7" t="n">
        <v>46.57</v>
      </c>
      <c r="H379" s="7" t="n">
        <v>38.44</v>
      </c>
      <c r="I379" s="7" t="n">
        <v>59.41</v>
      </c>
      <c r="J379" s="7" t="n">
        <v>48.66</v>
      </c>
      <c r="K379" s="7" t="n">
        <v>48.96</v>
      </c>
      <c r="L379" s="7" t="n">
        <v>57.71</v>
      </c>
      <c r="M379" s="7" t="n">
        <v>45.97</v>
      </c>
      <c r="N379" s="7" t="n">
        <v>41.18</v>
      </c>
      <c r="O379" s="8" t="n">
        <v>60.87</v>
      </c>
      <c r="P379" s="7" t="n">
        <v>49.4</v>
      </c>
      <c r="Q379" s="7" t="n">
        <v>48.35</v>
      </c>
      <c r="R379" s="7" t="n">
        <v>52.94</v>
      </c>
      <c r="S379" s="7" t="n">
        <v>54.11</v>
      </c>
      <c r="T379" s="7" t="n">
        <v>49.3</v>
      </c>
      <c r="U379" s="8" t="n">
        <v>62.19</v>
      </c>
      <c r="V379" s="7" t="n">
        <v>52.14</v>
      </c>
      <c r="W379" s="7" t="n">
        <v>46.18</v>
      </c>
      <c r="X379" s="8" t="n">
        <v>69.05</v>
      </c>
      <c r="Y379" s="8" t="n">
        <v>62.52</v>
      </c>
    </row>
    <row r="380" ht="15" customHeight="1">
      <c r="A380" s="13" t="n">
        <v>45694</v>
      </c>
      <c r="B380" s="8" t="n">
        <v>64.8</v>
      </c>
      <c r="C380" s="8" t="n">
        <v>66.5</v>
      </c>
      <c r="D380" s="7" t="n">
        <v>49.82</v>
      </c>
      <c r="E380" s="7" t="n">
        <v>49.79</v>
      </c>
      <c r="F380" s="8" t="n">
        <v>62.95</v>
      </c>
      <c r="G380" s="7" t="n">
        <v>47.92</v>
      </c>
      <c r="H380" s="7" t="n">
        <v>40.17</v>
      </c>
      <c r="I380" s="8" t="n">
        <v>61.76</v>
      </c>
      <c r="J380" s="7" t="n">
        <v>50.38</v>
      </c>
      <c r="K380" s="7" t="n">
        <v>58.84</v>
      </c>
      <c r="L380" s="7" t="n">
        <v>58.76</v>
      </c>
      <c r="M380" s="7" t="n">
        <v>49.26</v>
      </c>
      <c r="N380" s="7" t="n">
        <v>53.55</v>
      </c>
      <c r="O380" s="7" t="n">
        <v>59.78</v>
      </c>
      <c r="P380" s="7" t="n">
        <v>53.34</v>
      </c>
      <c r="Q380" s="7" t="n">
        <v>52.97</v>
      </c>
      <c r="R380" s="7" t="n">
        <v>57.32</v>
      </c>
      <c r="S380" s="7" t="n">
        <v>49.85</v>
      </c>
      <c r="T380" s="7" t="n">
        <v>53.89</v>
      </c>
      <c r="U380" s="8" t="n">
        <v>62.98</v>
      </c>
      <c r="V380" s="7" t="n">
        <v>53.47</v>
      </c>
      <c r="W380" s="7" t="n">
        <v>49.5</v>
      </c>
      <c r="X380" s="9" t="n">
        <v>75.18000000000001</v>
      </c>
      <c r="Y380" s="8" t="n">
        <v>65.77</v>
      </c>
    </row>
    <row r="381" ht="15" customHeight="1">
      <c r="A381" s="13" t="n">
        <v>45693</v>
      </c>
      <c r="B381" s="7" t="n">
        <v>51.01</v>
      </c>
      <c r="C381" s="8" t="n">
        <v>62.24</v>
      </c>
      <c r="D381" s="7" t="n">
        <v>47.16</v>
      </c>
      <c r="E381" s="7" t="n">
        <v>46.59</v>
      </c>
      <c r="F381" s="8" t="n">
        <v>60.09</v>
      </c>
      <c r="G381" s="7" t="n">
        <v>45.43</v>
      </c>
      <c r="H381" s="7" t="n">
        <v>39.31</v>
      </c>
      <c r="I381" s="8" t="n">
        <v>60.97</v>
      </c>
      <c r="J381" s="7" t="n">
        <v>46.33</v>
      </c>
      <c r="K381" s="7" t="n">
        <v>51.16</v>
      </c>
      <c r="L381" s="7" t="n">
        <v>57.4</v>
      </c>
      <c r="M381" s="7" t="n">
        <v>47.05</v>
      </c>
      <c r="N381" s="7" t="n">
        <v>52.63</v>
      </c>
      <c r="O381" s="7" t="n">
        <v>52.07</v>
      </c>
      <c r="P381" s="7" t="n">
        <v>54.38</v>
      </c>
      <c r="Q381" s="7" t="n">
        <v>52.88</v>
      </c>
      <c r="R381" s="7" t="n">
        <v>56.84</v>
      </c>
      <c r="S381" s="7" t="n">
        <v>52.21</v>
      </c>
      <c r="T381" s="7" t="n">
        <v>51.25</v>
      </c>
      <c r="U381" s="7" t="n">
        <v>54.2</v>
      </c>
      <c r="V381" s="7" t="n">
        <v>49.36</v>
      </c>
      <c r="W381" s="7" t="n">
        <v>40.72</v>
      </c>
      <c r="X381" s="9" t="n">
        <v>71.98999999999999</v>
      </c>
      <c r="Y381" s="8" t="n">
        <v>65.92</v>
      </c>
    </row>
    <row r="382" ht="15" customHeight="1">
      <c r="A382" s="13" t="n">
        <v>45692</v>
      </c>
      <c r="B382" s="7" t="n">
        <v>46.6</v>
      </c>
      <c r="C382" s="7" t="n">
        <v>54.72</v>
      </c>
      <c r="D382" s="7" t="n">
        <v>46.44</v>
      </c>
      <c r="E382" s="7" t="n">
        <v>41.92</v>
      </c>
      <c r="F382" s="7" t="n">
        <v>55.75</v>
      </c>
      <c r="G382" s="7" t="n">
        <v>48.31</v>
      </c>
      <c r="H382" s="7" t="n">
        <v>37.71</v>
      </c>
      <c r="I382" s="8" t="n">
        <v>62.16</v>
      </c>
      <c r="J382" s="7" t="n">
        <v>41.88</v>
      </c>
      <c r="K382" s="7" t="n">
        <v>50</v>
      </c>
      <c r="L382" s="7" t="n">
        <v>57.44</v>
      </c>
      <c r="M382" s="7" t="n">
        <v>43.02</v>
      </c>
      <c r="N382" s="7" t="n">
        <v>44.8</v>
      </c>
      <c r="O382" s="7" t="n">
        <v>53.6</v>
      </c>
      <c r="P382" s="7" t="n">
        <v>53.49</v>
      </c>
      <c r="Q382" s="7" t="n">
        <v>51.09</v>
      </c>
      <c r="R382" s="7" t="n">
        <v>56.03</v>
      </c>
      <c r="S382" s="7" t="n">
        <v>55.93</v>
      </c>
      <c r="T382" s="7" t="n">
        <v>52.65</v>
      </c>
      <c r="U382" s="7" t="n">
        <v>53.23</v>
      </c>
      <c r="V382" s="7" t="n">
        <v>45.25</v>
      </c>
      <c r="W382" s="7" t="n">
        <v>41.7</v>
      </c>
      <c r="X382" s="8" t="n">
        <v>63.51</v>
      </c>
      <c r="Y382" s="8" t="n">
        <v>63.54</v>
      </c>
    </row>
    <row r="383" ht="15" customHeight="1">
      <c r="A383" s="13" t="n">
        <v>45691</v>
      </c>
      <c r="B383" s="7" t="n">
        <v>48.25</v>
      </c>
      <c r="C383" s="7" t="n">
        <v>53.99</v>
      </c>
      <c r="D383" s="7" t="n">
        <v>44.43</v>
      </c>
      <c r="E383" s="7" t="n">
        <v>40.75</v>
      </c>
      <c r="F383" s="7" t="n">
        <v>57.26</v>
      </c>
      <c r="G383" s="7" t="n">
        <v>44.58</v>
      </c>
      <c r="H383" s="7" t="n">
        <v>38.05</v>
      </c>
      <c r="I383" s="7" t="n">
        <v>57.72</v>
      </c>
      <c r="J383" s="7" t="n">
        <v>37.21</v>
      </c>
      <c r="K383" s="7" t="n">
        <v>49.65</v>
      </c>
      <c r="L383" s="7" t="n">
        <v>53.33</v>
      </c>
      <c r="M383" s="7" t="n">
        <v>42.79</v>
      </c>
      <c r="N383" s="7" t="n">
        <v>47.73</v>
      </c>
      <c r="O383" s="7" t="n">
        <v>50.01</v>
      </c>
      <c r="P383" s="7" t="n">
        <v>53</v>
      </c>
      <c r="Q383" s="7" t="n">
        <v>53.06</v>
      </c>
      <c r="R383" s="7" t="n">
        <v>50.22</v>
      </c>
      <c r="S383" s="7" t="n">
        <v>51.35</v>
      </c>
      <c r="T383" s="7" t="n">
        <v>50.89</v>
      </c>
      <c r="U383" s="7" t="n">
        <v>45.34</v>
      </c>
      <c r="V383" s="7" t="n">
        <v>40.92</v>
      </c>
      <c r="W383" s="7" t="n">
        <v>37.52</v>
      </c>
      <c r="X383" s="8" t="n">
        <v>62.46</v>
      </c>
      <c r="Y383" s="7" t="n">
        <v>57.5</v>
      </c>
    </row>
    <row r="384" ht="15" customHeight="1">
      <c r="A384" s="13" t="n">
        <v>45688</v>
      </c>
      <c r="B384" s="7" t="n">
        <v>45.09</v>
      </c>
      <c r="C384" s="8" t="n">
        <v>67.3</v>
      </c>
      <c r="D384" s="7" t="n">
        <v>55</v>
      </c>
      <c r="E384" s="7" t="n">
        <v>52.84</v>
      </c>
      <c r="F384" s="8" t="n">
        <v>60.31</v>
      </c>
      <c r="G384" s="7" t="n">
        <v>46.21</v>
      </c>
      <c r="H384" s="7" t="n">
        <v>43.32</v>
      </c>
      <c r="I384" s="8" t="n">
        <v>65.31999999999999</v>
      </c>
      <c r="J384" s="7" t="n">
        <v>44.79</v>
      </c>
      <c r="K384" s="7" t="n">
        <v>50.89</v>
      </c>
      <c r="L384" s="8" t="n">
        <v>61.84</v>
      </c>
      <c r="M384" s="7" t="n">
        <v>47.99</v>
      </c>
      <c r="N384" s="7" t="n">
        <v>48.88</v>
      </c>
      <c r="O384" s="7" t="n">
        <v>56.15</v>
      </c>
      <c r="P384" s="8" t="n">
        <v>66.51000000000001</v>
      </c>
      <c r="Q384" s="7" t="n">
        <v>56.19</v>
      </c>
      <c r="R384" s="8" t="n">
        <v>61.41</v>
      </c>
      <c r="S384" s="7" t="n">
        <v>58.61</v>
      </c>
      <c r="T384" s="7" t="n">
        <v>50.48</v>
      </c>
      <c r="U384" s="7" t="n">
        <v>55.49</v>
      </c>
      <c r="V384" s="7" t="n">
        <v>50.62</v>
      </c>
      <c r="W384" s="7" t="n">
        <v>43.43</v>
      </c>
      <c r="X384" s="7" t="n">
        <v>59.03</v>
      </c>
      <c r="Y384" s="8" t="n">
        <v>60.71</v>
      </c>
    </row>
    <row r="385" ht="15" customHeight="1">
      <c r="A385" s="13" t="n">
        <v>45687</v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</row>
    <row r="386" ht="15" customHeight="1">
      <c r="A386" s="13" t="n">
        <v>45686</v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</row>
    <row r="387" ht="15" customHeight="1">
      <c r="A387" s="13" t="n">
        <v>45685</v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</row>
    <row r="388" ht="15" customHeight="1">
      <c r="A388" s="13" t="n">
        <v>45684</v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</row>
    <row r="389" ht="15" customHeight="1">
      <c r="A389" s="13" t="n">
        <v>45681</v>
      </c>
      <c r="B389" s="7" t="n">
        <v>34.27</v>
      </c>
      <c r="C389" s="8" t="n">
        <v>63.33</v>
      </c>
      <c r="D389" s="8" t="n">
        <v>61.43</v>
      </c>
      <c r="E389" s="7" t="n">
        <v>52.25</v>
      </c>
      <c r="F389" s="8" t="n">
        <v>62.33</v>
      </c>
      <c r="G389" s="7" t="n">
        <v>52.75</v>
      </c>
      <c r="H389" s="7" t="n">
        <v>45.44</v>
      </c>
      <c r="I389" s="9" t="n">
        <v>75.56</v>
      </c>
      <c r="J389" s="7" t="n">
        <v>56.93</v>
      </c>
      <c r="K389" s="8" t="n">
        <v>62.21</v>
      </c>
      <c r="L389" s="8" t="n">
        <v>60.83</v>
      </c>
      <c r="M389" s="7" t="n">
        <v>43.97</v>
      </c>
      <c r="N389" s="7" t="n">
        <v>49.7</v>
      </c>
      <c r="O389" s="8" t="n">
        <v>62.63</v>
      </c>
      <c r="P389" s="8" t="n">
        <v>62.67</v>
      </c>
      <c r="Q389" s="7" t="n">
        <v>50.48</v>
      </c>
      <c r="R389" s="7" t="n">
        <v>52.05</v>
      </c>
      <c r="S389" s="7" t="n">
        <v>53.26</v>
      </c>
      <c r="T389" s="10" t="n">
        <v>27.3</v>
      </c>
      <c r="U389" s="7" t="n">
        <v>56.43</v>
      </c>
      <c r="V389" s="8" t="n">
        <v>60.41</v>
      </c>
      <c r="W389" s="7" t="n">
        <v>43.5</v>
      </c>
      <c r="X389" s="7" t="n">
        <v>38.74</v>
      </c>
      <c r="Y389" s="7" t="n">
        <v>57.84</v>
      </c>
    </row>
    <row r="390" ht="15" customHeight="1">
      <c r="A390" s="13" t="n">
        <v>45680</v>
      </c>
      <c r="B390" s="7" t="n">
        <v>30.95</v>
      </c>
      <c r="C390" s="8" t="n">
        <v>61.55</v>
      </c>
      <c r="D390" s="9" t="n">
        <v>72.40000000000001</v>
      </c>
      <c r="E390" s="7" t="n">
        <v>51.92</v>
      </c>
      <c r="F390" s="7" t="n">
        <v>57.35</v>
      </c>
      <c r="G390" s="7" t="n">
        <v>49.87</v>
      </c>
      <c r="H390" s="7" t="n">
        <v>36.78</v>
      </c>
      <c r="I390" s="9" t="n">
        <v>73.06</v>
      </c>
      <c r="J390" s="7" t="n">
        <v>55.45</v>
      </c>
      <c r="K390" s="7" t="n">
        <v>58.27</v>
      </c>
      <c r="L390" s="7" t="n">
        <v>56.1</v>
      </c>
      <c r="M390" s="7" t="n">
        <v>41.49</v>
      </c>
      <c r="N390" s="7" t="n">
        <v>46.25</v>
      </c>
      <c r="O390" s="7" t="n">
        <v>55.81</v>
      </c>
      <c r="P390" s="7" t="n">
        <v>58.79</v>
      </c>
      <c r="Q390" s="7" t="n">
        <v>44.51</v>
      </c>
      <c r="R390" s="7" t="n">
        <v>50.6</v>
      </c>
      <c r="S390" s="7" t="n">
        <v>51.66</v>
      </c>
      <c r="T390" s="10" t="n">
        <v>29.03</v>
      </c>
      <c r="U390" s="7" t="n">
        <v>57.09</v>
      </c>
      <c r="V390" s="7" t="n">
        <v>56.55</v>
      </c>
      <c r="W390" s="7" t="n">
        <v>42.96</v>
      </c>
      <c r="X390" s="7" t="n">
        <v>40.75</v>
      </c>
      <c r="Y390" s="7" t="n">
        <v>54.07</v>
      </c>
    </row>
    <row r="391" ht="15" customHeight="1">
      <c r="A391" s="13" t="n">
        <v>45679</v>
      </c>
      <c r="B391" s="7" t="n">
        <v>34.13</v>
      </c>
      <c r="C391" s="8" t="n">
        <v>62.29</v>
      </c>
      <c r="D391" s="8" t="n">
        <v>64.89</v>
      </c>
      <c r="E391" s="7" t="n">
        <v>57.41</v>
      </c>
      <c r="F391" s="7" t="n">
        <v>53.56</v>
      </c>
      <c r="G391" s="7" t="n">
        <v>54.34</v>
      </c>
      <c r="H391" s="7" t="n">
        <v>38.71</v>
      </c>
      <c r="I391" s="9" t="n">
        <v>79.63</v>
      </c>
      <c r="J391" s="8" t="n">
        <v>61.64</v>
      </c>
      <c r="K391" s="8" t="n">
        <v>62.56</v>
      </c>
      <c r="L391" s="8" t="n">
        <v>62.88</v>
      </c>
      <c r="M391" s="7" t="n">
        <v>53.43</v>
      </c>
      <c r="N391" s="7" t="n">
        <v>52.4</v>
      </c>
      <c r="O391" s="7" t="n">
        <v>54.76</v>
      </c>
      <c r="P391" s="7" t="n">
        <v>59.93</v>
      </c>
      <c r="Q391" s="7" t="n">
        <v>42.72</v>
      </c>
      <c r="R391" s="7" t="n">
        <v>55.36</v>
      </c>
      <c r="S391" s="7" t="n">
        <v>53.91</v>
      </c>
      <c r="T391" s="7" t="n">
        <v>30.59</v>
      </c>
      <c r="U391" s="9" t="n">
        <v>75.04000000000001</v>
      </c>
      <c r="V391" s="8" t="n">
        <v>63.53</v>
      </c>
      <c r="W391" s="7" t="n">
        <v>43.9</v>
      </c>
      <c r="X391" s="7" t="n">
        <v>44.32</v>
      </c>
      <c r="Y391" s="7" t="n">
        <v>59.35</v>
      </c>
    </row>
    <row r="392" ht="15" customHeight="1">
      <c r="A392" s="13" t="n">
        <v>45678</v>
      </c>
      <c r="B392" s="7" t="n">
        <v>36.54</v>
      </c>
      <c r="C392" s="8" t="n">
        <v>60.25</v>
      </c>
      <c r="D392" s="9" t="n">
        <v>72.09999999999999</v>
      </c>
      <c r="E392" s="7" t="n">
        <v>54.69</v>
      </c>
      <c r="F392" s="7" t="n">
        <v>51.34</v>
      </c>
      <c r="G392" s="7" t="n">
        <v>53.44</v>
      </c>
      <c r="H392" s="7" t="n">
        <v>36.12</v>
      </c>
      <c r="I392" s="9" t="n">
        <v>72.70999999999999</v>
      </c>
      <c r="J392" s="7" t="n">
        <v>55.66</v>
      </c>
      <c r="K392" s="8" t="n">
        <v>64.61</v>
      </c>
      <c r="L392" s="8" t="n">
        <v>64.73</v>
      </c>
      <c r="M392" s="7" t="n">
        <v>50.03</v>
      </c>
      <c r="N392" s="7" t="n">
        <v>54.74</v>
      </c>
      <c r="O392" s="7" t="n">
        <v>45.32</v>
      </c>
      <c r="P392" s="7" t="n">
        <v>50.39</v>
      </c>
      <c r="Q392" s="7" t="n">
        <v>46.11</v>
      </c>
      <c r="R392" s="7" t="n">
        <v>53.58</v>
      </c>
      <c r="S392" s="7" t="n">
        <v>52.07</v>
      </c>
      <c r="T392" s="7" t="n">
        <v>33.6</v>
      </c>
      <c r="U392" s="9" t="n">
        <v>72.26000000000001</v>
      </c>
      <c r="V392" s="7" t="n">
        <v>58.13</v>
      </c>
      <c r="W392" s="7" t="n">
        <v>44.84</v>
      </c>
      <c r="X392" s="7" t="n">
        <v>45.51</v>
      </c>
      <c r="Y392" s="7" t="n">
        <v>58.95</v>
      </c>
    </row>
    <row r="393" ht="15" customHeight="1">
      <c r="A393" s="13" t="n">
        <v>45677</v>
      </c>
      <c r="B393" s="7" t="n">
        <v>35.32</v>
      </c>
      <c r="C393" s="7" t="n">
        <v>59.15</v>
      </c>
      <c r="D393" s="9" t="n">
        <v>71.70999999999999</v>
      </c>
      <c r="E393" s="8" t="n">
        <v>61.42</v>
      </c>
      <c r="F393" s="7" t="n">
        <v>54.14</v>
      </c>
      <c r="G393" s="7" t="n">
        <v>48.11</v>
      </c>
      <c r="H393" s="7" t="n">
        <v>41.82</v>
      </c>
      <c r="I393" s="8" t="n">
        <v>69.78</v>
      </c>
      <c r="J393" s="7" t="n">
        <v>56.09</v>
      </c>
      <c r="K393" s="8" t="n">
        <v>64.34999999999999</v>
      </c>
      <c r="L393" s="7" t="n">
        <v>59.93</v>
      </c>
      <c r="M393" s="7" t="n">
        <v>52.71</v>
      </c>
      <c r="N393" s="7" t="n">
        <v>50.28</v>
      </c>
      <c r="O393" s="7" t="n">
        <v>44.72</v>
      </c>
      <c r="P393" s="7" t="n">
        <v>47.93</v>
      </c>
      <c r="Q393" s="7" t="n">
        <v>50.02</v>
      </c>
      <c r="R393" s="7" t="n">
        <v>53.85</v>
      </c>
      <c r="S393" s="7" t="n">
        <v>50.57</v>
      </c>
      <c r="T393" s="7" t="n">
        <v>36.36</v>
      </c>
      <c r="U393" s="9" t="n">
        <v>71.56</v>
      </c>
      <c r="V393" s="7" t="n">
        <v>58.74</v>
      </c>
      <c r="W393" s="7" t="n">
        <v>40.26</v>
      </c>
      <c r="X393" s="7" t="n">
        <v>45.51</v>
      </c>
      <c r="Y393" s="8" t="n">
        <v>61.67</v>
      </c>
    </row>
    <row r="394" ht="15" customHeight="1">
      <c r="A394" s="13" t="n">
        <v>45674</v>
      </c>
      <c r="B394" s="7" t="n">
        <v>38.35</v>
      </c>
      <c r="C394" s="8" t="n">
        <v>64.53</v>
      </c>
      <c r="D394" s="8" t="n">
        <v>68.06</v>
      </c>
      <c r="E394" s="8" t="n">
        <v>60.04</v>
      </c>
      <c r="F394" s="7" t="n">
        <v>54.03</v>
      </c>
      <c r="G394" s="7" t="n">
        <v>48.57</v>
      </c>
      <c r="H394" s="7" t="n">
        <v>38.81</v>
      </c>
      <c r="I394" s="9" t="n">
        <v>74.14</v>
      </c>
      <c r="J394" s="7" t="n">
        <v>55.83</v>
      </c>
      <c r="K394" s="8" t="n">
        <v>63.75</v>
      </c>
      <c r="L394" s="8" t="n">
        <v>63.37</v>
      </c>
      <c r="M394" s="7" t="n">
        <v>49.02</v>
      </c>
      <c r="N394" s="7" t="n">
        <v>48.79</v>
      </c>
      <c r="O394" s="7" t="n">
        <v>45.14</v>
      </c>
      <c r="P394" s="8" t="n">
        <v>60.67</v>
      </c>
      <c r="Q394" s="7" t="n">
        <v>50.6</v>
      </c>
      <c r="R394" s="7" t="n">
        <v>55.02</v>
      </c>
      <c r="S394" s="7" t="n">
        <v>47.07</v>
      </c>
      <c r="T394" s="7" t="n">
        <v>40.74</v>
      </c>
      <c r="U394" s="9" t="n">
        <v>70.08</v>
      </c>
      <c r="V394" s="7" t="n">
        <v>58.95</v>
      </c>
      <c r="W394" s="7" t="n">
        <v>43.5</v>
      </c>
      <c r="X394" s="7" t="n">
        <v>47.98</v>
      </c>
      <c r="Y394" s="8" t="n">
        <v>65.65000000000001</v>
      </c>
    </row>
    <row r="395" ht="15" customHeight="1">
      <c r="A395" s="13" t="n">
        <v>45673</v>
      </c>
      <c r="B395" s="7" t="n">
        <v>39.23</v>
      </c>
      <c r="C395" s="8" t="n">
        <v>62.86</v>
      </c>
      <c r="D395" s="8" t="n">
        <v>66.13</v>
      </c>
      <c r="E395" s="7" t="n">
        <v>57.99</v>
      </c>
      <c r="F395" s="8" t="n">
        <v>60.69</v>
      </c>
      <c r="G395" s="7" t="n">
        <v>50.06</v>
      </c>
      <c r="H395" s="7" t="n">
        <v>37.72</v>
      </c>
      <c r="I395" s="9" t="n">
        <v>70.69</v>
      </c>
      <c r="J395" s="7" t="n">
        <v>55.72</v>
      </c>
      <c r="K395" s="7" t="n">
        <v>59.96</v>
      </c>
      <c r="L395" s="8" t="n">
        <v>69.84</v>
      </c>
      <c r="M395" s="7" t="n">
        <v>50.52</v>
      </c>
      <c r="N395" s="7" t="n">
        <v>41.71</v>
      </c>
      <c r="O395" s="7" t="n">
        <v>46.72</v>
      </c>
      <c r="P395" s="8" t="n">
        <v>61.59</v>
      </c>
      <c r="Q395" s="7" t="n">
        <v>45.04</v>
      </c>
      <c r="R395" s="7" t="n">
        <v>56.84</v>
      </c>
      <c r="S395" s="7" t="n">
        <v>47.35</v>
      </c>
      <c r="T395" s="7" t="n">
        <v>42.64</v>
      </c>
      <c r="U395" s="8" t="n">
        <v>67.26000000000001</v>
      </c>
      <c r="V395" s="8" t="n">
        <v>60.11</v>
      </c>
      <c r="W395" s="7" t="n">
        <v>44.65</v>
      </c>
      <c r="X395" s="7" t="n">
        <v>46.33</v>
      </c>
      <c r="Y395" s="8" t="n">
        <v>64.44</v>
      </c>
    </row>
    <row r="396" ht="15" customHeight="1">
      <c r="A396" s="13" t="n">
        <v>45672</v>
      </c>
      <c r="B396" s="7" t="n">
        <v>39.89</v>
      </c>
      <c r="C396" s="8" t="n">
        <v>62.03</v>
      </c>
      <c r="D396" s="8" t="n">
        <v>63.71</v>
      </c>
      <c r="E396" s="7" t="n">
        <v>52.47</v>
      </c>
      <c r="F396" s="7" t="n">
        <v>56.25</v>
      </c>
      <c r="G396" s="7" t="n">
        <v>48.07</v>
      </c>
      <c r="H396" s="7" t="n">
        <v>36.85</v>
      </c>
      <c r="I396" s="8" t="n">
        <v>68.89</v>
      </c>
      <c r="J396" s="7" t="n">
        <v>50.17</v>
      </c>
      <c r="K396" s="7" t="n">
        <v>58.44</v>
      </c>
      <c r="L396" s="9" t="n">
        <v>70.63</v>
      </c>
      <c r="M396" s="7" t="n">
        <v>45.49</v>
      </c>
      <c r="N396" s="7" t="n">
        <v>42.76</v>
      </c>
      <c r="O396" s="7" t="n">
        <v>42.02</v>
      </c>
      <c r="P396" s="8" t="n">
        <v>62.5</v>
      </c>
      <c r="Q396" s="7" t="n">
        <v>43.04</v>
      </c>
      <c r="R396" s="7" t="n">
        <v>52.39</v>
      </c>
      <c r="S396" s="7" t="n">
        <v>43</v>
      </c>
      <c r="T396" s="7" t="n">
        <v>38.01</v>
      </c>
      <c r="U396" s="8" t="n">
        <v>64.66</v>
      </c>
      <c r="V396" s="7" t="n">
        <v>55.07</v>
      </c>
      <c r="W396" s="7" t="n">
        <v>43.65</v>
      </c>
      <c r="X396" s="7" t="n">
        <v>46.13</v>
      </c>
      <c r="Y396" s="8" t="n">
        <v>64.84999999999999</v>
      </c>
    </row>
    <row r="397" ht="15" customHeight="1">
      <c r="A397" s="13" t="n">
        <v>45671</v>
      </c>
      <c r="B397" s="7" t="n">
        <v>43.23</v>
      </c>
      <c r="C397" s="8" t="n">
        <v>61.24</v>
      </c>
      <c r="D397" s="8" t="n">
        <v>64.51000000000001</v>
      </c>
      <c r="E397" s="7" t="n">
        <v>55.05</v>
      </c>
      <c r="F397" s="7" t="n">
        <v>59.99</v>
      </c>
      <c r="G397" s="7" t="n">
        <v>46.7</v>
      </c>
      <c r="H397" s="7" t="n">
        <v>37.74</v>
      </c>
      <c r="I397" s="8" t="n">
        <v>67.67</v>
      </c>
      <c r="J397" s="7" t="n">
        <v>50.45</v>
      </c>
      <c r="K397" s="8" t="n">
        <v>60.82</v>
      </c>
      <c r="L397" s="8" t="n">
        <v>69.91</v>
      </c>
      <c r="M397" s="7" t="n">
        <v>47.82</v>
      </c>
      <c r="N397" s="7" t="n">
        <v>40.79</v>
      </c>
      <c r="O397" s="7" t="n">
        <v>45.4</v>
      </c>
      <c r="P397" s="7" t="n">
        <v>52.55</v>
      </c>
      <c r="Q397" s="7" t="n">
        <v>42.64</v>
      </c>
      <c r="R397" s="7" t="n">
        <v>50.7</v>
      </c>
      <c r="S397" s="7" t="n">
        <v>40.86</v>
      </c>
      <c r="T397" s="7" t="n">
        <v>39.08</v>
      </c>
      <c r="U397" s="8" t="n">
        <v>65.45</v>
      </c>
      <c r="V397" s="7" t="n">
        <v>56</v>
      </c>
      <c r="W397" s="7" t="n">
        <v>45.27</v>
      </c>
      <c r="X397" s="7" t="n">
        <v>46.04</v>
      </c>
      <c r="Y397" s="8" t="n">
        <v>63.25</v>
      </c>
    </row>
    <row r="398" ht="15" customHeight="1">
      <c r="A398" s="13" t="n">
        <v>45670</v>
      </c>
      <c r="B398" s="7" t="n">
        <v>45.98</v>
      </c>
      <c r="C398" s="8" t="n">
        <v>60.44</v>
      </c>
      <c r="D398" s="8" t="n">
        <v>66.48</v>
      </c>
      <c r="E398" s="7" t="n">
        <v>52.92</v>
      </c>
      <c r="F398" s="7" t="n">
        <v>59.78</v>
      </c>
      <c r="G398" s="7" t="n">
        <v>48.44</v>
      </c>
      <c r="H398" s="7" t="n">
        <v>36.63</v>
      </c>
      <c r="I398" s="8" t="n">
        <v>66.70999999999999</v>
      </c>
      <c r="J398" s="7" t="n">
        <v>48.83</v>
      </c>
      <c r="K398" s="8" t="n">
        <v>65.34999999999999</v>
      </c>
      <c r="L398" s="8" t="n">
        <v>67.84999999999999</v>
      </c>
      <c r="M398" s="7" t="n">
        <v>48.68</v>
      </c>
      <c r="N398" s="7" t="n">
        <v>41.28</v>
      </c>
      <c r="O398" s="7" t="n">
        <v>46.7</v>
      </c>
      <c r="P398" s="7" t="n">
        <v>54.32</v>
      </c>
      <c r="Q398" s="7" t="n">
        <v>45.73</v>
      </c>
      <c r="R398" s="7" t="n">
        <v>52.85</v>
      </c>
      <c r="S398" s="7" t="n">
        <v>41.31</v>
      </c>
      <c r="T398" s="7" t="n">
        <v>42.32</v>
      </c>
      <c r="U398" s="8" t="n">
        <v>63.49</v>
      </c>
      <c r="V398" s="7" t="n">
        <v>53.97</v>
      </c>
      <c r="W398" s="7" t="n">
        <v>46.4</v>
      </c>
      <c r="X398" s="7" t="n">
        <v>45.12</v>
      </c>
      <c r="Y398" s="7" t="n">
        <v>59.67</v>
      </c>
    </row>
    <row r="399" ht="15" customHeight="1">
      <c r="A399" s="13" t="n">
        <v>45667</v>
      </c>
      <c r="B399" s="7" t="n">
        <v>47</v>
      </c>
      <c r="C399" s="7" t="n">
        <v>57.47</v>
      </c>
      <c r="D399" s="7" t="n">
        <v>58.35</v>
      </c>
      <c r="E399" s="7" t="n">
        <v>54.73</v>
      </c>
      <c r="F399" s="7" t="n">
        <v>59.12</v>
      </c>
      <c r="G399" s="7" t="n">
        <v>49.27</v>
      </c>
      <c r="H399" s="7" t="n">
        <v>39.1</v>
      </c>
      <c r="I399" s="8" t="n">
        <v>69.83</v>
      </c>
      <c r="J399" s="7" t="n">
        <v>55.29</v>
      </c>
      <c r="K399" s="9" t="n">
        <v>73.5</v>
      </c>
      <c r="L399" s="9" t="n">
        <v>71.62</v>
      </c>
      <c r="M399" s="7" t="n">
        <v>51.59</v>
      </c>
      <c r="N399" s="7" t="n">
        <v>43.26</v>
      </c>
      <c r="O399" s="7" t="n">
        <v>50.95</v>
      </c>
      <c r="P399" s="7" t="n">
        <v>56.77</v>
      </c>
      <c r="Q399" s="7" t="n">
        <v>43.62</v>
      </c>
      <c r="R399" s="7" t="n">
        <v>52.4</v>
      </c>
      <c r="S399" s="7" t="n">
        <v>44.26</v>
      </c>
      <c r="T399" s="7" t="n">
        <v>41.99</v>
      </c>
      <c r="U399" s="8" t="n">
        <v>63.81</v>
      </c>
      <c r="V399" s="8" t="n">
        <v>60.59</v>
      </c>
      <c r="W399" s="7" t="n">
        <v>48.83</v>
      </c>
      <c r="X399" s="7" t="n">
        <v>46.29</v>
      </c>
      <c r="Y399" s="8" t="n">
        <v>62.21</v>
      </c>
    </row>
    <row r="400" ht="15" customHeight="1">
      <c r="A400" s="13" t="n">
        <v>45666</v>
      </c>
      <c r="B400" s="7" t="n">
        <v>45.06</v>
      </c>
      <c r="C400" s="7" t="n">
        <v>57.73</v>
      </c>
      <c r="D400" s="7" t="n">
        <v>52.19</v>
      </c>
      <c r="E400" s="7" t="n">
        <v>57.02</v>
      </c>
      <c r="F400" s="8" t="n">
        <v>61.27</v>
      </c>
      <c r="G400" s="7" t="n">
        <v>44.27</v>
      </c>
      <c r="H400" s="7" t="n">
        <v>41.4</v>
      </c>
      <c r="I400" s="8" t="n">
        <v>66.53</v>
      </c>
      <c r="J400" s="8" t="n">
        <v>60.05</v>
      </c>
      <c r="K400" s="9" t="n">
        <v>70.11</v>
      </c>
      <c r="L400" s="8" t="n">
        <v>67.43000000000001</v>
      </c>
      <c r="M400" s="7" t="n">
        <v>50.83</v>
      </c>
      <c r="N400" s="7" t="n">
        <v>41.84</v>
      </c>
      <c r="O400" s="7" t="n">
        <v>44.84</v>
      </c>
      <c r="P400" s="7" t="n">
        <v>57.93</v>
      </c>
      <c r="Q400" s="7" t="n">
        <v>45.21</v>
      </c>
      <c r="R400" s="7" t="n">
        <v>51.04</v>
      </c>
      <c r="S400" s="7" t="n">
        <v>42.5</v>
      </c>
      <c r="T400" s="7" t="n">
        <v>43.23</v>
      </c>
      <c r="U400" s="8" t="n">
        <v>65.13</v>
      </c>
      <c r="V400" s="8" t="n">
        <v>63.11</v>
      </c>
      <c r="W400" s="7" t="n">
        <v>47.55</v>
      </c>
      <c r="X400" s="7" t="n">
        <v>46.37</v>
      </c>
      <c r="Y400" s="7" t="n">
        <v>51.85</v>
      </c>
    </row>
    <row r="401" ht="15" customHeight="1">
      <c r="A401" s="13" t="n">
        <v>45665</v>
      </c>
      <c r="B401" s="7" t="n">
        <v>39.93</v>
      </c>
      <c r="C401" s="8" t="n">
        <v>61.42</v>
      </c>
      <c r="D401" s="7" t="n">
        <v>56.45</v>
      </c>
      <c r="E401" s="7" t="n">
        <v>54.83</v>
      </c>
      <c r="F401" s="8" t="n">
        <v>60.68</v>
      </c>
      <c r="G401" s="7" t="n">
        <v>47.34</v>
      </c>
      <c r="H401" s="7" t="n">
        <v>40.58</v>
      </c>
      <c r="I401" s="8" t="n">
        <v>68.28</v>
      </c>
      <c r="J401" s="8" t="n">
        <v>61.46</v>
      </c>
      <c r="K401" s="9" t="n">
        <v>70.8</v>
      </c>
      <c r="L401" s="8" t="n">
        <v>66.03</v>
      </c>
      <c r="M401" s="7" t="n">
        <v>52.61</v>
      </c>
      <c r="N401" s="7" t="n">
        <v>43.3</v>
      </c>
      <c r="O401" s="7" t="n">
        <v>47.62</v>
      </c>
      <c r="P401" s="7" t="n">
        <v>56.92</v>
      </c>
      <c r="Q401" s="7" t="n">
        <v>43.84</v>
      </c>
      <c r="R401" s="7" t="n">
        <v>49.74</v>
      </c>
      <c r="S401" s="7" t="n">
        <v>43.79</v>
      </c>
      <c r="T401" s="7" t="n">
        <v>43.63</v>
      </c>
      <c r="U401" s="8" t="n">
        <v>63.46</v>
      </c>
      <c r="V401" s="8" t="n">
        <v>63.02</v>
      </c>
      <c r="W401" s="7" t="n">
        <v>51.1</v>
      </c>
      <c r="X401" s="7" t="n">
        <v>48.19</v>
      </c>
      <c r="Y401" s="7" t="n">
        <v>55.66</v>
      </c>
    </row>
    <row r="402" ht="15" customHeight="1">
      <c r="A402" s="13" t="n">
        <v>45664</v>
      </c>
      <c r="B402" s="7" t="n">
        <v>41.61</v>
      </c>
      <c r="C402" s="8" t="n">
        <v>62.8</v>
      </c>
      <c r="D402" s="7" t="n">
        <v>55.44</v>
      </c>
      <c r="E402" s="7" t="n">
        <v>52.51</v>
      </c>
      <c r="F402" s="7" t="n">
        <v>56.73</v>
      </c>
      <c r="G402" s="7" t="n">
        <v>46.19</v>
      </c>
      <c r="H402" s="7" t="n">
        <v>42.44</v>
      </c>
      <c r="I402" s="8" t="n">
        <v>63.26</v>
      </c>
      <c r="J402" s="7" t="n">
        <v>56.71</v>
      </c>
      <c r="K402" s="8" t="n">
        <v>69.98999999999999</v>
      </c>
      <c r="L402" s="8" t="n">
        <v>62.48</v>
      </c>
      <c r="M402" s="7" t="n">
        <v>49.84</v>
      </c>
      <c r="N402" s="7" t="n">
        <v>44.17</v>
      </c>
      <c r="O402" s="7" t="n">
        <v>51.34</v>
      </c>
      <c r="P402" s="7" t="n">
        <v>57.61</v>
      </c>
      <c r="Q402" s="7" t="n">
        <v>42.79</v>
      </c>
      <c r="R402" s="7" t="n">
        <v>48.74</v>
      </c>
      <c r="S402" s="7" t="n">
        <v>43.21</v>
      </c>
      <c r="T402" s="7" t="n">
        <v>40.13</v>
      </c>
      <c r="U402" s="8" t="n">
        <v>62.1</v>
      </c>
      <c r="V402" s="7" t="n">
        <v>58.16</v>
      </c>
      <c r="W402" s="7" t="n">
        <v>51.05</v>
      </c>
      <c r="X402" s="7" t="n">
        <v>49.92</v>
      </c>
      <c r="Y402" s="7" t="n">
        <v>55.29</v>
      </c>
    </row>
    <row r="403" ht="15" customHeight="1">
      <c r="A403" s="13" t="n">
        <v>45663</v>
      </c>
      <c r="B403" s="7" t="n">
        <v>40.7</v>
      </c>
      <c r="C403" s="8" t="n">
        <v>62.52</v>
      </c>
      <c r="D403" s="7" t="n">
        <v>56.1</v>
      </c>
      <c r="E403" s="7" t="n">
        <v>51.59</v>
      </c>
      <c r="F403" s="7" t="n">
        <v>51.9</v>
      </c>
      <c r="G403" s="7" t="n">
        <v>44.91</v>
      </c>
      <c r="H403" s="7" t="n">
        <v>42.06</v>
      </c>
      <c r="I403" s="8" t="n">
        <v>61.42</v>
      </c>
      <c r="J403" s="7" t="n">
        <v>59.42</v>
      </c>
      <c r="K403" s="9" t="n">
        <v>70.68000000000001</v>
      </c>
      <c r="L403" s="7" t="n">
        <v>59.03</v>
      </c>
      <c r="M403" s="7" t="n">
        <v>49.3</v>
      </c>
      <c r="N403" s="7" t="n">
        <v>37.4</v>
      </c>
      <c r="O403" s="7" t="n">
        <v>46</v>
      </c>
      <c r="P403" s="7" t="n">
        <v>59.14</v>
      </c>
      <c r="Q403" s="7" t="n">
        <v>42.87</v>
      </c>
      <c r="R403" s="7" t="n">
        <v>48.14</v>
      </c>
      <c r="S403" s="7" t="n">
        <v>39.73</v>
      </c>
      <c r="T403" s="7" t="n">
        <v>41.89</v>
      </c>
      <c r="U403" s="7" t="n">
        <v>51.34</v>
      </c>
      <c r="V403" s="7" t="n">
        <v>57.84</v>
      </c>
      <c r="W403" s="7" t="n">
        <v>49.78</v>
      </c>
      <c r="X403" s="7" t="n">
        <v>53.67</v>
      </c>
      <c r="Y403" s="7" t="n">
        <v>53.56</v>
      </c>
    </row>
    <row r="404" ht="15" customHeight="1">
      <c r="A404" s="13" t="n">
        <v>45660</v>
      </c>
      <c r="B404" s="7" t="n">
        <v>42.63</v>
      </c>
      <c r="C404" s="8" t="n">
        <v>60.66</v>
      </c>
      <c r="D404" s="7" t="n">
        <v>51.63</v>
      </c>
      <c r="E404" s="7" t="n">
        <v>48.56</v>
      </c>
      <c r="F404" s="7" t="n">
        <v>49.26</v>
      </c>
      <c r="G404" s="7" t="n">
        <v>44.86</v>
      </c>
      <c r="H404" s="7" t="n">
        <v>42.36</v>
      </c>
      <c r="I404" s="7" t="n">
        <v>57.31</v>
      </c>
      <c r="J404" s="7" t="n">
        <v>49.57</v>
      </c>
      <c r="K404" s="8" t="n">
        <v>60.49</v>
      </c>
      <c r="L404" s="7" t="n">
        <v>58.92</v>
      </c>
      <c r="M404" s="7" t="n">
        <v>45.55</v>
      </c>
      <c r="N404" s="7" t="n">
        <v>36.35</v>
      </c>
      <c r="O404" s="7" t="n">
        <v>44.9</v>
      </c>
      <c r="P404" s="7" t="n">
        <v>57.96</v>
      </c>
      <c r="Q404" s="7" t="n">
        <v>46.26</v>
      </c>
      <c r="R404" s="7" t="n">
        <v>44.04</v>
      </c>
      <c r="S404" s="7" t="n">
        <v>39.8</v>
      </c>
      <c r="T404" s="7" t="n">
        <v>40.02</v>
      </c>
      <c r="U404" s="7" t="n">
        <v>50.41</v>
      </c>
      <c r="V404" s="7" t="n">
        <v>50.32</v>
      </c>
      <c r="W404" s="7" t="n">
        <v>50.15</v>
      </c>
      <c r="X404" s="7" t="n">
        <v>46.59</v>
      </c>
      <c r="Y404" s="7" t="n">
        <v>50.28</v>
      </c>
    </row>
    <row r="405" ht="15" customHeight="1">
      <c r="A405" s="13" t="n">
        <v>45659</v>
      </c>
      <c r="B405" s="7" t="n">
        <v>42.72</v>
      </c>
      <c r="C405" s="7" t="n">
        <v>54.91</v>
      </c>
      <c r="D405" s="7" t="n">
        <v>50.03</v>
      </c>
      <c r="E405" s="7" t="n">
        <v>35.98</v>
      </c>
      <c r="F405" s="7" t="n">
        <v>47.47</v>
      </c>
      <c r="G405" s="7" t="n">
        <v>40.82</v>
      </c>
      <c r="H405" s="7" t="n">
        <v>40.07</v>
      </c>
      <c r="I405" s="7" t="n">
        <v>54.91</v>
      </c>
      <c r="J405" s="7" t="n">
        <v>39.83</v>
      </c>
      <c r="K405" s="7" t="n">
        <v>54.57</v>
      </c>
      <c r="L405" s="8" t="n">
        <v>60.75</v>
      </c>
      <c r="M405" s="7" t="n">
        <v>37.42</v>
      </c>
      <c r="N405" s="7" t="n">
        <v>30.48</v>
      </c>
      <c r="O405" s="7" t="n">
        <v>41.47</v>
      </c>
      <c r="P405" s="7" t="n">
        <v>52.94</v>
      </c>
      <c r="Q405" s="7" t="n">
        <v>42.76</v>
      </c>
      <c r="R405" s="7" t="n">
        <v>40.76</v>
      </c>
      <c r="S405" s="7" t="n">
        <v>39.49</v>
      </c>
      <c r="T405" s="7" t="n">
        <v>37.65</v>
      </c>
      <c r="U405" s="7" t="n">
        <v>49.82</v>
      </c>
      <c r="V405" s="7" t="n">
        <v>42.12</v>
      </c>
      <c r="W405" s="7" t="n">
        <v>46.13</v>
      </c>
      <c r="X405" s="7" t="n">
        <v>37.73</v>
      </c>
      <c r="Y405" s="7" t="n">
        <v>46.67</v>
      </c>
    </row>
    <row r="406" ht="15" customHeight="1">
      <c r="A406" s="13" t="n">
        <v>45657</v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</row>
    <row r="407" ht="15" customHeight="1">
      <c r="A407" s="13" t="n">
        <v>45656</v>
      </c>
      <c r="B407" s="7" t="n">
        <v>45.43</v>
      </c>
      <c r="C407" s="7" t="n">
        <v>51</v>
      </c>
      <c r="D407" s="7" t="n">
        <v>45.5</v>
      </c>
      <c r="E407" s="7" t="n">
        <v>38.09</v>
      </c>
      <c r="F407" s="7" t="n">
        <v>52.64</v>
      </c>
      <c r="G407" s="7" t="n">
        <v>41.82</v>
      </c>
      <c r="H407" s="7" t="n">
        <v>40.77</v>
      </c>
      <c r="I407" s="7" t="n">
        <v>43.08</v>
      </c>
      <c r="J407" s="7" t="n">
        <v>40.15</v>
      </c>
      <c r="K407" s="7" t="n">
        <v>47.34</v>
      </c>
      <c r="L407" s="7" t="n">
        <v>56.15</v>
      </c>
      <c r="M407" s="7" t="n">
        <v>39.26</v>
      </c>
      <c r="N407" s="7" t="n">
        <v>33.72</v>
      </c>
      <c r="O407" s="7" t="n">
        <v>41.47</v>
      </c>
      <c r="P407" s="7" t="n">
        <v>40.31</v>
      </c>
      <c r="Q407" s="7" t="n">
        <v>39.86</v>
      </c>
      <c r="R407" s="7" t="n">
        <v>41.05</v>
      </c>
      <c r="S407" s="7" t="n">
        <v>40.2</v>
      </c>
      <c r="T407" s="7" t="n">
        <v>40.23</v>
      </c>
      <c r="U407" s="7" t="n">
        <v>54.9</v>
      </c>
      <c r="V407" s="7" t="n">
        <v>41.93</v>
      </c>
      <c r="W407" s="7" t="n">
        <v>39.66</v>
      </c>
      <c r="X407" s="7" t="n">
        <v>40.85</v>
      </c>
      <c r="Y407" s="7" t="n">
        <v>42.65</v>
      </c>
    </row>
    <row r="408" ht="15" customHeight="1">
      <c r="A408" s="13" t="n">
        <v>45653</v>
      </c>
      <c r="B408" s="7" t="n">
        <v>46.93</v>
      </c>
      <c r="C408" s="7" t="n">
        <v>49.1</v>
      </c>
      <c r="D408" s="7" t="n">
        <v>42.99</v>
      </c>
      <c r="E408" s="7" t="n">
        <v>36.55</v>
      </c>
      <c r="F408" s="7" t="n">
        <v>45.19</v>
      </c>
      <c r="G408" s="7" t="n">
        <v>44.33</v>
      </c>
      <c r="H408" s="7" t="n">
        <v>40.92</v>
      </c>
      <c r="I408" s="7" t="n">
        <v>44.31</v>
      </c>
      <c r="J408" s="7" t="n">
        <v>41.58</v>
      </c>
      <c r="K408" s="7" t="n">
        <v>43.75</v>
      </c>
      <c r="L408" s="7" t="n">
        <v>56.63</v>
      </c>
      <c r="M408" s="7" t="n">
        <v>40.08</v>
      </c>
      <c r="N408" s="7" t="n">
        <v>32.68</v>
      </c>
      <c r="O408" s="7" t="n">
        <v>42.14</v>
      </c>
      <c r="P408" s="7" t="n">
        <v>41.11</v>
      </c>
      <c r="Q408" s="7" t="n">
        <v>45.86</v>
      </c>
      <c r="R408" s="7" t="n">
        <v>43.74</v>
      </c>
      <c r="S408" s="7" t="n">
        <v>42.13</v>
      </c>
      <c r="T408" s="7" t="n">
        <v>43.62</v>
      </c>
      <c r="U408" s="7" t="n">
        <v>50.6</v>
      </c>
      <c r="V408" s="7" t="n">
        <v>41.91</v>
      </c>
      <c r="W408" s="7" t="n">
        <v>44.13</v>
      </c>
      <c r="X408" s="7" t="n">
        <v>40.99</v>
      </c>
      <c r="Y408" s="7" t="n">
        <v>42.13</v>
      </c>
    </row>
    <row r="409" ht="15" customHeight="1">
      <c r="A409" s="13" t="n">
        <v>45652</v>
      </c>
      <c r="B409" s="7" t="n">
        <v>52.85</v>
      </c>
      <c r="C409" s="7" t="n">
        <v>53.27</v>
      </c>
      <c r="D409" s="7" t="n">
        <v>44.45</v>
      </c>
      <c r="E409" s="7" t="n">
        <v>39.72</v>
      </c>
      <c r="F409" s="7" t="n">
        <v>47.33</v>
      </c>
      <c r="G409" s="8" t="n">
        <v>62.44</v>
      </c>
      <c r="H409" s="7" t="n">
        <v>48.07</v>
      </c>
      <c r="I409" s="7" t="n">
        <v>48.35</v>
      </c>
      <c r="J409" s="7" t="n">
        <v>39.76</v>
      </c>
      <c r="K409" s="7" t="n">
        <v>42.34</v>
      </c>
      <c r="L409" s="8" t="n">
        <v>62.49</v>
      </c>
      <c r="M409" s="7" t="n">
        <v>47.25</v>
      </c>
      <c r="N409" s="7" t="n">
        <v>36.87</v>
      </c>
      <c r="O409" s="7" t="n">
        <v>46.63</v>
      </c>
      <c r="P409" s="7" t="n">
        <v>46.61</v>
      </c>
      <c r="Q409" s="7" t="n">
        <v>48.59</v>
      </c>
      <c r="R409" s="7" t="n">
        <v>47.46</v>
      </c>
      <c r="S409" s="7" t="n">
        <v>51.34</v>
      </c>
      <c r="T409" s="7" t="n">
        <v>47.58</v>
      </c>
      <c r="U409" s="7" t="n">
        <v>56.29</v>
      </c>
      <c r="V409" s="7" t="n">
        <v>44.27</v>
      </c>
      <c r="W409" s="7" t="n">
        <v>47.36</v>
      </c>
      <c r="X409" s="7" t="n">
        <v>42.33</v>
      </c>
      <c r="Y409" s="7" t="n">
        <v>48.25</v>
      </c>
    </row>
    <row r="410" ht="15" customHeight="1">
      <c r="A410" s="13" t="n">
        <v>45650</v>
      </c>
      <c r="B410" s="7" t="n">
        <v>56.49</v>
      </c>
      <c r="C410" s="7" t="n">
        <v>52.58</v>
      </c>
      <c r="D410" s="7" t="n">
        <v>47.37</v>
      </c>
      <c r="E410" s="7" t="n">
        <v>41.15</v>
      </c>
      <c r="F410" s="7" t="n">
        <v>48.92</v>
      </c>
      <c r="G410" s="8" t="n">
        <v>64.59999999999999</v>
      </c>
      <c r="H410" s="7" t="n">
        <v>45.82</v>
      </c>
      <c r="I410" s="7" t="n">
        <v>51.53</v>
      </c>
      <c r="J410" s="7" t="n">
        <v>42.13</v>
      </c>
      <c r="K410" s="7" t="n">
        <v>45.62</v>
      </c>
      <c r="L410" s="7" t="n">
        <v>58.11</v>
      </c>
      <c r="M410" s="7" t="n">
        <v>47.7</v>
      </c>
      <c r="N410" s="7" t="n">
        <v>38.36</v>
      </c>
      <c r="O410" s="7" t="n">
        <v>50.36</v>
      </c>
      <c r="P410" s="7" t="n">
        <v>47.82</v>
      </c>
      <c r="Q410" s="7" t="n">
        <v>51.82</v>
      </c>
      <c r="R410" s="7" t="n">
        <v>49.05</v>
      </c>
      <c r="S410" s="7" t="n">
        <v>52.28</v>
      </c>
      <c r="T410" s="7" t="n">
        <v>49.62</v>
      </c>
      <c r="U410" s="8" t="n">
        <v>60.65</v>
      </c>
      <c r="V410" s="7" t="n">
        <v>45.21</v>
      </c>
      <c r="W410" s="7" t="n">
        <v>48.29</v>
      </c>
      <c r="X410" s="7" t="n">
        <v>45.26</v>
      </c>
      <c r="Y410" s="7" t="n">
        <v>48.93</v>
      </c>
    </row>
    <row r="411" ht="15" customHeight="1">
      <c r="A411" s="13" t="n">
        <v>45649</v>
      </c>
      <c r="B411" s="7" t="n">
        <v>55.29</v>
      </c>
      <c r="C411" s="7" t="n">
        <v>55.61</v>
      </c>
      <c r="D411" s="7" t="n">
        <v>49.41</v>
      </c>
      <c r="E411" s="7" t="n">
        <v>43.2</v>
      </c>
      <c r="F411" s="7" t="n">
        <v>50.36</v>
      </c>
      <c r="G411" s="8" t="n">
        <v>63.07</v>
      </c>
      <c r="H411" s="7" t="n">
        <v>44.68</v>
      </c>
      <c r="I411" s="7" t="n">
        <v>52.28</v>
      </c>
      <c r="J411" s="7" t="n">
        <v>41.28</v>
      </c>
      <c r="K411" s="7" t="n">
        <v>46.2</v>
      </c>
      <c r="L411" s="7" t="n">
        <v>58.42</v>
      </c>
      <c r="M411" s="7" t="n">
        <v>49.11</v>
      </c>
      <c r="N411" s="7" t="n">
        <v>39.57</v>
      </c>
      <c r="O411" s="7" t="n">
        <v>51.73</v>
      </c>
      <c r="P411" s="7" t="n">
        <v>46.33</v>
      </c>
      <c r="Q411" s="7" t="n">
        <v>50.56</v>
      </c>
      <c r="R411" s="7" t="n">
        <v>49.94</v>
      </c>
      <c r="S411" s="7" t="n">
        <v>51.58</v>
      </c>
      <c r="T411" s="7" t="n">
        <v>49.5</v>
      </c>
      <c r="U411" s="7" t="n">
        <v>59.45</v>
      </c>
      <c r="V411" s="7" t="n">
        <v>45.18</v>
      </c>
      <c r="W411" s="7" t="n">
        <v>42.43</v>
      </c>
      <c r="X411" s="7" t="n">
        <v>45.52</v>
      </c>
      <c r="Y411" s="7" t="n">
        <v>51.59</v>
      </c>
    </row>
    <row r="412" ht="15" customHeight="1">
      <c r="A412" s="13" t="n">
        <v>45646</v>
      </c>
      <c r="B412" s="7" t="n">
        <v>49.59</v>
      </c>
      <c r="C412" s="7" t="n">
        <v>52.45</v>
      </c>
      <c r="D412" s="7" t="n">
        <v>45.09</v>
      </c>
      <c r="E412" s="7" t="n">
        <v>40.97</v>
      </c>
      <c r="F412" s="7" t="n">
        <v>47.37</v>
      </c>
      <c r="G412" s="8" t="n">
        <v>61.72</v>
      </c>
      <c r="H412" s="7" t="n">
        <v>38.89</v>
      </c>
      <c r="I412" s="7" t="n">
        <v>44.72</v>
      </c>
      <c r="J412" s="7" t="n">
        <v>37.59</v>
      </c>
      <c r="K412" s="7" t="n">
        <v>39.47</v>
      </c>
      <c r="L412" s="7" t="n">
        <v>53.77</v>
      </c>
      <c r="M412" s="7" t="n">
        <v>41.86</v>
      </c>
      <c r="N412" s="7" t="n">
        <v>32.32</v>
      </c>
      <c r="O412" s="7" t="n">
        <v>48.13</v>
      </c>
      <c r="P412" s="7" t="n">
        <v>46.68</v>
      </c>
      <c r="Q412" s="7" t="n">
        <v>45.83</v>
      </c>
      <c r="R412" s="7" t="n">
        <v>41.74</v>
      </c>
      <c r="S412" s="7" t="n">
        <v>44.89</v>
      </c>
      <c r="T412" s="7" t="n">
        <v>41.75</v>
      </c>
      <c r="U412" s="7" t="n">
        <v>57.23</v>
      </c>
      <c r="V412" s="7" t="n">
        <v>39.82</v>
      </c>
      <c r="W412" s="7" t="n">
        <v>36.68</v>
      </c>
      <c r="X412" s="7" t="n">
        <v>50.14</v>
      </c>
      <c r="Y412" s="7" t="n">
        <v>46.78</v>
      </c>
    </row>
    <row r="413" ht="15" customHeight="1">
      <c r="A413" s="13" t="n">
        <v>45645</v>
      </c>
      <c r="B413" s="7" t="n">
        <v>57.53</v>
      </c>
      <c r="C413" s="7" t="n">
        <v>54.3</v>
      </c>
      <c r="D413" s="7" t="n">
        <v>49.92</v>
      </c>
      <c r="E413" s="7" t="n">
        <v>43.21</v>
      </c>
      <c r="F413" s="7" t="n">
        <v>50.06</v>
      </c>
      <c r="G413" s="8" t="n">
        <v>61.07</v>
      </c>
      <c r="H413" s="7" t="n">
        <v>41.66</v>
      </c>
      <c r="I413" s="7" t="n">
        <v>49.49</v>
      </c>
      <c r="J413" s="7" t="n">
        <v>41.24</v>
      </c>
      <c r="K413" s="7" t="n">
        <v>42.69</v>
      </c>
      <c r="L413" s="7" t="n">
        <v>54.17</v>
      </c>
      <c r="M413" s="7" t="n">
        <v>42.54</v>
      </c>
      <c r="N413" s="7" t="n">
        <v>33.51</v>
      </c>
      <c r="O413" s="7" t="n">
        <v>49.48</v>
      </c>
      <c r="P413" s="7" t="n">
        <v>46.18</v>
      </c>
      <c r="Q413" s="7" t="n">
        <v>48.82</v>
      </c>
      <c r="R413" s="7" t="n">
        <v>45.62</v>
      </c>
      <c r="S413" s="7" t="n">
        <v>49.12</v>
      </c>
      <c r="T413" s="7" t="n">
        <v>44.62</v>
      </c>
      <c r="U413" s="7" t="n">
        <v>56.27</v>
      </c>
      <c r="V413" s="7" t="n">
        <v>43.58</v>
      </c>
      <c r="W413" s="7" t="n">
        <v>39.76</v>
      </c>
      <c r="X413" s="7" t="n">
        <v>51.52</v>
      </c>
      <c r="Y413" s="7" t="n">
        <v>51.57</v>
      </c>
    </row>
    <row r="414" ht="15" customHeight="1">
      <c r="A414" s="13" t="n">
        <v>45644</v>
      </c>
      <c r="B414" s="7" t="n">
        <v>53.33</v>
      </c>
      <c r="C414" s="7" t="n">
        <v>55.34</v>
      </c>
      <c r="D414" s="7" t="n">
        <v>52.04</v>
      </c>
      <c r="E414" s="7" t="n">
        <v>46.45</v>
      </c>
      <c r="F414" s="7" t="n">
        <v>57.38</v>
      </c>
      <c r="G414" s="8" t="n">
        <v>63.65</v>
      </c>
      <c r="H414" s="7" t="n">
        <v>42.29</v>
      </c>
      <c r="I414" s="7" t="n">
        <v>49.23</v>
      </c>
      <c r="J414" s="7" t="n">
        <v>49.56</v>
      </c>
      <c r="K414" s="7" t="n">
        <v>49.74</v>
      </c>
      <c r="L414" s="7" t="n">
        <v>54.58</v>
      </c>
      <c r="M414" s="7" t="n">
        <v>48.11</v>
      </c>
      <c r="N414" s="7" t="n">
        <v>38.62</v>
      </c>
      <c r="O414" s="7" t="n">
        <v>51.22</v>
      </c>
      <c r="P414" s="7" t="n">
        <v>51.65</v>
      </c>
      <c r="Q414" s="7" t="n">
        <v>52.49</v>
      </c>
      <c r="R414" s="7" t="n">
        <v>49.27</v>
      </c>
      <c r="S414" s="7" t="n">
        <v>52.93</v>
      </c>
      <c r="T414" s="7" t="n">
        <v>45.39</v>
      </c>
      <c r="U414" s="8" t="n">
        <v>63.32</v>
      </c>
      <c r="V414" s="7" t="n">
        <v>50.13</v>
      </c>
      <c r="W414" s="7" t="n">
        <v>40.21</v>
      </c>
      <c r="X414" s="7" t="n">
        <v>58.23</v>
      </c>
      <c r="Y414" s="7" t="n">
        <v>53.43</v>
      </c>
    </row>
    <row r="415" ht="15" customHeight="1">
      <c r="A415" s="13" t="n">
        <v>45643</v>
      </c>
      <c r="B415" s="7" t="n">
        <v>52.73</v>
      </c>
      <c r="C415" s="7" t="n">
        <v>52.92</v>
      </c>
      <c r="D415" s="7" t="n">
        <v>51.84</v>
      </c>
      <c r="E415" s="7" t="n">
        <v>44.64</v>
      </c>
      <c r="F415" s="7" t="n">
        <v>53.66</v>
      </c>
      <c r="G415" s="8" t="n">
        <v>61.88</v>
      </c>
      <c r="H415" s="7" t="n">
        <v>43.16</v>
      </c>
      <c r="I415" s="7" t="n">
        <v>44.02</v>
      </c>
      <c r="J415" s="7" t="n">
        <v>47.29</v>
      </c>
      <c r="K415" s="7" t="n">
        <v>50.92</v>
      </c>
      <c r="L415" s="7" t="n">
        <v>47.45</v>
      </c>
      <c r="M415" s="7" t="n">
        <v>44.97</v>
      </c>
      <c r="N415" s="7" t="n">
        <v>38.33</v>
      </c>
      <c r="O415" s="7" t="n">
        <v>47.87</v>
      </c>
      <c r="P415" s="7" t="n">
        <v>47.66</v>
      </c>
      <c r="Q415" s="7" t="n">
        <v>50.67</v>
      </c>
      <c r="R415" s="7" t="n">
        <v>45</v>
      </c>
      <c r="S415" s="7" t="n">
        <v>46.88</v>
      </c>
      <c r="T415" s="7" t="n">
        <v>42.23</v>
      </c>
      <c r="U415" s="7" t="n">
        <v>59.27</v>
      </c>
      <c r="V415" s="7" t="n">
        <v>46.15</v>
      </c>
      <c r="W415" s="7" t="n">
        <v>39.66</v>
      </c>
      <c r="X415" s="7" t="n">
        <v>57.53</v>
      </c>
      <c r="Y415" s="7" t="n">
        <v>51.8</v>
      </c>
    </row>
    <row r="416" ht="15" customHeight="1">
      <c r="A416" s="13" t="n">
        <v>45642</v>
      </c>
      <c r="B416" s="7" t="n">
        <v>57.11</v>
      </c>
      <c r="C416" s="7" t="n">
        <v>51.6</v>
      </c>
      <c r="D416" s="7" t="n">
        <v>54.23</v>
      </c>
      <c r="E416" s="7" t="n">
        <v>48.58</v>
      </c>
      <c r="F416" s="7" t="n">
        <v>59.28</v>
      </c>
      <c r="G416" s="7" t="n">
        <v>59.85</v>
      </c>
      <c r="H416" s="7" t="n">
        <v>45.16</v>
      </c>
      <c r="I416" s="7" t="n">
        <v>43.58</v>
      </c>
      <c r="J416" s="7" t="n">
        <v>52.39</v>
      </c>
      <c r="K416" s="7" t="n">
        <v>50.62</v>
      </c>
      <c r="L416" s="7" t="n">
        <v>49.62</v>
      </c>
      <c r="M416" s="7" t="n">
        <v>45.42</v>
      </c>
      <c r="N416" s="7" t="n">
        <v>38.93</v>
      </c>
      <c r="O416" s="7" t="n">
        <v>46.79</v>
      </c>
      <c r="P416" s="7" t="n">
        <v>50.23</v>
      </c>
      <c r="Q416" s="7" t="n">
        <v>55.27</v>
      </c>
      <c r="R416" s="7" t="n">
        <v>46.71</v>
      </c>
      <c r="S416" s="7" t="n">
        <v>48.88</v>
      </c>
      <c r="T416" s="7" t="n">
        <v>43.07</v>
      </c>
      <c r="U416" s="7" t="n">
        <v>59.53</v>
      </c>
      <c r="V416" s="7" t="n">
        <v>51.38</v>
      </c>
      <c r="W416" s="7" t="n">
        <v>42.04</v>
      </c>
      <c r="X416" s="8" t="n">
        <v>63.45</v>
      </c>
      <c r="Y416" s="7" t="n">
        <v>54.56</v>
      </c>
    </row>
    <row r="417" ht="15" customHeight="1">
      <c r="A417" s="13" t="n">
        <v>45639</v>
      </c>
      <c r="B417" s="7" t="n">
        <v>57.31</v>
      </c>
      <c r="C417" s="7" t="n">
        <v>57.06</v>
      </c>
      <c r="D417" s="7" t="n">
        <v>53.62</v>
      </c>
      <c r="E417" s="7" t="n">
        <v>47.04</v>
      </c>
      <c r="F417" s="7" t="n">
        <v>57.05</v>
      </c>
      <c r="G417" s="7" t="n">
        <v>57.7</v>
      </c>
      <c r="H417" s="7" t="n">
        <v>46.84</v>
      </c>
      <c r="I417" s="7" t="n">
        <v>41.78</v>
      </c>
      <c r="J417" s="7" t="n">
        <v>52.13</v>
      </c>
      <c r="K417" s="7" t="n">
        <v>49.67</v>
      </c>
      <c r="L417" s="7" t="n">
        <v>53.57</v>
      </c>
      <c r="M417" s="7" t="n">
        <v>46.31</v>
      </c>
      <c r="N417" s="7" t="n">
        <v>35.34</v>
      </c>
      <c r="O417" s="7" t="n">
        <v>49.32</v>
      </c>
      <c r="P417" s="7" t="n">
        <v>55.44</v>
      </c>
      <c r="Q417" s="7" t="n">
        <v>49.52</v>
      </c>
      <c r="R417" s="7" t="n">
        <v>48.43</v>
      </c>
      <c r="S417" s="7" t="n">
        <v>50.48</v>
      </c>
      <c r="T417" s="7" t="n">
        <v>45.97</v>
      </c>
      <c r="U417" s="7" t="n">
        <v>59.79</v>
      </c>
      <c r="V417" s="7" t="n">
        <v>51.74</v>
      </c>
      <c r="W417" s="7" t="n">
        <v>47.46</v>
      </c>
      <c r="X417" s="8" t="n">
        <v>64.73999999999999</v>
      </c>
      <c r="Y417" s="7" t="n">
        <v>54.79</v>
      </c>
    </row>
    <row r="418" ht="15" customHeight="1">
      <c r="A418" s="13" t="n">
        <v>45638</v>
      </c>
      <c r="B418" s="7" t="n">
        <v>56.77</v>
      </c>
      <c r="C418" s="7" t="n">
        <v>53.21</v>
      </c>
      <c r="D418" s="7" t="n">
        <v>49.7</v>
      </c>
      <c r="E418" s="7" t="n">
        <v>46</v>
      </c>
      <c r="F418" s="7" t="n">
        <v>50.02</v>
      </c>
      <c r="G418" s="7" t="n">
        <v>54.75</v>
      </c>
      <c r="H418" s="7" t="n">
        <v>51.05</v>
      </c>
      <c r="I418" s="7" t="n">
        <v>42.06</v>
      </c>
      <c r="J418" s="7" t="n">
        <v>51.89</v>
      </c>
      <c r="K418" s="7" t="n">
        <v>47.14</v>
      </c>
      <c r="L418" s="7" t="n">
        <v>50.38</v>
      </c>
      <c r="M418" s="7" t="n">
        <v>45.12</v>
      </c>
      <c r="N418" s="7" t="n">
        <v>34.38</v>
      </c>
      <c r="O418" s="7" t="n">
        <v>44.54</v>
      </c>
      <c r="P418" s="7" t="n">
        <v>52.37</v>
      </c>
      <c r="Q418" s="7" t="n">
        <v>45.52</v>
      </c>
      <c r="R418" s="7" t="n">
        <v>48.88</v>
      </c>
      <c r="S418" s="7" t="n">
        <v>50.99</v>
      </c>
      <c r="T418" s="7" t="n">
        <v>49.92</v>
      </c>
      <c r="U418" s="7" t="n">
        <v>57.61</v>
      </c>
      <c r="V418" s="7" t="n">
        <v>50.46</v>
      </c>
      <c r="W418" s="7" t="n">
        <v>49.78</v>
      </c>
      <c r="X418" s="7" t="n">
        <v>59.3</v>
      </c>
      <c r="Y418" s="7" t="n">
        <v>49.39</v>
      </c>
    </row>
    <row r="419" ht="15" customHeight="1">
      <c r="A419" s="13" t="n">
        <v>45637</v>
      </c>
      <c r="B419" s="7" t="n">
        <v>55.21</v>
      </c>
      <c r="C419" s="7" t="n">
        <v>53.6</v>
      </c>
      <c r="D419" s="7" t="n">
        <v>51.61</v>
      </c>
      <c r="E419" s="7" t="n">
        <v>43.63</v>
      </c>
      <c r="F419" s="7" t="n">
        <v>47.86</v>
      </c>
      <c r="G419" s="7" t="n">
        <v>51.85</v>
      </c>
      <c r="H419" s="7" t="n">
        <v>51.46</v>
      </c>
      <c r="I419" s="7" t="n">
        <v>37.37</v>
      </c>
      <c r="J419" s="7" t="n">
        <v>41.51</v>
      </c>
      <c r="K419" s="7" t="n">
        <v>47.36</v>
      </c>
      <c r="L419" s="7" t="n">
        <v>48.45</v>
      </c>
      <c r="M419" s="7" t="n">
        <v>41.44</v>
      </c>
      <c r="N419" s="7" t="n">
        <v>35.61</v>
      </c>
      <c r="O419" s="7" t="n">
        <v>44.91</v>
      </c>
      <c r="P419" s="7" t="n">
        <v>51.28</v>
      </c>
      <c r="Q419" s="7" t="n">
        <v>46.39</v>
      </c>
      <c r="R419" s="7" t="n">
        <v>46.52</v>
      </c>
      <c r="S419" s="7" t="n">
        <v>47.27</v>
      </c>
      <c r="T419" s="7" t="n">
        <v>47.2</v>
      </c>
      <c r="U419" s="7" t="n">
        <v>52.1</v>
      </c>
      <c r="V419" s="7" t="n">
        <v>43.02</v>
      </c>
      <c r="W419" s="7" t="n">
        <v>44.81</v>
      </c>
      <c r="X419" s="8" t="n">
        <v>63.67</v>
      </c>
      <c r="Y419" s="7" t="n">
        <v>46.59</v>
      </c>
    </row>
    <row r="420" ht="15" customHeight="1">
      <c r="A420" s="13" t="n">
        <v>45636</v>
      </c>
      <c r="B420" s="7" t="n">
        <v>53.76</v>
      </c>
      <c r="C420" s="7" t="n">
        <v>50.91</v>
      </c>
      <c r="D420" s="7" t="n">
        <v>37.64</v>
      </c>
      <c r="E420" s="7" t="n">
        <v>41.99</v>
      </c>
      <c r="F420" s="7" t="n">
        <v>46.52</v>
      </c>
      <c r="G420" s="7" t="n">
        <v>45.03</v>
      </c>
      <c r="H420" s="7" t="n">
        <v>54.46</v>
      </c>
      <c r="I420" s="10" t="n">
        <v>29.06</v>
      </c>
      <c r="J420" s="7" t="n">
        <v>40.65</v>
      </c>
      <c r="K420" s="7" t="n">
        <v>41.33</v>
      </c>
      <c r="L420" s="7" t="n">
        <v>43.49</v>
      </c>
      <c r="M420" s="7" t="n">
        <v>36.45</v>
      </c>
      <c r="N420" s="7" t="n">
        <v>35.34</v>
      </c>
      <c r="O420" s="7" t="n">
        <v>39.99</v>
      </c>
      <c r="P420" s="7" t="n">
        <v>46.12</v>
      </c>
      <c r="Q420" s="7" t="n">
        <v>42.94</v>
      </c>
      <c r="R420" s="7" t="n">
        <v>41.11</v>
      </c>
      <c r="S420" s="7" t="n">
        <v>43.99</v>
      </c>
      <c r="T420" s="7" t="n">
        <v>44.42</v>
      </c>
      <c r="U420" s="7" t="n">
        <v>47.73</v>
      </c>
      <c r="V420" s="7" t="n">
        <v>40.99</v>
      </c>
      <c r="W420" s="7" t="n">
        <v>39.45</v>
      </c>
      <c r="X420" s="7" t="n">
        <v>56.84</v>
      </c>
      <c r="Y420" s="7" t="n">
        <v>46.88</v>
      </c>
    </row>
    <row r="421" ht="15" customHeight="1">
      <c r="A421" s="13" t="n">
        <v>45635</v>
      </c>
      <c r="B421" s="7" t="n">
        <v>44.72</v>
      </c>
      <c r="C421" s="7" t="n">
        <v>35.26</v>
      </c>
      <c r="D421" s="10" t="n">
        <v>26.07</v>
      </c>
      <c r="E421" s="10" t="n">
        <v>26.11</v>
      </c>
      <c r="F421" s="7" t="n">
        <v>38.32</v>
      </c>
      <c r="G421" s="7" t="n">
        <v>30.91</v>
      </c>
      <c r="H421" s="7" t="n">
        <v>51.15</v>
      </c>
      <c r="I421" s="10" t="n">
        <v>26.98</v>
      </c>
      <c r="J421" s="7" t="n">
        <v>35.82</v>
      </c>
      <c r="K421" s="7" t="n">
        <v>31.79</v>
      </c>
      <c r="L421" s="7" t="n">
        <v>32.17</v>
      </c>
      <c r="M421" s="7" t="n">
        <v>30.67</v>
      </c>
      <c r="N421" s="10" t="n">
        <v>28.24</v>
      </c>
      <c r="O421" s="10" t="n">
        <v>26.27</v>
      </c>
      <c r="P421" s="7" t="n">
        <v>36.36</v>
      </c>
      <c r="Q421" s="7" t="n">
        <v>45.52</v>
      </c>
      <c r="R421" s="7" t="n">
        <v>36.62</v>
      </c>
      <c r="S421" s="7" t="n">
        <v>35.63</v>
      </c>
      <c r="T421" s="7" t="n">
        <v>40.9</v>
      </c>
      <c r="U421" s="7" t="n">
        <v>38.21</v>
      </c>
      <c r="V421" s="7" t="n">
        <v>30.09</v>
      </c>
      <c r="W421" s="10" t="n">
        <v>22.2</v>
      </c>
      <c r="X421" s="7" t="n">
        <v>49.23</v>
      </c>
      <c r="Y421" s="7" t="n">
        <v>34.82</v>
      </c>
    </row>
    <row r="422" ht="15" customHeight="1">
      <c r="A422" s="13" t="n">
        <v>45632</v>
      </c>
      <c r="B422" s="7" t="n">
        <v>49.71</v>
      </c>
      <c r="C422" s="7" t="n">
        <v>43.74</v>
      </c>
      <c r="D422" s="7" t="n">
        <v>30.75</v>
      </c>
      <c r="E422" s="7" t="n">
        <v>32.48</v>
      </c>
      <c r="F422" s="7" t="n">
        <v>43.51</v>
      </c>
      <c r="G422" s="7" t="n">
        <v>43.17</v>
      </c>
      <c r="H422" s="8" t="n">
        <v>64.13</v>
      </c>
      <c r="I422" s="7" t="n">
        <v>31.69</v>
      </c>
      <c r="J422" s="7" t="n">
        <v>38.5</v>
      </c>
      <c r="K422" s="7" t="n">
        <v>36.74</v>
      </c>
      <c r="L422" s="7" t="n">
        <v>36.23</v>
      </c>
      <c r="M422" s="7" t="n">
        <v>37.46</v>
      </c>
      <c r="N422" s="7" t="n">
        <v>30.35</v>
      </c>
      <c r="O422" s="7" t="n">
        <v>34.28</v>
      </c>
      <c r="P422" s="7" t="n">
        <v>43.47</v>
      </c>
      <c r="Q422" s="7" t="n">
        <v>51.58</v>
      </c>
      <c r="R422" s="7" t="n">
        <v>43.05</v>
      </c>
      <c r="S422" s="7" t="n">
        <v>45.06</v>
      </c>
      <c r="T422" s="7" t="n">
        <v>47.18</v>
      </c>
      <c r="U422" s="7" t="n">
        <v>52.08</v>
      </c>
      <c r="V422" s="7" t="n">
        <v>36.36</v>
      </c>
      <c r="W422" s="10" t="n">
        <v>28.07</v>
      </c>
      <c r="X422" s="8" t="n">
        <v>60.79</v>
      </c>
      <c r="Y422" s="7" t="n">
        <v>40.15</v>
      </c>
    </row>
    <row r="423" ht="15" customHeight="1">
      <c r="A423" s="13" t="n">
        <v>45631</v>
      </c>
      <c r="B423" s="7" t="n">
        <v>53.61</v>
      </c>
      <c r="C423" s="7" t="n">
        <v>41.75</v>
      </c>
      <c r="D423" s="7" t="n">
        <v>30.94</v>
      </c>
      <c r="E423" s="7" t="n">
        <v>32.46</v>
      </c>
      <c r="F423" s="7" t="n">
        <v>44.92</v>
      </c>
      <c r="G423" s="7" t="n">
        <v>47.94</v>
      </c>
      <c r="H423" s="9" t="n">
        <v>73.59999999999999</v>
      </c>
      <c r="I423" s="7" t="n">
        <v>34.26</v>
      </c>
      <c r="J423" s="7" t="n">
        <v>38.79</v>
      </c>
      <c r="K423" s="7" t="n">
        <v>43.21</v>
      </c>
      <c r="L423" s="7" t="n">
        <v>37.73</v>
      </c>
      <c r="M423" s="7" t="n">
        <v>38.96</v>
      </c>
      <c r="N423" s="7" t="n">
        <v>33.61</v>
      </c>
      <c r="O423" s="7" t="n">
        <v>36.46</v>
      </c>
      <c r="P423" s="7" t="n">
        <v>47.16</v>
      </c>
      <c r="Q423" s="7" t="n">
        <v>59.16</v>
      </c>
      <c r="R423" s="7" t="n">
        <v>42.08</v>
      </c>
      <c r="S423" s="7" t="n">
        <v>47.54</v>
      </c>
      <c r="T423" s="7" t="n">
        <v>47.91</v>
      </c>
      <c r="U423" s="7" t="n">
        <v>53.87</v>
      </c>
      <c r="V423" s="7" t="n">
        <v>38.42</v>
      </c>
      <c r="W423" s="10" t="n">
        <v>26.54</v>
      </c>
      <c r="X423" s="8" t="n">
        <v>62.33</v>
      </c>
      <c r="Y423" s="7" t="n">
        <v>41.33</v>
      </c>
    </row>
    <row r="424" ht="15" customHeight="1">
      <c r="A424" s="13" t="n">
        <v>45630</v>
      </c>
      <c r="B424" s="7" t="n">
        <v>57.24</v>
      </c>
      <c r="C424" s="7" t="n">
        <v>44.16</v>
      </c>
      <c r="D424" s="7" t="n">
        <v>33.22</v>
      </c>
      <c r="E424" s="7" t="n">
        <v>36.28</v>
      </c>
      <c r="F424" s="7" t="n">
        <v>45.95</v>
      </c>
      <c r="G424" s="7" t="n">
        <v>52.43</v>
      </c>
      <c r="H424" s="8" t="n">
        <v>67</v>
      </c>
      <c r="I424" s="7" t="n">
        <v>36.49</v>
      </c>
      <c r="J424" s="7" t="n">
        <v>36.8</v>
      </c>
      <c r="K424" s="7" t="n">
        <v>39.77</v>
      </c>
      <c r="L424" s="7" t="n">
        <v>44.55</v>
      </c>
      <c r="M424" s="7" t="n">
        <v>41.28</v>
      </c>
      <c r="N424" s="7" t="n">
        <v>32.56</v>
      </c>
      <c r="O424" s="7" t="n">
        <v>41.05</v>
      </c>
      <c r="P424" s="7" t="n">
        <v>48.61</v>
      </c>
      <c r="Q424" s="8" t="n">
        <v>62.48</v>
      </c>
      <c r="R424" s="7" t="n">
        <v>51.61</v>
      </c>
      <c r="S424" s="7" t="n">
        <v>54.4</v>
      </c>
      <c r="T424" s="7" t="n">
        <v>55.45</v>
      </c>
      <c r="U424" s="8" t="n">
        <v>65.17</v>
      </c>
      <c r="V424" s="7" t="n">
        <v>38.54</v>
      </c>
      <c r="W424" s="10" t="n">
        <v>29.81</v>
      </c>
      <c r="X424" s="9" t="n">
        <v>74.34999999999999</v>
      </c>
      <c r="Y424" s="7" t="n">
        <v>46.76</v>
      </c>
    </row>
    <row r="425" ht="15" customHeight="1">
      <c r="A425" s="13" t="n">
        <v>45629</v>
      </c>
      <c r="B425" s="7" t="n">
        <v>56.28</v>
      </c>
      <c r="C425" s="7" t="n">
        <v>45.4</v>
      </c>
      <c r="D425" s="7" t="n">
        <v>36.48</v>
      </c>
      <c r="E425" s="7" t="n">
        <v>39.99</v>
      </c>
      <c r="F425" s="7" t="n">
        <v>49.5</v>
      </c>
      <c r="G425" s="7" t="n">
        <v>57.47</v>
      </c>
      <c r="H425" s="8" t="n">
        <v>63.95</v>
      </c>
      <c r="I425" s="7" t="n">
        <v>43.73</v>
      </c>
      <c r="J425" s="7" t="n">
        <v>38.06</v>
      </c>
      <c r="K425" s="7" t="n">
        <v>47.42</v>
      </c>
      <c r="L425" s="7" t="n">
        <v>47.04</v>
      </c>
      <c r="M425" s="7" t="n">
        <v>50.89</v>
      </c>
      <c r="N425" s="7" t="n">
        <v>53.08</v>
      </c>
      <c r="O425" s="7" t="n">
        <v>55.03</v>
      </c>
      <c r="P425" s="7" t="n">
        <v>56.9</v>
      </c>
      <c r="Q425" s="8" t="n">
        <v>69.29000000000001</v>
      </c>
      <c r="R425" s="8" t="n">
        <v>63.36</v>
      </c>
      <c r="S425" s="8" t="n">
        <v>65.70999999999999</v>
      </c>
      <c r="T425" s="8" t="n">
        <v>68.34999999999999</v>
      </c>
      <c r="U425" s="8" t="n">
        <v>68.63</v>
      </c>
      <c r="V425" s="7" t="n">
        <v>40.89</v>
      </c>
      <c r="W425" s="7" t="n">
        <v>31.97</v>
      </c>
      <c r="X425" s="9" t="n">
        <v>73.7</v>
      </c>
      <c r="Y425" s="7" t="n">
        <v>54.7</v>
      </c>
    </row>
    <row r="426" ht="15" customHeight="1">
      <c r="A426" s="13" t="n">
        <v>45628</v>
      </c>
      <c r="B426" s="7" t="n">
        <v>48.73</v>
      </c>
      <c r="C426" s="7" t="n">
        <v>38.44</v>
      </c>
      <c r="D426" s="7" t="n">
        <v>32.06</v>
      </c>
      <c r="E426" s="7" t="n">
        <v>32.62</v>
      </c>
      <c r="F426" s="7" t="n">
        <v>47.51</v>
      </c>
      <c r="G426" s="7" t="n">
        <v>53.57</v>
      </c>
      <c r="H426" s="7" t="n">
        <v>59.6</v>
      </c>
      <c r="I426" s="7" t="n">
        <v>35.44</v>
      </c>
      <c r="J426" s="7" t="n">
        <v>34.17</v>
      </c>
      <c r="K426" s="7" t="n">
        <v>45.02</v>
      </c>
      <c r="L426" s="7" t="n">
        <v>41.87</v>
      </c>
      <c r="M426" s="7" t="n">
        <v>41.68</v>
      </c>
      <c r="N426" s="7" t="n">
        <v>54.05</v>
      </c>
      <c r="O426" s="7" t="n">
        <v>48.83</v>
      </c>
      <c r="P426" s="7" t="n">
        <v>53.17</v>
      </c>
      <c r="Q426" s="9" t="n">
        <v>73.54000000000001</v>
      </c>
      <c r="R426" s="7" t="n">
        <v>51.8</v>
      </c>
      <c r="S426" s="7" t="n">
        <v>52.24</v>
      </c>
      <c r="T426" s="7" t="n">
        <v>59.2</v>
      </c>
      <c r="U426" s="8" t="n">
        <v>65.93000000000001</v>
      </c>
      <c r="V426" s="7" t="n">
        <v>33.65</v>
      </c>
      <c r="W426" s="7" t="n">
        <v>35.29</v>
      </c>
      <c r="X426" s="9" t="n">
        <v>72.88</v>
      </c>
      <c r="Y426" s="7" t="n">
        <v>43.76</v>
      </c>
    </row>
    <row r="427" ht="15" customHeight="1">
      <c r="A427" s="13" t="n">
        <v>45625</v>
      </c>
      <c r="B427" s="7" t="n">
        <v>47.4</v>
      </c>
      <c r="C427" s="7" t="n">
        <v>46.2</v>
      </c>
      <c r="D427" s="7" t="n">
        <v>43.46</v>
      </c>
      <c r="E427" s="7" t="n">
        <v>33.68</v>
      </c>
      <c r="F427" s="7" t="n">
        <v>48.83</v>
      </c>
      <c r="G427" s="7" t="n">
        <v>53.88</v>
      </c>
      <c r="H427" s="7" t="n">
        <v>50.28</v>
      </c>
      <c r="I427" s="7" t="n">
        <v>38.1</v>
      </c>
      <c r="J427" s="7" t="n">
        <v>34.92</v>
      </c>
      <c r="K427" s="7" t="n">
        <v>47.6</v>
      </c>
      <c r="L427" s="7" t="n">
        <v>43.52</v>
      </c>
      <c r="M427" s="7" t="n">
        <v>42.85</v>
      </c>
      <c r="N427" s="8" t="n">
        <v>60.17</v>
      </c>
      <c r="O427" s="7" t="n">
        <v>51.29</v>
      </c>
      <c r="P427" s="7" t="n">
        <v>58.57</v>
      </c>
      <c r="Q427" s="9" t="n">
        <v>75.05</v>
      </c>
      <c r="R427" s="7" t="n">
        <v>50.18</v>
      </c>
      <c r="S427" s="7" t="n">
        <v>46.76</v>
      </c>
      <c r="T427" s="7" t="n">
        <v>58.84</v>
      </c>
      <c r="U427" s="8" t="n">
        <v>63.25</v>
      </c>
      <c r="V427" s="7" t="n">
        <v>34.12</v>
      </c>
      <c r="W427" s="7" t="n">
        <v>36.97</v>
      </c>
      <c r="X427" s="8" t="n">
        <v>69.83</v>
      </c>
      <c r="Y427" s="7" t="n">
        <v>48.11</v>
      </c>
    </row>
    <row r="428" ht="15" customHeight="1">
      <c r="A428" s="13" t="n">
        <v>45624</v>
      </c>
      <c r="B428" s="7" t="n">
        <v>52.1</v>
      </c>
      <c r="C428" s="7" t="n">
        <v>45.82</v>
      </c>
      <c r="D428" s="7" t="n">
        <v>34.3</v>
      </c>
      <c r="E428" s="7" t="n">
        <v>41.21</v>
      </c>
      <c r="F428" s="7" t="n">
        <v>53.3</v>
      </c>
      <c r="G428" s="8" t="n">
        <v>63.78</v>
      </c>
      <c r="H428" s="7" t="n">
        <v>52.01</v>
      </c>
      <c r="I428" s="7" t="n">
        <v>43.97</v>
      </c>
      <c r="J428" s="7" t="n">
        <v>39.54</v>
      </c>
      <c r="K428" s="7" t="n">
        <v>50.46</v>
      </c>
      <c r="L428" s="7" t="n">
        <v>48.22</v>
      </c>
      <c r="M428" s="7" t="n">
        <v>52.95</v>
      </c>
      <c r="N428" s="8" t="n">
        <v>64.70999999999999</v>
      </c>
      <c r="O428" s="7" t="n">
        <v>56.21</v>
      </c>
      <c r="P428" s="8" t="n">
        <v>66.51000000000001</v>
      </c>
      <c r="Q428" s="9" t="n">
        <v>77.23</v>
      </c>
      <c r="R428" s="7" t="n">
        <v>56.19</v>
      </c>
      <c r="S428" s="7" t="n">
        <v>47.21</v>
      </c>
      <c r="T428" s="7" t="n">
        <v>58.68</v>
      </c>
      <c r="U428" s="8" t="n">
        <v>63.35</v>
      </c>
      <c r="V428" s="7" t="n">
        <v>40.67</v>
      </c>
      <c r="W428" s="7" t="n">
        <v>43.3</v>
      </c>
      <c r="X428" s="8" t="n">
        <v>67.95</v>
      </c>
      <c r="Y428" s="7" t="n">
        <v>56.56</v>
      </c>
    </row>
    <row r="429" ht="15" customHeight="1">
      <c r="A429" s="13" t="n">
        <v>45623</v>
      </c>
      <c r="B429" s="7" t="n">
        <v>50.62</v>
      </c>
      <c r="C429" s="7" t="n">
        <v>44.46</v>
      </c>
      <c r="D429" s="7" t="n">
        <v>35.89</v>
      </c>
      <c r="E429" s="7" t="n">
        <v>35.4</v>
      </c>
      <c r="F429" s="7" t="n">
        <v>42.44</v>
      </c>
      <c r="G429" s="8" t="n">
        <v>61.01</v>
      </c>
      <c r="H429" s="7" t="n">
        <v>45.78</v>
      </c>
      <c r="I429" s="7" t="n">
        <v>43.48</v>
      </c>
      <c r="J429" s="7" t="n">
        <v>42.25</v>
      </c>
      <c r="K429" s="7" t="n">
        <v>45.56</v>
      </c>
      <c r="L429" s="7" t="n">
        <v>48.67</v>
      </c>
      <c r="M429" s="7" t="n">
        <v>52.16</v>
      </c>
      <c r="N429" s="8" t="n">
        <v>65.66</v>
      </c>
      <c r="O429" s="7" t="n">
        <v>58</v>
      </c>
      <c r="P429" s="8" t="n">
        <v>65.88</v>
      </c>
      <c r="Q429" s="9" t="n">
        <v>75.48</v>
      </c>
      <c r="R429" s="7" t="n">
        <v>57.05</v>
      </c>
      <c r="S429" s="7" t="n">
        <v>46.42</v>
      </c>
      <c r="T429" s="7" t="n">
        <v>59.37</v>
      </c>
      <c r="U429" s="8" t="n">
        <v>62.85</v>
      </c>
      <c r="V429" s="7" t="n">
        <v>40.28</v>
      </c>
      <c r="W429" s="7" t="n">
        <v>46.21</v>
      </c>
      <c r="X429" s="8" t="n">
        <v>66.42</v>
      </c>
      <c r="Y429" s="8" t="n">
        <v>66.56999999999999</v>
      </c>
    </row>
    <row r="430" ht="15" customHeight="1">
      <c r="A430" s="13" t="n">
        <v>45622</v>
      </c>
      <c r="B430" s="7" t="n">
        <v>48.65</v>
      </c>
      <c r="C430" s="7" t="n">
        <v>38.28</v>
      </c>
      <c r="D430" s="7" t="n">
        <v>36.38</v>
      </c>
      <c r="E430" s="7" t="n">
        <v>38.77</v>
      </c>
      <c r="F430" s="7" t="n">
        <v>36.64</v>
      </c>
      <c r="G430" s="7" t="n">
        <v>57.32</v>
      </c>
      <c r="H430" s="7" t="n">
        <v>42.68</v>
      </c>
      <c r="I430" s="7" t="n">
        <v>45.93</v>
      </c>
      <c r="J430" s="7" t="n">
        <v>49.9</v>
      </c>
      <c r="K430" s="7" t="n">
        <v>47.31</v>
      </c>
      <c r="L430" s="7" t="n">
        <v>51.15</v>
      </c>
      <c r="M430" s="7" t="n">
        <v>50.49</v>
      </c>
      <c r="N430" s="8" t="n">
        <v>69.59</v>
      </c>
      <c r="O430" s="7" t="n">
        <v>56.31</v>
      </c>
      <c r="P430" s="8" t="n">
        <v>64.91</v>
      </c>
      <c r="Q430" s="8" t="n">
        <v>68.13</v>
      </c>
      <c r="R430" s="7" t="n">
        <v>52.16</v>
      </c>
      <c r="S430" s="7" t="n">
        <v>43.07</v>
      </c>
      <c r="T430" s="7" t="n">
        <v>51.38</v>
      </c>
      <c r="U430" s="7" t="n">
        <v>56.85</v>
      </c>
      <c r="V430" s="7" t="n">
        <v>45.86</v>
      </c>
      <c r="W430" s="7" t="n">
        <v>46.43</v>
      </c>
      <c r="X430" s="8" t="n">
        <v>60.12</v>
      </c>
      <c r="Y430" s="8" t="n">
        <v>64.39</v>
      </c>
    </row>
    <row r="431" ht="15" customHeight="1">
      <c r="A431" s="13" t="n">
        <v>45621</v>
      </c>
      <c r="B431" s="7" t="n">
        <v>45.18</v>
      </c>
      <c r="C431" s="7" t="n">
        <v>35.49</v>
      </c>
      <c r="D431" s="7" t="n">
        <v>37.27</v>
      </c>
      <c r="E431" s="7" t="n">
        <v>39.34</v>
      </c>
      <c r="F431" s="7" t="n">
        <v>40.96</v>
      </c>
      <c r="G431" s="7" t="n">
        <v>49.58</v>
      </c>
      <c r="H431" s="7" t="n">
        <v>40.31</v>
      </c>
      <c r="I431" s="7" t="n">
        <v>52.26</v>
      </c>
      <c r="J431" s="7" t="n">
        <v>50.77</v>
      </c>
      <c r="K431" s="7" t="n">
        <v>44.18</v>
      </c>
      <c r="L431" s="7" t="n">
        <v>56.26</v>
      </c>
      <c r="M431" s="7" t="n">
        <v>49.31</v>
      </c>
      <c r="N431" s="8" t="n">
        <v>66.13</v>
      </c>
      <c r="O431" s="7" t="n">
        <v>54.43</v>
      </c>
      <c r="P431" s="8" t="n">
        <v>63.29</v>
      </c>
      <c r="Q431" s="8" t="n">
        <v>62.71</v>
      </c>
      <c r="R431" s="7" t="n">
        <v>57.88</v>
      </c>
      <c r="S431" s="7" t="n">
        <v>45.36</v>
      </c>
      <c r="T431" s="7" t="n">
        <v>56.95</v>
      </c>
      <c r="U431" s="7" t="n">
        <v>56.38</v>
      </c>
      <c r="V431" s="7" t="n">
        <v>48.22</v>
      </c>
      <c r="W431" s="7" t="n">
        <v>48.08</v>
      </c>
      <c r="X431" s="7" t="n">
        <v>58.16</v>
      </c>
      <c r="Y431" s="8" t="n">
        <v>65.25</v>
      </c>
    </row>
    <row r="432" ht="15" customHeight="1">
      <c r="A432" s="13" t="n">
        <v>45618</v>
      </c>
      <c r="B432" s="7" t="n">
        <v>49.02</v>
      </c>
      <c r="C432" s="7" t="n">
        <v>34.3</v>
      </c>
      <c r="D432" s="7" t="n">
        <v>33.78</v>
      </c>
      <c r="E432" s="7" t="n">
        <v>35.37</v>
      </c>
      <c r="F432" s="7" t="n">
        <v>33.13</v>
      </c>
      <c r="G432" s="7" t="n">
        <v>45.67</v>
      </c>
      <c r="H432" s="7" t="n">
        <v>41.96</v>
      </c>
      <c r="I432" s="7" t="n">
        <v>50.08</v>
      </c>
      <c r="J432" s="7" t="n">
        <v>43.04</v>
      </c>
      <c r="K432" s="7" t="n">
        <v>42.44</v>
      </c>
      <c r="L432" s="7" t="n">
        <v>59.07</v>
      </c>
      <c r="M432" s="7" t="n">
        <v>44.37</v>
      </c>
      <c r="N432" s="8" t="n">
        <v>64.70999999999999</v>
      </c>
      <c r="O432" s="7" t="n">
        <v>48.51</v>
      </c>
      <c r="P432" s="7" t="n">
        <v>59.61</v>
      </c>
      <c r="Q432" s="8" t="n">
        <v>61.98</v>
      </c>
      <c r="R432" s="7" t="n">
        <v>56.62</v>
      </c>
      <c r="S432" s="7" t="n">
        <v>47.13</v>
      </c>
      <c r="T432" s="7" t="n">
        <v>58.66</v>
      </c>
      <c r="U432" s="7" t="n">
        <v>50.58</v>
      </c>
      <c r="V432" s="7" t="n">
        <v>41.45</v>
      </c>
      <c r="W432" s="7" t="n">
        <v>48.41</v>
      </c>
      <c r="X432" s="7" t="n">
        <v>54.22</v>
      </c>
      <c r="Y432" s="8" t="n">
        <v>63.71</v>
      </c>
    </row>
    <row r="433" ht="15" customHeight="1">
      <c r="A433" s="13" t="n">
        <v>45617</v>
      </c>
      <c r="B433" s="7" t="n">
        <v>48.31</v>
      </c>
      <c r="C433" s="7" t="n">
        <v>30.03</v>
      </c>
      <c r="D433" s="10" t="n">
        <v>28.13</v>
      </c>
      <c r="E433" s="7" t="n">
        <v>33.94</v>
      </c>
      <c r="F433" s="7" t="n">
        <v>33.6</v>
      </c>
      <c r="G433" s="7" t="n">
        <v>39.05</v>
      </c>
      <c r="H433" s="7" t="n">
        <v>42.47</v>
      </c>
      <c r="I433" s="7" t="n">
        <v>42.23</v>
      </c>
      <c r="J433" s="7" t="n">
        <v>40.63</v>
      </c>
      <c r="K433" s="7" t="n">
        <v>41.68</v>
      </c>
      <c r="L433" s="7" t="n">
        <v>54.89</v>
      </c>
      <c r="M433" s="7" t="n">
        <v>40.1</v>
      </c>
      <c r="N433" s="8" t="n">
        <v>64.15000000000001</v>
      </c>
      <c r="O433" s="7" t="n">
        <v>46.37</v>
      </c>
      <c r="P433" s="8" t="n">
        <v>61.37</v>
      </c>
      <c r="Q433" s="7" t="n">
        <v>57.95</v>
      </c>
      <c r="R433" s="7" t="n">
        <v>52.45</v>
      </c>
      <c r="S433" s="7" t="n">
        <v>46.11</v>
      </c>
      <c r="T433" s="7" t="n">
        <v>55.04</v>
      </c>
      <c r="U433" s="7" t="n">
        <v>48.73</v>
      </c>
      <c r="V433" s="7" t="n">
        <v>37.5</v>
      </c>
      <c r="W433" s="7" t="n">
        <v>45.68</v>
      </c>
      <c r="X433" s="7" t="n">
        <v>51.69</v>
      </c>
      <c r="Y433" s="8" t="n">
        <v>63.25</v>
      </c>
    </row>
    <row r="434" ht="15" customHeight="1">
      <c r="A434" s="13" t="n">
        <v>45616</v>
      </c>
      <c r="B434" s="7" t="n">
        <v>53.62</v>
      </c>
      <c r="C434" s="7" t="n">
        <v>30.99</v>
      </c>
      <c r="D434" s="7" t="n">
        <v>30.13</v>
      </c>
      <c r="E434" s="7" t="n">
        <v>31.57</v>
      </c>
      <c r="F434" s="7" t="n">
        <v>33.71</v>
      </c>
      <c r="G434" s="7" t="n">
        <v>38.45</v>
      </c>
      <c r="H434" s="7" t="n">
        <v>43.17</v>
      </c>
      <c r="I434" s="7" t="n">
        <v>48.24</v>
      </c>
      <c r="J434" s="7" t="n">
        <v>38.58</v>
      </c>
      <c r="K434" s="7" t="n">
        <v>42.99</v>
      </c>
      <c r="L434" s="8" t="n">
        <v>61.77</v>
      </c>
      <c r="M434" s="7" t="n">
        <v>38.77</v>
      </c>
      <c r="N434" s="8" t="n">
        <v>63.43</v>
      </c>
      <c r="O434" s="7" t="n">
        <v>40.53</v>
      </c>
      <c r="P434" s="8" t="n">
        <v>61.12</v>
      </c>
      <c r="Q434" s="7" t="n">
        <v>55.33</v>
      </c>
      <c r="R434" s="7" t="n">
        <v>51.95</v>
      </c>
      <c r="S434" s="7" t="n">
        <v>45.7</v>
      </c>
      <c r="T434" s="7" t="n">
        <v>56.44</v>
      </c>
      <c r="U434" s="7" t="n">
        <v>52.7</v>
      </c>
      <c r="V434" s="7" t="n">
        <v>37.73</v>
      </c>
      <c r="W434" s="7" t="n">
        <v>43.62</v>
      </c>
      <c r="X434" s="7" t="n">
        <v>55.95</v>
      </c>
      <c r="Y434" s="8" t="n">
        <v>67.03</v>
      </c>
    </row>
    <row r="435" ht="15" customHeight="1">
      <c r="A435" s="13" t="n">
        <v>45615</v>
      </c>
      <c r="B435" s="7" t="n">
        <v>44.49</v>
      </c>
      <c r="C435" s="7" t="n">
        <v>32.01</v>
      </c>
      <c r="D435" s="7" t="n">
        <v>32.27</v>
      </c>
      <c r="E435" s="7" t="n">
        <v>31.72</v>
      </c>
      <c r="F435" s="7" t="n">
        <v>30.31</v>
      </c>
      <c r="G435" s="7" t="n">
        <v>39.67</v>
      </c>
      <c r="H435" s="7" t="n">
        <v>42.33</v>
      </c>
      <c r="I435" s="7" t="n">
        <v>48.61</v>
      </c>
      <c r="J435" s="7" t="n">
        <v>39.81</v>
      </c>
      <c r="K435" s="7" t="n">
        <v>43.2</v>
      </c>
      <c r="L435" s="7" t="n">
        <v>57.45</v>
      </c>
      <c r="M435" s="7" t="n">
        <v>39.74</v>
      </c>
      <c r="N435" s="8" t="n">
        <v>66.86</v>
      </c>
      <c r="O435" s="7" t="n">
        <v>43.69</v>
      </c>
      <c r="P435" s="8" t="n">
        <v>60.21</v>
      </c>
      <c r="Q435" s="7" t="n">
        <v>44.88</v>
      </c>
      <c r="R435" s="7" t="n">
        <v>44.81</v>
      </c>
      <c r="S435" s="7" t="n">
        <v>44.42</v>
      </c>
      <c r="T435" s="7" t="n">
        <v>54.04</v>
      </c>
      <c r="U435" s="7" t="n">
        <v>51.73</v>
      </c>
      <c r="V435" s="7" t="n">
        <v>37.21</v>
      </c>
      <c r="W435" s="7" t="n">
        <v>36.79</v>
      </c>
      <c r="X435" s="7" t="n">
        <v>56.54</v>
      </c>
      <c r="Y435" s="8" t="n">
        <v>65.53</v>
      </c>
    </row>
    <row r="436" ht="15" customHeight="1">
      <c r="A436" s="13" t="n">
        <v>45614</v>
      </c>
      <c r="B436" s="7" t="n">
        <v>41.61</v>
      </c>
      <c r="C436" s="7" t="n">
        <v>33.02</v>
      </c>
      <c r="D436" s="7" t="n">
        <v>32.81</v>
      </c>
      <c r="E436" s="10" t="n">
        <v>28.42</v>
      </c>
      <c r="F436" s="7" t="n">
        <v>30.11</v>
      </c>
      <c r="G436" s="7" t="n">
        <v>37.36</v>
      </c>
      <c r="H436" s="7" t="n">
        <v>42.38</v>
      </c>
      <c r="I436" s="7" t="n">
        <v>44.15</v>
      </c>
      <c r="J436" s="7" t="n">
        <v>39.88</v>
      </c>
      <c r="K436" s="7" t="n">
        <v>41.04</v>
      </c>
      <c r="L436" s="8" t="n">
        <v>61.08</v>
      </c>
      <c r="M436" s="7" t="n">
        <v>41.08</v>
      </c>
      <c r="N436" s="8" t="n">
        <v>61.82</v>
      </c>
      <c r="O436" s="7" t="n">
        <v>45.45</v>
      </c>
      <c r="P436" s="7" t="n">
        <v>56.55</v>
      </c>
      <c r="Q436" s="7" t="n">
        <v>44.11</v>
      </c>
      <c r="R436" s="7" t="n">
        <v>45.02</v>
      </c>
      <c r="S436" s="7" t="n">
        <v>44.71</v>
      </c>
      <c r="T436" s="7" t="n">
        <v>58.8</v>
      </c>
      <c r="U436" s="7" t="n">
        <v>46.35</v>
      </c>
      <c r="V436" s="7" t="n">
        <v>37.3</v>
      </c>
      <c r="W436" s="7" t="n">
        <v>30.28</v>
      </c>
      <c r="X436" s="7" t="n">
        <v>50.12</v>
      </c>
      <c r="Y436" s="8" t="n">
        <v>62.03</v>
      </c>
    </row>
    <row r="437" ht="15" customHeight="1">
      <c r="A437" s="13" t="n">
        <v>45611</v>
      </c>
      <c r="B437" s="7" t="n">
        <v>32.19</v>
      </c>
      <c r="C437" s="7" t="n">
        <v>30.77</v>
      </c>
      <c r="D437" s="7" t="n">
        <v>32.14</v>
      </c>
      <c r="E437" s="10" t="n">
        <v>20.33</v>
      </c>
      <c r="F437" s="7" t="n">
        <v>30.34</v>
      </c>
      <c r="G437" s="10" t="n">
        <v>29.58</v>
      </c>
      <c r="H437" s="7" t="n">
        <v>40.77</v>
      </c>
      <c r="I437" s="7" t="n">
        <v>45.41</v>
      </c>
      <c r="J437" s="7" t="n">
        <v>31.61</v>
      </c>
      <c r="K437" s="7" t="n">
        <v>38.07</v>
      </c>
      <c r="L437" s="7" t="n">
        <v>54.14</v>
      </c>
      <c r="M437" s="10" t="n">
        <v>29.37</v>
      </c>
      <c r="N437" s="7" t="n">
        <v>52.73</v>
      </c>
      <c r="O437" s="7" t="n">
        <v>42</v>
      </c>
      <c r="P437" s="7" t="n">
        <v>53.59</v>
      </c>
      <c r="Q437" s="7" t="n">
        <v>44.61</v>
      </c>
      <c r="R437" s="7" t="n">
        <v>34.01</v>
      </c>
      <c r="S437" s="7" t="n">
        <v>37.75</v>
      </c>
      <c r="T437" s="7" t="n">
        <v>36.32</v>
      </c>
      <c r="U437" s="7" t="n">
        <v>38.64</v>
      </c>
      <c r="V437" s="10" t="n">
        <v>27.71</v>
      </c>
      <c r="W437" s="10" t="n">
        <v>21.3</v>
      </c>
      <c r="X437" s="7" t="n">
        <v>41.93</v>
      </c>
      <c r="Y437" s="7" t="n">
        <v>56.74</v>
      </c>
    </row>
    <row r="438" ht="15" customHeight="1">
      <c r="A438" s="13" t="n">
        <v>45610</v>
      </c>
      <c r="B438" s="7" t="n">
        <v>30.94</v>
      </c>
      <c r="C438" s="10" t="n">
        <v>26.04</v>
      </c>
      <c r="D438" s="10" t="n">
        <v>27.96</v>
      </c>
      <c r="E438" s="10" t="n">
        <v>22.41</v>
      </c>
      <c r="F438" s="7" t="n">
        <v>32.34</v>
      </c>
      <c r="G438" s="10" t="n">
        <v>27.69</v>
      </c>
      <c r="H438" s="7" t="n">
        <v>44.58</v>
      </c>
      <c r="I438" s="7" t="n">
        <v>44.91</v>
      </c>
      <c r="J438" s="10" t="n">
        <v>27.83</v>
      </c>
      <c r="K438" s="10" t="n">
        <v>28.86</v>
      </c>
      <c r="L438" s="7" t="n">
        <v>54.49</v>
      </c>
      <c r="M438" s="10" t="n">
        <v>29.8</v>
      </c>
      <c r="N438" s="7" t="n">
        <v>57.99</v>
      </c>
      <c r="O438" s="7" t="n">
        <v>43.19</v>
      </c>
      <c r="P438" s="7" t="n">
        <v>46.66</v>
      </c>
      <c r="Q438" s="7" t="n">
        <v>44.66</v>
      </c>
      <c r="R438" s="7" t="n">
        <v>37.02</v>
      </c>
      <c r="S438" s="7" t="n">
        <v>43.29</v>
      </c>
      <c r="T438" s="7" t="n">
        <v>36.63</v>
      </c>
      <c r="U438" s="7" t="n">
        <v>36.43</v>
      </c>
      <c r="V438" s="10" t="n">
        <v>27.43</v>
      </c>
      <c r="W438" s="10" t="n">
        <v>21.54</v>
      </c>
      <c r="X438" s="7" t="n">
        <v>39.42</v>
      </c>
      <c r="Y438" s="7" t="n">
        <v>47.96</v>
      </c>
    </row>
    <row r="439" ht="15" customHeight="1">
      <c r="A439" s="13" t="n">
        <v>45609</v>
      </c>
      <c r="B439" s="7" t="n">
        <v>31.68</v>
      </c>
      <c r="C439" s="10" t="n">
        <v>26.66</v>
      </c>
      <c r="D439" s="10" t="n">
        <v>29.5</v>
      </c>
      <c r="E439" s="10" t="n">
        <v>23.61</v>
      </c>
      <c r="F439" s="7" t="n">
        <v>31.65</v>
      </c>
      <c r="G439" s="10" t="n">
        <v>21.69</v>
      </c>
      <c r="H439" s="7" t="n">
        <v>39.61</v>
      </c>
      <c r="I439" s="7" t="n">
        <v>38.57</v>
      </c>
      <c r="J439" s="10" t="n">
        <v>29.3</v>
      </c>
      <c r="K439" s="10" t="n">
        <v>21.12</v>
      </c>
      <c r="L439" s="7" t="n">
        <v>45.9</v>
      </c>
      <c r="M439" s="10" t="n">
        <v>26.87</v>
      </c>
      <c r="N439" s="7" t="n">
        <v>49.08</v>
      </c>
      <c r="O439" s="7" t="n">
        <v>32.78</v>
      </c>
      <c r="P439" s="7" t="n">
        <v>42.15</v>
      </c>
      <c r="Q439" s="7" t="n">
        <v>48.25</v>
      </c>
      <c r="R439" s="7" t="n">
        <v>38.63</v>
      </c>
      <c r="S439" s="7" t="n">
        <v>30.12</v>
      </c>
      <c r="T439" s="7" t="n">
        <v>39.18</v>
      </c>
      <c r="U439" s="7" t="n">
        <v>32.24</v>
      </c>
      <c r="V439" s="10" t="n">
        <v>27.32</v>
      </c>
      <c r="W439" s="10" t="n">
        <v>21.96</v>
      </c>
      <c r="X439" s="7" t="n">
        <v>35.03</v>
      </c>
      <c r="Y439" s="7" t="n">
        <v>48.31</v>
      </c>
    </row>
    <row r="440" ht="15" customHeight="1">
      <c r="A440" s="13" t="n">
        <v>45608</v>
      </c>
      <c r="B440" s="7" t="n">
        <v>34.22</v>
      </c>
      <c r="C440" s="10" t="n">
        <v>29.16</v>
      </c>
      <c r="D440" s="7" t="n">
        <v>35.59</v>
      </c>
      <c r="E440" s="10" t="n">
        <v>27</v>
      </c>
      <c r="F440" s="7" t="n">
        <v>35.44</v>
      </c>
      <c r="G440" s="10" t="n">
        <v>28.46</v>
      </c>
      <c r="H440" s="7" t="n">
        <v>47.96</v>
      </c>
      <c r="I440" s="7" t="n">
        <v>44.57</v>
      </c>
      <c r="J440" s="7" t="n">
        <v>34.91</v>
      </c>
      <c r="K440" s="10" t="n">
        <v>23.12</v>
      </c>
      <c r="L440" s="7" t="n">
        <v>54.32</v>
      </c>
      <c r="M440" s="7" t="n">
        <v>31.09</v>
      </c>
      <c r="N440" s="7" t="n">
        <v>40.59</v>
      </c>
      <c r="O440" s="7" t="n">
        <v>40.52</v>
      </c>
      <c r="P440" s="7" t="n">
        <v>34.56</v>
      </c>
      <c r="Q440" s="7" t="n">
        <v>52.4</v>
      </c>
      <c r="R440" s="7" t="n">
        <v>43.59</v>
      </c>
      <c r="S440" s="7" t="n">
        <v>38.35</v>
      </c>
      <c r="T440" s="7" t="n">
        <v>43.47</v>
      </c>
      <c r="U440" s="7" t="n">
        <v>35.54</v>
      </c>
      <c r="V440" s="7" t="n">
        <v>33.89</v>
      </c>
      <c r="W440" s="10" t="n">
        <v>11.95</v>
      </c>
      <c r="X440" s="7" t="n">
        <v>37.41</v>
      </c>
      <c r="Y440" s="7" t="n">
        <v>48.33</v>
      </c>
    </row>
    <row r="441" ht="15" customHeight="1">
      <c r="A441" s="13" t="n">
        <v>45607</v>
      </c>
      <c r="B441" s="7" t="n">
        <v>38.87</v>
      </c>
      <c r="C441" s="7" t="n">
        <v>31.93</v>
      </c>
      <c r="D441" s="7" t="n">
        <v>37.74</v>
      </c>
      <c r="E441" s="7" t="n">
        <v>30.08</v>
      </c>
      <c r="F441" s="7" t="n">
        <v>41.19</v>
      </c>
      <c r="G441" s="7" t="n">
        <v>36.52</v>
      </c>
      <c r="H441" s="7" t="n">
        <v>49.21</v>
      </c>
      <c r="I441" s="7" t="n">
        <v>50.26</v>
      </c>
      <c r="J441" s="7" t="n">
        <v>39.34</v>
      </c>
      <c r="K441" s="10" t="n">
        <v>27.16</v>
      </c>
      <c r="L441" s="8" t="n">
        <v>61.94</v>
      </c>
      <c r="M441" s="7" t="n">
        <v>33.98</v>
      </c>
      <c r="N441" s="7" t="n">
        <v>49.08</v>
      </c>
      <c r="O441" s="7" t="n">
        <v>40.11</v>
      </c>
      <c r="P441" s="7" t="n">
        <v>36.99</v>
      </c>
      <c r="Q441" s="7" t="n">
        <v>54.78</v>
      </c>
      <c r="R441" s="7" t="n">
        <v>50.8</v>
      </c>
      <c r="S441" s="7" t="n">
        <v>44.73</v>
      </c>
      <c r="T441" s="7" t="n">
        <v>50.53</v>
      </c>
      <c r="U441" s="7" t="n">
        <v>39.69</v>
      </c>
      <c r="V441" s="7" t="n">
        <v>39.75</v>
      </c>
      <c r="W441" s="10" t="n">
        <v>14.58</v>
      </c>
      <c r="X441" s="7" t="n">
        <v>39.29</v>
      </c>
      <c r="Y441" s="7" t="n">
        <v>56.07</v>
      </c>
    </row>
    <row r="442" ht="15" customHeight="1">
      <c r="A442" s="13" t="n">
        <v>45604</v>
      </c>
      <c r="B442" s="7" t="n">
        <v>45.7</v>
      </c>
      <c r="C442" s="7" t="n">
        <v>42.27</v>
      </c>
      <c r="D442" s="7" t="n">
        <v>44.71</v>
      </c>
      <c r="E442" s="7" t="n">
        <v>34.78</v>
      </c>
      <c r="F442" s="7" t="n">
        <v>43.31</v>
      </c>
      <c r="G442" s="7" t="n">
        <v>46.78</v>
      </c>
      <c r="H442" s="7" t="n">
        <v>51.74</v>
      </c>
      <c r="I442" s="7" t="n">
        <v>55.11</v>
      </c>
      <c r="J442" s="7" t="n">
        <v>44.26</v>
      </c>
      <c r="K442" s="7" t="n">
        <v>33.81</v>
      </c>
      <c r="L442" s="7" t="n">
        <v>52.21</v>
      </c>
      <c r="M442" s="7" t="n">
        <v>39.11</v>
      </c>
      <c r="N442" s="7" t="n">
        <v>50.52</v>
      </c>
      <c r="O442" s="7" t="n">
        <v>45.56</v>
      </c>
      <c r="P442" s="7" t="n">
        <v>47.33</v>
      </c>
      <c r="Q442" s="7" t="n">
        <v>43.34</v>
      </c>
      <c r="R442" s="7" t="n">
        <v>54.5</v>
      </c>
      <c r="S442" s="7" t="n">
        <v>43.02</v>
      </c>
      <c r="T442" s="7" t="n">
        <v>51.83</v>
      </c>
      <c r="U442" s="7" t="n">
        <v>44.37</v>
      </c>
      <c r="V442" s="7" t="n">
        <v>43.84</v>
      </c>
      <c r="W442" s="10" t="n">
        <v>17.21</v>
      </c>
      <c r="X442" s="7" t="n">
        <v>43.35</v>
      </c>
      <c r="Y442" s="7" t="n">
        <v>58.18</v>
      </c>
    </row>
    <row r="443" ht="15" customHeight="1">
      <c r="A443" s="13" t="n">
        <v>45603</v>
      </c>
      <c r="B443" s="7" t="n">
        <v>48.79</v>
      </c>
      <c r="C443" s="7" t="n">
        <v>46.15</v>
      </c>
      <c r="D443" s="7" t="n">
        <v>50.77</v>
      </c>
      <c r="E443" s="7" t="n">
        <v>36.37</v>
      </c>
      <c r="F443" s="7" t="n">
        <v>41.21</v>
      </c>
      <c r="G443" s="7" t="n">
        <v>49.85</v>
      </c>
      <c r="H443" s="7" t="n">
        <v>56.98</v>
      </c>
      <c r="I443" s="7" t="n">
        <v>57.27</v>
      </c>
      <c r="J443" s="7" t="n">
        <v>42.54</v>
      </c>
      <c r="K443" s="7" t="n">
        <v>36.83</v>
      </c>
      <c r="L443" s="7" t="n">
        <v>52.15</v>
      </c>
      <c r="M443" s="7" t="n">
        <v>41.32</v>
      </c>
      <c r="N443" s="7" t="n">
        <v>59.93</v>
      </c>
      <c r="O443" s="7" t="n">
        <v>40.61</v>
      </c>
      <c r="P443" s="7" t="n">
        <v>48.88</v>
      </c>
      <c r="Q443" s="7" t="n">
        <v>54.47</v>
      </c>
      <c r="R443" s="7" t="n">
        <v>54.59</v>
      </c>
      <c r="S443" s="7" t="n">
        <v>44.68</v>
      </c>
      <c r="T443" s="7" t="n">
        <v>49.82</v>
      </c>
      <c r="U443" s="7" t="n">
        <v>54.07</v>
      </c>
      <c r="V443" s="7" t="n">
        <v>43.11</v>
      </c>
      <c r="W443" s="10" t="n">
        <v>18.73</v>
      </c>
      <c r="X443" s="7" t="n">
        <v>54.35</v>
      </c>
      <c r="Y443" s="7" t="n">
        <v>59.12</v>
      </c>
    </row>
    <row r="444" ht="15" customHeight="1">
      <c r="A444" s="13" t="n">
        <v>45602</v>
      </c>
      <c r="B444" s="7" t="n">
        <v>52</v>
      </c>
      <c r="C444" s="7" t="n">
        <v>48.54</v>
      </c>
      <c r="D444" s="7" t="n">
        <v>47.92</v>
      </c>
      <c r="E444" s="7" t="n">
        <v>38.67</v>
      </c>
      <c r="F444" s="7" t="n">
        <v>47.59</v>
      </c>
      <c r="G444" s="7" t="n">
        <v>49.86</v>
      </c>
      <c r="H444" s="7" t="n">
        <v>55.73</v>
      </c>
      <c r="I444" s="7" t="n">
        <v>54.16</v>
      </c>
      <c r="J444" s="7" t="n">
        <v>42.24</v>
      </c>
      <c r="K444" s="7" t="n">
        <v>38.34</v>
      </c>
      <c r="L444" s="7" t="n">
        <v>38.43</v>
      </c>
      <c r="M444" s="7" t="n">
        <v>38.53</v>
      </c>
      <c r="N444" s="7" t="n">
        <v>58.87</v>
      </c>
      <c r="O444" s="7" t="n">
        <v>43.59</v>
      </c>
      <c r="P444" s="7" t="n">
        <v>49.48</v>
      </c>
      <c r="Q444" s="7" t="n">
        <v>59.08</v>
      </c>
      <c r="R444" s="7" t="n">
        <v>55.17</v>
      </c>
      <c r="S444" s="7" t="n">
        <v>54.27</v>
      </c>
      <c r="T444" s="7" t="n">
        <v>56.54</v>
      </c>
      <c r="U444" s="7" t="n">
        <v>54.3</v>
      </c>
      <c r="V444" s="7" t="n">
        <v>42.69</v>
      </c>
      <c r="W444" s="10" t="n">
        <v>20.04</v>
      </c>
      <c r="X444" s="7" t="n">
        <v>52.59</v>
      </c>
      <c r="Y444" s="8" t="n">
        <v>63.42</v>
      </c>
    </row>
    <row r="445" ht="15" customHeight="1">
      <c r="A445" s="13" t="n">
        <v>45601</v>
      </c>
      <c r="B445" s="7" t="n">
        <v>52.34</v>
      </c>
      <c r="C445" s="7" t="n">
        <v>51.97</v>
      </c>
      <c r="D445" s="7" t="n">
        <v>48.81</v>
      </c>
      <c r="E445" s="7" t="n">
        <v>47.12</v>
      </c>
      <c r="F445" s="7" t="n">
        <v>44.87</v>
      </c>
      <c r="G445" s="7" t="n">
        <v>43.79</v>
      </c>
      <c r="H445" s="8" t="n">
        <v>60.05</v>
      </c>
      <c r="I445" s="7" t="n">
        <v>49.26</v>
      </c>
      <c r="J445" s="7" t="n">
        <v>45.5</v>
      </c>
      <c r="K445" s="7" t="n">
        <v>42.79</v>
      </c>
      <c r="L445" s="7" t="n">
        <v>38.32</v>
      </c>
      <c r="M445" s="7" t="n">
        <v>42.29</v>
      </c>
      <c r="N445" s="8" t="n">
        <v>61.52</v>
      </c>
      <c r="O445" s="7" t="n">
        <v>41.46</v>
      </c>
      <c r="P445" s="8" t="n">
        <v>60.56</v>
      </c>
      <c r="Q445" s="7" t="n">
        <v>52.29</v>
      </c>
      <c r="R445" s="7" t="n">
        <v>49.65</v>
      </c>
      <c r="S445" s="7" t="n">
        <v>50.58</v>
      </c>
      <c r="T445" s="7" t="n">
        <v>53.31</v>
      </c>
      <c r="U445" s="7" t="n">
        <v>54.22</v>
      </c>
      <c r="V445" s="7" t="n">
        <v>45.86</v>
      </c>
      <c r="W445" s="10" t="n">
        <v>21.84</v>
      </c>
      <c r="X445" s="7" t="n">
        <v>52.54</v>
      </c>
      <c r="Y445" s="8" t="n">
        <v>66.27</v>
      </c>
    </row>
    <row r="446" ht="15" customHeight="1">
      <c r="A446" s="13" t="n">
        <v>45600</v>
      </c>
      <c r="B446" s="7" t="n">
        <v>54.23</v>
      </c>
      <c r="C446" s="7" t="n">
        <v>52.8</v>
      </c>
      <c r="D446" s="7" t="n">
        <v>46.96</v>
      </c>
      <c r="E446" s="7" t="n">
        <v>45.75</v>
      </c>
      <c r="F446" s="7" t="n">
        <v>47.54</v>
      </c>
      <c r="G446" s="7" t="n">
        <v>42.31</v>
      </c>
      <c r="H446" s="7" t="n">
        <v>55.36</v>
      </c>
      <c r="I446" s="7" t="n">
        <v>46.96</v>
      </c>
      <c r="J446" s="7" t="n">
        <v>49.12</v>
      </c>
      <c r="K446" s="7" t="n">
        <v>42.45</v>
      </c>
      <c r="L446" s="7" t="n">
        <v>39.88</v>
      </c>
      <c r="M446" s="7" t="n">
        <v>41.55</v>
      </c>
      <c r="N446" s="8" t="n">
        <v>61.92</v>
      </c>
      <c r="O446" s="7" t="n">
        <v>33.86</v>
      </c>
      <c r="P446" s="8" t="n">
        <v>61.47</v>
      </c>
      <c r="Q446" s="7" t="n">
        <v>58.51</v>
      </c>
      <c r="R446" s="7" t="n">
        <v>48.9</v>
      </c>
      <c r="S446" s="7" t="n">
        <v>48.68</v>
      </c>
      <c r="T446" s="7" t="n">
        <v>53.48</v>
      </c>
      <c r="U446" s="7" t="n">
        <v>54.87</v>
      </c>
      <c r="V446" s="7" t="n">
        <v>48.19</v>
      </c>
      <c r="W446" s="10" t="n">
        <v>20.31</v>
      </c>
      <c r="X446" s="7" t="n">
        <v>53.12</v>
      </c>
      <c r="Y446" s="8" t="n">
        <v>63.08</v>
      </c>
    </row>
    <row r="447" ht="15" customHeight="1">
      <c r="A447" s="13" t="n">
        <v>45597</v>
      </c>
      <c r="B447" s="7" t="n">
        <v>42.96</v>
      </c>
      <c r="C447" s="7" t="n">
        <v>47.68</v>
      </c>
      <c r="D447" s="7" t="n">
        <v>44.44</v>
      </c>
      <c r="E447" s="7" t="n">
        <v>41.26</v>
      </c>
      <c r="F447" s="7" t="n">
        <v>39.92</v>
      </c>
      <c r="G447" s="7" t="n">
        <v>40.01</v>
      </c>
      <c r="H447" s="7" t="n">
        <v>50.87</v>
      </c>
      <c r="I447" s="7" t="n">
        <v>44.15</v>
      </c>
      <c r="J447" s="7" t="n">
        <v>41.83</v>
      </c>
      <c r="K447" s="7" t="n">
        <v>40.42</v>
      </c>
      <c r="L447" s="7" t="n">
        <v>35.69</v>
      </c>
      <c r="M447" s="7" t="n">
        <v>34.85</v>
      </c>
      <c r="N447" s="7" t="n">
        <v>57.76</v>
      </c>
      <c r="O447" s="7" t="n">
        <v>30.59</v>
      </c>
      <c r="P447" s="7" t="n">
        <v>51.86</v>
      </c>
      <c r="Q447" s="7" t="n">
        <v>59.87</v>
      </c>
      <c r="R447" s="7" t="n">
        <v>46.7</v>
      </c>
      <c r="S447" s="7" t="n">
        <v>43.95</v>
      </c>
      <c r="T447" s="7" t="n">
        <v>52.32</v>
      </c>
      <c r="U447" s="7" t="n">
        <v>45.58</v>
      </c>
      <c r="V447" s="7" t="n">
        <v>39.61</v>
      </c>
      <c r="W447" s="10" t="n">
        <v>22.17</v>
      </c>
      <c r="X447" s="7" t="n">
        <v>46.94</v>
      </c>
      <c r="Y447" s="7" t="n">
        <v>54.24</v>
      </c>
    </row>
    <row r="448" ht="15" customHeight="1">
      <c r="A448" s="13" t="n">
        <v>45596</v>
      </c>
      <c r="B448" s="7" t="n">
        <v>46.43</v>
      </c>
      <c r="C448" s="7" t="n">
        <v>50.71</v>
      </c>
      <c r="D448" s="7" t="n">
        <v>47.03</v>
      </c>
      <c r="E448" s="7" t="n">
        <v>41.64</v>
      </c>
      <c r="F448" s="7" t="n">
        <v>42.29</v>
      </c>
      <c r="G448" s="7" t="n">
        <v>45.91</v>
      </c>
      <c r="H448" s="7" t="n">
        <v>50.84</v>
      </c>
      <c r="I448" s="7" t="n">
        <v>45.57</v>
      </c>
      <c r="J448" s="7" t="n">
        <v>44.29</v>
      </c>
      <c r="K448" s="7" t="n">
        <v>51.67</v>
      </c>
      <c r="L448" s="7" t="n">
        <v>36.14</v>
      </c>
      <c r="M448" s="7" t="n">
        <v>36.12</v>
      </c>
      <c r="N448" s="8" t="n">
        <v>61.43</v>
      </c>
      <c r="O448" s="7" t="n">
        <v>35.06</v>
      </c>
      <c r="P448" s="7" t="n">
        <v>55.57</v>
      </c>
      <c r="Q448" s="7" t="n">
        <v>59</v>
      </c>
      <c r="R448" s="7" t="n">
        <v>44.45</v>
      </c>
      <c r="S448" s="7" t="n">
        <v>48.94</v>
      </c>
      <c r="T448" s="7" t="n">
        <v>47.92</v>
      </c>
      <c r="U448" s="7" t="n">
        <v>49.06</v>
      </c>
      <c r="V448" s="7" t="n">
        <v>41.92</v>
      </c>
      <c r="W448" s="10" t="n">
        <v>23.43</v>
      </c>
      <c r="X448" s="7" t="n">
        <v>49.24</v>
      </c>
      <c r="Y448" s="7" t="n">
        <v>54.8</v>
      </c>
    </row>
    <row r="449" ht="15" customHeight="1">
      <c r="A449" s="13" t="n">
        <v>45595</v>
      </c>
      <c r="B449" s="7" t="n">
        <v>38.16</v>
      </c>
      <c r="C449" s="7" t="n">
        <v>42.07</v>
      </c>
      <c r="D449" s="7" t="n">
        <v>46.98</v>
      </c>
      <c r="E449" s="7" t="n">
        <v>41.58</v>
      </c>
      <c r="F449" s="7" t="n">
        <v>47.18</v>
      </c>
      <c r="G449" s="7" t="n">
        <v>43.46</v>
      </c>
      <c r="H449" s="7" t="n">
        <v>54.38</v>
      </c>
      <c r="I449" s="7" t="n">
        <v>53.35</v>
      </c>
      <c r="J449" s="7" t="n">
        <v>47.23</v>
      </c>
      <c r="K449" s="7" t="n">
        <v>47.18</v>
      </c>
      <c r="L449" s="7" t="n">
        <v>41.18</v>
      </c>
      <c r="M449" s="7" t="n">
        <v>46.04</v>
      </c>
      <c r="N449" s="8" t="n">
        <v>60.57</v>
      </c>
      <c r="O449" s="7" t="n">
        <v>38.71</v>
      </c>
      <c r="P449" s="7" t="n">
        <v>56.31</v>
      </c>
      <c r="Q449" s="7" t="n">
        <v>59.49</v>
      </c>
      <c r="R449" s="7" t="n">
        <v>52.56</v>
      </c>
      <c r="S449" s="7" t="n">
        <v>55.01</v>
      </c>
      <c r="T449" s="7" t="n">
        <v>51.06</v>
      </c>
      <c r="U449" s="7" t="n">
        <v>58.21</v>
      </c>
      <c r="V449" s="7" t="n">
        <v>46.08</v>
      </c>
      <c r="W449" s="10" t="n">
        <v>20.86</v>
      </c>
      <c r="X449" s="7" t="n">
        <v>58.2</v>
      </c>
      <c r="Y449" s="8" t="n">
        <v>60.04</v>
      </c>
    </row>
    <row r="450" ht="15" customHeight="1">
      <c r="A450" s="13" t="n">
        <v>45594</v>
      </c>
      <c r="B450" s="7" t="n">
        <v>40.04</v>
      </c>
      <c r="C450" s="7" t="n">
        <v>37.17</v>
      </c>
      <c r="D450" s="7" t="n">
        <v>45.99</v>
      </c>
      <c r="E450" s="7" t="n">
        <v>43.89</v>
      </c>
      <c r="F450" s="7" t="n">
        <v>49.99</v>
      </c>
      <c r="G450" s="7" t="n">
        <v>44.89</v>
      </c>
      <c r="H450" s="9" t="n">
        <v>82.81</v>
      </c>
      <c r="I450" s="7" t="n">
        <v>51.74</v>
      </c>
      <c r="J450" s="7" t="n">
        <v>47.56</v>
      </c>
      <c r="K450" s="7" t="n">
        <v>46.47</v>
      </c>
      <c r="L450" s="7" t="n">
        <v>42.92</v>
      </c>
      <c r="M450" s="7" t="n">
        <v>47.8</v>
      </c>
      <c r="N450" s="8" t="n">
        <v>62.19</v>
      </c>
      <c r="O450" s="7" t="n">
        <v>40.59</v>
      </c>
      <c r="P450" s="8" t="n">
        <v>60.48</v>
      </c>
      <c r="Q450" s="7" t="n">
        <v>58.3</v>
      </c>
      <c r="R450" s="7" t="n">
        <v>57.93</v>
      </c>
      <c r="S450" s="7" t="n">
        <v>55.34</v>
      </c>
      <c r="T450" s="7" t="n">
        <v>54.94</v>
      </c>
      <c r="U450" s="7" t="n">
        <v>56.42</v>
      </c>
      <c r="V450" s="7" t="n">
        <v>50.02</v>
      </c>
      <c r="W450" s="10" t="n">
        <v>22.72</v>
      </c>
      <c r="X450" s="7" t="n">
        <v>53.62</v>
      </c>
      <c r="Y450" s="8" t="n">
        <v>61.42</v>
      </c>
    </row>
    <row r="451" ht="15" customHeight="1">
      <c r="A451" s="13" t="n">
        <v>45593</v>
      </c>
      <c r="B451" s="7" t="n">
        <v>40.68</v>
      </c>
      <c r="C451" s="7" t="n">
        <v>39.47</v>
      </c>
      <c r="D451" s="7" t="n">
        <v>43.74</v>
      </c>
      <c r="E451" s="7" t="n">
        <v>48.52</v>
      </c>
      <c r="F451" s="7" t="n">
        <v>51.95</v>
      </c>
      <c r="G451" s="7" t="n">
        <v>44.63</v>
      </c>
      <c r="H451" s="9" t="n">
        <v>77.84</v>
      </c>
      <c r="I451" s="7" t="n">
        <v>50.88</v>
      </c>
      <c r="J451" s="7" t="n">
        <v>46.53</v>
      </c>
      <c r="K451" s="7" t="n">
        <v>49.24</v>
      </c>
      <c r="L451" s="7" t="n">
        <v>46.16</v>
      </c>
      <c r="M451" s="7" t="n">
        <v>43.66</v>
      </c>
      <c r="N451" s="8" t="n">
        <v>61.96</v>
      </c>
      <c r="O451" s="7" t="n">
        <v>41.03</v>
      </c>
      <c r="P451" s="7" t="n">
        <v>56.76</v>
      </c>
      <c r="Q451" s="7" t="n">
        <v>58.71</v>
      </c>
      <c r="R451" s="7" t="n">
        <v>57.76</v>
      </c>
      <c r="S451" s="7" t="n">
        <v>53.91</v>
      </c>
      <c r="T451" s="7" t="n">
        <v>53.17</v>
      </c>
      <c r="U451" s="7" t="n">
        <v>54.73</v>
      </c>
      <c r="V451" s="7" t="n">
        <v>49.35</v>
      </c>
      <c r="W451" s="10" t="n">
        <v>22.83</v>
      </c>
      <c r="X451" s="7" t="n">
        <v>53.19</v>
      </c>
      <c r="Y451" s="7" t="n">
        <v>58.86</v>
      </c>
    </row>
    <row r="452" ht="15" customHeight="1">
      <c r="A452" s="13" t="n">
        <v>45590</v>
      </c>
      <c r="B452" s="7" t="n">
        <v>37.37</v>
      </c>
      <c r="C452" s="7" t="n">
        <v>37.06</v>
      </c>
      <c r="D452" s="7" t="n">
        <v>37.14</v>
      </c>
      <c r="E452" s="7" t="n">
        <v>35.67</v>
      </c>
      <c r="F452" s="7" t="n">
        <v>51.29</v>
      </c>
      <c r="G452" s="7" t="n">
        <v>43.94</v>
      </c>
      <c r="H452" s="9" t="n">
        <v>74.29000000000001</v>
      </c>
      <c r="I452" s="7" t="n">
        <v>49.04</v>
      </c>
      <c r="J452" s="7" t="n">
        <v>40.34</v>
      </c>
      <c r="K452" s="7" t="n">
        <v>47.12</v>
      </c>
      <c r="L452" s="7" t="n">
        <v>47.71</v>
      </c>
      <c r="M452" s="7" t="n">
        <v>34.45</v>
      </c>
      <c r="N452" s="8" t="n">
        <v>61.47</v>
      </c>
      <c r="O452" s="7" t="n">
        <v>36.03</v>
      </c>
      <c r="P452" s="7" t="n">
        <v>51.7</v>
      </c>
      <c r="Q452" s="8" t="n">
        <v>61.25</v>
      </c>
      <c r="R452" s="8" t="n">
        <v>64.41</v>
      </c>
      <c r="S452" s="7" t="n">
        <v>53.94</v>
      </c>
      <c r="T452" s="7" t="n">
        <v>54.17</v>
      </c>
      <c r="U452" s="7" t="n">
        <v>47.61</v>
      </c>
      <c r="V452" s="7" t="n">
        <v>42.63</v>
      </c>
      <c r="W452" s="10" t="n">
        <v>25.67</v>
      </c>
      <c r="X452" s="7" t="n">
        <v>46.99</v>
      </c>
      <c r="Y452" s="7" t="n">
        <v>53.98</v>
      </c>
    </row>
    <row r="453" ht="15" customHeight="1">
      <c r="A453" s="13" t="n">
        <v>45589</v>
      </c>
      <c r="B453" s="7" t="n">
        <v>41.16</v>
      </c>
      <c r="C453" s="7" t="n">
        <v>43.76</v>
      </c>
      <c r="D453" s="7" t="n">
        <v>42.48</v>
      </c>
      <c r="E453" s="7" t="n">
        <v>38.99</v>
      </c>
      <c r="F453" s="7" t="n">
        <v>50.19</v>
      </c>
      <c r="G453" s="7" t="n">
        <v>43.26</v>
      </c>
      <c r="H453" s="9" t="n">
        <v>71.06</v>
      </c>
      <c r="I453" s="7" t="n">
        <v>51.95</v>
      </c>
      <c r="J453" s="7" t="n">
        <v>41.46</v>
      </c>
      <c r="K453" s="7" t="n">
        <v>44.57</v>
      </c>
      <c r="L453" s="7" t="n">
        <v>45.78</v>
      </c>
      <c r="M453" s="7" t="n">
        <v>37.82</v>
      </c>
      <c r="N453" s="8" t="n">
        <v>64.43000000000001</v>
      </c>
      <c r="O453" s="7" t="n">
        <v>37.33</v>
      </c>
      <c r="P453" s="7" t="n">
        <v>53.08</v>
      </c>
      <c r="Q453" s="7" t="n">
        <v>59.84</v>
      </c>
      <c r="R453" s="7" t="n">
        <v>56.72</v>
      </c>
      <c r="S453" s="7" t="n">
        <v>53.49</v>
      </c>
      <c r="T453" s="7" t="n">
        <v>49.07</v>
      </c>
      <c r="U453" s="7" t="n">
        <v>54.27</v>
      </c>
      <c r="V453" s="7" t="n">
        <v>43.31</v>
      </c>
      <c r="W453" s="7" t="n">
        <v>31.25</v>
      </c>
      <c r="X453" s="7" t="n">
        <v>52.6</v>
      </c>
      <c r="Y453" s="7" t="n">
        <v>56.78</v>
      </c>
    </row>
    <row r="454" ht="15" customHeight="1">
      <c r="A454" s="13" t="n">
        <v>45588</v>
      </c>
      <c r="B454" s="7" t="n">
        <v>38.96</v>
      </c>
      <c r="C454" s="7" t="n">
        <v>43.93</v>
      </c>
      <c r="D454" s="7" t="n">
        <v>42.74</v>
      </c>
      <c r="E454" s="7" t="n">
        <v>39.56</v>
      </c>
      <c r="F454" s="7" t="n">
        <v>51.61</v>
      </c>
      <c r="G454" s="7" t="n">
        <v>40.56</v>
      </c>
      <c r="H454" s="7" t="n">
        <v>57.09</v>
      </c>
      <c r="I454" s="7" t="n">
        <v>51.71</v>
      </c>
      <c r="J454" s="7" t="n">
        <v>45.75</v>
      </c>
      <c r="K454" s="7" t="n">
        <v>47.04</v>
      </c>
      <c r="L454" s="7" t="n">
        <v>52.4</v>
      </c>
      <c r="M454" s="7" t="n">
        <v>38.76</v>
      </c>
      <c r="N454" s="7" t="n">
        <v>57.07</v>
      </c>
      <c r="O454" s="7" t="n">
        <v>37.66</v>
      </c>
      <c r="P454" s="7" t="n">
        <v>52.47</v>
      </c>
      <c r="Q454" s="7" t="n">
        <v>55.49</v>
      </c>
      <c r="R454" s="7" t="n">
        <v>59.48</v>
      </c>
      <c r="S454" s="7" t="n">
        <v>56.41</v>
      </c>
      <c r="T454" s="7" t="n">
        <v>55.15</v>
      </c>
      <c r="U454" s="7" t="n">
        <v>53.42</v>
      </c>
      <c r="V454" s="7" t="n">
        <v>46.55</v>
      </c>
      <c r="W454" s="7" t="n">
        <v>33.28</v>
      </c>
      <c r="X454" s="7" t="n">
        <v>50.6</v>
      </c>
      <c r="Y454" s="7" t="n">
        <v>56.62</v>
      </c>
    </row>
    <row r="455" ht="15" customHeight="1">
      <c r="A455" s="13" t="n">
        <v>45587</v>
      </c>
      <c r="B455" s="7" t="n">
        <v>41.45</v>
      </c>
      <c r="C455" s="7" t="n">
        <v>46.66</v>
      </c>
      <c r="D455" s="7" t="n">
        <v>42.56</v>
      </c>
      <c r="E455" s="7" t="n">
        <v>35.91</v>
      </c>
      <c r="F455" s="7" t="n">
        <v>53.81</v>
      </c>
      <c r="G455" s="7" t="n">
        <v>42</v>
      </c>
      <c r="H455" s="7" t="n">
        <v>53.27</v>
      </c>
      <c r="I455" s="7" t="n">
        <v>54.81</v>
      </c>
      <c r="J455" s="7" t="n">
        <v>36.28</v>
      </c>
      <c r="K455" s="7" t="n">
        <v>44.76</v>
      </c>
      <c r="L455" s="7" t="n">
        <v>49.83</v>
      </c>
      <c r="M455" s="7" t="n">
        <v>43.42</v>
      </c>
      <c r="N455" s="7" t="n">
        <v>55.35</v>
      </c>
      <c r="O455" s="7" t="n">
        <v>41.91</v>
      </c>
      <c r="P455" s="7" t="n">
        <v>52.33</v>
      </c>
      <c r="Q455" s="8" t="n">
        <v>63.9</v>
      </c>
      <c r="R455" s="7" t="n">
        <v>59.97</v>
      </c>
      <c r="S455" s="7" t="n">
        <v>59</v>
      </c>
      <c r="T455" s="7" t="n">
        <v>56.39</v>
      </c>
      <c r="U455" s="7" t="n">
        <v>52.43</v>
      </c>
      <c r="V455" s="7" t="n">
        <v>39.3</v>
      </c>
      <c r="W455" s="7" t="n">
        <v>35.65</v>
      </c>
      <c r="X455" s="7" t="n">
        <v>49.38</v>
      </c>
      <c r="Y455" s="8" t="n">
        <v>60.04</v>
      </c>
    </row>
    <row r="456" ht="15" customHeight="1">
      <c r="A456" s="13" t="n">
        <v>45586</v>
      </c>
      <c r="B456" s="7" t="n">
        <v>43.03</v>
      </c>
      <c r="C456" s="7" t="n">
        <v>46.25</v>
      </c>
      <c r="D456" s="7" t="n">
        <v>45.61</v>
      </c>
      <c r="E456" s="7" t="n">
        <v>41.45</v>
      </c>
      <c r="F456" s="8" t="n">
        <v>60.48</v>
      </c>
      <c r="G456" s="7" t="n">
        <v>45.67</v>
      </c>
      <c r="H456" s="7" t="n">
        <v>59.81</v>
      </c>
      <c r="I456" s="7" t="n">
        <v>58.57</v>
      </c>
      <c r="J456" s="7" t="n">
        <v>40.59</v>
      </c>
      <c r="K456" s="7" t="n">
        <v>51.18</v>
      </c>
      <c r="L456" s="7" t="n">
        <v>51.8</v>
      </c>
      <c r="M456" s="7" t="n">
        <v>41.09</v>
      </c>
      <c r="N456" s="7" t="n">
        <v>50.05</v>
      </c>
      <c r="O456" s="7" t="n">
        <v>48.11</v>
      </c>
      <c r="P456" s="7" t="n">
        <v>56.59</v>
      </c>
      <c r="Q456" s="7" t="n">
        <v>57.86</v>
      </c>
      <c r="R456" s="7" t="n">
        <v>59.48</v>
      </c>
      <c r="S456" s="7" t="n">
        <v>57.32</v>
      </c>
      <c r="T456" s="7" t="n">
        <v>52.78</v>
      </c>
      <c r="U456" s="8" t="n">
        <v>63.03</v>
      </c>
      <c r="V456" s="7" t="n">
        <v>45.24</v>
      </c>
      <c r="W456" s="7" t="n">
        <v>39.16</v>
      </c>
      <c r="X456" s="7" t="n">
        <v>59.92</v>
      </c>
      <c r="Y456" s="8" t="n">
        <v>61.01</v>
      </c>
    </row>
    <row r="457" ht="15" customHeight="1">
      <c r="A457" s="13" t="n">
        <v>45583</v>
      </c>
      <c r="B457" s="7" t="n">
        <v>42.88</v>
      </c>
      <c r="C457" s="7" t="n">
        <v>47.64</v>
      </c>
      <c r="D457" s="7" t="n">
        <v>46.33</v>
      </c>
      <c r="E457" s="7" t="n">
        <v>40.48</v>
      </c>
      <c r="F457" s="7" t="n">
        <v>56.39</v>
      </c>
      <c r="G457" s="7" t="n">
        <v>44.23</v>
      </c>
      <c r="H457" s="7" t="n">
        <v>55.25</v>
      </c>
      <c r="I457" s="7" t="n">
        <v>57.18</v>
      </c>
      <c r="J457" s="7" t="n">
        <v>39.49</v>
      </c>
      <c r="K457" s="7" t="n">
        <v>50.54</v>
      </c>
      <c r="L457" s="7" t="n">
        <v>50.71</v>
      </c>
      <c r="M457" s="7" t="n">
        <v>41.93</v>
      </c>
      <c r="N457" s="7" t="n">
        <v>48.23</v>
      </c>
      <c r="O457" s="7" t="n">
        <v>48.7</v>
      </c>
      <c r="P457" s="7" t="n">
        <v>52.59</v>
      </c>
      <c r="Q457" s="7" t="n">
        <v>58.23</v>
      </c>
      <c r="R457" s="8" t="n">
        <v>61.41</v>
      </c>
      <c r="S457" s="8" t="n">
        <v>60.28</v>
      </c>
      <c r="T457" s="7" t="n">
        <v>51.93</v>
      </c>
      <c r="U457" s="7" t="n">
        <v>58.79</v>
      </c>
      <c r="V457" s="7" t="n">
        <v>42.61</v>
      </c>
      <c r="W457" s="7" t="n">
        <v>39.69</v>
      </c>
      <c r="X457" s="7" t="n">
        <v>55.6</v>
      </c>
      <c r="Y457" s="7" t="n">
        <v>57.85</v>
      </c>
    </row>
    <row r="458" ht="15" customHeight="1">
      <c r="A458" s="13" t="n">
        <v>45582</v>
      </c>
      <c r="B458" s="7" t="n">
        <v>45.13</v>
      </c>
      <c r="C458" s="7" t="n">
        <v>47.2</v>
      </c>
      <c r="D458" s="7" t="n">
        <v>47.49</v>
      </c>
      <c r="E458" s="7" t="n">
        <v>41.33</v>
      </c>
      <c r="F458" s="7" t="n">
        <v>52.62</v>
      </c>
      <c r="G458" s="7" t="n">
        <v>45.03</v>
      </c>
      <c r="H458" s="7" t="n">
        <v>51.98</v>
      </c>
      <c r="I458" s="8" t="n">
        <v>64.98999999999999</v>
      </c>
      <c r="J458" s="7" t="n">
        <v>43.34</v>
      </c>
      <c r="K458" s="7" t="n">
        <v>57.71</v>
      </c>
      <c r="L458" s="7" t="n">
        <v>53.84</v>
      </c>
      <c r="M458" s="7" t="n">
        <v>44.09</v>
      </c>
      <c r="N458" s="7" t="n">
        <v>44.06</v>
      </c>
      <c r="O458" s="7" t="n">
        <v>51.34</v>
      </c>
      <c r="P458" s="7" t="n">
        <v>53.25</v>
      </c>
      <c r="Q458" s="7" t="n">
        <v>55.12</v>
      </c>
      <c r="R458" s="8" t="n">
        <v>60.61</v>
      </c>
      <c r="S458" s="7" t="n">
        <v>57.49</v>
      </c>
      <c r="T458" s="7" t="n">
        <v>51.57</v>
      </c>
      <c r="U458" s="7" t="n">
        <v>58.46</v>
      </c>
      <c r="V458" s="7" t="n">
        <v>45.88</v>
      </c>
      <c r="W458" s="7" t="n">
        <v>40.69</v>
      </c>
      <c r="X458" s="7" t="n">
        <v>53.29</v>
      </c>
      <c r="Y458" s="8" t="n">
        <v>61.38</v>
      </c>
    </row>
    <row r="459" ht="15" customHeight="1">
      <c r="A459" s="13" t="n">
        <v>45581</v>
      </c>
      <c r="B459" s="7" t="n">
        <v>50.55</v>
      </c>
      <c r="C459" s="7" t="n">
        <v>51.28</v>
      </c>
      <c r="D459" s="7" t="n">
        <v>49.9</v>
      </c>
      <c r="E459" s="7" t="n">
        <v>43.01</v>
      </c>
      <c r="F459" s="7" t="n">
        <v>58.97</v>
      </c>
      <c r="G459" s="7" t="n">
        <v>48.55</v>
      </c>
      <c r="H459" s="7" t="n">
        <v>57.02</v>
      </c>
      <c r="I459" s="7" t="n">
        <v>55.47</v>
      </c>
      <c r="J459" s="7" t="n">
        <v>41.13</v>
      </c>
      <c r="K459" s="7" t="n">
        <v>57.14</v>
      </c>
      <c r="L459" s="7" t="n">
        <v>57.45</v>
      </c>
      <c r="M459" s="7" t="n">
        <v>40.29</v>
      </c>
      <c r="N459" s="7" t="n">
        <v>45.19</v>
      </c>
      <c r="O459" s="7" t="n">
        <v>44.5</v>
      </c>
      <c r="P459" s="7" t="n">
        <v>53.18</v>
      </c>
      <c r="Q459" s="7" t="n">
        <v>58.9</v>
      </c>
      <c r="R459" s="8" t="n">
        <v>61.92</v>
      </c>
      <c r="S459" s="8" t="n">
        <v>61.33</v>
      </c>
      <c r="T459" s="7" t="n">
        <v>56.53</v>
      </c>
      <c r="U459" s="7" t="n">
        <v>58.32</v>
      </c>
      <c r="V459" s="7" t="n">
        <v>45.96</v>
      </c>
      <c r="W459" s="7" t="n">
        <v>38.56</v>
      </c>
      <c r="X459" s="7" t="n">
        <v>57.14</v>
      </c>
      <c r="Y459" s="7" t="n">
        <v>52.2</v>
      </c>
    </row>
    <row r="460" ht="15" customHeight="1">
      <c r="A460" s="13" t="n">
        <v>45580</v>
      </c>
      <c r="B460" s="7" t="n">
        <v>50.83</v>
      </c>
      <c r="C460" s="7" t="n">
        <v>54.99</v>
      </c>
      <c r="D460" s="7" t="n">
        <v>52.24</v>
      </c>
      <c r="E460" s="7" t="n">
        <v>46.42</v>
      </c>
      <c r="F460" s="8" t="n">
        <v>65.34999999999999</v>
      </c>
      <c r="G460" s="7" t="n">
        <v>45.35</v>
      </c>
      <c r="H460" s="8" t="n">
        <v>60.54</v>
      </c>
      <c r="I460" s="7" t="n">
        <v>57.94</v>
      </c>
      <c r="J460" s="7" t="n">
        <v>45.38</v>
      </c>
      <c r="K460" s="7" t="n">
        <v>59.92</v>
      </c>
      <c r="L460" s="7" t="n">
        <v>55.19</v>
      </c>
      <c r="M460" s="7" t="n">
        <v>43.22</v>
      </c>
      <c r="N460" s="7" t="n">
        <v>46.98</v>
      </c>
      <c r="O460" s="7" t="n">
        <v>44.55</v>
      </c>
      <c r="P460" s="7" t="n">
        <v>45.04</v>
      </c>
      <c r="Q460" s="7" t="n">
        <v>52.09</v>
      </c>
      <c r="R460" s="8" t="n">
        <v>62.49</v>
      </c>
      <c r="S460" s="7" t="n">
        <v>58.92</v>
      </c>
      <c r="T460" s="7" t="n">
        <v>55.13</v>
      </c>
      <c r="U460" s="7" t="n">
        <v>59.37</v>
      </c>
      <c r="V460" s="7" t="n">
        <v>50.58</v>
      </c>
      <c r="W460" s="7" t="n">
        <v>42.36</v>
      </c>
      <c r="X460" s="7" t="n">
        <v>56.85</v>
      </c>
      <c r="Y460" s="7" t="n">
        <v>58.34</v>
      </c>
    </row>
    <row r="461" ht="15" customHeight="1">
      <c r="A461" s="13" t="n">
        <v>45579</v>
      </c>
      <c r="B461" s="7" t="n">
        <v>50.49</v>
      </c>
      <c r="C461" s="8" t="n">
        <v>64.28</v>
      </c>
      <c r="D461" s="8" t="n">
        <v>65.29000000000001</v>
      </c>
      <c r="E461" s="7" t="n">
        <v>51.73</v>
      </c>
      <c r="F461" s="7" t="n">
        <v>59.17</v>
      </c>
      <c r="G461" s="7" t="n">
        <v>46.6</v>
      </c>
      <c r="H461" s="8" t="n">
        <v>64.48</v>
      </c>
      <c r="I461" s="7" t="n">
        <v>55.37</v>
      </c>
      <c r="J461" s="7" t="n">
        <v>44.5</v>
      </c>
      <c r="K461" s="7" t="n">
        <v>56.04</v>
      </c>
      <c r="L461" s="7" t="n">
        <v>53.16</v>
      </c>
      <c r="M461" s="7" t="n">
        <v>43.73</v>
      </c>
      <c r="N461" s="7" t="n">
        <v>46.18</v>
      </c>
      <c r="O461" s="7" t="n">
        <v>44.32</v>
      </c>
      <c r="P461" s="7" t="n">
        <v>46.01</v>
      </c>
      <c r="Q461" s="7" t="n">
        <v>52.28</v>
      </c>
      <c r="R461" s="8" t="n">
        <v>62.43</v>
      </c>
      <c r="S461" s="7" t="n">
        <v>57.97</v>
      </c>
      <c r="T461" s="7" t="n">
        <v>54.29</v>
      </c>
      <c r="U461" s="7" t="n">
        <v>53.18</v>
      </c>
      <c r="V461" s="7" t="n">
        <v>49.07</v>
      </c>
      <c r="W461" s="7" t="n">
        <v>40</v>
      </c>
      <c r="X461" s="7" t="n">
        <v>49.9</v>
      </c>
      <c r="Y461" s="7" t="n">
        <v>57.87</v>
      </c>
    </row>
    <row r="462" ht="15" customHeight="1">
      <c r="A462" s="13" t="n">
        <v>45576</v>
      </c>
      <c r="B462" s="7" t="n">
        <v>45.64</v>
      </c>
      <c r="C462" s="7" t="n">
        <v>55.56</v>
      </c>
      <c r="D462" s="7" t="n">
        <v>49.19</v>
      </c>
      <c r="E462" s="7" t="n">
        <v>52.53</v>
      </c>
      <c r="F462" s="7" t="n">
        <v>58.72</v>
      </c>
      <c r="G462" s="7" t="n">
        <v>49.49</v>
      </c>
      <c r="H462" s="8" t="n">
        <v>65.72</v>
      </c>
      <c r="I462" s="7" t="n">
        <v>51.46</v>
      </c>
      <c r="J462" s="7" t="n">
        <v>41.03</v>
      </c>
      <c r="K462" s="7" t="n">
        <v>53.33</v>
      </c>
      <c r="L462" s="7" t="n">
        <v>53.03</v>
      </c>
      <c r="M462" s="7" t="n">
        <v>42.03</v>
      </c>
      <c r="N462" s="7" t="n">
        <v>39.68</v>
      </c>
      <c r="O462" s="7" t="n">
        <v>43.14</v>
      </c>
      <c r="P462" s="7" t="n">
        <v>41.97</v>
      </c>
      <c r="Q462" s="7" t="n">
        <v>48.2</v>
      </c>
      <c r="R462" s="7" t="n">
        <v>56.25</v>
      </c>
      <c r="S462" s="7" t="n">
        <v>53.73</v>
      </c>
      <c r="T462" s="7" t="n">
        <v>48.52</v>
      </c>
      <c r="U462" s="7" t="n">
        <v>53.21</v>
      </c>
      <c r="V462" s="7" t="n">
        <v>46.15</v>
      </c>
      <c r="W462" s="7" t="n">
        <v>34.93</v>
      </c>
      <c r="X462" s="7" t="n">
        <v>52.79</v>
      </c>
      <c r="Y462" s="7" t="n">
        <v>51.26</v>
      </c>
    </row>
    <row r="463" ht="15" customHeight="1">
      <c r="A463" s="13" t="n">
        <v>45575</v>
      </c>
      <c r="B463" s="7" t="n">
        <v>47.64</v>
      </c>
      <c r="C463" s="8" t="n">
        <v>61.75</v>
      </c>
      <c r="D463" s="7" t="n">
        <v>47.95</v>
      </c>
      <c r="E463" s="7" t="n">
        <v>57.41</v>
      </c>
      <c r="F463" s="7" t="n">
        <v>54.1</v>
      </c>
      <c r="G463" s="7" t="n">
        <v>45.8</v>
      </c>
      <c r="H463" s="8" t="n">
        <v>68.65000000000001</v>
      </c>
      <c r="I463" s="7" t="n">
        <v>53.48</v>
      </c>
      <c r="J463" s="7" t="n">
        <v>41.88</v>
      </c>
      <c r="K463" s="7" t="n">
        <v>52.64</v>
      </c>
      <c r="L463" s="7" t="n">
        <v>53.02</v>
      </c>
      <c r="M463" s="7" t="n">
        <v>40.45</v>
      </c>
      <c r="N463" s="7" t="n">
        <v>39.65</v>
      </c>
      <c r="O463" s="7" t="n">
        <v>43.22</v>
      </c>
      <c r="P463" s="7" t="n">
        <v>43.39</v>
      </c>
      <c r="Q463" s="7" t="n">
        <v>46.74</v>
      </c>
      <c r="R463" s="7" t="n">
        <v>54.48</v>
      </c>
      <c r="S463" s="7" t="n">
        <v>51.1</v>
      </c>
      <c r="T463" s="7" t="n">
        <v>47</v>
      </c>
      <c r="U463" s="7" t="n">
        <v>50.85</v>
      </c>
      <c r="V463" s="7" t="n">
        <v>47.26</v>
      </c>
      <c r="W463" s="7" t="n">
        <v>32.53</v>
      </c>
      <c r="X463" s="7" t="n">
        <v>51.44</v>
      </c>
      <c r="Y463" s="7" t="n">
        <v>52.53</v>
      </c>
    </row>
    <row r="464" ht="15" customHeight="1">
      <c r="A464" s="13" t="n">
        <v>45574</v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</row>
    <row r="465" ht="15" customHeight="1">
      <c r="A465" s="13" t="n">
        <v>45573</v>
      </c>
      <c r="B465" s="7" t="n">
        <v>42.29</v>
      </c>
      <c r="C465" s="8" t="n">
        <v>62.32</v>
      </c>
      <c r="D465" s="7" t="n">
        <v>45.76</v>
      </c>
      <c r="E465" s="7" t="n">
        <v>56.17</v>
      </c>
      <c r="F465" s="7" t="n">
        <v>51.77</v>
      </c>
      <c r="G465" s="7" t="n">
        <v>45.3</v>
      </c>
      <c r="H465" s="8" t="n">
        <v>69.89</v>
      </c>
      <c r="I465" s="7" t="n">
        <v>53.02</v>
      </c>
      <c r="J465" s="7" t="n">
        <v>43.3</v>
      </c>
      <c r="K465" s="7" t="n">
        <v>47.82</v>
      </c>
      <c r="L465" s="7" t="n">
        <v>50.67</v>
      </c>
      <c r="M465" s="7" t="n">
        <v>41.68</v>
      </c>
      <c r="N465" s="7" t="n">
        <v>40.85</v>
      </c>
      <c r="O465" s="7" t="n">
        <v>45.06</v>
      </c>
      <c r="P465" s="7" t="n">
        <v>42.67</v>
      </c>
      <c r="Q465" s="7" t="n">
        <v>44.17</v>
      </c>
      <c r="R465" s="7" t="n">
        <v>51.89</v>
      </c>
      <c r="S465" s="7" t="n">
        <v>51.43</v>
      </c>
      <c r="T465" s="7" t="n">
        <v>44.35</v>
      </c>
      <c r="U465" s="7" t="n">
        <v>49.87</v>
      </c>
      <c r="V465" s="7" t="n">
        <v>47.1</v>
      </c>
      <c r="W465" s="10" t="n">
        <v>20.78</v>
      </c>
      <c r="X465" s="7" t="n">
        <v>50.72</v>
      </c>
      <c r="Y465" s="7" t="n">
        <v>53.48</v>
      </c>
    </row>
    <row r="466" ht="15" customHeight="1">
      <c r="A466" s="13" t="n">
        <v>45572</v>
      </c>
      <c r="B466" s="7" t="n">
        <v>47.28</v>
      </c>
      <c r="C466" s="9" t="n">
        <v>70.73999999999999</v>
      </c>
      <c r="D466" s="7" t="n">
        <v>48.09</v>
      </c>
      <c r="E466" s="8" t="n">
        <v>60.52</v>
      </c>
      <c r="F466" s="7" t="n">
        <v>51.69</v>
      </c>
      <c r="G466" s="7" t="n">
        <v>46.12</v>
      </c>
      <c r="H466" s="9" t="n">
        <v>71.2</v>
      </c>
      <c r="I466" s="7" t="n">
        <v>55.58</v>
      </c>
      <c r="J466" s="7" t="n">
        <v>45.36</v>
      </c>
      <c r="K466" s="7" t="n">
        <v>48.97</v>
      </c>
      <c r="L466" s="7" t="n">
        <v>50.66</v>
      </c>
      <c r="M466" s="7" t="n">
        <v>44.67</v>
      </c>
      <c r="N466" s="7" t="n">
        <v>41.37</v>
      </c>
      <c r="O466" s="7" t="n">
        <v>41.27</v>
      </c>
      <c r="P466" s="7" t="n">
        <v>43.82</v>
      </c>
      <c r="Q466" s="7" t="n">
        <v>53.68</v>
      </c>
      <c r="R466" s="7" t="n">
        <v>52.45</v>
      </c>
      <c r="S466" s="7" t="n">
        <v>51.53</v>
      </c>
      <c r="T466" s="7" t="n">
        <v>46.31</v>
      </c>
      <c r="U466" s="7" t="n">
        <v>49.33</v>
      </c>
      <c r="V466" s="7" t="n">
        <v>49.37</v>
      </c>
      <c r="W466" s="10" t="n">
        <v>24.61</v>
      </c>
      <c r="X466" s="7" t="n">
        <v>50.45</v>
      </c>
      <c r="Y466" s="7" t="n">
        <v>50.9</v>
      </c>
    </row>
    <row r="467" ht="15" customHeight="1">
      <c r="A467" s="13" t="n">
        <v>45569</v>
      </c>
      <c r="B467" s="7" t="n">
        <v>42.51</v>
      </c>
      <c r="C467" s="8" t="n">
        <v>69.98</v>
      </c>
      <c r="D467" s="7" t="n">
        <v>44.21</v>
      </c>
      <c r="E467" s="7" t="n">
        <v>55.31</v>
      </c>
      <c r="F467" s="7" t="n">
        <v>51.35</v>
      </c>
      <c r="G467" s="7" t="n">
        <v>42.18</v>
      </c>
      <c r="H467" s="8" t="n">
        <v>67.18000000000001</v>
      </c>
      <c r="I467" s="7" t="n">
        <v>47.58</v>
      </c>
      <c r="J467" s="7" t="n">
        <v>39.37</v>
      </c>
      <c r="K467" s="7" t="n">
        <v>46.55</v>
      </c>
      <c r="L467" s="7" t="n">
        <v>46.56</v>
      </c>
      <c r="M467" s="7" t="n">
        <v>39.83</v>
      </c>
      <c r="N467" s="7" t="n">
        <v>42.56</v>
      </c>
      <c r="O467" s="7" t="n">
        <v>41.41</v>
      </c>
      <c r="P467" s="7" t="n">
        <v>45.14</v>
      </c>
      <c r="Q467" s="7" t="n">
        <v>52.07</v>
      </c>
      <c r="R467" s="7" t="n">
        <v>48.06</v>
      </c>
      <c r="S467" s="7" t="n">
        <v>50.78</v>
      </c>
      <c r="T467" s="7" t="n">
        <v>43.36</v>
      </c>
      <c r="U467" s="7" t="n">
        <v>51.13</v>
      </c>
      <c r="V467" s="7" t="n">
        <v>42.96</v>
      </c>
      <c r="W467" s="10" t="n">
        <v>23.68</v>
      </c>
      <c r="X467" s="7" t="n">
        <v>53.93</v>
      </c>
      <c r="Y467" s="7" t="n">
        <v>50.58</v>
      </c>
    </row>
    <row r="468" ht="15" customHeight="1">
      <c r="A468" s="13" t="n">
        <v>45568</v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</row>
    <row r="469" ht="15" customHeight="1">
      <c r="A469" s="13" t="n">
        <v>45567</v>
      </c>
      <c r="B469" s="7" t="n">
        <v>41.17</v>
      </c>
      <c r="C469" s="8" t="n">
        <v>69.61</v>
      </c>
      <c r="D469" s="7" t="n">
        <v>42.72</v>
      </c>
      <c r="E469" s="7" t="n">
        <v>58.21</v>
      </c>
      <c r="F469" s="7" t="n">
        <v>46.92</v>
      </c>
      <c r="G469" s="7" t="n">
        <v>39.11</v>
      </c>
      <c r="H469" s="8" t="n">
        <v>65.18000000000001</v>
      </c>
      <c r="I469" s="7" t="n">
        <v>46.54</v>
      </c>
      <c r="J469" s="7" t="n">
        <v>39.96</v>
      </c>
      <c r="K469" s="7" t="n">
        <v>44.68</v>
      </c>
      <c r="L469" s="7" t="n">
        <v>42.85</v>
      </c>
      <c r="M469" s="7" t="n">
        <v>40.59</v>
      </c>
      <c r="N469" s="7" t="n">
        <v>39.84</v>
      </c>
      <c r="O469" s="7" t="n">
        <v>41.62</v>
      </c>
      <c r="P469" s="7" t="n">
        <v>54.94</v>
      </c>
      <c r="Q469" s="7" t="n">
        <v>44.28</v>
      </c>
      <c r="R469" s="7" t="n">
        <v>45.64</v>
      </c>
      <c r="S469" s="7" t="n">
        <v>45.64</v>
      </c>
      <c r="T469" s="7" t="n">
        <v>39.22</v>
      </c>
      <c r="U469" s="7" t="n">
        <v>47.61</v>
      </c>
      <c r="V469" s="7" t="n">
        <v>42.22</v>
      </c>
      <c r="W469" s="10" t="n">
        <v>25.39</v>
      </c>
      <c r="X469" s="7" t="n">
        <v>50.59</v>
      </c>
      <c r="Y469" s="7" t="n">
        <v>50.23</v>
      </c>
    </row>
    <row r="470" ht="15" customHeight="1">
      <c r="A470" s="13" t="n">
        <v>45566</v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</row>
    <row r="471" ht="15" customHeight="1">
      <c r="A471" s="13" t="n">
        <v>45565</v>
      </c>
      <c r="B471" s="7" t="n">
        <v>49.91</v>
      </c>
      <c r="C471" s="8" t="n">
        <v>68.45999999999999</v>
      </c>
      <c r="D471" s="7" t="n">
        <v>47.16</v>
      </c>
      <c r="E471" s="8" t="n">
        <v>64.39</v>
      </c>
      <c r="F471" s="7" t="n">
        <v>49.47</v>
      </c>
      <c r="G471" s="7" t="n">
        <v>43.75</v>
      </c>
      <c r="H471" s="8" t="n">
        <v>66.72</v>
      </c>
      <c r="I471" s="7" t="n">
        <v>50.23</v>
      </c>
      <c r="J471" s="7" t="n">
        <v>42.05</v>
      </c>
      <c r="K471" s="7" t="n">
        <v>47.31</v>
      </c>
      <c r="L471" s="7" t="n">
        <v>44.95</v>
      </c>
      <c r="M471" s="7" t="n">
        <v>45.23</v>
      </c>
      <c r="N471" s="7" t="n">
        <v>46.12</v>
      </c>
      <c r="O471" s="7" t="n">
        <v>44.47</v>
      </c>
      <c r="P471" s="8" t="n">
        <v>63.96</v>
      </c>
      <c r="Q471" s="7" t="n">
        <v>47.29</v>
      </c>
      <c r="R471" s="7" t="n">
        <v>47.96</v>
      </c>
      <c r="S471" s="7" t="n">
        <v>45.46</v>
      </c>
      <c r="T471" s="7" t="n">
        <v>44.33</v>
      </c>
      <c r="U471" s="7" t="n">
        <v>50.99</v>
      </c>
      <c r="V471" s="7" t="n">
        <v>45.47</v>
      </c>
      <c r="W471" s="7" t="n">
        <v>31.68</v>
      </c>
      <c r="X471" s="7" t="n">
        <v>53.4</v>
      </c>
      <c r="Y471" s="7" t="n">
        <v>50.46</v>
      </c>
    </row>
    <row r="472" ht="15" customHeight="1">
      <c r="A472" s="13" t="n">
        <v>45562</v>
      </c>
      <c r="B472" s="7" t="n">
        <v>54.06</v>
      </c>
      <c r="C472" s="9" t="n">
        <v>71.48999999999999</v>
      </c>
      <c r="D472" s="7" t="n">
        <v>50.51</v>
      </c>
      <c r="E472" s="9" t="n">
        <v>70.28</v>
      </c>
      <c r="F472" s="7" t="n">
        <v>50.62</v>
      </c>
      <c r="G472" s="7" t="n">
        <v>45.52</v>
      </c>
      <c r="H472" s="9" t="n">
        <v>71.15000000000001</v>
      </c>
      <c r="I472" s="7" t="n">
        <v>54.16</v>
      </c>
      <c r="J472" s="7" t="n">
        <v>48.43</v>
      </c>
      <c r="K472" s="7" t="n">
        <v>51.73</v>
      </c>
      <c r="L472" s="7" t="n">
        <v>52.26</v>
      </c>
      <c r="M472" s="7" t="n">
        <v>51.28</v>
      </c>
      <c r="N472" s="7" t="n">
        <v>47.74</v>
      </c>
      <c r="O472" s="7" t="n">
        <v>45.22</v>
      </c>
      <c r="P472" s="9" t="n">
        <v>72.41</v>
      </c>
      <c r="Q472" s="7" t="n">
        <v>50.12</v>
      </c>
      <c r="R472" s="7" t="n">
        <v>53.01</v>
      </c>
      <c r="S472" s="7" t="n">
        <v>51.6</v>
      </c>
      <c r="T472" s="7" t="n">
        <v>47.67</v>
      </c>
      <c r="U472" s="7" t="n">
        <v>54.9</v>
      </c>
      <c r="V472" s="7" t="n">
        <v>52.99</v>
      </c>
      <c r="W472" s="7" t="n">
        <v>38.27</v>
      </c>
      <c r="X472" s="7" t="n">
        <v>55.57</v>
      </c>
      <c r="Y472" s="7" t="n">
        <v>55.91</v>
      </c>
    </row>
    <row r="473" ht="15" customHeight="1">
      <c r="A473" s="13" t="n">
        <v>45561</v>
      </c>
      <c r="B473" s="7" t="n">
        <v>53.66</v>
      </c>
      <c r="C473" s="8" t="n">
        <v>66.09</v>
      </c>
      <c r="D473" s="7" t="n">
        <v>51.95</v>
      </c>
      <c r="E473" s="8" t="n">
        <v>68.48</v>
      </c>
      <c r="F473" s="8" t="n">
        <v>62.26</v>
      </c>
      <c r="G473" s="7" t="n">
        <v>44.98</v>
      </c>
      <c r="H473" s="9" t="n">
        <v>70.06</v>
      </c>
      <c r="I473" s="7" t="n">
        <v>58.47</v>
      </c>
      <c r="J473" s="7" t="n">
        <v>49.18</v>
      </c>
      <c r="K473" s="7" t="n">
        <v>51.62</v>
      </c>
      <c r="L473" s="7" t="n">
        <v>58.88</v>
      </c>
      <c r="M473" s="7" t="n">
        <v>51.5</v>
      </c>
      <c r="N473" s="7" t="n">
        <v>45.4</v>
      </c>
      <c r="O473" s="7" t="n">
        <v>48.2</v>
      </c>
      <c r="P473" s="9" t="n">
        <v>70.61</v>
      </c>
      <c r="Q473" s="8" t="n">
        <v>61.1</v>
      </c>
      <c r="R473" s="7" t="n">
        <v>55.32</v>
      </c>
      <c r="S473" s="7" t="n">
        <v>50.26</v>
      </c>
      <c r="T473" s="7" t="n">
        <v>48.45</v>
      </c>
      <c r="U473" s="7" t="n">
        <v>59.51</v>
      </c>
      <c r="V473" s="7" t="n">
        <v>56.13</v>
      </c>
      <c r="W473" s="7" t="n">
        <v>44.06</v>
      </c>
      <c r="X473" s="7" t="n">
        <v>58.36</v>
      </c>
      <c r="Y473" s="7" t="n">
        <v>51.81</v>
      </c>
    </row>
    <row r="474" ht="15" customHeight="1">
      <c r="A474" s="13" t="n">
        <v>45560</v>
      </c>
      <c r="B474" s="7" t="n">
        <v>44.79</v>
      </c>
      <c r="C474" s="8" t="n">
        <v>63.78</v>
      </c>
      <c r="D474" s="7" t="n">
        <v>48.14</v>
      </c>
      <c r="E474" s="8" t="n">
        <v>64.61</v>
      </c>
      <c r="F474" s="8" t="n">
        <v>60.55</v>
      </c>
      <c r="G474" s="7" t="n">
        <v>42.54</v>
      </c>
      <c r="H474" s="8" t="n">
        <v>67.40000000000001</v>
      </c>
      <c r="I474" s="7" t="n">
        <v>52.3</v>
      </c>
      <c r="J474" s="7" t="n">
        <v>38.62</v>
      </c>
      <c r="K474" s="7" t="n">
        <v>43.31</v>
      </c>
      <c r="L474" s="7" t="n">
        <v>55.27</v>
      </c>
      <c r="M474" s="7" t="n">
        <v>45.19</v>
      </c>
      <c r="N474" s="7" t="n">
        <v>39.78</v>
      </c>
      <c r="O474" s="7" t="n">
        <v>44.36</v>
      </c>
      <c r="P474" s="8" t="n">
        <v>65</v>
      </c>
      <c r="Q474" s="7" t="n">
        <v>53.36</v>
      </c>
      <c r="R474" s="7" t="n">
        <v>45.5</v>
      </c>
      <c r="S474" s="7" t="n">
        <v>43.43</v>
      </c>
      <c r="T474" s="7" t="n">
        <v>42.24</v>
      </c>
      <c r="U474" s="7" t="n">
        <v>53.03</v>
      </c>
      <c r="V474" s="7" t="n">
        <v>46.41</v>
      </c>
      <c r="W474" s="7" t="n">
        <v>45.7</v>
      </c>
      <c r="X474" s="7" t="n">
        <v>52.44</v>
      </c>
      <c r="Y474" s="7" t="n">
        <v>42.84</v>
      </c>
    </row>
    <row r="475" ht="15" customHeight="1">
      <c r="A475" s="13" t="n">
        <v>45559</v>
      </c>
      <c r="B475" s="7" t="n">
        <v>47.79</v>
      </c>
      <c r="C475" s="7" t="n">
        <v>58.71</v>
      </c>
      <c r="D475" s="7" t="n">
        <v>52.43</v>
      </c>
      <c r="E475" s="8" t="n">
        <v>62.32</v>
      </c>
      <c r="F475" s="9" t="n">
        <v>70.45</v>
      </c>
      <c r="G475" s="7" t="n">
        <v>46.08</v>
      </c>
      <c r="H475" s="9" t="n">
        <v>70.73999999999999</v>
      </c>
      <c r="I475" s="7" t="n">
        <v>53.27</v>
      </c>
      <c r="J475" s="7" t="n">
        <v>40.38</v>
      </c>
      <c r="K475" s="7" t="n">
        <v>43.46</v>
      </c>
      <c r="L475" s="7" t="n">
        <v>57.53</v>
      </c>
      <c r="M475" s="7" t="n">
        <v>55.32</v>
      </c>
      <c r="N475" s="7" t="n">
        <v>43.82</v>
      </c>
      <c r="O475" s="7" t="n">
        <v>48.34</v>
      </c>
      <c r="P475" s="8" t="n">
        <v>64.58</v>
      </c>
      <c r="Q475" s="8" t="n">
        <v>63.37</v>
      </c>
      <c r="R475" s="7" t="n">
        <v>55.62</v>
      </c>
      <c r="S475" s="7" t="n">
        <v>55.61</v>
      </c>
      <c r="T475" s="7" t="n">
        <v>51.82</v>
      </c>
      <c r="U475" s="7" t="n">
        <v>58.06</v>
      </c>
      <c r="V475" s="7" t="n">
        <v>49.6</v>
      </c>
      <c r="W475" s="7" t="n">
        <v>49.9</v>
      </c>
      <c r="X475" s="7" t="n">
        <v>56.21</v>
      </c>
      <c r="Y475" s="7" t="n">
        <v>45.62</v>
      </c>
    </row>
    <row r="476" ht="15" customHeight="1">
      <c r="A476" s="13" t="n">
        <v>45558</v>
      </c>
      <c r="B476" s="7" t="n">
        <v>47.8</v>
      </c>
      <c r="C476" s="7" t="n">
        <v>52.44</v>
      </c>
      <c r="D476" s="7" t="n">
        <v>46.27</v>
      </c>
      <c r="E476" s="7" t="n">
        <v>51.86</v>
      </c>
      <c r="F476" s="9" t="n">
        <v>70.02</v>
      </c>
      <c r="G476" s="7" t="n">
        <v>41.98</v>
      </c>
      <c r="H476" s="8" t="n">
        <v>69.77</v>
      </c>
      <c r="I476" s="7" t="n">
        <v>48.81</v>
      </c>
      <c r="J476" s="7" t="n">
        <v>36.19</v>
      </c>
      <c r="K476" s="7" t="n">
        <v>38.8</v>
      </c>
      <c r="L476" s="7" t="n">
        <v>55.12</v>
      </c>
      <c r="M476" s="7" t="n">
        <v>51.67</v>
      </c>
      <c r="N476" s="7" t="n">
        <v>44.85</v>
      </c>
      <c r="O476" s="7" t="n">
        <v>43.53</v>
      </c>
      <c r="P476" s="8" t="n">
        <v>60.46</v>
      </c>
      <c r="Q476" s="8" t="n">
        <v>63.09</v>
      </c>
      <c r="R476" s="7" t="n">
        <v>54.97</v>
      </c>
      <c r="S476" s="7" t="n">
        <v>57.28</v>
      </c>
      <c r="T476" s="7" t="n">
        <v>50.97</v>
      </c>
      <c r="U476" s="7" t="n">
        <v>54.79</v>
      </c>
      <c r="V476" s="7" t="n">
        <v>44.16</v>
      </c>
      <c r="W476" s="7" t="n">
        <v>51.55</v>
      </c>
      <c r="X476" s="7" t="n">
        <v>53.87</v>
      </c>
      <c r="Y476" s="7" t="n">
        <v>40.03</v>
      </c>
    </row>
    <row r="477" ht="15" customHeight="1">
      <c r="A477" s="13" t="n">
        <v>45555</v>
      </c>
      <c r="B477" s="7" t="n">
        <v>43.31</v>
      </c>
      <c r="C477" s="7" t="n">
        <v>48.43</v>
      </c>
      <c r="D477" s="7" t="n">
        <v>44.97</v>
      </c>
      <c r="E477" s="7" t="n">
        <v>47.48</v>
      </c>
      <c r="F477" s="8" t="n">
        <v>67.23999999999999</v>
      </c>
      <c r="G477" s="7" t="n">
        <v>46.95</v>
      </c>
      <c r="H477" s="9" t="n">
        <v>70.75</v>
      </c>
      <c r="I477" s="7" t="n">
        <v>48.12</v>
      </c>
      <c r="J477" s="7" t="n">
        <v>34.62</v>
      </c>
      <c r="K477" s="7" t="n">
        <v>38.28</v>
      </c>
      <c r="L477" s="7" t="n">
        <v>56.99</v>
      </c>
      <c r="M477" s="7" t="n">
        <v>55.64</v>
      </c>
      <c r="N477" s="8" t="n">
        <v>60.46</v>
      </c>
      <c r="O477" s="7" t="n">
        <v>48.1</v>
      </c>
      <c r="P477" s="7" t="n">
        <v>59.87</v>
      </c>
      <c r="Q477" s="8" t="n">
        <v>63.02</v>
      </c>
      <c r="R477" s="7" t="n">
        <v>55.44</v>
      </c>
      <c r="S477" s="7" t="n">
        <v>56.95</v>
      </c>
      <c r="T477" s="7" t="n">
        <v>54.61</v>
      </c>
      <c r="U477" s="7" t="n">
        <v>50.3</v>
      </c>
      <c r="V477" s="7" t="n">
        <v>41.93</v>
      </c>
      <c r="W477" s="7" t="n">
        <v>54.88</v>
      </c>
      <c r="X477" s="7" t="n">
        <v>49.62</v>
      </c>
      <c r="Y477" s="7" t="n">
        <v>43.26</v>
      </c>
    </row>
    <row r="478" ht="15" customHeight="1">
      <c r="A478" s="13" t="n">
        <v>45554</v>
      </c>
      <c r="B478" s="7" t="n">
        <v>45.23</v>
      </c>
      <c r="C478" s="7" t="n">
        <v>48.77</v>
      </c>
      <c r="D478" s="7" t="n">
        <v>45.53</v>
      </c>
      <c r="E478" s="7" t="n">
        <v>48.8</v>
      </c>
      <c r="F478" s="8" t="n">
        <v>64.56</v>
      </c>
      <c r="G478" s="7" t="n">
        <v>47.19</v>
      </c>
      <c r="H478" s="8" t="n">
        <v>69.14</v>
      </c>
      <c r="I478" s="7" t="n">
        <v>47.9</v>
      </c>
      <c r="J478" s="7" t="n">
        <v>32.75</v>
      </c>
      <c r="K478" s="7" t="n">
        <v>38.85</v>
      </c>
      <c r="L478" s="7" t="n">
        <v>53.49</v>
      </c>
      <c r="M478" s="7" t="n">
        <v>55.17</v>
      </c>
      <c r="N478" s="7" t="n">
        <v>58.15</v>
      </c>
      <c r="O478" s="7" t="n">
        <v>51.48</v>
      </c>
      <c r="P478" s="7" t="n">
        <v>57.63</v>
      </c>
      <c r="Q478" s="8" t="n">
        <v>67.58</v>
      </c>
      <c r="R478" s="7" t="n">
        <v>54.96</v>
      </c>
      <c r="S478" s="7" t="n">
        <v>59.6</v>
      </c>
      <c r="T478" s="7" t="n">
        <v>55.06</v>
      </c>
      <c r="U478" s="7" t="n">
        <v>54.85</v>
      </c>
      <c r="V478" s="7" t="n">
        <v>38.76</v>
      </c>
      <c r="W478" s="7" t="n">
        <v>55.68</v>
      </c>
      <c r="X478" s="7" t="n">
        <v>52.91</v>
      </c>
      <c r="Y478" s="7" t="n">
        <v>45.08</v>
      </c>
    </row>
    <row r="479" ht="15" customHeight="1">
      <c r="A479" s="13" t="n">
        <v>45553</v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</row>
    <row r="480" ht="15" customHeight="1">
      <c r="A480" s="13" t="n">
        <v>45552</v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</row>
    <row r="481" ht="15" customHeight="1">
      <c r="A481" s="13" t="n">
        <v>45551</v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</row>
    <row r="482" ht="15" customHeight="1">
      <c r="A482" s="13" t="n">
        <v>45548</v>
      </c>
      <c r="B482" s="7" t="n">
        <v>40.31</v>
      </c>
      <c r="C482" s="7" t="n">
        <v>49.42</v>
      </c>
      <c r="D482" s="7" t="n">
        <v>41.27</v>
      </c>
      <c r="E482" s="7" t="n">
        <v>48.32</v>
      </c>
      <c r="F482" s="7" t="n">
        <v>56.89</v>
      </c>
      <c r="G482" s="7" t="n">
        <v>45.03</v>
      </c>
      <c r="H482" s="8" t="n">
        <v>66.06999999999999</v>
      </c>
      <c r="I482" s="7" t="n">
        <v>47.08</v>
      </c>
      <c r="J482" s="7" t="n">
        <v>35.32</v>
      </c>
      <c r="K482" s="7" t="n">
        <v>39.73</v>
      </c>
      <c r="L482" s="7" t="n">
        <v>47.61</v>
      </c>
      <c r="M482" s="7" t="n">
        <v>54.42</v>
      </c>
      <c r="N482" s="7" t="n">
        <v>57.6</v>
      </c>
      <c r="O482" s="7" t="n">
        <v>53.24</v>
      </c>
      <c r="P482" s="7" t="n">
        <v>52.88</v>
      </c>
      <c r="Q482" s="9" t="n">
        <v>70.34</v>
      </c>
      <c r="R482" s="7" t="n">
        <v>51.14</v>
      </c>
      <c r="S482" s="7" t="n">
        <v>57.61</v>
      </c>
      <c r="T482" s="7" t="n">
        <v>51.05</v>
      </c>
      <c r="U482" s="7" t="n">
        <v>53</v>
      </c>
      <c r="V482" s="7" t="n">
        <v>39.08</v>
      </c>
      <c r="W482" s="7" t="n">
        <v>48.77</v>
      </c>
      <c r="X482" s="7" t="n">
        <v>52.06</v>
      </c>
      <c r="Y482" s="7" t="n">
        <v>47.27</v>
      </c>
    </row>
    <row r="483" ht="15" customHeight="1">
      <c r="A483" s="13" t="n">
        <v>45547</v>
      </c>
      <c r="B483" s="7" t="n">
        <v>37.44</v>
      </c>
      <c r="C483" s="7" t="n">
        <v>45.43</v>
      </c>
      <c r="D483" s="7" t="n">
        <v>38.4</v>
      </c>
      <c r="E483" s="7" t="n">
        <v>49.76</v>
      </c>
      <c r="F483" s="7" t="n">
        <v>54.34</v>
      </c>
      <c r="G483" s="7" t="n">
        <v>40.02</v>
      </c>
      <c r="H483" s="7" t="n">
        <v>55.72</v>
      </c>
      <c r="I483" s="7" t="n">
        <v>44.66</v>
      </c>
      <c r="J483" s="7" t="n">
        <v>39.28</v>
      </c>
      <c r="K483" s="7" t="n">
        <v>40.04</v>
      </c>
      <c r="L483" s="7" t="n">
        <v>40.35</v>
      </c>
      <c r="M483" s="7" t="n">
        <v>52.28</v>
      </c>
      <c r="N483" s="7" t="n">
        <v>54.25</v>
      </c>
      <c r="O483" s="7" t="n">
        <v>49.06</v>
      </c>
      <c r="P483" s="7" t="n">
        <v>47.33</v>
      </c>
      <c r="Q483" s="8" t="n">
        <v>68.08</v>
      </c>
      <c r="R483" s="7" t="n">
        <v>43.52</v>
      </c>
      <c r="S483" s="7" t="n">
        <v>50.75</v>
      </c>
      <c r="T483" s="7" t="n">
        <v>47.91</v>
      </c>
      <c r="U483" s="7" t="n">
        <v>49.58</v>
      </c>
      <c r="V483" s="7" t="n">
        <v>40.62</v>
      </c>
      <c r="W483" s="7" t="n">
        <v>50.09</v>
      </c>
      <c r="X483" s="7" t="n">
        <v>47.7</v>
      </c>
      <c r="Y483" s="7" t="n">
        <v>50.89</v>
      </c>
    </row>
    <row r="484" ht="15" customHeight="1">
      <c r="A484" s="13" t="n">
        <v>45546</v>
      </c>
      <c r="B484" s="7" t="n">
        <v>33.05</v>
      </c>
      <c r="C484" s="7" t="n">
        <v>41.9</v>
      </c>
      <c r="D484" s="7" t="n">
        <v>32.39</v>
      </c>
      <c r="E484" s="7" t="n">
        <v>43.93</v>
      </c>
      <c r="F484" s="7" t="n">
        <v>52.42</v>
      </c>
      <c r="G484" s="7" t="n">
        <v>33.97</v>
      </c>
      <c r="H484" s="7" t="n">
        <v>48.71</v>
      </c>
      <c r="I484" s="7" t="n">
        <v>34.92</v>
      </c>
      <c r="J484" s="10" t="n">
        <v>29.83</v>
      </c>
      <c r="K484" s="7" t="n">
        <v>31.54</v>
      </c>
      <c r="L484" s="7" t="n">
        <v>31.57</v>
      </c>
      <c r="M484" s="7" t="n">
        <v>47.97</v>
      </c>
      <c r="N484" s="7" t="n">
        <v>51.96</v>
      </c>
      <c r="O484" s="7" t="n">
        <v>40.36</v>
      </c>
      <c r="P484" s="7" t="n">
        <v>43.13</v>
      </c>
      <c r="Q484" s="8" t="n">
        <v>66.12</v>
      </c>
      <c r="R484" s="7" t="n">
        <v>37.8</v>
      </c>
      <c r="S484" s="7" t="n">
        <v>44.75</v>
      </c>
      <c r="T484" s="7" t="n">
        <v>42.74</v>
      </c>
      <c r="U484" s="7" t="n">
        <v>41.06</v>
      </c>
      <c r="V484" s="10" t="n">
        <v>29.59</v>
      </c>
      <c r="W484" s="7" t="n">
        <v>50.49</v>
      </c>
      <c r="X484" s="7" t="n">
        <v>41.03</v>
      </c>
      <c r="Y484" s="7" t="n">
        <v>53.19</v>
      </c>
    </row>
    <row r="485" ht="15" customHeight="1">
      <c r="A485" s="13" t="n">
        <v>45545</v>
      </c>
      <c r="B485" s="7" t="n">
        <v>34.17</v>
      </c>
      <c r="C485" s="7" t="n">
        <v>40.66</v>
      </c>
      <c r="D485" s="7" t="n">
        <v>33.09</v>
      </c>
      <c r="E485" s="7" t="n">
        <v>37.01</v>
      </c>
      <c r="F485" s="7" t="n">
        <v>57.47</v>
      </c>
      <c r="G485" s="7" t="n">
        <v>36.25</v>
      </c>
      <c r="H485" s="7" t="n">
        <v>42.35</v>
      </c>
      <c r="I485" s="7" t="n">
        <v>32.31</v>
      </c>
      <c r="J485" s="10" t="n">
        <v>28.41</v>
      </c>
      <c r="K485" s="7" t="n">
        <v>30.1</v>
      </c>
      <c r="L485" s="7" t="n">
        <v>36.05</v>
      </c>
      <c r="M485" s="7" t="n">
        <v>48.02</v>
      </c>
      <c r="N485" s="7" t="n">
        <v>50.94</v>
      </c>
      <c r="O485" s="7" t="n">
        <v>38.2</v>
      </c>
      <c r="P485" s="7" t="n">
        <v>42.73</v>
      </c>
      <c r="Q485" s="8" t="n">
        <v>62.96</v>
      </c>
      <c r="R485" s="7" t="n">
        <v>45.39</v>
      </c>
      <c r="S485" s="7" t="n">
        <v>55.26</v>
      </c>
      <c r="T485" s="7" t="n">
        <v>48.72</v>
      </c>
      <c r="U485" s="7" t="n">
        <v>39.95</v>
      </c>
      <c r="V485" s="10" t="n">
        <v>29.49</v>
      </c>
      <c r="W485" s="7" t="n">
        <v>51.27</v>
      </c>
      <c r="X485" s="7" t="n">
        <v>39.64</v>
      </c>
      <c r="Y485" s="7" t="n">
        <v>47.81</v>
      </c>
    </row>
    <row r="486" ht="15" customHeight="1">
      <c r="A486" s="13" t="n">
        <v>45544</v>
      </c>
      <c r="B486" s="7" t="n">
        <v>34.24</v>
      </c>
      <c r="C486" s="7" t="n">
        <v>43.74</v>
      </c>
      <c r="D486" s="7" t="n">
        <v>34.38</v>
      </c>
      <c r="E486" s="7" t="n">
        <v>38.07</v>
      </c>
      <c r="F486" s="7" t="n">
        <v>52.04</v>
      </c>
      <c r="G486" s="7" t="n">
        <v>36.46</v>
      </c>
      <c r="H486" s="7" t="n">
        <v>41.74</v>
      </c>
      <c r="I486" s="7" t="n">
        <v>32.56</v>
      </c>
      <c r="J486" s="7" t="n">
        <v>31.19</v>
      </c>
      <c r="K486" s="7" t="n">
        <v>30.18</v>
      </c>
      <c r="L486" s="7" t="n">
        <v>36</v>
      </c>
      <c r="M486" s="7" t="n">
        <v>44.92</v>
      </c>
      <c r="N486" s="7" t="n">
        <v>53.28</v>
      </c>
      <c r="O486" s="7" t="n">
        <v>41.68</v>
      </c>
      <c r="P486" s="7" t="n">
        <v>40.9</v>
      </c>
      <c r="Q486" s="8" t="n">
        <v>63.64</v>
      </c>
      <c r="R486" s="7" t="n">
        <v>42.58</v>
      </c>
      <c r="S486" s="7" t="n">
        <v>52.5</v>
      </c>
      <c r="T486" s="7" t="n">
        <v>45.4</v>
      </c>
      <c r="U486" s="7" t="n">
        <v>39.38</v>
      </c>
      <c r="V486" s="7" t="n">
        <v>31.24</v>
      </c>
      <c r="W486" s="7" t="n">
        <v>47.36</v>
      </c>
      <c r="X486" s="7" t="n">
        <v>39.22</v>
      </c>
      <c r="Y486" s="7" t="n">
        <v>48.76</v>
      </c>
    </row>
    <row r="487" ht="15" customHeight="1">
      <c r="A487" s="13" t="n">
        <v>45541</v>
      </c>
      <c r="B487" s="10" t="n">
        <v>26.16</v>
      </c>
      <c r="C487" s="7" t="n">
        <v>39.94</v>
      </c>
      <c r="D487" s="7" t="n">
        <v>33.51</v>
      </c>
      <c r="E487" s="7" t="n">
        <v>36.2</v>
      </c>
      <c r="F487" s="7" t="n">
        <v>51.82</v>
      </c>
      <c r="G487" s="7" t="n">
        <v>35.37</v>
      </c>
      <c r="H487" s="7" t="n">
        <v>42.35</v>
      </c>
      <c r="I487" s="7" t="n">
        <v>30.65</v>
      </c>
      <c r="J487" s="7" t="n">
        <v>32.24</v>
      </c>
      <c r="K487" s="10" t="n">
        <v>27.48</v>
      </c>
      <c r="L487" s="7" t="n">
        <v>33.84</v>
      </c>
      <c r="M487" s="7" t="n">
        <v>45.59</v>
      </c>
      <c r="N487" s="7" t="n">
        <v>53.69</v>
      </c>
      <c r="O487" s="7" t="n">
        <v>38.48</v>
      </c>
      <c r="P487" s="7" t="n">
        <v>41.18</v>
      </c>
      <c r="Q487" s="8" t="n">
        <v>68.23999999999999</v>
      </c>
      <c r="R487" s="7" t="n">
        <v>45.7</v>
      </c>
      <c r="S487" s="7" t="n">
        <v>53.72</v>
      </c>
      <c r="T487" s="7" t="n">
        <v>50.13</v>
      </c>
      <c r="U487" s="7" t="n">
        <v>38.49</v>
      </c>
      <c r="V487" s="7" t="n">
        <v>31.67</v>
      </c>
      <c r="W487" s="7" t="n">
        <v>49.11</v>
      </c>
      <c r="X487" s="7" t="n">
        <v>38.37</v>
      </c>
      <c r="Y487" s="7" t="n">
        <v>47.04</v>
      </c>
    </row>
    <row r="488" ht="15" customHeight="1">
      <c r="A488" s="13" t="n">
        <v>45540</v>
      </c>
      <c r="B488" s="10" t="n">
        <v>28.39</v>
      </c>
      <c r="C488" s="7" t="n">
        <v>46.33</v>
      </c>
      <c r="D488" s="7" t="n">
        <v>38.17</v>
      </c>
      <c r="E488" s="7" t="n">
        <v>41.28</v>
      </c>
      <c r="F488" s="7" t="n">
        <v>47.56</v>
      </c>
      <c r="G488" s="7" t="n">
        <v>40.6</v>
      </c>
      <c r="H488" s="7" t="n">
        <v>48.36</v>
      </c>
      <c r="I488" s="7" t="n">
        <v>32.64</v>
      </c>
      <c r="J488" s="7" t="n">
        <v>34.52</v>
      </c>
      <c r="K488" s="10" t="n">
        <v>28.72</v>
      </c>
      <c r="L488" s="7" t="n">
        <v>35.55</v>
      </c>
      <c r="M488" s="7" t="n">
        <v>53.38</v>
      </c>
      <c r="N488" s="8" t="n">
        <v>61.22</v>
      </c>
      <c r="O488" s="7" t="n">
        <v>41.56</v>
      </c>
      <c r="P488" s="7" t="n">
        <v>46.1</v>
      </c>
      <c r="Q488" s="8" t="n">
        <v>66.87</v>
      </c>
      <c r="R488" s="7" t="n">
        <v>47.97</v>
      </c>
      <c r="S488" s="7" t="n">
        <v>56.82</v>
      </c>
      <c r="T488" s="7" t="n">
        <v>53.82</v>
      </c>
      <c r="U488" s="7" t="n">
        <v>43.99</v>
      </c>
      <c r="V488" s="7" t="n">
        <v>33.97</v>
      </c>
      <c r="W488" s="7" t="n">
        <v>44.78</v>
      </c>
      <c r="X488" s="7" t="n">
        <v>42.68</v>
      </c>
      <c r="Y488" s="7" t="n">
        <v>54.86</v>
      </c>
    </row>
    <row r="489" ht="15" customHeight="1">
      <c r="A489" s="13" t="n">
        <v>45539</v>
      </c>
      <c r="B489" s="10" t="n">
        <v>28.74</v>
      </c>
      <c r="C489" s="7" t="n">
        <v>42.8</v>
      </c>
      <c r="D489" s="7" t="n">
        <v>38.48</v>
      </c>
      <c r="E489" s="7" t="n">
        <v>41.62</v>
      </c>
      <c r="F489" s="7" t="n">
        <v>51.5</v>
      </c>
      <c r="G489" s="7" t="n">
        <v>40.97</v>
      </c>
      <c r="H489" s="7" t="n">
        <v>50.2</v>
      </c>
      <c r="I489" s="7" t="n">
        <v>34.95</v>
      </c>
      <c r="J489" s="7" t="n">
        <v>34.66</v>
      </c>
      <c r="K489" s="10" t="n">
        <v>29.98</v>
      </c>
      <c r="L489" s="7" t="n">
        <v>37.13</v>
      </c>
      <c r="M489" s="7" t="n">
        <v>55.42</v>
      </c>
      <c r="N489" s="7" t="n">
        <v>59.9</v>
      </c>
      <c r="O489" s="7" t="n">
        <v>45.36</v>
      </c>
      <c r="P489" s="7" t="n">
        <v>37.3</v>
      </c>
      <c r="Q489" s="8" t="n">
        <v>60.84</v>
      </c>
      <c r="R489" s="7" t="n">
        <v>47.82</v>
      </c>
      <c r="S489" s="7" t="n">
        <v>56.7</v>
      </c>
      <c r="T489" s="7" t="n">
        <v>56.28</v>
      </c>
      <c r="U489" s="7" t="n">
        <v>41</v>
      </c>
      <c r="V489" s="7" t="n">
        <v>34.85</v>
      </c>
      <c r="W489" s="7" t="n">
        <v>49</v>
      </c>
      <c r="X489" s="7" t="n">
        <v>36.84</v>
      </c>
      <c r="Y489" s="7" t="n">
        <v>48.59</v>
      </c>
    </row>
    <row r="490" ht="15" customHeight="1">
      <c r="A490" s="13" t="n">
        <v>45538</v>
      </c>
      <c r="B490" s="7" t="n">
        <v>33.52</v>
      </c>
      <c r="C490" s="7" t="n">
        <v>51.73</v>
      </c>
      <c r="D490" s="7" t="n">
        <v>43.34</v>
      </c>
      <c r="E490" s="7" t="n">
        <v>50.47</v>
      </c>
      <c r="F490" s="7" t="n">
        <v>59.15</v>
      </c>
      <c r="G490" s="7" t="n">
        <v>48.5</v>
      </c>
      <c r="H490" s="7" t="n">
        <v>58.71</v>
      </c>
      <c r="I490" s="7" t="n">
        <v>40.58</v>
      </c>
      <c r="J490" s="7" t="n">
        <v>41.57</v>
      </c>
      <c r="K490" s="7" t="n">
        <v>33.74</v>
      </c>
      <c r="L490" s="7" t="n">
        <v>41.4</v>
      </c>
      <c r="M490" s="8" t="n">
        <v>63.6</v>
      </c>
      <c r="N490" s="8" t="n">
        <v>63.98</v>
      </c>
      <c r="O490" s="7" t="n">
        <v>52.66</v>
      </c>
      <c r="P490" s="7" t="n">
        <v>44.46</v>
      </c>
      <c r="Q490" s="8" t="n">
        <v>64.45999999999999</v>
      </c>
      <c r="R490" s="7" t="n">
        <v>57.62</v>
      </c>
      <c r="S490" s="8" t="n">
        <v>62.45</v>
      </c>
      <c r="T490" s="8" t="n">
        <v>62.5</v>
      </c>
      <c r="U490" s="7" t="n">
        <v>52.66</v>
      </c>
      <c r="V490" s="7" t="n">
        <v>43.01</v>
      </c>
      <c r="W490" s="7" t="n">
        <v>51.46</v>
      </c>
      <c r="X490" s="7" t="n">
        <v>44.95</v>
      </c>
      <c r="Y490" s="7" t="n">
        <v>59.95</v>
      </c>
    </row>
    <row r="491" ht="15" customHeight="1">
      <c r="A491" s="13" t="n">
        <v>45537</v>
      </c>
      <c r="B491" s="7" t="n">
        <v>32.68</v>
      </c>
      <c r="C491" s="7" t="n">
        <v>49.08</v>
      </c>
      <c r="D491" s="7" t="n">
        <v>40.58</v>
      </c>
      <c r="E491" s="7" t="n">
        <v>49.99</v>
      </c>
      <c r="F491" s="7" t="n">
        <v>59.44</v>
      </c>
      <c r="G491" s="7" t="n">
        <v>46.27</v>
      </c>
      <c r="H491" s="7" t="n">
        <v>57.94</v>
      </c>
      <c r="I491" s="7" t="n">
        <v>41.5</v>
      </c>
      <c r="J491" s="7" t="n">
        <v>46.29</v>
      </c>
      <c r="K491" s="7" t="n">
        <v>34.35</v>
      </c>
      <c r="L491" s="7" t="n">
        <v>45.66</v>
      </c>
      <c r="M491" s="7" t="n">
        <v>54.63</v>
      </c>
      <c r="N491" s="8" t="n">
        <v>60</v>
      </c>
      <c r="O491" s="7" t="n">
        <v>53.29</v>
      </c>
      <c r="P491" s="7" t="n">
        <v>43.69</v>
      </c>
      <c r="Q491" s="7" t="n">
        <v>55.73</v>
      </c>
      <c r="R491" s="7" t="n">
        <v>52.57</v>
      </c>
      <c r="S491" s="7" t="n">
        <v>58.97</v>
      </c>
      <c r="T491" s="7" t="n">
        <v>56.09</v>
      </c>
      <c r="U491" s="7" t="n">
        <v>54.23</v>
      </c>
      <c r="V491" s="7" t="n">
        <v>47.41</v>
      </c>
      <c r="W491" s="7" t="n">
        <v>50.44</v>
      </c>
      <c r="X491" s="7" t="n">
        <v>48.06</v>
      </c>
      <c r="Y491" s="7" t="n">
        <v>56.32</v>
      </c>
    </row>
    <row r="492" ht="15" customHeight="1">
      <c r="A492" s="13" t="n">
        <v>45534</v>
      </c>
      <c r="B492" s="7" t="n">
        <v>33.53</v>
      </c>
      <c r="C492" s="7" t="n">
        <v>50.08</v>
      </c>
      <c r="D492" s="7" t="n">
        <v>42.8</v>
      </c>
      <c r="E492" s="7" t="n">
        <v>45.14</v>
      </c>
      <c r="F492" s="8" t="n">
        <v>65.69</v>
      </c>
      <c r="G492" s="7" t="n">
        <v>50.74</v>
      </c>
      <c r="H492" s="7" t="n">
        <v>49.6</v>
      </c>
      <c r="I492" s="7" t="n">
        <v>44.08</v>
      </c>
      <c r="J492" s="7" t="n">
        <v>42.97</v>
      </c>
      <c r="K492" s="7" t="n">
        <v>37.75</v>
      </c>
      <c r="L492" s="7" t="n">
        <v>51.41</v>
      </c>
      <c r="M492" s="7" t="n">
        <v>57.09</v>
      </c>
      <c r="N492" s="8" t="n">
        <v>64.06</v>
      </c>
      <c r="O492" s="7" t="n">
        <v>54.12</v>
      </c>
      <c r="P492" s="7" t="n">
        <v>45.88</v>
      </c>
      <c r="Q492" s="7" t="n">
        <v>52.9</v>
      </c>
      <c r="R492" s="7" t="n">
        <v>51.41</v>
      </c>
      <c r="S492" s="7" t="n">
        <v>57.69</v>
      </c>
      <c r="T492" s="7" t="n">
        <v>52.59</v>
      </c>
      <c r="U492" s="7" t="n">
        <v>56.3</v>
      </c>
      <c r="V492" s="7" t="n">
        <v>46.03</v>
      </c>
      <c r="W492" s="7" t="n">
        <v>54.12</v>
      </c>
      <c r="X492" s="7" t="n">
        <v>50.63</v>
      </c>
      <c r="Y492" s="8" t="n">
        <v>60.68</v>
      </c>
    </row>
    <row r="493" ht="15" customHeight="1">
      <c r="A493" s="13" t="n">
        <v>45533</v>
      </c>
      <c r="B493" s="10" t="n">
        <v>29.89</v>
      </c>
      <c r="C493" s="7" t="n">
        <v>49.29</v>
      </c>
      <c r="D493" s="7" t="n">
        <v>41.38</v>
      </c>
      <c r="E493" s="7" t="n">
        <v>43.52</v>
      </c>
      <c r="F493" s="8" t="n">
        <v>61.32</v>
      </c>
      <c r="G493" s="7" t="n">
        <v>50.26</v>
      </c>
      <c r="H493" s="7" t="n">
        <v>51.66</v>
      </c>
      <c r="I493" s="7" t="n">
        <v>41.95</v>
      </c>
      <c r="J493" s="7" t="n">
        <v>41.17</v>
      </c>
      <c r="K493" s="7" t="n">
        <v>36.25</v>
      </c>
      <c r="L493" s="7" t="n">
        <v>50.59</v>
      </c>
      <c r="M493" s="7" t="n">
        <v>57.11</v>
      </c>
      <c r="N493" s="8" t="n">
        <v>66.64</v>
      </c>
      <c r="O493" s="7" t="n">
        <v>54.16</v>
      </c>
      <c r="P493" s="7" t="n">
        <v>46.31</v>
      </c>
      <c r="Q493" s="7" t="n">
        <v>56.35</v>
      </c>
      <c r="R493" s="7" t="n">
        <v>52.23</v>
      </c>
      <c r="S493" s="7" t="n">
        <v>56.69</v>
      </c>
      <c r="T493" s="7" t="n">
        <v>51.39</v>
      </c>
      <c r="U493" s="7" t="n">
        <v>55.25</v>
      </c>
      <c r="V493" s="7" t="n">
        <v>43.52</v>
      </c>
      <c r="W493" s="7" t="n">
        <v>47.71</v>
      </c>
      <c r="X493" s="7" t="n">
        <v>49.35</v>
      </c>
      <c r="Y493" s="8" t="n">
        <v>60.38</v>
      </c>
    </row>
    <row r="494" ht="15" customHeight="1">
      <c r="A494" s="13" t="n">
        <v>45532</v>
      </c>
      <c r="B494" s="7" t="n">
        <v>34.09</v>
      </c>
      <c r="C494" s="7" t="n">
        <v>49.43</v>
      </c>
      <c r="D494" s="7" t="n">
        <v>45.52</v>
      </c>
      <c r="E494" s="7" t="n">
        <v>42.07</v>
      </c>
      <c r="F494" s="8" t="n">
        <v>68.5</v>
      </c>
      <c r="G494" s="7" t="n">
        <v>50.23</v>
      </c>
      <c r="H494" s="7" t="n">
        <v>48.65</v>
      </c>
      <c r="I494" s="7" t="n">
        <v>48.26</v>
      </c>
      <c r="J494" s="7" t="n">
        <v>45.07</v>
      </c>
      <c r="K494" s="7" t="n">
        <v>40.81</v>
      </c>
      <c r="L494" s="7" t="n">
        <v>50.81</v>
      </c>
      <c r="M494" s="7" t="n">
        <v>55.89</v>
      </c>
      <c r="N494" s="8" t="n">
        <v>69.05</v>
      </c>
      <c r="O494" s="7" t="n">
        <v>54.93</v>
      </c>
      <c r="P494" s="7" t="n">
        <v>51.78</v>
      </c>
      <c r="Q494" s="8" t="n">
        <v>60.41</v>
      </c>
      <c r="R494" s="7" t="n">
        <v>53.3</v>
      </c>
      <c r="S494" s="7" t="n">
        <v>56.17</v>
      </c>
      <c r="T494" s="7" t="n">
        <v>51.37</v>
      </c>
      <c r="U494" s="7" t="n">
        <v>54.09</v>
      </c>
      <c r="V494" s="7" t="n">
        <v>47.61</v>
      </c>
      <c r="W494" s="7" t="n">
        <v>49.39</v>
      </c>
      <c r="X494" s="7" t="n">
        <v>48.85</v>
      </c>
      <c r="Y494" s="7" t="n">
        <v>56.01</v>
      </c>
    </row>
    <row r="495" ht="15" customHeight="1">
      <c r="A495" s="13" t="n">
        <v>45531</v>
      </c>
      <c r="B495" s="7" t="n">
        <v>36.02</v>
      </c>
      <c r="C495" s="7" t="n">
        <v>53.81</v>
      </c>
      <c r="D495" s="7" t="n">
        <v>47.65</v>
      </c>
      <c r="E495" s="7" t="n">
        <v>44.94</v>
      </c>
      <c r="F495" s="8" t="n">
        <v>63.71</v>
      </c>
      <c r="G495" s="7" t="n">
        <v>57.39</v>
      </c>
      <c r="H495" s="7" t="n">
        <v>53.75</v>
      </c>
      <c r="I495" s="7" t="n">
        <v>44.51</v>
      </c>
      <c r="J495" s="7" t="n">
        <v>43.71</v>
      </c>
      <c r="K495" s="7" t="n">
        <v>40.6</v>
      </c>
      <c r="L495" s="7" t="n">
        <v>45.22</v>
      </c>
      <c r="M495" s="8" t="n">
        <v>61.05</v>
      </c>
      <c r="N495" s="9" t="n">
        <v>73.42</v>
      </c>
      <c r="O495" s="8" t="n">
        <v>62.3</v>
      </c>
      <c r="P495" s="7" t="n">
        <v>50.88</v>
      </c>
      <c r="Q495" s="8" t="n">
        <v>66.59</v>
      </c>
      <c r="R495" s="7" t="n">
        <v>59.37</v>
      </c>
      <c r="S495" s="8" t="n">
        <v>61.59</v>
      </c>
      <c r="T495" s="7" t="n">
        <v>54.43</v>
      </c>
      <c r="U495" s="7" t="n">
        <v>58.53</v>
      </c>
      <c r="V495" s="7" t="n">
        <v>45.39</v>
      </c>
      <c r="W495" s="7" t="n">
        <v>50.53</v>
      </c>
      <c r="X495" s="7" t="n">
        <v>54.65</v>
      </c>
      <c r="Y495" s="7" t="n">
        <v>52.88</v>
      </c>
    </row>
    <row r="496" ht="15" customHeight="1">
      <c r="A496" s="13" t="n">
        <v>45530</v>
      </c>
      <c r="B496" s="7" t="n">
        <v>33.32</v>
      </c>
      <c r="C496" s="7" t="n">
        <v>51.48</v>
      </c>
      <c r="D496" s="7" t="n">
        <v>47.13</v>
      </c>
      <c r="E496" s="7" t="n">
        <v>42.84</v>
      </c>
      <c r="F496" s="8" t="n">
        <v>65.06999999999999</v>
      </c>
      <c r="G496" s="7" t="n">
        <v>57.07</v>
      </c>
      <c r="H496" s="7" t="n">
        <v>52.53</v>
      </c>
      <c r="I496" s="7" t="n">
        <v>41.11</v>
      </c>
      <c r="J496" s="7" t="n">
        <v>44.89</v>
      </c>
      <c r="K496" s="7" t="n">
        <v>42.49</v>
      </c>
      <c r="L496" s="7" t="n">
        <v>45.5</v>
      </c>
      <c r="M496" s="8" t="n">
        <v>60.02</v>
      </c>
      <c r="N496" s="9" t="n">
        <v>70.12</v>
      </c>
      <c r="O496" s="8" t="n">
        <v>61.14</v>
      </c>
      <c r="P496" s="7" t="n">
        <v>56.43</v>
      </c>
      <c r="Q496" s="8" t="n">
        <v>65.70999999999999</v>
      </c>
      <c r="R496" s="8" t="n">
        <v>62.57</v>
      </c>
      <c r="S496" s="8" t="n">
        <v>66.83</v>
      </c>
      <c r="T496" s="7" t="n">
        <v>57.65</v>
      </c>
      <c r="U496" s="8" t="n">
        <v>62.19</v>
      </c>
      <c r="V496" s="7" t="n">
        <v>46.03</v>
      </c>
      <c r="W496" s="7" t="n">
        <v>51.88</v>
      </c>
      <c r="X496" s="7" t="n">
        <v>59.22</v>
      </c>
      <c r="Y496" s="7" t="n">
        <v>51.6</v>
      </c>
    </row>
    <row r="497" ht="15" customHeight="1">
      <c r="A497" s="13" t="n">
        <v>45527</v>
      </c>
      <c r="B497" s="7" t="n">
        <v>34.02</v>
      </c>
      <c r="C497" s="7" t="n">
        <v>52.17</v>
      </c>
      <c r="D497" s="7" t="n">
        <v>47.6</v>
      </c>
      <c r="E497" s="7" t="n">
        <v>42.42</v>
      </c>
      <c r="F497" s="8" t="n">
        <v>63.51</v>
      </c>
      <c r="G497" s="7" t="n">
        <v>55.44</v>
      </c>
      <c r="H497" s="7" t="n">
        <v>49.39</v>
      </c>
      <c r="I497" s="7" t="n">
        <v>42.41</v>
      </c>
      <c r="J497" s="7" t="n">
        <v>47.22</v>
      </c>
      <c r="K497" s="7" t="n">
        <v>44.94</v>
      </c>
      <c r="L497" s="7" t="n">
        <v>48.43</v>
      </c>
      <c r="M497" s="7" t="n">
        <v>56.82</v>
      </c>
      <c r="N497" s="8" t="n">
        <v>64.73</v>
      </c>
      <c r="O497" s="7" t="n">
        <v>59.3</v>
      </c>
      <c r="P497" s="7" t="n">
        <v>51.54</v>
      </c>
      <c r="Q497" s="8" t="n">
        <v>64.72</v>
      </c>
      <c r="R497" s="8" t="n">
        <v>60.46</v>
      </c>
      <c r="S497" s="8" t="n">
        <v>63.79</v>
      </c>
      <c r="T497" s="7" t="n">
        <v>57.97</v>
      </c>
      <c r="U497" s="7" t="n">
        <v>58.29</v>
      </c>
      <c r="V497" s="7" t="n">
        <v>47.93</v>
      </c>
      <c r="W497" s="7" t="n">
        <v>48.8</v>
      </c>
      <c r="X497" s="7" t="n">
        <v>53.28</v>
      </c>
      <c r="Y497" s="7" t="n">
        <v>50.57</v>
      </c>
    </row>
    <row r="498" ht="15" customHeight="1">
      <c r="A498" s="13" t="n">
        <v>45526</v>
      </c>
      <c r="B498" s="7" t="n">
        <v>36.49</v>
      </c>
      <c r="C498" s="7" t="n">
        <v>50.05</v>
      </c>
      <c r="D498" s="7" t="n">
        <v>48.69</v>
      </c>
      <c r="E498" s="7" t="n">
        <v>43.57</v>
      </c>
      <c r="F498" s="8" t="n">
        <v>61.99</v>
      </c>
      <c r="G498" s="7" t="n">
        <v>51.63</v>
      </c>
      <c r="H498" s="7" t="n">
        <v>52.18</v>
      </c>
      <c r="I498" s="7" t="n">
        <v>43.05</v>
      </c>
      <c r="J498" s="7" t="n">
        <v>49.6</v>
      </c>
      <c r="K498" s="7" t="n">
        <v>46.95</v>
      </c>
      <c r="L498" s="7" t="n">
        <v>46.06</v>
      </c>
      <c r="M498" s="7" t="n">
        <v>54.14</v>
      </c>
      <c r="N498" s="8" t="n">
        <v>62.76</v>
      </c>
      <c r="O498" s="7" t="n">
        <v>56.18</v>
      </c>
      <c r="P498" s="7" t="n">
        <v>50.7</v>
      </c>
      <c r="Q498" s="8" t="n">
        <v>61.15</v>
      </c>
      <c r="R498" s="7" t="n">
        <v>59.41</v>
      </c>
      <c r="S498" s="8" t="n">
        <v>63.63</v>
      </c>
      <c r="T498" s="7" t="n">
        <v>57.54</v>
      </c>
      <c r="U498" s="7" t="n">
        <v>57.3</v>
      </c>
      <c r="V498" s="7" t="n">
        <v>49.45</v>
      </c>
      <c r="W498" s="7" t="n">
        <v>48.25</v>
      </c>
      <c r="X498" s="7" t="n">
        <v>53.35</v>
      </c>
      <c r="Y498" s="7" t="n">
        <v>49.16</v>
      </c>
    </row>
    <row r="499" ht="15" customHeight="1">
      <c r="A499" s="13" t="n">
        <v>45525</v>
      </c>
      <c r="B499" s="7" t="n">
        <v>38.1</v>
      </c>
      <c r="C499" s="7" t="n">
        <v>48.18</v>
      </c>
      <c r="D499" s="7" t="n">
        <v>52.72</v>
      </c>
      <c r="E499" s="7" t="n">
        <v>39.81</v>
      </c>
      <c r="F499" s="8" t="n">
        <v>60.7</v>
      </c>
      <c r="G499" s="7" t="n">
        <v>55.14</v>
      </c>
      <c r="H499" s="7" t="n">
        <v>45.74</v>
      </c>
      <c r="I499" s="7" t="n">
        <v>46.64</v>
      </c>
      <c r="J499" s="7" t="n">
        <v>48.87</v>
      </c>
      <c r="K499" s="7" t="n">
        <v>50.34</v>
      </c>
      <c r="L499" s="7" t="n">
        <v>50.41</v>
      </c>
      <c r="M499" s="7" t="n">
        <v>51.87</v>
      </c>
      <c r="N499" s="8" t="n">
        <v>62.41</v>
      </c>
      <c r="O499" s="8" t="n">
        <v>60.86</v>
      </c>
      <c r="P499" s="7" t="n">
        <v>50.22</v>
      </c>
      <c r="Q499" s="8" t="n">
        <v>60.39</v>
      </c>
      <c r="R499" s="7" t="n">
        <v>59.56</v>
      </c>
      <c r="S499" s="8" t="n">
        <v>64.81999999999999</v>
      </c>
      <c r="T499" s="7" t="n">
        <v>58.2</v>
      </c>
      <c r="U499" s="7" t="n">
        <v>51.2</v>
      </c>
      <c r="V499" s="7" t="n">
        <v>49.04</v>
      </c>
      <c r="W499" s="7" t="n">
        <v>49.1</v>
      </c>
      <c r="X499" s="7" t="n">
        <v>45.08</v>
      </c>
      <c r="Y499" s="7" t="n">
        <v>41.48</v>
      </c>
    </row>
    <row r="500" ht="15" customHeight="1">
      <c r="A500" s="13" t="n">
        <v>45524</v>
      </c>
      <c r="B500" s="7" t="n">
        <v>39.21</v>
      </c>
      <c r="C500" s="7" t="n">
        <v>43.12</v>
      </c>
      <c r="D500" s="7" t="n">
        <v>55.4</v>
      </c>
      <c r="E500" s="7" t="n">
        <v>39.2</v>
      </c>
      <c r="F500" s="7" t="n">
        <v>55.4</v>
      </c>
      <c r="G500" s="7" t="n">
        <v>49.59</v>
      </c>
      <c r="H500" s="7" t="n">
        <v>42.65</v>
      </c>
      <c r="I500" s="7" t="n">
        <v>46.07</v>
      </c>
      <c r="J500" s="7" t="n">
        <v>49.26</v>
      </c>
      <c r="K500" s="7" t="n">
        <v>57.16</v>
      </c>
      <c r="L500" s="7" t="n">
        <v>52.4</v>
      </c>
      <c r="M500" s="7" t="n">
        <v>49.42</v>
      </c>
      <c r="N500" s="7" t="n">
        <v>55.84</v>
      </c>
      <c r="O500" s="7" t="n">
        <v>57.07</v>
      </c>
      <c r="P500" s="7" t="n">
        <v>46.71</v>
      </c>
      <c r="Q500" s="7" t="n">
        <v>57.39</v>
      </c>
      <c r="R500" s="8" t="n">
        <v>61.07</v>
      </c>
      <c r="S500" s="8" t="n">
        <v>63.85</v>
      </c>
      <c r="T500" s="7" t="n">
        <v>59.49</v>
      </c>
      <c r="U500" s="7" t="n">
        <v>47.91</v>
      </c>
      <c r="V500" s="7" t="n">
        <v>48.76</v>
      </c>
      <c r="W500" s="7" t="n">
        <v>49.78</v>
      </c>
      <c r="X500" s="7" t="n">
        <v>42.48</v>
      </c>
      <c r="Y500" s="7" t="n">
        <v>39.82</v>
      </c>
    </row>
    <row r="501" ht="15" customHeight="1">
      <c r="A501" s="13" t="n">
        <v>45523</v>
      </c>
      <c r="B501" s="7" t="n">
        <v>37.21</v>
      </c>
      <c r="C501" s="7" t="n">
        <v>41.26</v>
      </c>
      <c r="D501" s="7" t="n">
        <v>53.49</v>
      </c>
      <c r="E501" s="7" t="n">
        <v>36.77</v>
      </c>
      <c r="F501" s="8" t="n">
        <v>60.77</v>
      </c>
      <c r="G501" s="7" t="n">
        <v>47.35</v>
      </c>
      <c r="H501" s="7" t="n">
        <v>41.17</v>
      </c>
      <c r="I501" s="7" t="n">
        <v>46.26</v>
      </c>
      <c r="J501" s="7" t="n">
        <v>47.06</v>
      </c>
      <c r="K501" s="7" t="n">
        <v>59.65</v>
      </c>
      <c r="L501" s="7" t="n">
        <v>51.94</v>
      </c>
      <c r="M501" s="7" t="n">
        <v>49.12</v>
      </c>
      <c r="N501" s="7" t="n">
        <v>51.03</v>
      </c>
      <c r="O501" s="7" t="n">
        <v>52.14</v>
      </c>
      <c r="P501" s="7" t="n">
        <v>43.81</v>
      </c>
      <c r="Q501" s="7" t="n">
        <v>56.49</v>
      </c>
      <c r="R501" s="7" t="n">
        <v>56.82</v>
      </c>
      <c r="S501" s="7" t="n">
        <v>59.99</v>
      </c>
      <c r="T501" s="7" t="n">
        <v>53.39</v>
      </c>
      <c r="U501" s="7" t="n">
        <v>45.53</v>
      </c>
      <c r="V501" s="7" t="n">
        <v>47.28</v>
      </c>
      <c r="W501" s="7" t="n">
        <v>50.59</v>
      </c>
      <c r="X501" s="7" t="n">
        <v>39.26</v>
      </c>
      <c r="Y501" s="7" t="n">
        <v>38.02</v>
      </c>
    </row>
    <row r="502" ht="15" customHeight="1">
      <c r="A502" s="13" t="n">
        <v>45520</v>
      </c>
      <c r="B502" s="7" t="n">
        <v>39.9</v>
      </c>
      <c r="C502" s="7" t="n">
        <v>42.02</v>
      </c>
      <c r="D502" s="7" t="n">
        <v>52.79</v>
      </c>
      <c r="E502" s="7" t="n">
        <v>38.29</v>
      </c>
      <c r="F502" s="7" t="n">
        <v>59.59</v>
      </c>
      <c r="G502" s="7" t="n">
        <v>47.6</v>
      </c>
      <c r="H502" s="7" t="n">
        <v>43.32</v>
      </c>
      <c r="I502" s="7" t="n">
        <v>49.22</v>
      </c>
      <c r="J502" s="7" t="n">
        <v>51.47</v>
      </c>
      <c r="K502" s="7" t="n">
        <v>54.78</v>
      </c>
      <c r="L502" s="7" t="n">
        <v>52.9</v>
      </c>
      <c r="M502" s="7" t="n">
        <v>50.44</v>
      </c>
      <c r="N502" s="7" t="n">
        <v>55.99</v>
      </c>
      <c r="O502" s="7" t="n">
        <v>50.96</v>
      </c>
      <c r="P502" s="7" t="n">
        <v>47.3</v>
      </c>
      <c r="Q502" s="7" t="n">
        <v>52.93</v>
      </c>
      <c r="R502" s="7" t="n">
        <v>52.51</v>
      </c>
      <c r="S502" s="7" t="n">
        <v>57.23</v>
      </c>
      <c r="T502" s="7" t="n">
        <v>46.84</v>
      </c>
      <c r="U502" s="7" t="n">
        <v>44.83</v>
      </c>
      <c r="V502" s="7" t="n">
        <v>50.85</v>
      </c>
      <c r="W502" s="7" t="n">
        <v>51.8</v>
      </c>
      <c r="X502" s="7" t="n">
        <v>39.23</v>
      </c>
      <c r="Y502" s="7" t="n">
        <v>35.76</v>
      </c>
    </row>
    <row r="503" ht="15" customHeight="1">
      <c r="A503" s="13" t="n">
        <v>45519</v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</row>
    <row r="504" ht="15" customHeight="1">
      <c r="A504" s="13" t="n">
        <v>45518</v>
      </c>
      <c r="B504" s="7" t="n">
        <v>45.51</v>
      </c>
      <c r="C504" s="7" t="n">
        <v>40.43</v>
      </c>
      <c r="D504" s="7" t="n">
        <v>47.1</v>
      </c>
      <c r="E504" s="7" t="n">
        <v>38.31</v>
      </c>
      <c r="F504" s="7" t="n">
        <v>57.12</v>
      </c>
      <c r="G504" s="7" t="n">
        <v>49.24</v>
      </c>
      <c r="H504" s="7" t="n">
        <v>43.23</v>
      </c>
      <c r="I504" s="7" t="n">
        <v>43.76</v>
      </c>
      <c r="J504" s="7" t="n">
        <v>44.48</v>
      </c>
      <c r="K504" s="7" t="n">
        <v>51.56</v>
      </c>
      <c r="L504" s="7" t="n">
        <v>48.12</v>
      </c>
      <c r="M504" s="7" t="n">
        <v>44</v>
      </c>
      <c r="N504" s="7" t="n">
        <v>53.22</v>
      </c>
      <c r="O504" s="7" t="n">
        <v>52.09</v>
      </c>
      <c r="P504" s="7" t="n">
        <v>43.95</v>
      </c>
      <c r="Q504" s="7" t="n">
        <v>55.96</v>
      </c>
      <c r="R504" s="7" t="n">
        <v>49.62</v>
      </c>
      <c r="S504" s="7" t="n">
        <v>53.77</v>
      </c>
      <c r="T504" s="7" t="n">
        <v>44.76</v>
      </c>
      <c r="U504" s="7" t="n">
        <v>45.21</v>
      </c>
      <c r="V504" s="7" t="n">
        <v>44.83</v>
      </c>
      <c r="W504" s="7" t="n">
        <v>53.25</v>
      </c>
      <c r="X504" s="7" t="n">
        <v>41.75</v>
      </c>
      <c r="Y504" s="7" t="n">
        <v>31.9</v>
      </c>
    </row>
    <row r="505" ht="15" customHeight="1">
      <c r="A505" s="13" t="n">
        <v>45517</v>
      </c>
      <c r="B505" s="7" t="n">
        <v>44.96</v>
      </c>
      <c r="C505" s="7" t="n">
        <v>36.61</v>
      </c>
      <c r="D505" s="7" t="n">
        <v>43.53</v>
      </c>
      <c r="E505" s="7" t="n">
        <v>34.3</v>
      </c>
      <c r="F505" s="7" t="n">
        <v>56.75</v>
      </c>
      <c r="G505" s="7" t="n">
        <v>49.08</v>
      </c>
      <c r="H505" s="7" t="n">
        <v>38.73</v>
      </c>
      <c r="I505" s="7" t="n">
        <v>38.99</v>
      </c>
      <c r="J505" s="7" t="n">
        <v>40.7</v>
      </c>
      <c r="K505" s="7" t="n">
        <v>51.74</v>
      </c>
      <c r="L505" s="7" t="n">
        <v>47.5</v>
      </c>
      <c r="M505" s="7" t="n">
        <v>44.14</v>
      </c>
      <c r="N505" s="7" t="n">
        <v>52.57</v>
      </c>
      <c r="O505" s="7" t="n">
        <v>50.87</v>
      </c>
      <c r="P505" s="7" t="n">
        <v>42.82</v>
      </c>
      <c r="Q505" s="7" t="n">
        <v>55.94</v>
      </c>
      <c r="R505" s="7" t="n">
        <v>50.61</v>
      </c>
      <c r="S505" s="7" t="n">
        <v>52.43</v>
      </c>
      <c r="T505" s="7" t="n">
        <v>55.07</v>
      </c>
      <c r="U505" s="7" t="n">
        <v>45.27</v>
      </c>
      <c r="V505" s="7" t="n">
        <v>41.3</v>
      </c>
      <c r="W505" s="7" t="n">
        <v>50.12</v>
      </c>
      <c r="X505" s="7" t="n">
        <v>41.87</v>
      </c>
      <c r="Y505" s="7" t="n">
        <v>34.51</v>
      </c>
    </row>
    <row r="506" ht="15" customHeight="1">
      <c r="A506" s="13" t="n">
        <v>45516</v>
      </c>
      <c r="B506" s="7" t="n">
        <v>42.5</v>
      </c>
      <c r="C506" s="7" t="n">
        <v>37.6</v>
      </c>
      <c r="D506" s="7" t="n">
        <v>46.29</v>
      </c>
      <c r="E506" s="7" t="n">
        <v>35.35</v>
      </c>
      <c r="F506" s="8" t="n">
        <v>62.67</v>
      </c>
      <c r="G506" s="7" t="n">
        <v>50.91</v>
      </c>
      <c r="H506" s="7" t="n">
        <v>40.14</v>
      </c>
      <c r="I506" s="7" t="n">
        <v>40.81</v>
      </c>
      <c r="J506" s="7" t="n">
        <v>39.29</v>
      </c>
      <c r="K506" s="7" t="n">
        <v>55.98</v>
      </c>
      <c r="L506" s="7" t="n">
        <v>48.05</v>
      </c>
      <c r="M506" s="7" t="n">
        <v>46.32</v>
      </c>
      <c r="N506" s="7" t="n">
        <v>52.07</v>
      </c>
      <c r="O506" s="7" t="n">
        <v>54.58</v>
      </c>
      <c r="P506" s="7" t="n">
        <v>43.16</v>
      </c>
      <c r="Q506" s="7" t="n">
        <v>52.59</v>
      </c>
      <c r="R506" s="7" t="n">
        <v>48.23</v>
      </c>
      <c r="S506" s="7" t="n">
        <v>52.74</v>
      </c>
      <c r="T506" s="7" t="n">
        <v>48.47</v>
      </c>
      <c r="U506" s="7" t="n">
        <v>44.79</v>
      </c>
      <c r="V506" s="7" t="n">
        <v>41.32</v>
      </c>
      <c r="W506" s="7" t="n">
        <v>51.33</v>
      </c>
      <c r="X506" s="7" t="n">
        <v>38.14</v>
      </c>
      <c r="Y506" s="7" t="n">
        <v>36.05</v>
      </c>
    </row>
    <row r="507" ht="15" customHeight="1">
      <c r="A507" s="13" t="n">
        <v>45513</v>
      </c>
      <c r="B507" s="7" t="n">
        <v>42.51</v>
      </c>
      <c r="C507" s="7" t="n">
        <v>33.46</v>
      </c>
      <c r="D507" s="7" t="n">
        <v>45.04</v>
      </c>
      <c r="E507" s="7" t="n">
        <v>32.51</v>
      </c>
      <c r="F507" s="8" t="n">
        <v>61.66</v>
      </c>
      <c r="G507" s="7" t="n">
        <v>48.91</v>
      </c>
      <c r="H507" s="7" t="n">
        <v>38.22</v>
      </c>
      <c r="I507" s="7" t="n">
        <v>35.52</v>
      </c>
      <c r="J507" s="7" t="n">
        <v>35.83</v>
      </c>
      <c r="K507" s="7" t="n">
        <v>51.3</v>
      </c>
      <c r="L507" s="7" t="n">
        <v>46.61</v>
      </c>
      <c r="M507" s="7" t="n">
        <v>42.65</v>
      </c>
      <c r="N507" s="7" t="n">
        <v>45.28</v>
      </c>
      <c r="O507" s="7" t="n">
        <v>50.73</v>
      </c>
      <c r="P507" s="7" t="n">
        <v>41</v>
      </c>
      <c r="Q507" s="7" t="n">
        <v>54.65</v>
      </c>
      <c r="R507" s="7" t="n">
        <v>46.55</v>
      </c>
      <c r="S507" s="7" t="n">
        <v>51.2</v>
      </c>
      <c r="T507" s="7" t="n">
        <v>48.07</v>
      </c>
      <c r="U507" s="7" t="n">
        <v>42.77</v>
      </c>
      <c r="V507" s="7" t="n">
        <v>38.02</v>
      </c>
      <c r="W507" s="7" t="n">
        <v>46.47</v>
      </c>
      <c r="X507" s="7" t="n">
        <v>38.54</v>
      </c>
      <c r="Y507" s="7" t="n">
        <v>35.48</v>
      </c>
    </row>
    <row r="508" ht="15" customHeight="1">
      <c r="A508" s="13" t="n">
        <v>45512</v>
      </c>
      <c r="B508" s="7" t="n">
        <v>41.9</v>
      </c>
      <c r="C508" s="7" t="n">
        <v>32.42</v>
      </c>
      <c r="D508" s="7" t="n">
        <v>40.6</v>
      </c>
      <c r="E508" s="10" t="n">
        <v>27.27</v>
      </c>
      <c r="F508" s="8" t="n">
        <v>63.54</v>
      </c>
      <c r="G508" s="7" t="n">
        <v>43.83</v>
      </c>
      <c r="H508" s="7" t="n">
        <v>34.7</v>
      </c>
      <c r="I508" s="7" t="n">
        <v>32.9</v>
      </c>
      <c r="J508" s="7" t="n">
        <v>31.04</v>
      </c>
      <c r="K508" s="7" t="n">
        <v>49.94</v>
      </c>
      <c r="L508" s="7" t="n">
        <v>44.79</v>
      </c>
      <c r="M508" s="7" t="n">
        <v>37.74</v>
      </c>
      <c r="N508" s="7" t="n">
        <v>46.47</v>
      </c>
      <c r="O508" s="7" t="n">
        <v>48.27</v>
      </c>
      <c r="P508" s="7" t="n">
        <v>40.32</v>
      </c>
      <c r="Q508" s="7" t="n">
        <v>57.96</v>
      </c>
      <c r="R508" s="7" t="n">
        <v>45.41</v>
      </c>
      <c r="S508" s="7" t="n">
        <v>49.14</v>
      </c>
      <c r="T508" s="7" t="n">
        <v>45.29</v>
      </c>
      <c r="U508" s="7" t="n">
        <v>42.97</v>
      </c>
      <c r="V508" s="7" t="n">
        <v>33.81</v>
      </c>
      <c r="W508" s="7" t="n">
        <v>44.39</v>
      </c>
      <c r="X508" s="7" t="n">
        <v>39.89</v>
      </c>
      <c r="Y508" s="7" t="n">
        <v>42.01</v>
      </c>
    </row>
    <row r="509" ht="15" customHeight="1">
      <c r="A509" s="13" t="n">
        <v>45511</v>
      </c>
      <c r="B509" s="7" t="n">
        <v>42.12</v>
      </c>
      <c r="C509" s="7" t="n">
        <v>33.11</v>
      </c>
      <c r="D509" s="7" t="n">
        <v>38.68</v>
      </c>
      <c r="E509" s="10" t="n">
        <v>28.66</v>
      </c>
      <c r="F509" s="8" t="n">
        <v>62.28</v>
      </c>
      <c r="G509" s="7" t="n">
        <v>42.74</v>
      </c>
      <c r="H509" s="7" t="n">
        <v>36.03</v>
      </c>
      <c r="I509" s="10" t="n">
        <v>29.71</v>
      </c>
      <c r="J509" s="7" t="n">
        <v>33.36</v>
      </c>
      <c r="K509" s="7" t="n">
        <v>45.08</v>
      </c>
      <c r="L509" s="7" t="n">
        <v>41.78</v>
      </c>
      <c r="M509" s="7" t="n">
        <v>39.32</v>
      </c>
      <c r="N509" s="7" t="n">
        <v>49.52</v>
      </c>
      <c r="O509" s="7" t="n">
        <v>37.68</v>
      </c>
      <c r="P509" s="7" t="n">
        <v>40.12</v>
      </c>
      <c r="Q509" s="7" t="n">
        <v>55.29</v>
      </c>
      <c r="R509" s="7" t="n">
        <v>43.01</v>
      </c>
      <c r="S509" s="7" t="n">
        <v>45.09</v>
      </c>
      <c r="T509" s="7" t="n">
        <v>44.72</v>
      </c>
      <c r="U509" s="7" t="n">
        <v>40.36</v>
      </c>
      <c r="V509" s="7" t="n">
        <v>35.17</v>
      </c>
      <c r="W509" s="7" t="n">
        <v>50.92</v>
      </c>
      <c r="X509" s="7" t="n">
        <v>36.8</v>
      </c>
      <c r="Y509" s="7" t="n">
        <v>37.63</v>
      </c>
    </row>
    <row r="510" ht="15" customHeight="1">
      <c r="A510" s="13" t="n">
        <v>45510</v>
      </c>
      <c r="B510" s="7" t="n">
        <v>35.88</v>
      </c>
      <c r="C510" s="7" t="n">
        <v>31.45</v>
      </c>
      <c r="D510" s="10" t="n">
        <v>29.13</v>
      </c>
      <c r="E510" s="7" t="n">
        <v>31.74</v>
      </c>
      <c r="F510" s="7" t="n">
        <v>53.27</v>
      </c>
      <c r="G510" s="7" t="n">
        <v>36.99</v>
      </c>
      <c r="H510" s="7" t="n">
        <v>33.4</v>
      </c>
      <c r="I510" s="10" t="n">
        <v>25.96</v>
      </c>
      <c r="J510" s="10" t="n">
        <v>28.46</v>
      </c>
      <c r="K510" s="7" t="n">
        <v>35.56</v>
      </c>
      <c r="L510" s="7" t="n">
        <v>40.54</v>
      </c>
      <c r="M510" s="7" t="n">
        <v>35.29</v>
      </c>
      <c r="N510" s="7" t="n">
        <v>43.85</v>
      </c>
      <c r="O510" s="7" t="n">
        <v>36.68</v>
      </c>
      <c r="P510" s="7" t="n">
        <v>38.88</v>
      </c>
      <c r="Q510" s="7" t="n">
        <v>39.76</v>
      </c>
      <c r="R510" s="7" t="n">
        <v>37.56</v>
      </c>
      <c r="S510" s="7" t="n">
        <v>40.34</v>
      </c>
      <c r="T510" s="7" t="n">
        <v>37.13</v>
      </c>
      <c r="U510" s="7" t="n">
        <v>34.96</v>
      </c>
      <c r="V510" s="7" t="n">
        <v>30.59</v>
      </c>
      <c r="W510" s="7" t="n">
        <v>45.16</v>
      </c>
      <c r="X510" s="7" t="n">
        <v>32.41</v>
      </c>
      <c r="Y510" s="10" t="n">
        <v>26.06</v>
      </c>
    </row>
    <row r="511" ht="15" customHeight="1">
      <c r="A511" s="13" t="n">
        <v>45509</v>
      </c>
      <c r="B511" s="7" t="n">
        <v>30.25</v>
      </c>
      <c r="C511" s="10" t="n">
        <v>24.96</v>
      </c>
      <c r="D511" s="10" t="n">
        <v>17.36</v>
      </c>
      <c r="E511" s="10" t="n">
        <v>17.22</v>
      </c>
      <c r="F511" s="7" t="n">
        <v>45.84</v>
      </c>
      <c r="G511" s="10" t="n">
        <v>29.07</v>
      </c>
      <c r="H511" s="10" t="n">
        <v>23.1</v>
      </c>
      <c r="I511" s="10" t="n">
        <v>14.76</v>
      </c>
      <c r="J511" s="10" t="n">
        <v>21.31</v>
      </c>
      <c r="K511" s="10" t="n">
        <v>24.6</v>
      </c>
      <c r="L511" s="10" t="n">
        <v>29.75</v>
      </c>
      <c r="M511" s="7" t="n">
        <v>30.52</v>
      </c>
      <c r="N511" s="7" t="n">
        <v>34.9</v>
      </c>
      <c r="O511" s="7" t="n">
        <v>33.26</v>
      </c>
      <c r="P511" s="7" t="n">
        <v>30.03</v>
      </c>
      <c r="Q511" s="7" t="n">
        <v>40.95</v>
      </c>
      <c r="R511" s="7" t="n">
        <v>30.64</v>
      </c>
      <c r="S511" s="7" t="n">
        <v>32.94</v>
      </c>
      <c r="T511" s="7" t="n">
        <v>33.01</v>
      </c>
      <c r="U511" s="10" t="n">
        <v>21.78</v>
      </c>
      <c r="V511" s="10" t="n">
        <v>20.37</v>
      </c>
      <c r="W511" s="7" t="n">
        <v>33.85</v>
      </c>
      <c r="X511" s="10" t="n">
        <v>19.71</v>
      </c>
      <c r="Y511" s="10" t="n">
        <v>18.62</v>
      </c>
    </row>
    <row r="512" ht="15" customHeight="1">
      <c r="A512" s="13" t="n">
        <v>45506</v>
      </c>
      <c r="B512" s="7" t="n">
        <v>41.49</v>
      </c>
      <c r="C512" s="7" t="n">
        <v>36.53</v>
      </c>
      <c r="D512" s="7" t="n">
        <v>34.53</v>
      </c>
      <c r="E512" s="7" t="n">
        <v>31.13</v>
      </c>
      <c r="F512" s="8" t="n">
        <v>60.27</v>
      </c>
      <c r="G512" s="7" t="n">
        <v>51.6</v>
      </c>
      <c r="H512" s="7" t="n">
        <v>37.33</v>
      </c>
      <c r="I512" s="10" t="n">
        <v>22.1</v>
      </c>
      <c r="J512" s="7" t="n">
        <v>31.91</v>
      </c>
      <c r="K512" s="7" t="n">
        <v>36.45</v>
      </c>
      <c r="L512" s="7" t="n">
        <v>44.51</v>
      </c>
      <c r="M512" s="7" t="n">
        <v>48.9</v>
      </c>
      <c r="N512" s="7" t="n">
        <v>47.87</v>
      </c>
      <c r="O512" s="7" t="n">
        <v>50.22</v>
      </c>
      <c r="P512" s="7" t="n">
        <v>47.87</v>
      </c>
      <c r="Q512" s="8" t="n">
        <v>64.54000000000001</v>
      </c>
      <c r="R512" s="7" t="n">
        <v>47.13</v>
      </c>
      <c r="S512" s="7" t="n">
        <v>46.74</v>
      </c>
      <c r="T512" s="7" t="n">
        <v>47.4</v>
      </c>
      <c r="U512" s="7" t="n">
        <v>40.73</v>
      </c>
      <c r="V512" s="7" t="n">
        <v>33.01</v>
      </c>
      <c r="W512" s="7" t="n">
        <v>53.06</v>
      </c>
      <c r="X512" s="7" t="n">
        <v>31.83</v>
      </c>
      <c r="Y512" s="10" t="n">
        <v>28.8</v>
      </c>
    </row>
    <row r="513" ht="15" customHeight="1">
      <c r="A513" s="13" t="n">
        <v>45505</v>
      </c>
      <c r="B513" s="7" t="n">
        <v>48.54</v>
      </c>
      <c r="C513" s="7" t="n">
        <v>41.93</v>
      </c>
      <c r="D513" s="7" t="n">
        <v>47.36</v>
      </c>
      <c r="E513" s="7" t="n">
        <v>38.22</v>
      </c>
      <c r="F513" s="8" t="n">
        <v>69.14</v>
      </c>
      <c r="G513" s="8" t="n">
        <v>63.26</v>
      </c>
      <c r="H513" s="7" t="n">
        <v>42.47</v>
      </c>
      <c r="I513" s="10" t="n">
        <v>29.03</v>
      </c>
      <c r="J513" s="7" t="n">
        <v>42.09</v>
      </c>
      <c r="K513" s="7" t="n">
        <v>41.25</v>
      </c>
      <c r="L513" s="7" t="n">
        <v>54.16</v>
      </c>
      <c r="M513" s="7" t="n">
        <v>58</v>
      </c>
      <c r="N513" s="7" t="n">
        <v>55.79</v>
      </c>
      <c r="O513" s="8" t="n">
        <v>61.72</v>
      </c>
      <c r="P513" s="7" t="n">
        <v>55.86</v>
      </c>
      <c r="Q513" s="8" t="n">
        <v>62.14</v>
      </c>
      <c r="R513" s="8" t="n">
        <v>63.24</v>
      </c>
      <c r="S513" s="8" t="n">
        <v>62.45</v>
      </c>
      <c r="T513" s="7" t="n">
        <v>58.33</v>
      </c>
      <c r="U513" s="7" t="n">
        <v>50.93</v>
      </c>
      <c r="V513" s="7" t="n">
        <v>44.6</v>
      </c>
      <c r="W513" s="8" t="n">
        <v>66.94</v>
      </c>
      <c r="X513" s="7" t="n">
        <v>36.72</v>
      </c>
      <c r="Y513" s="10" t="n">
        <v>23.69</v>
      </c>
    </row>
    <row r="514" ht="15" customHeight="1">
      <c r="A514" s="13" t="n">
        <v>45504</v>
      </c>
      <c r="B514" s="7" t="n">
        <v>51.05</v>
      </c>
      <c r="C514" s="7" t="n">
        <v>40.48</v>
      </c>
      <c r="D514" s="7" t="n">
        <v>31.95</v>
      </c>
      <c r="E514" s="10" t="n">
        <v>29.2</v>
      </c>
      <c r="F514" s="9" t="n">
        <v>74.59</v>
      </c>
      <c r="G514" s="8" t="n">
        <v>61.91</v>
      </c>
      <c r="H514" s="7" t="n">
        <v>33.92</v>
      </c>
      <c r="I514" s="10" t="n">
        <v>28.94</v>
      </c>
      <c r="J514" s="7" t="n">
        <v>42.15</v>
      </c>
      <c r="K514" s="7" t="n">
        <v>42.86</v>
      </c>
      <c r="L514" s="7" t="n">
        <v>50.05</v>
      </c>
      <c r="M514" s="7" t="n">
        <v>57.31</v>
      </c>
      <c r="N514" s="7" t="n">
        <v>53.55</v>
      </c>
      <c r="O514" s="8" t="n">
        <v>63.31</v>
      </c>
      <c r="P514" s="7" t="n">
        <v>53.76</v>
      </c>
      <c r="Q514" s="9" t="n">
        <v>74.40000000000001</v>
      </c>
      <c r="R514" s="8" t="n">
        <v>62.97</v>
      </c>
      <c r="S514" s="7" t="n">
        <v>59.43</v>
      </c>
      <c r="T514" s="8" t="n">
        <v>61.16</v>
      </c>
      <c r="U514" s="7" t="n">
        <v>47.19</v>
      </c>
      <c r="V514" s="7" t="n">
        <v>43.34</v>
      </c>
      <c r="W514" s="8" t="n">
        <v>65.15000000000001</v>
      </c>
      <c r="X514" s="7" t="n">
        <v>33.74</v>
      </c>
      <c r="Y514" s="10" t="n">
        <v>21.81</v>
      </c>
    </row>
    <row r="515" ht="15" customHeight="1">
      <c r="A515" s="13" t="n">
        <v>45503</v>
      </c>
      <c r="B515" s="7" t="n">
        <v>46.61</v>
      </c>
      <c r="C515" s="7" t="n">
        <v>37.6</v>
      </c>
      <c r="D515" s="10" t="n">
        <v>29.91</v>
      </c>
      <c r="E515" s="10" t="n">
        <v>28.6</v>
      </c>
      <c r="F515" s="9" t="n">
        <v>79.89</v>
      </c>
      <c r="G515" s="7" t="n">
        <v>52.89</v>
      </c>
      <c r="H515" s="7" t="n">
        <v>36.21</v>
      </c>
      <c r="I515" s="10" t="n">
        <v>28.23</v>
      </c>
      <c r="J515" s="7" t="n">
        <v>33.85</v>
      </c>
      <c r="K515" s="7" t="n">
        <v>32.22</v>
      </c>
      <c r="L515" s="7" t="n">
        <v>51.28</v>
      </c>
      <c r="M515" s="7" t="n">
        <v>47.22</v>
      </c>
      <c r="N515" s="7" t="n">
        <v>48.74</v>
      </c>
      <c r="O515" s="8" t="n">
        <v>60.75</v>
      </c>
      <c r="P515" s="7" t="n">
        <v>47.03</v>
      </c>
      <c r="Q515" s="9" t="n">
        <v>73</v>
      </c>
      <c r="R515" s="7" t="n">
        <v>58.91</v>
      </c>
      <c r="S515" s="7" t="n">
        <v>57.47</v>
      </c>
      <c r="T515" s="7" t="n">
        <v>55.57</v>
      </c>
      <c r="U515" s="7" t="n">
        <v>42.41</v>
      </c>
      <c r="V515" s="7" t="n">
        <v>37.93</v>
      </c>
      <c r="W515" s="8" t="n">
        <v>61.88</v>
      </c>
      <c r="X515" s="7" t="n">
        <v>31.34</v>
      </c>
      <c r="Y515" s="10" t="n">
        <v>15.11</v>
      </c>
    </row>
    <row r="516" ht="15" customHeight="1">
      <c r="A516" s="13" t="n">
        <v>45502</v>
      </c>
      <c r="B516" s="7" t="n">
        <v>49.45</v>
      </c>
      <c r="C516" s="7" t="n">
        <v>41.03</v>
      </c>
      <c r="D516" s="7" t="n">
        <v>34.32</v>
      </c>
      <c r="E516" s="7" t="n">
        <v>31.25</v>
      </c>
      <c r="F516" s="9" t="n">
        <v>80.04000000000001</v>
      </c>
      <c r="G516" s="7" t="n">
        <v>56.38</v>
      </c>
      <c r="H516" s="7" t="n">
        <v>39.49</v>
      </c>
      <c r="I516" s="7" t="n">
        <v>32.29</v>
      </c>
      <c r="J516" s="7" t="n">
        <v>35.64</v>
      </c>
      <c r="K516" s="7" t="n">
        <v>34.86</v>
      </c>
      <c r="L516" s="7" t="n">
        <v>56.49</v>
      </c>
      <c r="M516" s="7" t="n">
        <v>52.81</v>
      </c>
      <c r="N516" s="7" t="n">
        <v>51.91</v>
      </c>
      <c r="O516" s="8" t="n">
        <v>63.61</v>
      </c>
      <c r="P516" s="7" t="n">
        <v>48.14</v>
      </c>
      <c r="Q516" s="9" t="n">
        <v>71.72</v>
      </c>
      <c r="R516" s="8" t="n">
        <v>64.15000000000001</v>
      </c>
      <c r="S516" s="8" t="n">
        <v>60.59</v>
      </c>
      <c r="T516" s="7" t="n">
        <v>54.85</v>
      </c>
      <c r="U516" s="7" t="n">
        <v>50.44</v>
      </c>
      <c r="V516" s="7" t="n">
        <v>41.07</v>
      </c>
      <c r="W516" s="7" t="n">
        <v>58.35</v>
      </c>
      <c r="X516" s="7" t="n">
        <v>35.23</v>
      </c>
      <c r="Y516" s="10" t="n">
        <v>16.38</v>
      </c>
    </row>
    <row r="517" ht="15" customHeight="1">
      <c r="A517" s="13" t="n">
        <v>45499</v>
      </c>
      <c r="B517" s="7" t="n">
        <v>45.8</v>
      </c>
      <c r="C517" s="7" t="n">
        <v>44.66</v>
      </c>
      <c r="D517" s="7" t="n">
        <v>32.13</v>
      </c>
      <c r="E517" s="10" t="n">
        <v>23.02</v>
      </c>
      <c r="F517" s="9" t="n">
        <v>75.91</v>
      </c>
      <c r="G517" s="7" t="n">
        <v>52.95</v>
      </c>
      <c r="H517" s="7" t="n">
        <v>34.69</v>
      </c>
      <c r="I517" s="7" t="n">
        <v>32.67</v>
      </c>
      <c r="J517" s="7" t="n">
        <v>33.16</v>
      </c>
      <c r="K517" s="7" t="n">
        <v>32.49</v>
      </c>
      <c r="L517" s="7" t="n">
        <v>49</v>
      </c>
      <c r="M517" s="7" t="n">
        <v>45.09</v>
      </c>
      <c r="N517" s="7" t="n">
        <v>41.75</v>
      </c>
      <c r="O517" s="8" t="n">
        <v>60.69</v>
      </c>
      <c r="P517" s="7" t="n">
        <v>44.15</v>
      </c>
      <c r="Q517" s="9" t="n">
        <v>70.16</v>
      </c>
      <c r="R517" s="7" t="n">
        <v>58.38</v>
      </c>
      <c r="S517" s="7" t="n">
        <v>52.81</v>
      </c>
      <c r="T517" s="7" t="n">
        <v>52.11</v>
      </c>
      <c r="U517" s="7" t="n">
        <v>46.25</v>
      </c>
      <c r="V517" s="7" t="n">
        <v>35.21</v>
      </c>
      <c r="W517" s="7" t="n">
        <v>52.49</v>
      </c>
      <c r="X517" s="7" t="n">
        <v>32.37</v>
      </c>
      <c r="Y517" s="10" t="n">
        <v>10.71</v>
      </c>
    </row>
    <row r="518" ht="15" customHeight="1">
      <c r="A518" s="13" t="n">
        <v>45498</v>
      </c>
      <c r="B518" s="7" t="n">
        <v>46.57</v>
      </c>
      <c r="C518" s="7" t="n">
        <v>45.69</v>
      </c>
      <c r="D518" s="10" t="n">
        <v>25.49</v>
      </c>
      <c r="E518" s="10" t="n">
        <v>25.03</v>
      </c>
      <c r="F518" s="9" t="n">
        <v>71.51000000000001</v>
      </c>
      <c r="G518" s="7" t="n">
        <v>39.6</v>
      </c>
      <c r="H518" s="7" t="n">
        <v>32.21</v>
      </c>
      <c r="I518" s="7" t="n">
        <v>31.83</v>
      </c>
      <c r="J518" s="7" t="n">
        <v>33.39</v>
      </c>
      <c r="K518" s="10" t="n">
        <v>28.65</v>
      </c>
      <c r="L518" s="7" t="n">
        <v>44.68</v>
      </c>
      <c r="M518" s="7" t="n">
        <v>40.54</v>
      </c>
      <c r="N518" s="7" t="n">
        <v>38.65</v>
      </c>
      <c r="O518" s="7" t="n">
        <v>49.55</v>
      </c>
      <c r="P518" s="7" t="n">
        <v>36.06</v>
      </c>
      <c r="Q518" s="8" t="n">
        <v>67.05</v>
      </c>
      <c r="R518" s="7" t="n">
        <v>44.14</v>
      </c>
      <c r="S518" s="7" t="n">
        <v>46.11</v>
      </c>
      <c r="T518" s="7" t="n">
        <v>44.82</v>
      </c>
      <c r="U518" s="7" t="n">
        <v>45.78</v>
      </c>
      <c r="V518" s="7" t="n">
        <v>33.71</v>
      </c>
      <c r="W518" s="7" t="n">
        <v>48.63</v>
      </c>
      <c r="X518" s="7" t="n">
        <v>34.03</v>
      </c>
      <c r="Y518" s="10" t="n">
        <v>6.89</v>
      </c>
    </row>
    <row r="519" ht="15" customHeight="1">
      <c r="A519" s="13" t="n">
        <v>45497</v>
      </c>
      <c r="B519" s="7" t="n">
        <v>55.67</v>
      </c>
      <c r="C519" s="7" t="n">
        <v>48.51</v>
      </c>
      <c r="D519" s="10" t="n">
        <v>28.2</v>
      </c>
      <c r="E519" s="10" t="n">
        <v>25.92</v>
      </c>
      <c r="F519" s="9" t="n">
        <v>71.8</v>
      </c>
      <c r="G519" s="7" t="n">
        <v>44.01</v>
      </c>
      <c r="H519" s="10" t="n">
        <v>28.65</v>
      </c>
      <c r="I519" s="7" t="n">
        <v>41.18</v>
      </c>
      <c r="J519" s="7" t="n">
        <v>39.7</v>
      </c>
      <c r="K519" s="7" t="n">
        <v>31.74</v>
      </c>
      <c r="L519" s="7" t="n">
        <v>51.28</v>
      </c>
      <c r="M519" s="7" t="n">
        <v>42.58</v>
      </c>
      <c r="N519" s="7" t="n">
        <v>41.25</v>
      </c>
      <c r="O519" s="7" t="n">
        <v>52.33</v>
      </c>
      <c r="P519" s="7" t="n">
        <v>37.99</v>
      </c>
      <c r="Q519" s="8" t="n">
        <v>63.11</v>
      </c>
      <c r="R519" s="7" t="n">
        <v>51.49</v>
      </c>
      <c r="S519" s="7" t="n">
        <v>58.35</v>
      </c>
      <c r="T519" s="7" t="n">
        <v>51.13</v>
      </c>
      <c r="U519" s="7" t="n">
        <v>41.17</v>
      </c>
      <c r="V519" s="7" t="n">
        <v>40.69</v>
      </c>
      <c r="W519" s="7" t="n">
        <v>50.12</v>
      </c>
      <c r="X519" s="10" t="n">
        <v>24.72</v>
      </c>
      <c r="Y519" s="10" t="n">
        <v>7.86</v>
      </c>
    </row>
    <row r="520" ht="15" customHeight="1">
      <c r="A520" s="13" t="n">
        <v>45496</v>
      </c>
      <c r="B520" s="7" t="n">
        <v>53.91</v>
      </c>
      <c r="C520" s="7" t="n">
        <v>47.11</v>
      </c>
      <c r="D520" s="10" t="n">
        <v>27.04</v>
      </c>
      <c r="E520" s="10" t="n">
        <v>26.45</v>
      </c>
      <c r="F520" s="8" t="n">
        <v>64.97</v>
      </c>
      <c r="G520" s="7" t="n">
        <v>48.52</v>
      </c>
      <c r="H520" s="7" t="n">
        <v>33.13</v>
      </c>
      <c r="I520" s="7" t="n">
        <v>43.95</v>
      </c>
      <c r="J520" s="7" t="n">
        <v>42.62</v>
      </c>
      <c r="K520" s="10" t="n">
        <v>27.65</v>
      </c>
      <c r="L520" s="7" t="n">
        <v>53.31</v>
      </c>
      <c r="M520" s="7" t="n">
        <v>44.25</v>
      </c>
      <c r="N520" s="7" t="n">
        <v>41.73</v>
      </c>
      <c r="O520" s="7" t="n">
        <v>56.71</v>
      </c>
      <c r="P520" s="7" t="n">
        <v>35.01</v>
      </c>
      <c r="Q520" s="8" t="n">
        <v>64.42</v>
      </c>
      <c r="R520" s="7" t="n">
        <v>57.99</v>
      </c>
      <c r="S520" s="7" t="n">
        <v>58.41</v>
      </c>
      <c r="T520" s="7" t="n">
        <v>52.16</v>
      </c>
      <c r="U520" s="7" t="n">
        <v>40.29</v>
      </c>
      <c r="V520" s="7" t="n">
        <v>42.86</v>
      </c>
      <c r="W520" s="7" t="n">
        <v>45.59</v>
      </c>
      <c r="X520" s="10" t="n">
        <v>23.17</v>
      </c>
      <c r="Y520" s="10" t="n">
        <v>8.33</v>
      </c>
    </row>
    <row r="521" ht="15" customHeight="1">
      <c r="A521" s="13" t="n">
        <v>45495</v>
      </c>
      <c r="B521" s="7" t="n">
        <v>46.32</v>
      </c>
      <c r="C521" s="7" t="n">
        <v>50.45</v>
      </c>
      <c r="D521" s="10" t="n">
        <v>27.82</v>
      </c>
      <c r="E521" s="10" t="n">
        <v>28.68</v>
      </c>
      <c r="F521" s="8" t="n">
        <v>68.37</v>
      </c>
      <c r="G521" s="7" t="n">
        <v>56.67</v>
      </c>
      <c r="H521" s="7" t="n">
        <v>36.8</v>
      </c>
      <c r="I521" s="7" t="n">
        <v>42.15</v>
      </c>
      <c r="J521" s="7" t="n">
        <v>39.56</v>
      </c>
      <c r="K521" s="10" t="n">
        <v>29.31</v>
      </c>
      <c r="L521" s="7" t="n">
        <v>42.39</v>
      </c>
      <c r="M521" s="7" t="n">
        <v>48.35</v>
      </c>
      <c r="N521" s="7" t="n">
        <v>42.51</v>
      </c>
      <c r="O521" s="8" t="n">
        <v>62.36</v>
      </c>
      <c r="P521" s="7" t="n">
        <v>36.73</v>
      </c>
      <c r="Q521" s="8" t="n">
        <v>64.41</v>
      </c>
      <c r="R521" s="7" t="n">
        <v>57.64</v>
      </c>
      <c r="S521" s="7" t="n">
        <v>59.69</v>
      </c>
      <c r="T521" s="7" t="n">
        <v>53.55</v>
      </c>
      <c r="U521" s="7" t="n">
        <v>46.12</v>
      </c>
      <c r="V521" s="7" t="n">
        <v>39.06</v>
      </c>
      <c r="W521" s="7" t="n">
        <v>45.4</v>
      </c>
      <c r="X521" s="10" t="n">
        <v>26.48</v>
      </c>
      <c r="Y521" s="10" t="n">
        <v>8.41</v>
      </c>
    </row>
    <row r="522" ht="15" customHeight="1">
      <c r="A522" s="13" t="n">
        <v>45492</v>
      </c>
      <c r="B522" s="7" t="n">
        <v>49.13</v>
      </c>
      <c r="C522" s="7" t="n">
        <v>50.31</v>
      </c>
      <c r="D522" s="7" t="n">
        <v>33.7</v>
      </c>
      <c r="E522" s="7" t="n">
        <v>32.95</v>
      </c>
      <c r="F522" s="8" t="n">
        <v>64.56999999999999</v>
      </c>
      <c r="G522" s="8" t="n">
        <v>64.55</v>
      </c>
      <c r="H522" s="7" t="n">
        <v>42.87</v>
      </c>
      <c r="I522" s="7" t="n">
        <v>45.86</v>
      </c>
      <c r="J522" s="7" t="n">
        <v>46.35</v>
      </c>
      <c r="K522" s="7" t="n">
        <v>31.32</v>
      </c>
      <c r="L522" s="7" t="n">
        <v>43.49</v>
      </c>
      <c r="M522" s="7" t="n">
        <v>52.07</v>
      </c>
      <c r="N522" s="7" t="n">
        <v>45.43</v>
      </c>
      <c r="O522" s="7" t="n">
        <v>59.87</v>
      </c>
      <c r="P522" s="7" t="n">
        <v>39.23</v>
      </c>
      <c r="Q522" s="8" t="n">
        <v>63.52</v>
      </c>
      <c r="R522" s="7" t="n">
        <v>56.48</v>
      </c>
      <c r="S522" s="8" t="n">
        <v>66.44</v>
      </c>
      <c r="T522" s="7" t="n">
        <v>52.39</v>
      </c>
      <c r="U522" s="7" t="n">
        <v>47.37</v>
      </c>
      <c r="V522" s="7" t="n">
        <v>45.26</v>
      </c>
      <c r="W522" s="7" t="n">
        <v>46.22</v>
      </c>
      <c r="X522" s="10" t="n">
        <v>26.41</v>
      </c>
      <c r="Y522" s="10" t="n">
        <v>8.74</v>
      </c>
    </row>
    <row r="523" ht="15" customHeight="1">
      <c r="A523" s="13" t="n">
        <v>45491</v>
      </c>
      <c r="B523" s="7" t="n">
        <v>52.21</v>
      </c>
      <c r="C523" s="8" t="n">
        <v>60.04</v>
      </c>
      <c r="D523" s="7" t="n">
        <v>37.04</v>
      </c>
      <c r="E523" s="7" t="n">
        <v>35.35</v>
      </c>
      <c r="F523" s="9" t="n">
        <v>70.09</v>
      </c>
      <c r="G523" s="9" t="n">
        <v>73.52</v>
      </c>
      <c r="H523" s="7" t="n">
        <v>40.68</v>
      </c>
      <c r="I523" s="7" t="n">
        <v>48.63</v>
      </c>
      <c r="J523" s="7" t="n">
        <v>51.33</v>
      </c>
      <c r="K523" s="7" t="n">
        <v>34.29</v>
      </c>
      <c r="L523" s="7" t="n">
        <v>47.86</v>
      </c>
      <c r="M523" s="7" t="n">
        <v>55.67</v>
      </c>
      <c r="N523" s="7" t="n">
        <v>43.55</v>
      </c>
      <c r="O523" s="8" t="n">
        <v>69.83</v>
      </c>
      <c r="P523" s="7" t="n">
        <v>46.99</v>
      </c>
      <c r="Q523" s="8" t="n">
        <v>69.56</v>
      </c>
      <c r="R523" s="7" t="n">
        <v>57.95</v>
      </c>
      <c r="S523" s="9" t="n">
        <v>71.09999999999999</v>
      </c>
      <c r="T523" s="7" t="n">
        <v>53.49</v>
      </c>
      <c r="U523" s="7" t="n">
        <v>50.71</v>
      </c>
      <c r="V523" s="7" t="n">
        <v>51.13</v>
      </c>
      <c r="W523" s="7" t="n"/>
      <c r="X523" s="7" t="n"/>
      <c r="Y523" s="7" t="n"/>
    </row>
    <row r="524" ht="15" customHeight="1">
      <c r="A524" s="13" t="n">
        <v>45490</v>
      </c>
      <c r="B524" s="7" t="n">
        <v>49.28</v>
      </c>
      <c r="C524" s="9" t="n">
        <v>71.13</v>
      </c>
      <c r="D524" s="7" t="n">
        <v>39.44</v>
      </c>
      <c r="E524" s="7" t="n">
        <v>37.9</v>
      </c>
      <c r="F524" s="9" t="n">
        <v>74.67</v>
      </c>
      <c r="G524" s="9" t="n">
        <v>73.20999999999999</v>
      </c>
      <c r="H524" s="7" t="n">
        <v>43.31</v>
      </c>
      <c r="I524" s="7" t="n">
        <v>56.36</v>
      </c>
      <c r="J524" s="7" t="n">
        <v>54.02</v>
      </c>
      <c r="K524" s="7" t="n">
        <v>36.96</v>
      </c>
      <c r="L524" s="7" t="n">
        <v>54.62</v>
      </c>
      <c r="M524" s="7" t="n">
        <v>54.4</v>
      </c>
      <c r="N524" s="7" t="n">
        <v>41.42</v>
      </c>
      <c r="O524" s="9" t="n">
        <v>74.72</v>
      </c>
      <c r="P524" s="7" t="n">
        <v>47.14</v>
      </c>
      <c r="Q524" s="7" t="n">
        <v>57.81</v>
      </c>
      <c r="R524" s="8" t="n">
        <v>61.05</v>
      </c>
      <c r="S524" s="9" t="n">
        <v>73.58</v>
      </c>
      <c r="T524" s="7" t="n">
        <v>53</v>
      </c>
      <c r="U524" s="7" t="n">
        <v>51.32</v>
      </c>
      <c r="V524" s="7" t="n">
        <v>56</v>
      </c>
      <c r="W524" s="7" t="n"/>
      <c r="X524" s="7" t="n"/>
      <c r="Y524" s="7" t="n"/>
    </row>
    <row r="525" ht="15" customHeight="1">
      <c r="A525" s="13" t="n">
        <v>45489</v>
      </c>
      <c r="B525" s="7" t="n">
        <v>49.18</v>
      </c>
      <c r="C525" s="7" t="n">
        <v>42.1</v>
      </c>
      <c r="D525" s="7" t="n">
        <v>40.01</v>
      </c>
      <c r="E525" s="7" t="n">
        <v>32.91</v>
      </c>
      <c r="F525" s="8" t="n">
        <v>69.59999999999999</v>
      </c>
      <c r="G525" s="8" t="n">
        <v>66.03</v>
      </c>
      <c r="H525" s="7" t="n">
        <v>47.1</v>
      </c>
      <c r="I525" s="8" t="n">
        <v>62.14</v>
      </c>
      <c r="J525" s="8" t="n">
        <v>63.67</v>
      </c>
      <c r="K525" s="7" t="n">
        <v>45.48</v>
      </c>
      <c r="L525" s="7" t="n">
        <v>56.4</v>
      </c>
      <c r="M525" s="7" t="n">
        <v>54.7</v>
      </c>
      <c r="N525" s="7" t="n">
        <v>42.98</v>
      </c>
      <c r="O525" s="8" t="n">
        <v>68.59999999999999</v>
      </c>
      <c r="P525" s="7" t="n">
        <v>51.44</v>
      </c>
      <c r="Q525" s="7" t="n">
        <v>57.44</v>
      </c>
      <c r="R525" s="8" t="n">
        <v>62.15</v>
      </c>
      <c r="S525" s="9" t="n">
        <v>75.3</v>
      </c>
      <c r="T525" s="7" t="n">
        <v>54.08</v>
      </c>
      <c r="U525" s="7" t="n">
        <v>48.15</v>
      </c>
      <c r="V525" s="8" t="n">
        <v>63.27</v>
      </c>
      <c r="W525" s="7" t="n"/>
      <c r="X525" s="7" t="n"/>
      <c r="Y525" s="7" t="n"/>
    </row>
    <row r="526" ht="15" customHeight="1">
      <c r="A526" s="13" t="n">
        <v>45488</v>
      </c>
      <c r="B526" s="7" t="n">
        <v>51.07</v>
      </c>
      <c r="C526" s="7" t="n">
        <v>46.95</v>
      </c>
      <c r="D526" s="7" t="n">
        <v>38.66</v>
      </c>
      <c r="E526" s="7" t="n">
        <v>38.74</v>
      </c>
      <c r="F526" s="8" t="n">
        <v>69.2</v>
      </c>
      <c r="G526" s="8" t="n">
        <v>61.61</v>
      </c>
      <c r="H526" s="7" t="n">
        <v>55.84</v>
      </c>
      <c r="I526" s="7" t="n">
        <v>58.96</v>
      </c>
      <c r="J526" s="8" t="n">
        <v>62.58</v>
      </c>
      <c r="K526" s="7" t="n">
        <v>46.18</v>
      </c>
      <c r="L526" s="7" t="n">
        <v>49.3</v>
      </c>
      <c r="M526" s="7" t="n">
        <v>50.62</v>
      </c>
      <c r="N526" s="7" t="n">
        <v>44.22</v>
      </c>
      <c r="O526" s="8" t="n">
        <v>68.83</v>
      </c>
      <c r="P526" s="7" t="n">
        <v>49.75</v>
      </c>
      <c r="Q526" s="7" t="n">
        <v>53.29</v>
      </c>
      <c r="R526" s="8" t="n">
        <v>61.64</v>
      </c>
      <c r="S526" s="9" t="n">
        <v>73.09999999999999</v>
      </c>
      <c r="T526" s="7" t="n">
        <v>54.61</v>
      </c>
      <c r="U526" s="7" t="n">
        <v>55.14</v>
      </c>
      <c r="V526" s="8" t="n">
        <v>62.13</v>
      </c>
      <c r="W526" s="7" t="n"/>
      <c r="X526" s="7" t="n"/>
      <c r="Y526" s="7" t="n"/>
    </row>
    <row r="527" ht="15" customHeight="1">
      <c r="A527" s="13" t="n">
        <v>45485</v>
      </c>
      <c r="B527" s="7" t="n">
        <v>47.18</v>
      </c>
      <c r="C527" s="7" t="n">
        <v>46.16</v>
      </c>
      <c r="D527" s="7" t="n">
        <v>34.39</v>
      </c>
      <c r="E527" s="7" t="n">
        <v>42.65</v>
      </c>
      <c r="F527" s="9" t="n">
        <v>70.59</v>
      </c>
      <c r="G527" s="7" t="n">
        <v>48.14</v>
      </c>
      <c r="H527" s="8" t="n">
        <v>60.86</v>
      </c>
      <c r="I527" s="8" t="n">
        <v>61.51</v>
      </c>
      <c r="J527" s="8" t="n">
        <v>60.1</v>
      </c>
      <c r="K527" s="7" t="n">
        <v>46.75</v>
      </c>
      <c r="L527" s="7" t="n">
        <v>49.46</v>
      </c>
      <c r="M527" s="7" t="n">
        <v>53.11</v>
      </c>
      <c r="N527" s="7" t="n">
        <v>46</v>
      </c>
      <c r="O527" s="7" t="n">
        <v>57.45</v>
      </c>
      <c r="P527" s="7" t="n">
        <v>48.1</v>
      </c>
      <c r="Q527" s="7" t="n">
        <v>54.56</v>
      </c>
      <c r="R527" s="8" t="n">
        <v>65.98999999999999</v>
      </c>
      <c r="S527" s="9" t="n">
        <v>71.37</v>
      </c>
      <c r="T527" s="8" t="n">
        <v>60.08</v>
      </c>
      <c r="U527" s="7" t="n">
        <v>56.02</v>
      </c>
      <c r="V527" s="8" t="n">
        <v>60.68</v>
      </c>
      <c r="W527" s="7" t="n"/>
      <c r="X527" s="7" t="n"/>
      <c r="Y527" s="7" t="n"/>
    </row>
    <row r="528" ht="15" customHeight="1">
      <c r="A528" s="13" t="n">
        <v>45484</v>
      </c>
      <c r="B528" s="7" t="n">
        <v>50.9</v>
      </c>
      <c r="C528" s="7" t="n">
        <v>36.27</v>
      </c>
      <c r="D528" s="7" t="n">
        <v>30.64</v>
      </c>
      <c r="E528" s="7" t="n">
        <v>42.43</v>
      </c>
      <c r="F528" s="8" t="n">
        <v>66.3</v>
      </c>
      <c r="G528" s="7" t="n">
        <v>45.54</v>
      </c>
      <c r="H528" s="8" t="n">
        <v>60.82</v>
      </c>
      <c r="I528" s="7" t="n">
        <v>56.46</v>
      </c>
      <c r="J528" s="9" t="n">
        <v>75.78</v>
      </c>
      <c r="K528" s="7" t="n">
        <v>52.51</v>
      </c>
      <c r="L528" s="7" t="n">
        <v>53.84</v>
      </c>
      <c r="M528" s="7" t="n">
        <v>55.83</v>
      </c>
      <c r="N528" s="7" t="n">
        <v>50.37</v>
      </c>
      <c r="O528" s="7" t="n">
        <v>51.32</v>
      </c>
      <c r="P528" s="7" t="n">
        <v>52.62</v>
      </c>
      <c r="Q528" s="7" t="n">
        <v>56.24</v>
      </c>
      <c r="R528" s="8" t="n">
        <v>66.28</v>
      </c>
      <c r="S528" s="9" t="n">
        <v>74.34</v>
      </c>
      <c r="T528" s="8" t="n">
        <v>63.52</v>
      </c>
      <c r="U528" s="7" t="n">
        <v>55.24</v>
      </c>
      <c r="V528" s="9" t="n">
        <v>72.26000000000001</v>
      </c>
      <c r="W528" s="7" t="n"/>
      <c r="X528" s="7" t="n"/>
      <c r="Y528" s="7" t="n"/>
    </row>
    <row r="529" ht="15" customHeight="1">
      <c r="A529" s="13" t="n">
        <v>45483</v>
      </c>
      <c r="B529" s="7" t="n">
        <v>49.58</v>
      </c>
      <c r="C529" s="7" t="n">
        <v>35.26</v>
      </c>
      <c r="D529" s="7" t="n">
        <v>32.19</v>
      </c>
      <c r="E529" s="7" t="n">
        <v>39.37</v>
      </c>
      <c r="F529" s="8" t="n">
        <v>64.90000000000001</v>
      </c>
      <c r="G529" s="7" t="n">
        <v>49.19</v>
      </c>
      <c r="H529" s="7" t="n">
        <v>45</v>
      </c>
      <c r="I529" s="7" t="n">
        <v>54.44</v>
      </c>
      <c r="J529" s="9" t="n">
        <v>74.42</v>
      </c>
      <c r="K529" s="7" t="n">
        <v>47.83</v>
      </c>
      <c r="L529" s="7" t="n">
        <v>51.7</v>
      </c>
      <c r="M529" s="7" t="n">
        <v>51.26</v>
      </c>
      <c r="N529" s="7" t="n">
        <v>46.22</v>
      </c>
      <c r="O529" s="7" t="n">
        <v>47.27</v>
      </c>
      <c r="P529" s="7" t="n">
        <v>51.88</v>
      </c>
      <c r="Q529" s="7" t="n">
        <v>44.15</v>
      </c>
      <c r="R529" s="8" t="n">
        <v>61.57</v>
      </c>
      <c r="S529" s="8" t="n">
        <v>68.56</v>
      </c>
      <c r="T529" s="8" t="n">
        <v>60.36</v>
      </c>
      <c r="U529" s="7" t="n">
        <v>55.5</v>
      </c>
      <c r="V529" s="8" t="n">
        <v>69.89</v>
      </c>
      <c r="W529" s="7" t="n"/>
      <c r="X529" s="7" t="n"/>
      <c r="Y529" s="7" t="n"/>
    </row>
    <row r="530" ht="15" customHeight="1">
      <c r="A530" s="13" t="n">
        <v>45482</v>
      </c>
      <c r="B530" s="7" t="n">
        <v>51.99</v>
      </c>
      <c r="C530" s="7" t="n">
        <v>33.45</v>
      </c>
      <c r="D530" s="7" t="n">
        <v>32.39</v>
      </c>
      <c r="E530" s="7" t="n">
        <v>42.39</v>
      </c>
      <c r="F530" s="8" t="n">
        <v>63.37</v>
      </c>
      <c r="G530" s="7" t="n">
        <v>41.55</v>
      </c>
      <c r="H530" s="7" t="n">
        <v>49.25</v>
      </c>
      <c r="I530" s="7" t="n">
        <v>56.83</v>
      </c>
      <c r="J530" s="9" t="n">
        <v>74.31999999999999</v>
      </c>
      <c r="K530" s="7" t="n">
        <v>51.06</v>
      </c>
      <c r="L530" s="7" t="n">
        <v>50.63</v>
      </c>
      <c r="M530" s="7" t="n">
        <v>53.65</v>
      </c>
      <c r="N530" s="7" t="n">
        <v>49.39</v>
      </c>
      <c r="O530" s="7" t="n">
        <v>47.61</v>
      </c>
      <c r="P530" s="7" t="n">
        <v>52.19</v>
      </c>
      <c r="Q530" s="7" t="n">
        <v>46.14</v>
      </c>
      <c r="R530" s="8" t="n">
        <v>60.63</v>
      </c>
      <c r="S530" s="8" t="n">
        <v>68.15000000000001</v>
      </c>
      <c r="T530" s="7" t="n">
        <v>53.84</v>
      </c>
      <c r="U530" s="7" t="n">
        <v>52.88</v>
      </c>
      <c r="V530" s="9" t="n">
        <v>70.16</v>
      </c>
      <c r="W530" s="7" t="n"/>
      <c r="X530" s="7" t="n"/>
      <c r="Y530" s="7" t="n"/>
    </row>
    <row r="531" ht="15" customHeight="1">
      <c r="A531" s="13" t="n">
        <v>45481</v>
      </c>
      <c r="B531" s="7" t="n">
        <v>51.1</v>
      </c>
      <c r="C531" s="7" t="n">
        <v>32.04</v>
      </c>
      <c r="D531" s="7" t="n">
        <v>32.23</v>
      </c>
      <c r="E531" s="7" t="n">
        <v>41.28</v>
      </c>
      <c r="F531" s="7" t="n">
        <v>59.75</v>
      </c>
      <c r="G531" s="7" t="n">
        <v>36.12</v>
      </c>
      <c r="H531" s="7" t="n">
        <v>51.96</v>
      </c>
      <c r="I531" s="7" t="n">
        <v>51.35</v>
      </c>
      <c r="J531" s="9" t="n">
        <v>72.45</v>
      </c>
      <c r="K531" s="7" t="n">
        <v>47.37</v>
      </c>
      <c r="L531" s="7" t="n">
        <v>56.12</v>
      </c>
      <c r="M531" s="7" t="n">
        <v>53.73</v>
      </c>
      <c r="N531" s="7" t="n">
        <v>51.36</v>
      </c>
      <c r="O531" s="7" t="n">
        <v>41.85</v>
      </c>
      <c r="P531" s="7" t="n">
        <v>55.24</v>
      </c>
      <c r="Q531" s="7" t="n">
        <v>45.08</v>
      </c>
      <c r="R531" s="8" t="n">
        <v>62.31</v>
      </c>
      <c r="S531" s="8" t="n">
        <v>68.62</v>
      </c>
      <c r="T531" s="7" t="n">
        <v>54.72</v>
      </c>
      <c r="U531" s="7" t="n">
        <v>50.79</v>
      </c>
      <c r="V531" s="8" t="n">
        <v>68.47</v>
      </c>
      <c r="W531" s="7" t="n"/>
      <c r="X531" s="7" t="n"/>
      <c r="Y531" s="7" t="n"/>
    </row>
    <row r="532" ht="15" customHeight="1">
      <c r="A532" s="13" t="n">
        <v>45478</v>
      </c>
      <c r="B532" s="7" t="n">
        <v>45.09</v>
      </c>
      <c r="C532" s="7" t="n">
        <v>33.27</v>
      </c>
      <c r="D532" s="7" t="n">
        <v>31.19</v>
      </c>
      <c r="E532" s="7" t="n">
        <v>39.32</v>
      </c>
      <c r="F532" s="8" t="n">
        <v>64.63</v>
      </c>
      <c r="G532" s="7" t="n">
        <v>38.21</v>
      </c>
      <c r="H532" s="7" t="n">
        <v>51.46</v>
      </c>
      <c r="I532" s="7" t="n">
        <v>45.38</v>
      </c>
      <c r="J532" s="9" t="n">
        <v>72.37</v>
      </c>
      <c r="K532" s="7" t="n">
        <v>42.89</v>
      </c>
      <c r="L532" s="7" t="n">
        <v>55.25</v>
      </c>
      <c r="M532" s="7" t="n">
        <v>59.93</v>
      </c>
      <c r="N532" s="7" t="n">
        <v>48.26</v>
      </c>
      <c r="O532" s="7" t="n">
        <v>38.81</v>
      </c>
      <c r="P532" s="8" t="n">
        <v>62.57</v>
      </c>
      <c r="Q532" s="7" t="n">
        <v>48.32</v>
      </c>
      <c r="R532" s="9" t="n">
        <v>70.23</v>
      </c>
      <c r="S532" s="8" t="n">
        <v>68.02</v>
      </c>
      <c r="T532" s="8" t="n">
        <v>66.95</v>
      </c>
      <c r="U532" s="7" t="n">
        <v>47.35</v>
      </c>
      <c r="V532" s="8" t="n">
        <v>68.13</v>
      </c>
      <c r="W532" s="7" t="n"/>
      <c r="X532" s="7" t="n"/>
      <c r="Y532" s="7" t="n"/>
    </row>
    <row r="533" ht="15" customHeight="1">
      <c r="A533" s="13" t="n">
        <v>45477</v>
      </c>
      <c r="B533" s="7" t="n">
        <v>44.79</v>
      </c>
      <c r="C533" s="7" t="n">
        <v>30.16</v>
      </c>
      <c r="D533" s="7" t="n">
        <v>32.82</v>
      </c>
      <c r="E533" s="7" t="n">
        <v>41.49</v>
      </c>
      <c r="F533" s="8" t="n">
        <v>60.53</v>
      </c>
      <c r="G533" s="7" t="n">
        <v>39.48</v>
      </c>
      <c r="H533" s="7" t="n">
        <v>51.78</v>
      </c>
      <c r="I533" s="7" t="n">
        <v>42.55</v>
      </c>
      <c r="J533" s="8" t="n">
        <v>67.34</v>
      </c>
      <c r="K533" s="7" t="n">
        <v>46.23</v>
      </c>
      <c r="L533" s="7" t="n">
        <v>54.78</v>
      </c>
      <c r="M533" s="7" t="n">
        <v>51.13</v>
      </c>
      <c r="N533" s="7" t="n">
        <v>44.37</v>
      </c>
      <c r="O533" s="7" t="n">
        <v>38.97</v>
      </c>
      <c r="P533" s="8" t="n">
        <v>69.59999999999999</v>
      </c>
      <c r="Q533" s="7" t="n">
        <v>48.44</v>
      </c>
      <c r="R533" s="8" t="n">
        <v>67.5</v>
      </c>
      <c r="S533" s="8" t="n">
        <v>69.98</v>
      </c>
      <c r="T533" s="8" t="n">
        <v>64.23999999999999</v>
      </c>
      <c r="U533" s="7" t="n">
        <v>37.03</v>
      </c>
      <c r="V533" s="8" t="n">
        <v>63.44</v>
      </c>
      <c r="W533" s="7" t="n"/>
      <c r="X533" s="7" t="n"/>
      <c r="Y533" s="7" t="n"/>
    </row>
    <row r="534" ht="15" customHeight="1">
      <c r="A534" s="13" t="n">
        <v>45476</v>
      </c>
      <c r="B534" s="7" t="n">
        <v>46.27</v>
      </c>
      <c r="C534" s="7" t="n">
        <v>30.62</v>
      </c>
      <c r="D534" s="7" t="n">
        <v>30.17</v>
      </c>
      <c r="E534" s="7" t="n">
        <v>37.03</v>
      </c>
      <c r="F534" s="8" t="n">
        <v>60.16</v>
      </c>
      <c r="G534" s="7" t="n">
        <v>39.94</v>
      </c>
      <c r="H534" s="7" t="n">
        <v>44.25</v>
      </c>
      <c r="I534" s="7" t="n">
        <v>44.12</v>
      </c>
      <c r="J534" s="8" t="n">
        <v>63.22</v>
      </c>
      <c r="K534" s="7" t="n">
        <v>40.6</v>
      </c>
      <c r="L534" s="7" t="n">
        <v>51.18</v>
      </c>
      <c r="M534" s="7" t="n">
        <v>48.25</v>
      </c>
      <c r="N534" s="7" t="n">
        <v>43</v>
      </c>
      <c r="O534" s="7" t="n">
        <v>40.33</v>
      </c>
      <c r="P534" s="9" t="n">
        <v>70.29000000000001</v>
      </c>
      <c r="Q534" s="7" t="n">
        <v>45.3</v>
      </c>
      <c r="R534" s="8" t="n">
        <v>62.01</v>
      </c>
      <c r="S534" s="8" t="n">
        <v>62.31</v>
      </c>
      <c r="T534" s="7" t="n">
        <v>59.66</v>
      </c>
      <c r="U534" s="7" t="n">
        <v>35.89</v>
      </c>
      <c r="V534" s="7" t="n">
        <v>58.88</v>
      </c>
      <c r="W534" s="7" t="n"/>
      <c r="X534" s="7" t="n"/>
      <c r="Y534" s="7" t="n"/>
    </row>
    <row r="535" ht="15" customHeight="1">
      <c r="A535" s="13" t="n">
        <v>45475</v>
      </c>
      <c r="B535" s="7" t="n">
        <v>48.65</v>
      </c>
      <c r="C535" s="7" t="n">
        <v>34.94</v>
      </c>
      <c r="D535" s="7" t="n">
        <v>34.08</v>
      </c>
      <c r="E535" s="7" t="n">
        <v>37.92</v>
      </c>
      <c r="F535" s="8" t="n">
        <v>62.74</v>
      </c>
      <c r="G535" s="7" t="n">
        <v>42.21</v>
      </c>
      <c r="H535" s="7" t="n">
        <v>41.57</v>
      </c>
      <c r="I535" s="7" t="n">
        <v>46.23</v>
      </c>
      <c r="J535" s="8" t="n">
        <v>60.27</v>
      </c>
      <c r="K535" s="7" t="n">
        <v>45.62</v>
      </c>
      <c r="L535" s="7" t="n">
        <v>51.08</v>
      </c>
      <c r="M535" s="7" t="n">
        <v>48.77</v>
      </c>
      <c r="N535" s="7" t="n">
        <v>44.52</v>
      </c>
      <c r="O535" s="7" t="n">
        <v>41.33</v>
      </c>
      <c r="P535" s="8" t="n">
        <v>69.27</v>
      </c>
      <c r="Q535" s="7" t="n">
        <v>46.3</v>
      </c>
      <c r="R535" s="7" t="n">
        <v>58.23</v>
      </c>
      <c r="S535" s="7" t="n">
        <v>56.57</v>
      </c>
      <c r="T535" s="8" t="n">
        <v>60.96</v>
      </c>
      <c r="U535" s="7" t="n">
        <v>33.87</v>
      </c>
      <c r="V535" s="7" t="n">
        <v>57.03</v>
      </c>
      <c r="W535" s="7" t="n"/>
      <c r="X535" s="7" t="n"/>
      <c r="Y535" s="7" t="n"/>
    </row>
    <row r="536" ht="15" customHeight="1">
      <c r="A536" s="13" t="n">
        <v>45474</v>
      </c>
      <c r="B536" s="7" t="n">
        <v>50.07</v>
      </c>
      <c r="C536" s="7" t="n">
        <v>37.31</v>
      </c>
      <c r="D536" s="7" t="n">
        <v>40.22</v>
      </c>
      <c r="E536" s="7" t="n">
        <v>44.55</v>
      </c>
      <c r="F536" s="7" t="n">
        <v>55.65</v>
      </c>
      <c r="G536" s="7" t="n">
        <v>42.48</v>
      </c>
      <c r="H536" s="7" t="n">
        <v>45.8</v>
      </c>
      <c r="I536" s="7" t="n">
        <v>55.21</v>
      </c>
      <c r="J536" s="8" t="n">
        <v>63.39</v>
      </c>
      <c r="K536" s="7" t="n">
        <v>50.78</v>
      </c>
      <c r="L536" s="8" t="n">
        <v>64.93000000000001</v>
      </c>
      <c r="M536" s="7" t="n">
        <v>57.29</v>
      </c>
      <c r="N536" s="7" t="n">
        <v>53.25</v>
      </c>
      <c r="O536" s="7" t="n">
        <v>50.94</v>
      </c>
      <c r="P536" s="9" t="n">
        <v>72.97</v>
      </c>
      <c r="Q536" s="7" t="n">
        <v>49.82</v>
      </c>
      <c r="R536" s="7" t="n">
        <v>55.27</v>
      </c>
      <c r="S536" s="7" t="n">
        <v>55.1</v>
      </c>
      <c r="T536" s="7" t="n">
        <v>58.4</v>
      </c>
      <c r="U536" s="7" t="n">
        <v>40.29</v>
      </c>
      <c r="V536" s="8" t="n">
        <v>63.16</v>
      </c>
      <c r="W536" s="7" t="n"/>
      <c r="X536" s="7" t="n"/>
      <c r="Y536" s="7" t="n"/>
    </row>
    <row r="537" ht="15" customHeight="1">
      <c r="A537" s="13" t="n">
        <v>45471</v>
      </c>
      <c r="B537" s="7" t="n">
        <v>59.4</v>
      </c>
      <c r="C537" s="7" t="n">
        <v>38.47</v>
      </c>
      <c r="D537" s="7" t="n">
        <v>42.01</v>
      </c>
      <c r="E537" s="7" t="n">
        <v>43.89</v>
      </c>
      <c r="F537" s="7" t="n">
        <v>36.22</v>
      </c>
      <c r="G537" s="7" t="n">
        <v>41.69</v>
      </c>
      <c r="H537" s="7" t="n">
        <v>40.11</v>
      </c>
      <c r="I537" s="7" t="n">
        <v>57.43</v>
      </c>
      <c r="J537" s="8" t="n">
        <v>61.2</v>
      </c>
      <c r="K537" s="7" t="n">
        <v>59.53</v>
      </c>
      <c r="L537" s="9" t="n">
        <v>71.05</v>
      </c>
      <c r="M537" s="8" t="n">
        <v>60.91</v>
      </c>
      <c r="N537" s="7" t="n">
        <v>53.62</v>
      </c>
      <c r="O537" s="7" t="n">
        <v>48.29</v>
      </c>
      <c r="P537" s="8" t="n">
        <v>68.68000000000001</v>
      </c>
      <c r="Q537" s="7" t="n">
        <v>53.76</v>
      </c>
      <c r="R537" s="8" t="n">
        <v>60.08</v>
      </c>
      <c r="S537" s="8" t="n">
        <v>60.1</v>
      </c>
      <c r="T537" s="8" t="n">
        <v>68.36</v>
      </c>
      <c r="U537" s="7" t="n">
        <v>41.64</v>
      </c>
      <c r="V537" s="8" t="n">
        <v>61.07</v>
      </c>
      <c r="W537" s="7" t="n"/>
      <c r="X537" s="7" t="n"/>
      <c r="Y537" s="7" t="n"/>
    </row>
    <row r="538" ht="15" customHeight="1">
      <c r="A538" s="13" t="n">
        <v>45470</v>
      </c>
      <c r="B538" s="7" t="n">
        <v>54.54</v>
      </c>
      <c r="C538" s="7" t="n">
        <v>30.21</v>
      </c>
      <c r="D538" s="7" t="n">
        <v>42.43</v>
      </c>
      <c r="E538" s="7" t="n">
        <v>39.67</v>
      </c>
      <c r="F538" s="7" t="n">
        <v>36.52</v>
      </c>
      <c r="G538" s="7" t="n">
        <v>39.37</v>
      </c>
      <c r="H538" s="7" t="n">
        <v>37.42</v>
      </c>
      <c r="I538" s="7" t="n">
        <v>54.64</v>
      </c>
      <c r="J538" s="8" t="n">
        <v>61.22</v>
      </c>
      <c r="K538" s="8" t="n">
        <v>60</v>
      </c>
      <c r="L538" s="9" t="n">
        <v>71.79000000000001</v>
      </c>
      <c r="M538" s="7" t="n">
        <v>58.93</v>
      </c>
      <c r="N538" s="7" t="n">
        <v>52.53</v>
      </c>
      <c r="O538" s="7" t="n">
        <v>43.48</v>
      </c>
      <c r="P538" s="8" t="n">
        <v>67.29000000000001</v>
      </c>
      <c r="Q538" s="7" t="n">
        <v>45.84</v>
      </c>
      <c r="R538" s="7" t="n">
        <v>53.85</v>
      </c>
      <c r="S538" s="7" t="n">
        <v>51.76</v>
      </c>
      <c r="T538" s="8" t="n">
        <v>63.82</v>
      </c>
      <c r="U538" s="7" t="n">
        <v>34.09</v>
      </c>
      <c r="V538" s="8" t="n">
        <v>60.35</v>
      </c>
      <c r="W538" s="7" t="n"/>
      <c r="X538" s="7" t="n"/>
      <c r="Y538" s="7" t="n"/>
    </row>
    <row r="539" ht="15" customHeight="1">
      <c r="A539" s="13" t="n">
        <v>45469</v>
      </c>
      <c r="B539" s="7" t="n">
        <v>58.17</v>
      </c>
      <c r="C539" s="7" t="n">
        <v>32.3</v>
      </c>
      <c r="D539" s="7" t="n">
        <v>46.9</v>
      </c>
      <c r="E539" s="7" t="n">
        <v>43.95</v>
      </c>
      <c r="F539" s="7" t="n">
        <v>37.4</v>
      </c>
      <c r="G539" s="7" t="n">
        <v>43.74</v>
      </c>
      <c r="H539" s="7" t="n">
        <v>40.99</v>
      </c>
      <c r="I539" s="8" t="n">
        <v>62.88</v>
      </c>
      <c r="J539" s="8" t="n">
        <v>61.05</v>
      </c>
      <c r="K539" s="8" t="n">
        <v>65.79000000000001</v>
      </c>
      <c r="L539" s="8" t="n">
        <v>69.47</v>
      </c>
      <c r="M539" s="8" t="n">
        <v>60.39</v>
      </c>
      <c r="N539" s="7" t="n">
        <v>57.11</v>
      </c>
      <c r="O539" s="7" t="n">
        <v>47.45</v>
      </c>
      <c r="P539" s="8" t="n">
        <v>66.18000000000001</v>
      </c>
      <c r="Q539" s="7" t="n">
        <v>55.8</v>
      </c>
      <c r="R539" s="7" t="n">
        <v>55.71</v>
      </c>
      <c r="S539" s="7" t="n">
        <v>52.43</v>
      </c>
      <c r="T539" s="8" t="n">
        <v>63.63</v>
      </c>
      <c r="U539" s="7" t="n">
        <v>41</v>
      </c>
      <c r="V539" s="8" t="n">
        <v>60.99</v>
      </c>
      <c r="W539" s="7" t="n"/>
      <c r="X539" s="7" t="n"/>
      <c r="Y539" s="7" t="n"/>
    </row>
    <row r="540" ht="15" customHeight="1">
      <c r="A540" s="13" t="n">
        <v>45468</v>
      </c>
      <c r="B540" s="7" t="n">
        <v>59.95</v>
      </c>
      <c r="C540" s="7" t="n">
        <v>34.62</v>
      </c>
      <c r="D540" s="7" t="n">
        <v>46.76</v>
      </c>
      <c r="E540" s="7" t="n">
        <v>43.32</v>
      </c>
      <c r="F540" s="7" t="n">
        <v>40.31</v>
      </c>
      <c r="G540" s="7" t="n">
        <v>49.74</v>
      </c>
      <c r="H540" s="7" t="n">
        <v>40.74</v>
      </c>
      <c r="I540" s="8" t="n">
        <v>60.86</v>
      </c>
      <c r="J540" s="7" t="n">
        <v>57.2</v>
      </c>
      <c r="K540" s="8" t="n">
        <v>60.58</v>
      </c>
      <c r="L540" s="8" t="n">
        <v>68.56</v>
      </c>
      <c r="M540" s="7" t="n">
        <v>57.94</v>
      </c>
      <c r="N540" s="8" t="n">
        <v>60.26</v>
      </c>
      <c r="O540" s="7" t="n">
        <v>47.03</v>
      </c>
      <c r="P540" s="8" t="n">
        <v>65.94</v>
      </c>
      <c r="Q540" s="8" t="n">
        <v>60</v>
      </c>
      <c r="R540" s="7" t="n">
        <v>54.98</v>
      </c>
      <c r="S540" s="7" t="n">
        <v>58.03</v>
      </c>
      <c r="T540" s="8" t="n">
        <v>60.03</v>
      </c>
      <c r="U540" s="7" t="n">
        <v>39.29</v>
      </c>
      <c r="V540" s="7" t="n">
        <v>57.93</v>
      </c>
      <c r="W540" s="7" t="n"/>
      <c r="X540" s="7" t="n"/>
      <c r="Y540" s="7" t="n"/>
    </row>
    <row r="541" ht="15" customHeight="1">
      <c r="A541" s="13" t="n">
        <v>45467</v>
      </c>
      <c r="B541" s="8" t="n">
        <v>61.27</v>
      </c>
      <c r="C541" s="7" t="n">
        <v>34.92</v>
      </c>
      <c r="D541" s="7" t="n">
        <v>46.44</v>
      </c>
      <c r="E541" s="7" t="n">
        <v>43.71</v>
      </c>
      <c r="F541" s="7" t="n">
        <v>38.78</v>
      </c>
      <c r="G541" s="7" t="n">
        <v>48.18</v>
      </c>
      <c r="H541" s="7" t="n">
        <v>36.94</v>
      </c>
      <c r="I541" s="8" t="n">
        <v>64.45</v>
      </c>
      <c r="J541" s="7" t="n">
        <v>56.77</v>
      </c>
      <c r="K541" s="8" t="n">
        <v>65.06999999999999</v>
      </c>
      <c r="L541" s="8" t="n">
        <v>65.01000000000001</v>
      </c>
      <c r="M541" s="7" t="n">
        <v>58.75</v>
      </c>
      <c r="N541" s="8" t="n">
        <v>65.55</v>
      </c>
      <c r="O541" s="7" t="n">
        <v>45.06</v>
      </c>
      <c r="P541" s="8" t="n">
        <v>60.6</v>
      </c>
      <c r="Q541" s="7" t="n">
        <v>58.1</v>
      </c>
      <c r="R541" s="7" t="n">
        <v>52.7</v>
      </c>
      <c r="S541" s="7" t="n">
        <v>49.65</v>
      </c>
      <c r="T541" s="7" t="n">
        <v>57.65</v>
      </c>
      <c r="U541" s="7" t="n">
        <v>36.18</v>
      </c>
      <c r="V541" s="7" t="n">
        <v>56.83</v>
      </c>
      <c r="W541" s="7" t="n"/>
      <c r="X541" s="7" t="n"/>
      <c r="Y541" s="7" t="n"/>
    </row>
    <row r="542" ht="15" customHeight="1">
      <c r="A542" s="13" t="n">
        <v>45464</v>
      </c>
      <c r="B542" s="8" t="n">
        <v>67.88</v>
      </c>
      <c r="C542" s="7" t="n">
        <v>38.07</v>
      </c>
      <c r="D542" s="7" t="n">
        <v>49.53</v>
      </c>
      <c r="E542" s="7" t="n">
        <v>47.91</v>
      </c>
      <c r="F542" s="7" t="n">
        <v>41.33</v>
      </c>
      <c r="G542" s="7" t="n">
        <v>45.83</v>
      </c>
      <c r="H542" s="7" t="n">
        <v>39.47</v>
      </c>
      <c r="I542" s="9" t="n">
        <v>70.26000000000001</v>
      </c>
      <c r="J542" s="7" t="n">
        <v>59.63</v>
      </c>
      <c r="K542" s="8" t="n">
        <v>65.75</v>
      </c>
      <c r="L542" s="8" t="n">
        <v>63.28</v>
      </c>
      <c r="M542" s="7" t="n">
        <v>56.33</v>
      </c>
      <c r="N542" s="8" t="n">
        <v>64.08</v>
      </c>
      <c r="O542" s="7" t="n">
        <v>50.28</v>
      </c>
      <c r="P542" s="8" t="n">
        <v>61.74</v>
      </c>
      <c r="Q542" s="7" t="n">
        <v>57.95</v>
      </c>
      <c r="R542" s="7" t="n">
        <v>58.24</v>
      </c>
      <c r="S542" s="7" t="n">
        <v>51.24</v>
      </c>
      <c r="T542" s="8" t="n">
        <v>64.66</v>
      </c>
      <c r="U542" s="7" t="n">
        <v>42.02</v>
      </c>
      <c r="V542" s="8" t="n">
        <v>60.13</v>
      </c>
      <c r="W542" s="7" t="n"/>
      <c r="X542" s="7" t="n"/>
      <c r="Y542" s="7" t="n"/>
    </row>
    <row r="543" ht="15" customHeight="1">
      <c r="A543" s="13" t="n">
        <v>45463</v>
      </c>
      <c r="B543" s="8" t="n">
        <v>65.79000000000001</v>
      </c>
      <c r="C543" s="7" t="n">
        <v>41.02</v>
      </c>
      <c r="D543" s="7" t="n">
        <v>55.23</v>
      </c>
      <c r="E543" s="7" t="n">
        <v>52.26</v>
      </c>
      <c r="F543" s="7" t="n">
        <v>43.4</v>
      </c>
      <c r="G543" s="7" t="n">
        <v>47.89</v>
      </c>
      <c r="H543" s="7" t="n">
        <v>41.26</v>
      </c>
      <c r="I543" s="8" t="n">
        <v>69.76000000000001</v>
      </c>
      <c r="J543" s="8" t="n">
        <v>65.73999999999999</v>
      </c>
      <c r="K543" s="8" t="n">
        <v>61.97</v>
      </c>
      <c r="L543" s="9" t="n">
        <v>70.11</v>
      </c>
      <c r="M543" s="7" t="n">
        <v>54.44</v>
      </c>
      <c r="N543" s="9" t="n">
        <v>75.02</v>
      </c>
      <c r="O543" s="7" t="n">
        <v>53.96</v>
      </c>
      <c r="P543" s="8" t="n">
        <v>62.65</v>
      </c>
      <c r="Q543" s="7" t="n">
        <v>49.18</v>
      </c>
      <c r="R543" s="7" t="n">
        <v>57.85</v>
      </c>
      <c r="S543" s="7" t="n">
        <v>56.82</v>
      </c>
      <c r="T543" s="8" t="n">
        <v>63.27</v>
      </c>
      <c r="U543" s="7" t="n">
        <v>40.51</v>
      </c>
      <c r="V543" s="8" t="n">
        <v>66.86</v>
      </c>
      <c r="W543" s="7" t="n"/>
      <c r="X543" s="7" t="n"/>
      <c r="Y543" s="7" t="n"/>
    </row>
    <row r="544" ht="15" customHeight="1">
      <c r="A544" s="13" t="n">
        <v>45462</v>
      </c>
      <c r="B544" s="8" t="n">
        <v>69.03</v>
      </c>
      <c r="C544" s="7" t="n">
        <v>42.05</v>
      </c>
      <c r="D544" s="7" t="n">
        <v>44.43</v>
      </c>
      <c r="E544" s="7" t="n">
        <v>49.22</v>
      </c>
      <c r="F544" s="7" t="n">
        <v>46.85</v>
      </c>
      <c r="G544" s="7" t="n">
        <v>47.05</v>
      </c>
      <c r="H544" s="7" t="n">
        <v>41.95</v>
      </c>
      <c r="I544" s="8" t="n">
        <v>69.31</v>
      </c>
      <c r="J544" s="8" t="n">
        <v>64.75</v>
      </c>
      <c r="K544" s="7" t="n">
        <v>59.14</v>
      </c>
      <c r="L544" s="9" t="n">
        <v>74.19</v>
      </c>
      <c r="M544" s="7" t="n">
        <v>52.35</v>
      </c>
      <c r="N544" s="9" t="n">
        <v>70.03</v>
      </c>
      <c r="O544" s="7" t="n">
        <v>46.8</v>
      </c>
      <c r="P544" s="7" t="n">
        <v>59.4</v>
      </c>
      <c r="Q544" s="7" t="n">
        <v>47.98</v>
      </c>
      <c r="R544" s="7" t="n">
        <v>53.33</v>
      </c>
      <c r="S544" s="7" t="n">
        <v>47.76</v>
      </c>
      <c r="T544" s="7" t="n">
        <v>57.45</v>
      </c>
      <c r="U544" s="7" t="n">
        <v>40.4</v>
      </c>
      <c r="V544" s="8" t="n">
        <v>66.47</v>
      </c>
      <c r="W544" s="7" t="n"/>
      <c r="X544" s="7" t="n"/>
      <c r="Y544" s="7" t="n"/>
    </row>
    <row r="545" ht="15" customHeight="1">
      <c r="A545" s="13" t="n">
        <v>45461</v>
      </c>
      <c r="B545" s="9" t="n">
        <v>82.8</v>
      </c>
      <c r="C545" s="7" t="n">
        <v>44.19</v>
      </c>
      <c r="D545" s="7" t="n">
        <v>47.31</v>
      </c>
      <c r="E545" s="7" t="n">
        <v>46.73</v>
      </c>
      <c r="F545" s="7" t="n">
        <v>39.09</v>
      </c>
      <c r="G545" s="7" t="n">
        <v>50.65</v>
      </c>
      <c r="H545" s="7" t="n">
        <v>35.57</v>
      </c>
      <c r="I545" s="8" t="n">
        <v>67.47</v>
      </c>
      <c r="J545" s="8" t="n">
        <v>61.23</v>
      </c>
      <c r="K545" s="7" t="n">
        <v>55.02</v>
      </c>
      <c r="L545" s="9" t="n">
        <v>70.42</v>
      </c>
      <c r="M545" s="7" t="n">
        <v>54.67</v>
      </c>
      <c r="N545" s="8" t="n">
        <v>69.33</v>
      </c>
      <c r="O545" s="7" t="n">
        <v>39.97</v>
      </c>
      <c r="P545" s="7" t="n">
        <v>54.7</v>
      </c>
      <c r="Q545" s="7" t="n">
        <v>50.95</v>
      </c>
      <c r="R545" s="7" t="n">
        <v>47.56</v>
      </c>
      <c r="S545" s="7" t="n">
        <v>44.76</v>
      </c>
      <c r="T545" s="7" t="n">
        <v>49.85</v>
      </c>
      <c r="U545" s="7" t="n">
        <v>36.2</v>
      </c>
      <c r="V545" s="8" t="n">
        <v>62.48</v>
      </c>
      <c r="W545" s="7" t="n"/>
      <c r="X545" s="7" t="n"/>
      <c r="Y545" s="7" t="n"/>
    </row>
    <row r="546" ht="15" customHeight="1">
      <c r="A546" s="13" t="n">
        <v>45460</v>
      </c>
      <c r="B546" s="9" t="n">
        <v>84.78</v>
      </c>
      <c r="C546" s="7" t="n">
        <v>46.18</v>
      </c>
      <c r="D546" s="7" t="n">
        <v>49.42</v>
      </c>
      <c r="E546" s="7" t="n">
        <v>51.33</v>
      </c>
      <c r="F546" s="7" t="n">
        <v>39.3</v>
      </c>
      <c r="G546" s="7" t="n">
        <v>48.9</v>
      </c>
      <c r="H546" s="7" t="n">
        <v>36.79</v>
      </c>
      <c r="I546" s="8" t="n">
        <v>67.65000000000001</v>
      </c>
      <c r="J546" s="7" t="n">
        <v>56.29</v>
      </c>
      <c r="K546" s="7" t="n">
        <v>56.58</v>
      </c>
      <c r="L546" s="8" t="n">
        <v>69.39</v>
      </c>
      <c r="M546" s="7" t="n">
        <v>55.94</v>
      </c>
      <c r="N546" s="8" t="n">
        <v>66.45</v>
      </c>
      <c r="O546" s="7" t="n">
        <v>41.65</v>
      </c>
      <c r="P546" s="7" t="n">
        <v>50.22</v>
      </c>
      <c r="Q546" s="7" t="n">
        <v>44.55</v>
      </c>
      <c r="R546" s="7" t="n">
        <v>47.65</v>
      </c>
      <c r="S546" s="7" t="n">
        <v>36.34</v>
      </c>
      <c r="T546" s="7" t="n">
        <v>46.41</v>
      </c>
      <c r="U546" s="7" t="n">
        <v>37.18</v>
      </c>
      <c r="V546" s="7" t="n">
        <v>59.16</v>
      </c>
      <c r="W546" s="7" t="n"/>
      <c r="X546" s="7" t="n"/>
      <c r="Y546" s="7" t="n"/>
    </row>
    <row r="547" ht="15" customHeight="1">
      <c r="A547" s="13" t="n">
        <v>45457</v>
      </c>
      <c r="B547" s="9" t="n">
        <v>82.09999999999999</v>
      </c>
      <c r="C547" s="7" t="n">
        <v>44.76</v>
      </c>
      <c r="D547" s="7" t="n">
        <v>50.97</v>
      </c>
      <c r="E547" s="7" t="n">
        <v>56.85</v>
      </c>
      <c r="F547" s="7" t="n">
        <v>41.1</v>
      </c>
      <c r="G547" s="7" t="n">
        <v>49.96</v>
      </c>
      <c r="H547" s="7" t="n">
        <v>40.85</v>
      </c>
      <c r="I547" s="8" t="n">
        <v>66.79000000000001</v>
      </c>
      <c r="J547" s="8" t="n">
        <v>60.97</v>
      </c>
      <c r="K547" s="7" t="n">
        <v>56.12</v>
      </c>
      <c r="L547" s="8" t="n">
        <v>61.94</v>
      </c>
      <c r="M547" s="7" t="n">
        <v>57.6</v>
      </c>
      <c r="N547" s="8" t="n">
        <v>65.04000000000001</v>
      </c>
      <c r="O547" s="7" t="n">
        <v>45.03</v>
      </c>
      <c r="P547" s="7" t="n">
        <v>54.37</v>
      </c>
      <c r="Q547" s="7" t="n">
        <v>45.15</v>
      </c>
      <c r="R547" s="7" t="n">
        <v>49.61</v>
      </c>
      <c r="S547" s="7" t="n">
        <v>36.35</v>
      </c>
      <c r="T547" s="7" t="n">
        <v>45.49</v>
      </c>
      <c r="U547" s="7" t="n">
        <v>42.93</v>
      </c>
      <c r="V547" s="8" t="n">
        <v>61.41</v>
      </c>
      <c r="W547" s="7" t="n"/>
      <c r="X547" s="7" t="n"/>
      <c r="Y547" s="7" t="n"/>
    </row>
    <row r="548" ht="15" customHeight="1">
      <c r="A548" s="13" t="n">
        <v>45456</v>
      </c>
      <c r="B548" s="9" t="n">
        <v>78.53</v>
      </c>
      <c r="C548" s="7" t="n">
        <v>46.68</v>
      </c>
      <c r="D548" s="7" t="n">
        <v>47.24</v>
      </c>
      <c r="E548" s="7" t="n">
        <v>59.44</v>
      </c>
      <c r="F548" s="7" t="n">
        <v>41.17</v>
      </c>
      <c r="G548" s="7" t="n">
        <v>52.07</v>
      </c>
      <c r="H548" s="7" t="n">
        <v>39.98</v>
      </c>
      <c r="I548" s="8" t="n">
        <v>69.01000000000001</v>
      </c>
      <c r="J548" s="8" t="n">
        <v>60.95</v>
      </c>
      <c r="K548" s="7" t="n">
        <v>57.07</v>
      </c>
      <c r="L548" s="7" t="n">
        <v>57.82</v>
      </c>
      <c r="M548" s="7" t="n">
        <v>56.5</v>
      </c>
      <c r="N548" s="8" t="n">
        <v>64.65000000000001</v>
      </c>
      <c r="O548" s="7" t="n">
        <v>46.54</v>
      </c>
      <c r="P548" s="7" t="n">
        <v>45.94</v>
      </c>
      <c r="Q548" s="7" t="n">
        <v>45.35</v>
      </c>
      <c r="R548" s="7" t="n">
        <v>51.85</v>
      </c>
      <c r="S548" s="7" t="n">
        <v>39.02</v>
      </c>
      <c r="T548" s="7" t="n">
        <v>44.35</v>
      </c>
      <c r="U548" s="7" t="n">
        <v>41.63</v>
      </c>
      <c r="V548" s="8" t="n">
        <v>60.83</v>
      </c>
      <c r="W548" s="7" t="n"/>
      <c r="X548" s="7" t="n"/>
      <c r="Y548" s="7" t="n"/>
    </row>
    <row r="549" ht="15" customHeight="1">
      <c r="A549" s="13" t="n">
        <v>45455</v>
      </c>
      <c r="B549" s="9" t="n">
        <v>78.48999999999999</v>
      </c>
      <c r="C549" s="7" t="n">
        <v>52.16</v>
      </c>
      <c r="D549" s="7" t="n">
        <v>44.23</v>
      </c>
      <c r="E549" s="8" t="n">
        <v>61.17</v>
      </c>
      <c r="F549" s="7" t="n">
        <v>44.52</v>
      </c>
      <c r="G549" s="7" t="n">
        <v>48.84</v>
      </c>
      <c r="H549" s="7" t="n">
        <v>41.86</v>
      </c>
      <c r="I549" s="8" t="n">
        <v>65.93000000000001</v>
      </c>
      <c r="J549" s="7" t="n">
        <v>54.79</v>
      </c>
      <c r="K549" s="7" t="n">
        <v>45.2</v>
      </c>
      <c r="L549" s="7" t="n">
        <v>58.24</v>
      </c>
      <c r="M549" s="7" t="n">
        <v>49.75</v>
      </c>
      <c r="N549" s="8" t="n">
        <v>60.83</v>
      </c>
      <c r="O549" s="7" t="n">
        <v>45.98</v>
      </c>
      <c r="P549" s="7" t="n">
        <v>46.25</v>
      </c>
      <c r="Q549" s="7" t="n">
        <v>49.52</v>
      </c>
      <c r="R549" s="7" t="n">
        <v>52.87</v>
      </c>
      <c r="S549" s="7" t="n">
        <v>40.58</v>
      </c>
      <c r="T549" s="7" t="n">
        <v>47.88</v>
      </c>
      <c r="U549" s="7" t="n">
        <v>38.47</v>
      </c>
      <c r="V549" s="7" t="n">
        <v>56.75</v>
      </c>
      <c r="W549" s="7" t="n"/>
      <c r="X549" s="7" t="n"/>
      <c r="Y549" s="7" t="n"/>
    </row>
    <row r="550" ht="15" customHeight="1">
      <c r="A550" s="13" t="n">
        <v>45454</v>
      </c>
      <c r="B550" s="9" t="n">
        <v>75.73999999999999</v>
      </c>
      <c r="C550" s="7" t="n">
        <v>50.51</v>
      </c>
      <c r="D550" s="7" t="n">
        <v>42.47</v>
      </c>
      <c r="E550" s="7" t="n">
        <v>56.92</v>
      </c>
      <c r="F550" s="7" t="n">
        <v>47.46</v>
      </c>
      <c r="G550" s="7" t="n">
        <v>52.04</v>
      </c>
      <c r="H550" s="7" t="n">
        <v>44.8</v>
      </c>
      <c r="I550" s="7" t="n">
        <v>56.22</v>
      </c>
      <c r="J550" s="7" t="n">
        <v>51.72</v>
      </c>
      <c r="K550" s="7" t="n">
        <v>47.56</v>
      </c>
      <c r="L550" s="7" t="n">
        <v>56.72</v>
      </c>
      <c r="M550" s="7" t="n">
        <v>47.82</v>
      </c>
      <c r="N550" s="7" t="n">
        <v>59.14</v>
      </c>
      <c r="O550" s="7" t="n">
        <v>41.66</v>
      </c>
      <c r="P550" s="7" t="n">
        <v>49.55</v>
      </c>
      <c r="Q550" s="7" t="n">
        <v>48.29</v>
      </c>
      <c r="R550" s="7" t="n">
        <v>49.31</v>
      </c>
      <c r="S550" s="7" t="n">
        <v>39.11</v>
      </c>
      <c r="T550" s="7" t="n">
        <v>48.04</v>
      </c>
      <c r="U550" s="7" t="n">
        <v>34.93</v>
      </c>
      <c r="V550" s="7" t="n">
        <v>53.55</v>
      </c>
      <c r="W550" s="7" t="n"/>
      <c r="X550" s="7" t="n"/>
      <c r="Y550" s="7" t="n"/>
    </row>
    <row r="551" ht="15" customHeight="1">
      <c r="A551" s="13" t="n">
        <v>45453</v>
      </c>
      <c r="B551" s="9" t="n">
        <v>78.28</v>
      </c>
      <c r="C551" s="7" t="n">
        <v>48.06</v>
      </c>
      <c r="D551" s="7" t="n">
        <v>45.88</v>
      </c>
      <c r="E551" s="7" t="n">
        <v>50.63</v>
      </c>
      <c r="F551" s="7" t="n">
        <v>45.65</v>
      </c>
      <c r="G551" s="7" t="n">
        <v>55.54</v>
      </c>
      <c r="H551" s="7" t="n">
        <v>41.79</v>
      </c>
      <c r="I551" s="7" t="n">
        <v>58.11</v>
      </c>
      <c r="J551" s="7" t="n">
        <v>51.4</v>
      </c>
      <c r="K551" s="7" t="n">
        <v>51.27</v>
      </c>
      <c r="L551" s="7" t="n">
        <v>55.92</v>
      </c>
      <c r="M551" s="7" t="n">
        <v>41.34</v>
      </c>
      <c r="N551" s="7" t="n">
        <v>56.6</v>
      </c>
      <c r="O551" s="7" t="n">
        <v>45.06</v>
      </c>
      <c r="P551" s="7" t="n">
        <v>54.98</v>
      </c>
      <c r="Q551" s="7" t="n">
        <v>50.03</v>
      </c>
      <c r="R551" s="7" t="n">
        <v>51.09</v>
      </c>
      <c r="S551" s="7" t="n">
        <v>42.86</v>
      </c>
      <c r="T551" s="7" t="n">
        <v>49.25</v>
      </c>
      <c r="U551" s="7" t="n">
        <v>35.47</v>
      </c>
      <c r="V551" s="7" t="n">
        <v>52.49</v>
      </c>
      <c r="W551" s="7" t="n"/>
      <c r="X551" s="7" t="n"/>
      <c r="Y551" s="7" t="n"/>
    </row>
    <row r="552" ht="15" customHeight="1">
      <c r="A552" s="13" t="n">
        <v>45450</v>
      </c>
      <c r="B552" s="8" t="n">
        <v>69.56</v>
      </c>
      <c r="C552" s="7" t="n">
        <v>52.69</v>
      </c>
      <c r="D552" s="7" t="n">
        <v>45.03</v>
      </c>
      <c r="E552" s="7" t="n">
        <v>53.72</v>
      </c>
      <c r="F552" s="7" t="n">
        <v>51.56</v>
      </c>
      <c r="G552" s="7" t="n">
        <v>55.58</v>
      </c>
      <c r="H552" s="7" t="n">
        <v>47.6</v>
      </c>
      <c r="I552" s="7" t="n">
        <v>55.54</v>
      </c>
      <c r="J552" s="7" t="n">
        <v>54.87</v>
      </c>
      <c r="K552" s="7" t="n">
        <v>53.3</v>
      </c>
      <c r="L552" s="7" t="n">
        <v>54.86</v>
      </c>
      <c r="M552" s="7" t="n">
        <v>44.77</v>
      </c>
      <c r="N552" s="7" t="n">
        <v>55.49</v>
      </c>
      <c r="O552" s="7" t="n">
        <v>44.86</v>
      </c>
      <c r="P552" s="8" t="n">
        <v>64.13</v>
      </c>
      <c r="Q552" s="7" t="n">
        <v>55.52</v>
      </c>
      <c r="R552" s="7" t="n">
        <v>53</v>
      </c>
      <c r="S552" s="7" t="n">
        <v>45.89</v>
      </c>
      <c r="T552" s="7" t="n">
        <v>50.08</v>
      </c>
      <c r="U552" s="7" t="n">
        <v>41.75</v>
      </c>
      <c r="V552" s="7" t="n">
        <v>55.34</v>
      </c>
      <c r="W552" s="7" t="n"/>
      <c r="X552" s="7" t="n"/>
      <c r="Y552" s="7" t="n"/>
    </row>
    <row r="553" ht="15" customHeight="1">
      <c r="A553" s="13" t="n">
        <v>45449</v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</row>
    <row r="554" ht="15" customHeight="1">
      <c r="A554" s="13" t="n">
        <v>45448</v>
      </c>
      <c r="B554" s="8" t="n">
        <v>65.97</v>
      </c>
      <c r="C554" s="7" t="n">
        <v>49.06</v>
      </c>
      <c r="D554" s="7" t="n">
        <v>47.89</v>
      </c>
      <c r="E554" s="7" t="n">
        <v>50.39</v>
      </c>
      <c r="F554" s="7" t="n">
        <v>52.01</v>
      </c>
      <c r="G554" s="8" t="n">
        <v>61.83</v>
      </c>
      <c r="H554" s="7" t="n">
        <v>44.16</v>
      </c>
      <c r="I554" s="7" t="n">
        <v>54.29</v>
      </c>
      <c r="J554" s="7" t="n">
        <v>50.48</v>
      </c>
      <c r="K554" s="7" t="n">
        <v>49.92</v>
      </c>
      <c r="L554" s="7" t="n">
        <v>52.17</v>
      </c>
      <c r="M554" s="7" t="n">
        <v>42.43</v>
      </c>
      <c r="N554" s="8" t="n">
        <v>64.45</v>
      </c>
      <c r="O554" s="7" t="n">
        <v>44.79</v>
      </c>
      <c r="P554" s="8" t="n">
        <v>60.68</v>
      </c>
      <c r="Q554" s="7" t="n">
        <v>50.54</v>
      </c>
      <c r="R554" s="7" t="n">
        <v>44.77</v>
      </c>
      <c r="S554" s="7" t="n">
        <v>41.57</v>
      </c>
      <c r="T554" s="7" t="n">
        <v>46.79</v>
      </c>
      <c r="U554" s="7" t="n">
        <v>40.25</v>
      </c>
      <c r="V554" s="7" t="n">
        <v>51.24</v>
      </c>
      <c r="W554" s="7" t="n"/>
      <c r="X554" s="7" t="n"/>
      <c r="Y554" s="7" t="n"/>
    </row>
    <row r="555" ht="15" customHeight="1">
      <c r="A555" s="13" t="n">
        <v>45447</v>
      </c>
      <c r="B555" s="8" t="n">
        <v>64.51000000000001</v>
      </c>
      <c r="C555" s="7" t="n">
        <v>43.82</v>
      </c>
      <c r="D555" s="7" t="n">
        <v>57.78</v>
      </c>
      <c r="E555" s="7" t="n">
        <v>46.83</v>
      </c>
      <c r="F555" s="7" t="n">
        <v>48.86</v>
      </c>
      <c r="G555" s="7" t="n">
        <v>56.21</v>
      </c>
      <c r="H555" s="7" t="n">
        <v>39.31</v>
      </c>
      <c r="I555" s="7" t="n">
        <v>51.56</v>
      </c>
      <c r="J555" s="7" t="n">
        <v>44.02</v>
      </c>
      <c r="K555" s="7" t="n">
        <v>43.66</v>
      </c>
      <c r="L555" s="7" t="n">
        <v>50.81</v>
      </c>
      <c r="M555" s="7" t="n">
        <v>42</v>
      </c>
      <c r="N555" s="8" t="n">
        <v>60.38</v>
      </c>
      <c r="O555" s="7" t="n">
        <v>47.35</v>
      </c>
      <c r="P555" s="8" t="n">
        <v>60.78</v>
      </c>
      <c r="Q555" s="7" t="n">
        <v>46.66</v>
      </c>
      <c r="R555" s="7" t="n">
        <v>45.97</v>
      </c>
      <c r="S555" s="7" t="n">
        <v>38.18</v>
      </c>
      <c r="T555" s="7" t="n">
        <v>47.69</v>
      </c>
      <c r="U555" s="7" t="n">
        <v>40.52</v>
      </c>
      <c r="V555" s="7" t="n">
        <v>45.47</v>
      </c>
      <c r="W555" s="7" t="n"/>
      <c r="X555" s="7" t="n"/>
      <c r="Y555" s="7" t="n"/>
    </row>
    <row r="556" ht="15" customHeight="1">
      <c r="A556" s="13" t="n">
        <v>45446</v>
      </c>
      <c r="B556" s="9" t="n">
        <v>73.58</v>
      </c>
      <c r="C556" s="7" t="n">
        <v>48.17</v>
      </c>
      <c r="D556" s="7" t="n">
        <v>49.17</v>
      </c>
      <c r="E556" s="7" t="n">
        <v>51.58</v>
      </c>
      <c r="F556" s="7" t="n">
        <v>41.03</v>
      </c>
      <c r="G556" s="7" t="n">
        <v>53.53</v>
      </c>
      <c r="H556" s="7" t="n">
        <v>39.15</v>
      </c>
      <c r="I556" s="7" t="n">
        <v>57.15</v>
      </c>
      <c r="J556" s="7" t="n">
        <v>44.77</v>
      </c>
      <c r="K556" s="7" t="n">
        <v>45.75</v>
      </c>
      <c r="L556" s="7" t="n">
        <v>56.49</v>
      </c>
      <c r="M556" s="7" t="n">
        <v>50.04</v>
      </c>
      <c r="N556" s="8" t="n">
        <v>61.87</v>
      </c>
      <c r="O556" s="7" t="n">
        <v>52.59</v>
      </c>
      <c r="P556" s="8" t="n">
        <v>63.5</v>
      </c>
      <c r="Q556" s="7" t="n">
        <v>55.07</v>
      </c>
      <c r="R556" s="7" t="n">
        <v>54.65</v>
      </c>
      <c r="S556" s="7" t="n">
        <v>45</v>
      </c>
      <c r="T556" s="7" t="n">
        <v>54.19</v>
      </c>
      <c r="U556" s="7" t="n">
        <v>36.49</v>
      </c>
      <c r="V556" s="7" t="n">
        <v>47.07</v>
      </c>
      <c r="W556" s="7" t="n"/>
      <c r="X556" s="7" t="n"/>
      <c r="Y556" s="7" t="n"/>
    </row>
    <row r="557" ht="15" customHeight="1">
      <c r="A557" s="13" t="n">
        <v>45443</v>
      </c>
      <c r="B557" s="8" t="n">
        <v>68.76000000000001</v>
      </c>
      <c r="C557" s="7" t="n">
        <v>53.38</v>
      </c>
      <c r="D557" s="7" t="n">
        <v>41.99</v>
      </c>
      <c r="E557" s="7" t="n">
        <v>49.45</v>
      </c>
      <c r="F557" s="10" t="n">
        <v>29.31</v>
      </c>
      <c r="G557" s="7" t="n">
        <v>47.22</v>
      </c>
      <c r="H557" s="7" t="n">
        <v>38.39</v>
      </c>
      <c r="I557" s="8" t="n">
        <v>65.29000000000001</v>
      </c>
      <c r="J557" s="7" t="n">
        <v>37.66</v>
      </c>
      <c r="K557" s="7" t="n">
        <v>45.07</v>
      </c>
      <c r="L557" s="7" t="n">
        <v>45.77</v>
      </c>
      <c r="M557" s="7" t="n">
        <v>34.78</v>
      </c>
      <c r="N557" s="7" t="n">
        <v>43.82</v>
      </c>
      <c r="O557" s="7" t="n">
        <v>49.68</v>
      </c>
      <c r="P557" s="7" t="n">
        <v>52.91</v>
      </c>
      <c r="Q557" s="7" t="n">
        <v>45.92</v>
      </c>
      <c r="R557" s="7" t="n">
        <v>53.12</v>
      </c>
      <c r="S557" s="7" t="n">
        <v>43.07</v>
      </c>
      <c r="T557" s="7" t="n">
        <v>50.73</v>
      </c>
      <c r="U557" s="10" t="n">
        <v>29.98</v>
      </c>
      <c r="V557" s="7" t="n">
        <v>39.26</v>
      </c>
      <c r="W557" s="7" t="n"/>
      <c r="X557" s="7" t="n"/>
      <c r="Y557" s="7" t="n"/>
    </row>
    <row r="558" ht="15" customHeight="1">
      <c r="A558" s="13" t="n">
        <v>45442</v>
      </c>
      <c r="B558" s="8" t="n">
        <v>69.94</v>
      </c>
      <c r="C558" s="7" t="n">
        <v>35.65</v>
      </c>
      <c r="D558" s="7" t="n">
        <v>38.62</v>
      </c>
      <c r="E558" s="7" t="n">
        <v>44.46</v>
      </c>
      <c r="F558" s="7" t="n">
        <v>30.57</v>
      </c>
      <c r="G558" s="7" t="n">
        <v>36.91</v>
      </c>
      <c r="H558" s="7" t="n">
        <v>36.43</v>
      </c>
      <c r="I558" s="8" t="n">
        <v>65.25</v>
      </c>
      <c r="J558" s="7" t="n">
        <v>38.75</v>
      </c>
      <c r="K558" s="7" t="n">
        <v>38.89</v>
      </c>
      <c r="L558" s="7" t="n">
        <v>48.33</v>
      </c>
      <c r="M558" s="7" t="n">
        <v>32.99</v>
      </c>
      <c r="N558" s="7" t="n">
        <v>37.16</v>
      </c>
      <c r="O558" s="7" t="n">
        <v>47.35</v>
      </c>
      <c r="P558" s="7" t="n">
        <v>50.02</v>
      </c>
      <c r="Q558" s="7" t="n">
        <v>47.64</v>
      </c>
      <c r="R558" s="7" t="n">
        <v>48.65</v>
      </c>
      <c r="S558" s="7" t="n">
        <v>44.07</v>
      </c>
      <c r="T558" s="7" t="n">
        <v>49.67</v>
      </c>
      <c r="U558" s="7" t="n">
        <v>30.08</v>
      </c>
      <c r="V558" s="7" t="n">
        <v>40.05</v>
      </c>
      <c r="W558" s="7" t="n"/>
      <c r="X558" s="7" t="n"/>
      <c r="Y558" s="7" t="n"/>
    </row>
    <row r="559" ht="15" customHeight="1">
      <c r="A559" s="13" t="n">
        <v>45441</v>
      </c>
      <c r="B559" s="9" t="n">
        <v>76.65000000000001</v>
      </c>
      <c r="C559" s="7" t="n">
        <v>37.34</v>
      </c>
      <c r="D559" s="7" t="n">
        <v>42.29</v>
      </c>
      <c r="E559" s="7" t="n">
        <v>47.67</v>
      </c>
      <c r="F559" s="7" t="n">
        <v>31.49</v>
      </c>
      <c r="G559" s="7" t="n">
        <v>43.72</v>
      </c>
      <c r="H559" s="7" t="n">
        <v>39.71</v>
      </c>
      <c r="I559" s="9" t="n">
        <v>71.34</v>
      </c>
      <c r="J559" s="7" t="n">
        <v>45.22</v>
      </c>
      <c r="K559" s="7" t="n">
        <v>39.52</v>
      </c>
      <c r="L559" s="7" t="n">
        <v>56.44</v>
      </c>
      <c r="M559" s="7" t="n">
        <v>33.49</v>
      </c>
      <c r="N559" s="7" t="n">
        <v>42.15</v>
      </c>
      <c r="O559" s="7" t="n">
        <v>56.1</v>
      </c>
      <c r="P559" s="7" t="n">
        <v>53.08</v>
      </c>
      <c r="Q559" s="7" t="n">
        <v>48.46</v>
      </c>
      <c r="R559" s="7" t="n">
        <v>49.41</v>
      </c>
      <c r="S559" s="7" t="n">
        <v>43.28</v>
      </c>
      <c r="T559" s="7" t="n">
        <v>50.01</v>
      </c>
      <c r="U559" s="7" t="n">
        <v>32.31</v>
      </c>
      <c r="V559" s="7" t="n">
        <v>46.72</v>
      </c>
      <c r="W559" s="7" t="n"/>
      <c r="X559" s="7" t="n"/>
      <c r="Y559" s="7" t="n"/>
    </row>
    <row r="560" ht="15" customHeight="1">
      <c r="A560" s="13" t="n">
        <v>45440</v>
      </c>
      <c r="B560" s="9" t="n">
        <v>80.29000000000001</v>
      </c>
      <c r="C560" s="7" t="n">
        <v>39.95</v>
      </c>
      <c r="D560" s="7" t="n">
        <v>48.33</v>
      </c>
      <c r="E560" s="7" t="n">
        <v>54.51</v>
      </c>
      <c r="F560" s="7" t="n">
        <v>35.81</v>
      </c>
      <c r="G560" s="7" t="n">
        <v>47.11</v>
      </c>
      <c r="H560" s="7" t="n">
        <v>42.96</v>
      </c>
      <c r="I560" s="9" t="n">
        <v>75.68000000000001</v>
      </c>
      <c r="J560" s="7" t="n">
        <v>53.61</v>
      </c>
      <c r="K560" s="7" t="n">
        <v>44.33</v>
      </c>
      <c r="L560" s="8" t="n">
        <v>61.85</v>
      </c>
      <c r="M560" s="7" t="n">
        <v>38.61</v>
      </c>
      <c r="N560" s="7" t="n">
        <v>44.3</v>
      </c>
      <c r="O560" s="7" t="n">
        <v>59.17</v>
      </c>
      <c r="P560" s="7" t="n">
        <v>54.42</v>
      </c>
      <c r="Q560" s="7" t="n">
        <v>48.44</v>
      </c>
      <c r="R560" s="7" t="n">
        <v>51.2</v>
      </c>
      <c r="S560" s="7" t="n">
        <v>43.04</v>
      </c>
      <c r="T560" s="7" t="n">
        <v>51.3</v>
      </c>
      <c r="U560" s="7" t="n">
        <v>36.66</v>
      </c>
      <c r="V560" s="7" t="n">
        <v>55.42</v>
      </c>
      <c r="W560" s="7" t="n"/>
      <c r="X560" s="7" t="n"/>
      <c r="Y560" s="7" t="n"/>
    </row>
    <row r="561" ht="15" customHeight="1">
      <c r="A561" s="13" t="n">
        <v>45439</v>
      </c>
      <c r="B561" s="9" t="n">
        <v>79.22</v>
      </c>
      <c r="C561" s="7" t="n">
        <v>42.44</v>
      </c>
      <c r="D561" s="7" t="n">
        <v>42.55</v>
      </c>
      <c r="E561" s="7" t="n">
        <v>58.76</v>
      </c>
      <c r="F561" s="7" t="n">
        <v>36.96</v>
      </c>
      <c r="G561" s="7" t="n">
        <v>49.26</v>
      </c>
      <c r="H561" s="7" t="n">
        <v>47.41</v>
      </c>
      <c r="I561" s="9" t="n">
        <v>72.78</v>
      </c>
      <c r="J561" s="7" t="n">
        <v>52.29</v>
      </c>
      <c r="K561" s="7" t="n">
        <v>45.95</v>
      </c>
      <c r="L561" s="8" t="n">
        <v>60.68</v>
      </c>
      <c r="M561" s="7" t="n">
        <v>41.69</v>
      </c>
      <c r="N561" s="7" t="n">
        <v>44.75</v>
      </c>
      <c r="O561" s="7" t="n">
        <v>59.96</v>
      </c>
      <c r="P561" s="7" t="n">
        <v>52.58</v>
      </c>
      <c r="Q561" s="7" t="n">
        <v>53.54</v>
      </c>
      <c r="R561" s="7" t="n">
        <v>50.76</v>
      </c>
      <c r="S561" s="7" t="n">
        <v>43.87</v>
      </c>
      <c r="T561" s="7" t="n">
        <v>48.32</v>
      </c>
      <c r="U561" s="7" t="n">
        <v>43.32</v>
      </c>
      <c r="V561" s="7" t="n">
        <v>54.66</v>
      </c>
      <c r="W561" s="7" t="n"/>
      <c r="X561" s="7" t="n"/>
      <c r="Y561" s="7" t="n"/>
    </row>
    <row r="562" ht="15" customHeight="1">
      <c r="A562" s="13" t="n">
        <v>45436</v>
      </c>
      <c r="B562" s="9" t="n">
        <v>77.34</v>
      </c>
      <c r="C562" s="7" t="n">
        <v>39.27</v>
      </c>
      <c r="D562" s="7" t="n">
        <v>43.92</v>
      </c>
      <c r="E562" s="7" t="n">
        <v>51.23</v>
      </c>
      <c r="F562" s="7" t="n">
        <v>36.35</v>
      </c>
      <c r="G562" s="7" t="n">
        <v>52.82</v>
      </c>
      <c r="H562" s="7" t="n">
        <v>41.86</v>
      </c>
      <c r="I562" s="8" t="n">
        <v>60.47</v>
      </c>
      <c r="J562" s="7" t="n">
        <v>45.74</v>
      </c>
      <c r="K562" s="7" t="n">
        <v>40.45</v>
      </c>
      <c r="L562" s="7" t="n">
        <v>59.24</v>
      </c>
      <c r="M562" s="7" t="n">
        <v>36.54</v>
      </c>
      <c r="N562" s="7" t="n">
        <v>43.56</v>
      </c>
      <c r="O562" s="7" t="n">
        <v>51.54</v>
      </c>
      <c r="P562" s="7" t="n">
        <v>47.83</v>
      </c>
      <c r="Q562" s="7" t="n">
        <v>50.88</v>
      </c>
      <c r="R562" s="7" t="n">
        <v>49.96</v>
      </c>
      <c r="S562" s="7" t="n">
        <v>42.87</v>
      </c>
      <c r="T562" s="7" t="n">
        <v>48.55</v>
      </c>
      <c r="U562" s="7" t="n">
        <v>40.92</v>
      </c>
      <c r="V562" s="7" t="n">
        <v>47.75</v>
      </c>
      <c r="W562" s="7" t="n"/>
      <c r="X562" s="7" t="n"/>
      <c r="Y562" s="7" t="n"/>
    </row>
    <row r="563" ht="15" customHeight="1">
      <c r="A563" s="13" t="n">
        <v>45435</v>
      </c>
      <c r="B563" s="9" t="n">
        <v>73.91</v>
      </c>
      <c r="C563" s="7" t="n">
        <v>41.77</v>
      </c>
      <c r="D563" s="7" t="n">
        <v>48.47</v>
      </c>
      <c r="E563" s="7" t="n">
        <v>57.4</v>
      </c>
      <c r="F563" s="7" t="n">
        <v>42.06</v>
      </c>
      <c r="G563" s="7" t="n">
        <v>58.25</v>
      </c>
      <c r="H563" s="7" t="n">
        <v>45</v>
      </c>
      <c r="I563" s="7" t="n">
        <v>58.92</v>
      </c>
      <c r="J563" s="7" t="n">
        <v>52.94</v>
      </c>
      <c r="K563" s="7" t="n">
        <v>45.53</v>
      </c>
      <c r="L563" s="8" t="n">
        <v>61.34</v>
      </c>
      <c r="M563" s="7" t="n">
        <v>40.26</v>
      </c>
      <c r="N563" s="7" t="n">
        <v>47.02</v>
      </c>
      <c r="O563" s="7" t="n">
        <v>55.43</v>
      </c>
      <c r="P563" s="7" t="n">
        <v>48.69</v>
      </c>
      <c r="Q563" s="7" t="n">
        <v>51.15</v>
      </c>
      <c r="R563" s="7" t="n">
        <v>51.81</v>
      </c>
      <c r="S563" s="7" t="n">
        <v>48.14</v>
      </c>
      <c r="T563" s="7" t="n">
        <v>51.71</v>
      </c>
      <c r="U563" s="7" t="n">
        <v>44.58</v>
      </c>
      <c r="V563" s="7" t="n">
        <v>54.78</v>
      </c>
      <c r="W563" s="7" t="n"/>
      <c r="X563" s="7" t="n"/>
      <c r="Y563" s="7" t="n"/>
    </row>
    <row r="564" ht="15" customHeight="1">
      <c r="A564" s="13" t="n">
        <v>45434</v>
      </c>
      <c r="B564" s="9" t="n">
        <v>81.29000000000001</v>
      </c>
      <c r="C564" s="7" t="n">
        <v>42.83</v>
      </c>
      <c r="D564" s="7" t="n">
        <v>48.99</v>
      </c>
      <c r="E564" s="7" t="n">
        <v>55.85</v>
      </c>
      <c r="F564" s="7" t="n">
        <v>45.03</v>
      </c>
      <c r="G564" s="8" t="n">
        <v>63.06</v>
      </c>
      <c r="H564" s="7" t="n">
        <v>48.89</v>
      </c>
      <c r="I564" s="7" t="n">
        <v>59.13</v>
      </c>
      <c r="J564" s="7" t="n">
        <v>50.68</v>
      </c>
      <c r="K564" s="7" t="n">
        <v>48.76</v>
      </c>
      <c r="L564" s="8" t="n">
        <v>61.61</v>
      </c>
      <c r="M564" s="7" t="n">
        <v>46.87</v>
      </c>
      <c r="N564" s="7" t="n">
        <v>47.8</v>
      </c>
      <c r="O564" s="7" t="n">
        <v>55.82</v>
      </c>
      <c r="P564" s="7" t="n">
        <v>50.15</v>
      </c>
      <c r="Q564" s="7" t="n">
        <v>58.64</v>
      </c>
      <c r="R564" s="7" t="n">
        <v>54.19</v>
      </c>
      <c r="S564" s="7" t="n">
        <v>51.56</v>
      </c>
      <c r="T564" s="7" t="n">
        <v>51.64</v>
      </c>
      <c r="U564" s="7" t="n">
        <v>45.36</v>
      </c>
      <c r="V564" s="7" t="n">
        <v>53.85</v>
      </c>
      <c r="W564" s="7" t="n"/>
      <c r="X564" s="7" t="n"/>
      <c r="Y564" s="7" t="n"/>
    </row>
    <row r="565" ht="15" customHeight="1">
      <c r="A565" s="13" t="n">
        <v>45433</v>
      </c>
      <c r="B565" s="9" t="n">
        <v>78.79000000000001</v>
      </c>
      <c r="C565" s="7" t="n">
        <v>45.35</v>
      </c>
      <c r="D565" s="7" t="n">
        <v>51.5</v>
      </c>
      <c r="E565" s="7" t="n">
        <v>53.1</v>
      </c>
      <c r="F565" s="7" t="n">
        <v>47.8</v>
      </c>
      <c r="G565" s="8" t="n">
        <v>64.34999999999999</v>
      </c>
      <c r="H565" s="7" t="n">
        <v>52.34</v>
      </c>
      <c r="I565" s="7" t="n">
        <v>54.08</v>
      </c>
      <c r="J565" s="7" t="n">
        <v>51.26</v>
      </c>
      <c r="K565" s="7" t="n">
        <v>48.22</v>
      </c>
      <c r="L565" s="7" t="n">
        <v>52.14</v>
      </c>
      <c r="M565" s="7" t="n">
        <v>48.98</v>
      </c>
      <c r="N565" s="7" t="n">
        <v>46.45</v>
      </c>
      <c r="O565" s="7" t="n">
        <v>48.84</v>
      </c>
      <c r="P565" s="7" t="n">
        <v>52.36</v>
      </c>
      <c r="Q565" s="7" t="n">
        <v>55.52</v>
      </c>
      <c r="R565" s="8" t="n">
        <v>60.01</v>
      </c>
      <c r="S565" s="7" t="n">
        <v>52.73</v>
      </c>
      <c r="T565" s="8" t="n">
        <v>64.02</v>
      </c>
      <c r="U565" s="7" t="n">
        <v>47.05</v>
      </c>
      <c r="V565" s="7" t="n">
        <v>52.22</v>
      </c>
      <c r="W565" s="7" t="n"/>
      <c r="X565" s="7" t="n"/>
      <c r="Y565" s="7" t="n"/>
    </row>
    <row r="566" ht="15" customHeight="1">
      <c r="A566" s="13" t="n">
        <v>45432</v>
      </c>
      <c r="B566" s="9" t="n">
        <v>83.11</v>
      </c>
      <c r="C566" s="7" t="n">
        <v>48.27</v>
      </c>
      <c r="D566" s="7" t="n">
        <v>54.69</v>
      </c>
      <c r="E566" s="7" t="n">
        <v>58.73</v>
      </c>
      <c r="F566" s="7" t="n">
        <v>51.34</v>
      </c>
      <c r="G566" s="9" t="n">
        <v>77.41</v>
      </c>
      <c r="H566" s="7" t="n">
        <v>57.22</v>
      </c>
      <c r="I566" s="7" t="n">
        <v>56.15</v>
      </c>
      <c r="J566" s="7" t="n">
        <v>54.04</v>
      </c>
      <c r="K566" s="7" t="n">
        <v>43.52</v>
      </c>
      <c r="L566" s="7" t="n">
        <v>52.48</v>
      </c>
      <c r="M566" s="7" t="n">
        <v>53.25</v>
      </c>
      <c r="N566" s="7" t="n">
        <v>45.99</v>
      </c>
      <c r="O566" s="7" t="n">
        <v>52.21</v>
      </c>
      <c r="P566" s="7" t="n">
        <v>57.32</v>
      </c>
      <c r="Q566" s="7" t="n">
        <v>59.51</v>
      </c>
      <c r="R566" s="8" t="n">
        <v>61.98</v>
      </c>
      <c r="S566" s="7" t="n">
        <v>54.59</v>
      </c>
      <c r="T566" s="8" t="n">
        <v>65.56999999999999</v>
      </c>
      <c r="U566" s="7" t="n">
        <v>46.53</v>
      </c>
      <c r="V566" s="7" t="n">
        <v>55.65</v>
      </c>
      <c r="W566" s="7" t="n"/>
      <c r="X566" s="7" t="n"/>
      <c r="Y566" s="7" t="n"/>
    </row>
    <row r="567" ht="15" customHeight="1">
      <c r="A567" s="13" t="n">
        <v>45429</v>
      </c>
      <c r="B567" s="9" t="n">
        <v>79.12</v>
      </c>
      <c r="C567" s="7" t="n">
        <v>52.17</v>
      </c>
      <c r="D567" s="7" t="n">
        <v>52.03</v>
      </c>
      <c r="E567" s="7" t="n">
        <v>57.05</v>
      </c>
      <c r="F567" s="7" t="n">
        <v>55.12</v>
      </c>
      <c r="G567" s="9" t="n">
        <v>76.55</v>
      </c>
      <c r="H567" s="7" t="n">
        <v>52.79</v>
      </c>
      <c r="I567" s="7" t="n">
        <v>55.51</v>
      </c>
      <c r="J567" s="7" t="n">
        <v>50.68</v>
      </c>
      <c r="K567" s="7" t="n">
        <v>44.15</v>
      </c>
      <c r="L567" s="7" t="n">
        <v>48.95</v>
      </c>
      <c r="M567" s="7" t="n">
        <v>50.98</v>
      </c>
      <c r="N567" s="7" t="n">
        <v>44</v>
      </c>
      <c r="O567" s="7" t="n">
        <v>52.64</v>
      </c>
      <c r="P567" s="7" t="n">
        <v>51.43</v>
      </c>
      <c r="Q567" s="7" t="n">
        <v>59.33</v>
      </c>
      <c r="R567" s="7" t="n">
        <v>59.84</v>
      </c>
      <c r="S567" s="7" t="n">
        <v>54.69</v>
      </c>
      <c r="T567" s="8" t="n">
        <v>63.35</v>
      </c>
      <c r="U567" s="7" t="n">
        <v>54.14</v>
      </c>
      <c r="V567" s="7" t="n">
        <v>52.49</v>
      </c>
      <c r="W567" s="7" t="n"/>
      <c r="X567" s="7" t="n"/>
      <c r="Y567" s="7" t="n"/>
    </row>
    <row r="568" ht="15" customHeight="1">
      <c r="A568" s="13" t="n">
        <v>45428</v>
      </c>
      <c r="B568" s="8" t="n">
        <v>68.98</v>
      </c>
      <c r="C568" s="7" t="n">
        <v>52.33</v>
      </c>
      <c r="D568" s="7" t="n">
        <v>56.56</v>
      </c>
      <c r="E568" s="8" t="n">
        <v>60.53</v>
      </c>
      <c r="F568" s="7" t="n">
        <v>54.31</v>
      </c>
      <c r="G568" s="9" t="n">
        <v>75.19</v>
      </c>
      <c r="H568" s="7" t="n">
        <v>58.49</v>
      </c>
      <c r="I568" s="8" t="n">
        <v>65.55</v>
      </c>
      <c r="J568" s="7" t="n">
        <v>55.15</v>
      </c>
      <c r="K568" s="7" t="n">
        <v>46.31</v>
      </c>
      <c r="L568" s="7" t="n">
        <v>55.27</v>
      </c>
      <c r="M568" s="7" t="n">
        <v>54.69</v>
      </c>
      <c r="N568" s="7" t="n">
        <v>42.49</v>
      </c>
      <c r="O568" s="8" t="n">
        <v>62.14</v>
      </c>
      <c r="P568" s="7" t="n">
        <v>54.64</v>
      </c>
      <c r="Q568" s="8" t="n">
        <v>64.44</v>
      </c>
      <c r="R568" s="8" t="n">
        <v>64.36</v>
      </c>
      <c r="S568" s="7" t="n">
        <v>59.12</v>
      </c>
      <c r="T568" s="9" t="n">
        <v>71.09999999999999</v>
      </c>
      <c r="U568" s="7" t="n">
        <v>56.93</v>
      </c>
      <c r="V568" s="7" t="n">
        <v>57.52</v>
      </c>
      <c r="W568" s="7" t="n"/>
      <c r="X568" s="7" t="n"/>
      <c r="Y568" s="7" t="n"/>
    </row>
    <row r="569" ht="15" customHeight="1">
      <c r="A569" s="13" t="n">
        <v>45427</v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</row>
    <row r="570" ht="15" customHeight="1">
      <c r="A570" s="13" t="n">
        <v>45426</v>
      </c>
      <c r="B570" s="8" t="n">
        <v>68.55</v>
      </c>
      <c r="C570" s="7" t="n">
        <v>50.92</v>
      </c>
      <c r="D570" s="7" t="n">
        <v>56.03</v>
      </c>
      <c r="E570" s="7" t="n">
        <v>58.37</v>
      </c>
      <c r="F570" s="7" t="n">
        <v>51.09</v>
      </c>
      <c r="G570" s="8" t="n">
        <v>67.66</v>
      </c>
      <c r="H570" s="7" t="n">
        <v>54.84</v>
      </c>
      <c r="I570" s="8" t="n">
        <v>61.89</v>
      </c>
      <c r="J570" s="7" t="n">
        <v>52.42</v>
      </c>
      <c r="K570" s="7" t="n">
        <v>44.54</v>
      </c>
      <c r="L570" s="7" t="n">
        <v>54.36</v>
      </c>
      <c r="M570" s="7" t="n">
        <v>52.02</v>
      </c>
      <c r="N570" s="7" t="n">
        <v>41.34</v>
      </c>
      <c r="O570" s="8" t="n">
        <v>60.24</v>
      </c>
      <c r="P570" s="8" t="n">
        <v>65.97</v>
      </c>
      <c r="Q570" s="8" t="n">
        <v>62.68</v>
      </c>
      <c r="R570" s="8" t="n">
        <v>60.69</v>
      </c>
      <c r="S570" s="7" t="n">
        <v>56.77</v>
      </c>
      <c r="T570" s="8" t="n">
        <v>64.34</v>
      </c>
      <c r="U570" s="7" t="n">
        <v>55.19</v>
      </c>
      <c r="V570" s="7" t="n">
        <v>54.49</v>
      </c>
      <c r="W570" s="7" t="n"/>
      <c r="X570" s="7" t="n"/>
      <c r="Y570" s="7" t="n"/>
    </row>
    <row r="571" ht="15" customHeight="1">
      <c r="A571" s="13" t="n">
        <v>45425</v>
      </c>
      <c r="B571" s="9" t="n">
        <v>78.73999999999999</v>
      </c>
      <c r="C571" s="7" t="n">
        <v>49.09</v>
      </c>
      <c r="D571" s="7" t="n">
        <v>53.41</v>
      </c>
      <c r="E571" s="7" t="n">
        <v>54.08</v>
      </c>
      <c r="F571" s="7" t="n">
        <v>50.69</v>
      </c>
      <c r="G571" s="8" t="n">
        <v>65.65000000000001</v>
      </c>
      <c r="H571" s="7" t="n">
        <v>52.34</v>
      </c>
      <c r="I571" s="8" t="n">
        <v>61.42</v>
      </c>
      <c r="J571" s="7" t="n">
        <v>51.86</v>
      </c>
      <c r="K571" s="7" t="n">
        <v>37.25</v>
      </c>
      <c r="L571" s="7" t="n">
        <v>55.48</v>
      </c>
      <c r="M571" s="7" t="n">
        <v>51.98</v>
      </c>
      <c r="N571" s="7" t="n">
        <v>36.76</v>
      </c>
      <c r="O571" s="7" t="n">
        <v>54.5</v>
      </c>
      <c r="P571" s="9" t="n">
        <v>70.04000000000001</v>
      </c>
      <c r="Q571" s="7" t="n">
        <v>57.73</v>
      </c>
      <c r="R571" s="8" t="n">
        <v>62.66</v>
      </c>
      <c r="S571" s="7" t="n">
        <v>57.6</v>
      </c>
      <c r="T571" s="8" t="n">
        <v>62.21</v>
      </c>
      <c r="U571" s="7" t="n">
        <v>53.31</v>
      </c>
      <c r="V571" s="7" t="n">
        <v>53.7</v>
      </c>
      <c r="W571" s="7" t="n"/>
      <c r="X571" s="7" t="n"/>
      <c r="Y571" s="7" t="n"/>
    </row>
    <row r="572" ht="15" customHeight="1">
      <c r="A572" s="13" t="n">
        <v>45422</v>
      </c>
      <c r="B572" s="9" t="n">
        <v>73.66</v>
      </c>
      <c r="C572" s="7" t="n">
        <v>55.31</v>
      </c>
      <c r="D572" s="7" t="n">
        <v>57.91</v>
      </c>
      <c r="E572" s="7" t="n">
        <v>57.33</v>
      </c>
      <c r="F572" s="7" t="n">
        <v>53.74</v>
      </c>
      <c r="G572" s="9" t="n">
        <v>70.55</v>
      </c>
      <c r="H572" s="7" t="n">
        <v>53.71</v>
      </c>
      <c r="I572" s="7" t="n">
        <v>58.93</v>
      </c>
      <c r="J572" s="7" t="n">
        <v>52.9</v>
      </c>
      <c r="K572" s="7" t="n">
        <v>39.06</v>
      </c>
      <c r="L572" s="7" t="n">
        <v>51.7</v>
      </c>
      <c r="M572" s="7" t="n">
        <v>54.4</v>
      </c>
      <c r="N572" s="7" t="n">
        <v>45.75</v>
      </c>
      <c r="O572" s="7" t="n">
        <v>53.46</v>
      </c>
      <c r="P572" s="9" t="n">
        <v>70.3</v>
      </c>
      <c r="Q572" s="7" t="n">
        <v>57.49</v>
      </c>
      <c r="R572" s="8" t="n">
        <v>60.17</v>
      </c>
      <c r="S572" s="7" t="n">
        <v>59.49</v>
      </c>
      <c r="T572" s="7" t="n">
        <v>59.64</v>
      </c>
      <c r="U572" s="7" t="n">
        <v>56.28</v>
      </c>
      <c r="V572" s="7" t="n">
        <v>54.19</v>
      </c>
      <c r="W572" s="7" t="n"/>
      <c r="X572" s="7" t="n"/>
      <c r="Y572" s="7" t="n"/>
    </row>
    <row r="573" ht="15" customHeight="1">
      <c r="A573" s="13" t="n">
        <v>45421</v>
      </c>
      <c r="B573" s="8" t="n">
        <v>69.33</v>
      </c>
      <c r="C573" s="7" t="n">
        <v>54.76</v>
      </c>
      <c r="D573" s="7" t="n">
        <v>57.07</v>
      </c>
      <c r="E573" s="7" t="n">
        <v>56.6</v>
      </c>
      <c r="F573" s="7" t="n">
        <v>51.05</v>
      </c>
      <c r="G573" s="8" t="n">
        <v>68.08</v>
      </c>
      <c r="H573" s="7" t="n">
        <v>51.96</v>
      </c>
      <c r="I573" s="8" t="n">
        <v>61.05</v>
      </c>
      <c r="J573" s="7" t="n">
        <v>53.05</v>
      </c>
      <c r="K573" s="7" t="n">
        <v>48.18</v>
      </c>
      <c r="L573" s="7" t="n">
        <v>48.23</v>
      </c>
      <c r="M573" s="7" t="n">
        <v>51.14</v>
      </c>
      <c r="N573" s="7" t="n">
        <v>55.06</v>
      </c>
      <c r="O573" s="7" t="n">
        <v>55.35</v>
      </c>
      <c r="P573" s="8" t="n">
        <v>65.39</v>
      </c>
      <c r="Q573" s="7" t="n">
        <v>55.84</v>
      </c>
      <c r="R573" s="7" t="n">
        <v>55.3</v>
      </c>
      <c r="S573" s="7" t="n">
        <v>50.39</v>
      </c>
      <c r="T573" s="7" t="n">
        <v>54.39</v>
      </c>
      <c r="U573" s="7" t="n">
        <v>52.72</v>
      </c>
      <c r="V573" s="7" t="n">
        <v>53.49</v>
      </c>
      <c r="W573" s="7" t="n"/>
      <c r="X573" s="7" t="n"/>
      <c r="Y573" s="7" t="n"/>
    </row>
    <row r="574" ht="15" customHeight="1">
      <c r="A574" s="13" t="n">
        <v>45420</v>
      </c>
      <c r="B574" s="8" t="n">
        <v>69.84</v>
      </c>
      <c r="C574" s="7" t="n">
        <v>59.52</v>
      </c>
      <c r="D574" s="7" t="n">
        <v>56.35</v>
      </c>
      <c r="E574" s="7" t="n">
        <v>58.99</v>
      </c>
      <c r="F574" s="7" t="n">
        <v>57.09</v>
      </c>
      <c r="G574" s="8" t="n">
        <v>66.73999999999999</v>
      </c>
      <c r="H574" s="7" t="n">
        <v>55.64</v>
      </c>
      <c r="I574" s="8" t="n">
        <v>60.8</v>
      </c>
      <c r="J574" s="7" t="n">
        <v>57.78</v>
      </c>
      <c r="K574" s="7" t="n">
        <v>51.69</v>
      </c>
      <c r="L574" s="7" t="n">
        <v>54.72</v>
      </c>
      <c r="M574" s="7" t="n">
        <v>55.59</v>
      </c>
      <c r="N574" s="7" t="n">
        <v>52.03</v>
      </c>
      <c r="O574" s="7" t="n">
        <v>59.9</v>
      </c>
      <c r="P574" s="8" t="n">
        <v>62.09</v>
      </c>
      <c r="Q574" s="7" t="n">
        <v>53.13</v>
      </c>
      <c r="R574" s="7" t="n">
        <v>59.3</v>
      </c>
      <c r="S574" s="7" t="n">
        <v>57.56</v>
      </c>
      <c r="T574" s="7" t="n">
        <v>56.25</v>
      </c>
      <c r="U574" s="7" t="n">
        <v>57.45</v>
      </c>
      <c r="V574" s="7" t="n">
        <v>59.04</v>
      </c>
      <c r="W574" s="7" t="n"/>
      <c r="X574" s="7" t="n"/>
      <c r="Y574" s="7" t="n"/>
    </row>
    <row r="575" ht="15" customHeight="1">
      <c r="A575" s="13" t="n">
        <v>45419</v>
      </c>
      <c r="B575" s="9" t="n">
        <v>70.75</v>
      </c>
      <c r="C575" s="7" t="n">
        <v>58.36</v>
      </c>
      <c r="D575" s="7" t="n">
        <v>55.63</v>
      </c>
      <c r="E575" s="7" t="n">
        <v>57.4</v>
      </c>
      <c r="F575" s="7" t="n">
        <v>55.82</v>
      </c>
      <c r="G575" s="8" t="n">
        <v>61.72</v>
      </c>
      <c r="H575" s="7" t="n">
        <v>54.84</v>
      </c>
      <c r="I575" s="7" t="n">
        <v>58.79</v>
      </c>
      <c r="J575" s="7" t="n">
        <v>57.86</v>
      </c>
      <c r="K575" s="7" t="n">
        <v>52.93</v>
      </c>
      <c r="L575" s="7" t="n">
        <v>54.17</v>
      </c>
      <c r="M575" s="7" t="n">
        <v>52.11</v>
      </c>
      <c r="N575" s="7" t="n">
        <v>55.24</v>
      </c>
      <c r="O575" s="7" t="n">
        <v>58.53</v>
      </c>
      <c r="P575" s="7" t="n">
        <v>55.65</v>
      </c>
      <c r="Q575" s="7" t="n">
        <v>52.49</v>
      </c>
      <c r="R575" s="7" t="n">
        <v>55.61</v>
      </c>
      <c r="S575" s="7" t="n">
        <v>53.99</v>
      </c>
      <c r="T575" s="7" t="n">
        <v>53.52</v>
      </c>
      <c r="U575" s="7" t="n">
        <v>57.39</v>
      </c>
      <c r="V575" s="7" t="n">
        <v>58.66</v>
      </c>
      <c r="W575" s="7" t="n"/>
      <c r="X575" s="7" t="n"/>
      <c r="Y575" s="7" t="n"/>
    </row>
    <row r="576" ht="15" customHeight="1">
      <c r="A576" s="13" t="n">
        <v>45418</v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</row>
    <row r="577" ht="15" customHeight="1">
      <c r="A577" s="13" t="n">
        <v>45415</v>
      </c>
      <c r="B577" s="9" t="n">
        <v>70.70999999999999</v>
      </c>
      <c r="C577" s="8" t="n">
        <v>62.16</v>
      </c>
      <c r="D577" s="7" t="n">
        <v>54.4</v>
      </c>
      <c r="E577" s="7" t="n">
        <v>57.09</v>
      </c>
      <c r="F577" s="7" t="n">
        <v>49.48</v>
      </c>
      <c r="G577" s="7" t="n">
        <v>57.43</v>
      </c>
      <c r="H577" s="7" t="n">
        <v>52.04</v>
      </c>
      <c r="I577" s="7" t="n">
        <v>54.64</v>
      </c>
      <c r="J577" s="7" t="n">
        <v>49.01</v>
      </c>
      <c r="K577" s="7" t="n">
        <v>50.45</v>
      </c>
      <c r="L577" s="7" t="n">
        <v>49.87</v>
      </c>
      <c r="M577" s="7" t="n">
        <v>46.47</v>
      </c>
      <c r="N577" s="7" t="n">
        <v>49.87</v>
      </c>
      <c r="O577" s="7" t="n">
        <v>54.23</v>
      </c>
      <c r="P577" s="7" t="n">
        <v>50.9</v>
      </c>
      <c r="Q577" s="7" t="n">
        <v>44.31</v>
      </c>
      <c r="R577" s="7" t="n">
        <v>51.47</v>
      </c>
      <c r="S577" s="7" t="n">
        <v>49.51</v>
      </c>
      <c r="T577" s="7" t="n">
        <v>46.46</v>
      </c>
      <c r="U577" s="7" t="n">
        <v>53.64</v>
      </c>
      <c r="V577" s="7" t="n">
        <v>50.69</v>
      </c>
      <c r="W577" s="7" t="n"/>
      <c r="X577" s="7" t="n"/>
      <c r="Y577" s="7" t="n"/>
    </row>
    <row r="578" ht="15" customHeight="1">
      <c r="A578" s="13" t="n">
        <v>45414</v>
      </c>
      <c r="B578" s="9" t="n">
        <v>74.22</v>
      </c>
      <c r="C578" s="7" t="n">
        <v>57.4</v>
      </c>
      <c r="D578" s="7" t="n">
        <v>53.16</v>
      </c>
      <c r="E578" s="7" t="n">
        <v>56.75</v>
      </c>
      <c r="F578" s="7" t="n">
        <v>49.85</v>
      </c>
      <c r="G578" s="7" t="n">
        <v>57.45</v>
      </c>
      <c r="H578" s="7" t="n">
        <v>49.25</v>
      </c>
      <c r="I578" s="7" t="n">
        <v>55.12</v>
      </c>
      <c r="J578" s="7" t="n">
        <v>50.19</v>
      </c>
      <c r="K578" s="7" t="n">
        <v>50.37</v>
      </c>
      <c r="L578" s="7" t="n">
        <v>59</v>
      </c>
      <c r="M578" s="7" t="n">
        <v>46.12</v>
      </c>
      <c r="N578" s="7" t="n">
        <v>50.39</v>
      </c>
      <c r="O578" s="8" t="n">
        <v>60.38</v>
      </c>
      <c r="P578" s="7" t="n">
        <v>52.37</v>
      </c>
      <c r="Q578" s="7" t="n">
        <v>44.63</v>
      </c>
      <c r="R578" s="7" t="n">
        <v>50.78</v>
      </c>
      <c r="S578" s="7" t="n">
        <v>49.98</v>
      </c>
      <c r="T578" s="7" t="n">
        <v>47.66</v>
      </c>
      <c r="U578" s="7" t="n">
        <v>49.29</v>
      </c>
      <c r="V578" s="7" t="n">
        <v>52.71</v>
      </c>
      <c r="W578" s="7" t="n"/>
      <c r="X578" s="7" t="n"/>
      <c r="Y578" s="7" t="n"/>
    </row>
    <row r="579" ht="15" customHeight="1">
      <c r="A579" s="13" t="n">
        <v>45413</v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</row>
    <row r="580" ht="15" customHeight="1">
      <c r="A580" s="13" t="n">
        <v>45412</v>
      </c>
      <c r="B580" s="9" t="n">
        <v>71.53</v>
      </c>
      <c r="C580" s="7" t="n">
        <v>49.83</v>
      </c>
      <c r="D580" s="7" t="n">
        <v>45.75</v>
      </c>
      <c r="E580" s="7" t="n">
        <v>58.45</v>
      </c>
      <c r="F580" s="7" t="n">
        <v>51.69</v>
      </c>
      <c r="G580" s="7" t="n">
        <v>58.88</v>
      </c>
      <c r="H580" s="7" t="n">
        <v>52.76</v>
      </c>
      <c r="I580" s="7" t="n">
        <v>54.86</v>
      </c>
      <c r="J580" s="7" t="n">
        <v>49.74</v>
      </c>
      <c r="K580" s="7" t="n">
        <v>51.15</v>
      </c>
      <c r="L580" s="7" t="n">
        <v>58.55</v>
      </c>
      <c r="M580" s="7" t="n">
        <v>51.21</v>
      </c>
      <c r="N580" s="7" t="n">
        <v>49.33</v>
      </c>
      <c r="O580" s="8" t="n">
        <v>63.85</v>
      </c>
      <c r="P580" s="7" t="n">
        <v>51.78</v>
      </c>
      <c r="Q580" s="7" t="n">
        <v>46.37</v>
      </c>
      <c r="R580" s="7" t="n">
        <v>56.71</v>
      </c>
      <c r="S580" s="7" t="n">
        <v>55.25</v>
      </c>
      <c r="T580" s="7" t="n">
        <v>53.88</v>
      </c>
      <c r="U580" s="7" t="n">
        <v>47.79</v>
      </c>
      <c r="V580" s="7" t="n">
        <v>52.63</v>
      </c>
      <c r="W580" s="7" t="n"/>
      <c r="X580" s="7" t="n"/>
      <c r="Y580" s="7" t="n"/>
    </row>
    <row r="581" ht="15" customHeight="1">
      <c r="A581" s="13" t="n">
        <v>45411</v>
      </c>
      <c r="B581" s="9" t="n">
        <v>71.52</v>
      </c>
      <c r="C581" s="7" t="n">
        <v>49.78</v>
      </c>
      <c r="D581" s="7" t="n">
        <v>45.98</v>
      </c>
      <c r="E581" s="7" t="n">
        <v>55.18</v>
      </c>
      <c r="F581" s="7" t="n">
        <v>47.82</v>
      </c>
      <c r="G581" s="7" t="n">
        <v>59.75</v>
      </c>
      <c r="H581" s="7" t="n">
        <v>54.3</v>
      </c>
      <c r="I581" s="7" t="n">
        <v>57.78</v>
      </c>
      <c r="J581" s="7" t="n">
        <v>47.67</v>
      </c>
      <c r="K581" s="7" t="n">
        <v>54.2</v>
      </c>
      <c r="L581" s="8" t="n">
        <v>63.62</v>
      </c>
      <c r="M581" s="7" t="n">
        <v>52.17</v>
      </c>
      <c r="N581" s="7" t="n">
        <v>50.63</v>
      </c>
      <c r="O581" s="8" t="n">
        <v>61.16</v>
      </c>
      <c r="P581" s="7" t="n">
        <v>54.41</v>
      </c>
      <c r="Q581" s="7" t="n">
        <v>46.19</v>
      </c>
      <c r="R581" s="7" t="n">
        <v>59.02</v>
      </c>
      <c r="S581" s="7" t="n">
        <v>55.96</v>
      </c>
      <c r="T581" s="7" t="n">
        <v>55.88</v>
      </c>
      <c r="U581" s="7" t="n">
        <v>48.13</v>
      </c>
      <c r="V581" s="7" t="n">
        <v>51.21</v>
      </c>
      <c r="W581" s="7" t="n"/>
      <c r="X581" s="7" t="n"/>
      <c r="Y581" s="7" t="n"/>
    </row>
    <row r="582" ht="15" customHeight="1">
      <c r="A582" s="13" t="n">
        <v>45408</v>
      </c>
      <c r="B582" s="8" t="n">
        <v>68.48</v>
      </c>
      <c r="C582" s="7" t="n">
        <v>41.9</v>
      </c>
      <c r="D582" s="7" t="n">
        <v>38.44</v>
      </c>
      <c r="E582" s="7" t="n">
        <v>40.63</v>
      </c>
      <c r="F582" s="7" t="n">
        <v>40.65</v>
      </c>
      <c r="G582" s="7" t="n">
        <v>55.6</v>
      </c>
      <c r="H582" s="7" t="n">
        <v>44</v>
      </c>
      <c r="I582" s="7" t="n">
        <v>53.91</v>
      </c>
      <c r="J582" s="7" t="n">
        <v>46.53</v>
      </c>
      <c r="K582" s="7" t="n">
        <v>48.44</v>
      </c>
      <c r="L582" s="8" t="n">
        <v>63.57</v>
      </c>
      <c r="M582" s="7" t="n">
        <v>48.47</v>
      </c>
      <c r="N582" s="7" t="n">
        <v>48.15</v>
      </c>
      <c r="O582" s="7" t="n">
        <v>53.14</v>
      </c>
      <c r="P582" s="7" t="n">
        <v>46.21</v>
      </c>
      <c r="Q582" s="7" t="n">
        <v>44.86</v>
      </c>
      <c r="R582" s="7" t="n">
        <v>56.56</v>
      </c>
      <c r="S582" s="7" t="n">
        <v>53.69</v>
      </c>
      <c r="T582" s="7" t="n">
        <v>56.26</v>
      </c>
      <c r="U582" s="7" t="n">
        <v>40.15</v>
      </c>
      <c r="V582" s="7" t="n">
        <v>47.72</v>
      </c>
      <c r="W582" s="7" t="n"/>
      <c r="X582" s="7" t="n"/>
      <c r="Y582" s="7" t="n"/>
    </row>
    <row r="583" ht="15" customHeight="1">
      <c r="A583" s="13" t="n">
        <v>45407</v>
      </c>
      <c r="B583" s="9" t="n">
        <v>71.45999999999999</v>
      </c>
      <c r="C583" s="7" t="n">
        <v>42.23</v>
      </c>
      <c r="D583" s="7" t="n">
        <v>39.48</v>
      </c>
      <c r="E583" s="7" t="n">
        <v>39.96</v>
      </c>
      <c r="F583" s="7" t="n">
        <v>42.43</v>
      </c>
      <c r="G583" s="7" t="n">
        <v>51.8</v>
      </c>
      <c r="H583" s="7" t="n">
        <v>42.39</v>
      </c>
      <c r="I583" s="7" t="n">
        <v>52.03</v>
      </c>
      <c r="J583" s="7" t="n">
        <v>43.55</v>
      </c>
      <c r="K583" s="7" t="n">
        <v>43.27</v>
      </c>
      <c r="L583" s="8" t="n">
        <v>62.29</v>
      </c>
      <c r="M583" s="7" t="n">
        <v>46.54</v>
      </c>
      <c r="N583" s="7" t="n">
        <v>47.21</v>
      </c>
      <c r="O583" s="7" t="n">
        <v>52.48</v>
      </c>
      <c r="P583" s="7" t="n">
        <v>43.58</v>
      </c>
      <c r="Q583" s="7" t="n">
        <v>41.46</v>
      </c>
      <c r="R583" s="7" t="n">
        <v>48.55</v>
      </c>
      <c r="S583" s="7" t="n">
        <v>47.11</v>
      </c>
      <c r="T583" s="7" t="n">
        <v>51.57</v>
      </c>
      <c r="U583" s="7" t="n">
        <v>38.81</v>
      </c>
      <c r="V583" s="7" t="n">
        <v>45.2</v>
      </c>
      <c r="W583" s="7" t="n"/>
      <c r="X583" s="7" t="n"/>
      <c r="Y583" s="7" t="n"/>
    </row>
    <row r="584" ht="15" customHeight="1">
      <c r="A584" s="13" t="n">
        <v>45406</v>
      </c>
      <c r="B584" s="9" t="n">
        <v>70.08</v>
      </c>
      <c r="C584" s="7" t="n">
        <v>43.69</v>
      </c>
      <c r="D584" s="7" t="n">
        <v>39.54</v>
      </c>
      <c r="E584" s="7" t="n">
        <v>43.44</v>
      </c>
      <c r="F584" s="7" t="n">
        <v>45.78</v>
      </c>
      <c r="G584" s="7" t="n">
        <v>52.65</v>
      </c>
      <c r="H584" s="7" t="n">
        <v>44.92</v>
      </c>
      <c r="I584" s="7" t="n">
        <v>57.22</v>
      </c>
      <c r="J584" s="7" t="n">
        <v>51.07</v>
      </c>
      <c r="K584" s="7" t="n">
        <v>46.19</v>
      </c>
      <c r="L584" s="8" t="n">
        <v>65</v>
      </c>
      <c r="M584" s="7" t="n">
        <v>47.42</v>
      </c>
      <c r="N584" s="7" t="n">
        <v>46.85</v>
      </c>
      <c r="O584" s="7" t="n">
        <v>53.24</v>
      </c>
      <c r="P584" s="7" t="n">
        <v>43.84</v>
      </c>
      <c r="Q584" s="7" t="n">
        <v>44.1</v>
      </c>
      <c r="R584" s="7" t="n">
        <v>49.28</v>
      </c>
      <c r="S584" s="7" t="n">
        <v>46.47</v>
      </c>
      <c r="T584" s="7" t="n">
        <v>49.41</v>
      </c>
      <c r="U584" s="7" t="n">
        <v>42.98</v>
      </c>
      <c r="V584" s="7" t="n">
        <v>52.48</v>
      </c>
      <c r="W584" s="7" t="n"/>
      <c r="X584" s="7" t="n"/>
      <c r="Y584" s="7" t="n"/>
    </row>
    <row r="585" ht="15" customHeight="1">
      <c r="A585" s="13" t="n">
        <v>45405</v>
      </c>
      <c r="B585" s="9" t="n">
        <v>71.12</v>
      </c>
      <c r="C585" s="7" t="n">
        <v>44.51</v>
      </c>
      <c r="D585" s="7" t="n">
        <v>33.4</v>
      </c>
      <c r="E585" s="7" t="n">
        <v>37.04</v>
      </c>
      <c r="F585" s="7" t="n">
        <v>46.17</v>
      </c>
      <c r="G585" s="7" t="n">
        <v>47.68</v>
      </c>
      <c r="H585" s="7" t="n">
        <v>42.76</v>
      </c>
      <c r="I585" s="7" t="n">
        <v>49.25</v>
      </c>
      <c r="J585" s="7" t="n">
        <v>38.74</v>
      </c>
      <c r="K585" s="7" t="n">
        <v>47</v>
      </c>
      <c r="L585" s="8" t="n">
        <v>62.92</v>
      </c>
      <c r="M585" s="7" t="n">
        <v>46.91</v>
      </c>
      <c r="N585" s="7" t="n">
        <v>50.29</v>
      </c>
      <c r="O585" s="7" t="n">
        <v>51.15</v>
      </c>
      <c r="P585" s="7" t="n">
        <v>43.33</v>
      </c>
      <c r="Q585" s="7" t="n">
        <v>42.5</v>
      </c>
      <c r="R585" s="7" t="n">
        <v>50.37</v>
      </c>
      <c r="S585" s="7" t="n">
        <v>46.67</v>
      </c>
      <c r="T585" s="7" t="n">
        <v>52.12</v>
      </c>
      <c r="U585" s="7" t="n">
        <v>36.31</v>
      </c>
      <c r="V585" s="7" t="n">
        <v>42.07</v>
      </c>
      <c r="W585" s="7" t="n"/>
      <c r="X585" s="7" t="n"/>
      <c r="Y585" s="7" t="n"/>
    </row>
    <row r="586" ht="15" customHeight="1">
      <c r="A586" s="13" t="n">
        <v>45404</v>
      </c>
      <c r="B586" s="9" t="n">
        <v>76.91</v>
      </c>
      <c r="C586" s="7" t="n">
        <v>45.57</v>
      </c>
      <c r="D586" s="7" t="n">
        <v>33.92</v>
      </c>
      <c r="E586" s="7" t="n">
        <v>39.6</v>
      </c>
      <c r="F586" s="7" t="n">
        <v>46.92</v>
      </c>
      <c r="G586" s="7" t="n">
        <v>45.68</v>
      </c>
      <c r="H586" s="7" t="n">
        <v>44.96</v>
      </c>
      <c r="I586" s="7" t="n">
        <v>46.44</v>
      </c>
      <c r="J586" s="7" t="n">
        <v>40.64</v>
      </c>
      <c r="K586" s="7" t="n">
        <v>47.73</v>
      </c>
      <c r="L586" s="7" t="n">
        <v>58.64</v>
      </c>
      <c r="M586" s="7" t="n">
        <v>43.98</v>
      </c>
      <c r="N586" s="7" t="n">
        <v>45.03</v>
      </c>
      <c r="O586" s="7" t="n">
        <v>50.55</v>
      </c>
      <c r="P586" s="7" t="n">
        <v>49.7</v>
      </c>
      <c r="Q586" s="7" t="n">
        <v>41.44</v>
      </c>
      <c r="R586" s="7" t="n">
        <v>48.61</v>
      </c>
      <c r="S586" s="7" t="n">
        <v>47.23</v>
      </c>
      <c r="T586" s="7" t="n">
        <v>47.7</v>
      </c>
      <c r="U586" s="7" t="n">
        <v>40.87</v>
      </c>
      <c r="V586" s="7" t="n">
        <v>43.2</v>
      </c>
      <c r="W586" s="7" t="n"/>
      <c r="X586" s="7" t="n"/>
      <c r="Y586" s="7" t="n"/>
    </row>
    <row r="587" ht="15" customHeight="1">
      <c r="A587" s="13" t="n">
        <v>45401</v>
      </c>
      <c r="B587" s="8" t="n">
        <v>66.65000000000001</v>
      </c>
      <c r="C587" s="7" t="n">
        <v>36.76</v>
      </c>
      <c r="D587" s="7" t="n">
        <v>30.31</v>
      </c>
      <c r="E587" s="7" t="n">
        <v>30.46</v>
      </c>
      <c r="F587" s="7" t="n">
        <v>37.36</v>
      </c>
      <c r="G587" s="7" t="n">
        <v>47.27</v>
      </c>
      <c r="H587" s="7" t="n">
        <v>40.43</v>
      </c>
      <c r="I587" s="7" t="n">
        <v>45.22</v>
      </c>
      <c r="J587" s="7" t="n">
        <v>41.79</v>
      </c>
      <c r="K587" s="7" t="n">
        <v>48.15</v>
      </c>
      <c r="L587" s="7" t="n">
        <v>53.58</v>
      </c>
      <c r="M587" s="10" t="n">
        <v>29.25</v>
      </c>
      <c r="N587" s="7" t="n">
        <v>38.03</v>
      </c>
      <c r="O587" s="7" t="n">
        <v>40.46</v>
      </c>
      <c r="P587" s="7" t="n">
        <v>38.23</v>
      </c>
      <c r="Q587" s="7" t="n">
        <v>30.81</v>
      </c>
      <c r="R587" s="7" t="n">
        <v>33.62</v>
      </c>
      <c r="S587" s="7" t="n">
        <v>33.59</v>
      </c>
      <c r="T587" s="7" t="n">
        <v>30.57</v>
      </c>
      <c r="U587" s="7" t="n">
        <v>35.73</v>
      </c>
      <c r="V587" s="7" t="n">
        <v>40.93</v>
      </c>
      <c r="W587" s="7" t="n"/>
      <c r="X587" s="7" t="n"/>
      <c r="Y587" s="7" t="n"/>
    </row>
    <row r="588" ht="15" customHeight="1">
      <c r="A588" s="13" t="n">
        <v>45400</v>
      </c>
      <c r="B588" s="8" t="n">
        <v>66.61</v>
      </c>
      <c r="C588" s="7" t="n">
        <v>40.62</v>
      </c>
      <c r="D588" s="7" t="n">
        <v>34.69</v>
      </c>
      <c r="E588" s="7" t="n">
        <v>35.25</v>
      </c>
      <c r="F588" s="7" t="n">
        <v>41.36</v>
      </c>
      <c r="G588" s="7" t="n">
        <v>42.48</v>
      </c>
      <c r="H588" s="7" t="n">
        <v>42.22</v>
      </c>
      <c r="I588" s="7" t="n">
        <v>49.94</v>
      </c>
      <c r="J588" s="7" t="n">
        <v>48.73</v>
      </c>
      <c r="K588" s="7" t="n">
        <v>54.7</v>
      </c>
      <c r="L588" s="7" t="n">
        <v>52.63</v>
      </c>
      <c r="M588" s="7" t="n">
        <v>31.15</v>
      </c>
      <c r="N588" s="7" t="n">
        <v>39.63</v>
      </c>
      <c r="O588" s="7" t="n">
        <v>37.29</v>
      </c>
      <c r="P588" s="7" t="n">
        <v>34.82</v>
      </c>
      <c r="Q588" s="7" t="n">
        <v>32.92</v>
      </c>
      <c r="R588" s="7" t="n">
        <v>35.85</v>
      </c>
      <c r="S588" s="7" t="n">
        <v>36.51</v>
      </c>
      <c r="T588" s="7" t="n">
        <v>31.19</v>
      </c>
      <c r="U588" s="7" t="n">
        <v>38.43</v>
      </c>
      <c r="V588" s="7" t="n">
        <v>47.09</v>
      </c>
      <c r="W588" s="7" t="n"/>
      <c r="X588" s="7" t="n"/>
      <c r="Y588" s="7" t="n"/>
    </row>
    <row r="589" ht="15" customHeight="1">
      <c r="A589" s="13" t="n">
        <v>45399</v>
      </c>
      <c r="B589" s="8" t="n">
        <v>62.3</v>
      </c>
      <c r="C589" s="7" t="n">
        <v>39.42</v>
      </c>
      <c r="D589" s="10" t="n">
        <v>24.33</v>
      </c>
      <c r="E589" s="10" t="n">
        <v>26.02</v>
      </c>
      <c r="F589" s="7" t="n">
        <v>30.75</v>
      </c>
      <c r="G589" s="7" t="n">
        <v>36.41</v>
      </c>
      <c r="H589" s="10" t="n">
        <v>28.12</v>
      </c>
      <c r="I589" s="7" t="n">
        <v>41.84</v>
      </c>
      <c r="J589" s="7" t="n">
        <v>42.7</v>
      </c>
      <c r="K589" s="7" t="n">
        <v>49.31</v>
      </c>
      <c r="L589" s="7" t="n">
        <v>48.22</v>
      </c>
      <c r="M589" s="10" t="n">
        <v>24.61</v>
      </c>
      <c r="N589" s="7" t="n">
        <v>33.47</v>
      </c>
      <c r="O589" s="10" t="n">
        <v>26.57</v>
      </c>
      <c r="P589" s="10" t="n">
        <v>29.76</v>
      </c>
      <c r="Q589" s="10" t="n">
        <v>29.18</v>
      </c>
      <c r="R589" s="10" t="n">
        <v>27.99</v>
      </c>
      <c r="S589" s="10" t="n">
        <v>28.91</v>
      </c>
      <c r="T589" s="7" t="n">
        <v>30.27</v>
      </c>
      <c r="U589" s="10" t="n">
        <v>24.77</v>
      </c>
      <c r="V589" s="7" t="n">
        <v>38.61</v>
      </c>
      <c r="W589" s="7" t="n"/>
      <c r="X589" s="7" t="n"/>
      <c r="Y589" s="7" t="n"/>
    </row>
    <row r="590" ht="15" customHeight="1">
      <c r="A590" s="13" t="n">
        <v>45398</v>
      </c>
      <c r="B590" s="8" t="n">
        <v>65.18000000000001</v>
      </c>
      <c r="C590" s="10" t="n">
        <v>29.63</v>
      </c>
      <c r="D590" s="10" t="n">
        <v>24.69</v>
      </c>
      <c r="E590" s="10" t="n">
        <v>26.3</v>
      </c>
      <c r="F590" s="7" t="n">
        <v>32.73</v>
      </c>
      <c r="G590" s="7" t="n">
        <v>38.6</v>
      </c>
      <c r="H590" s="7" t="n">
        <v>31.31</v>
      </c>
      <c r="I590" s="7" t="n">
        <v>47.16</v>
      </c>
      <c r="J590" s="7" t="n">
        <v>45.21</v>
      </c>
      <c r="K590" s="7" t="n">
        <v>48.33</v>
      </c>
      <c r="L590" s="7" t="n">
        <v>51.83</v>
      </c>
      <c r="M590" s="10" t="n">
        <v>27.42</v>
      </c>
      <c r="N590" s="7" t="n">
        <v>37.5</v>
      </c>
      <c r="O590" s="10" t="n">
        <v>29.21</v>
      </c>
      <c r="P590" s="10" t="n">
        <v>27.69</v>
      </c>
      <c r="Q590" s="7" t="n">
        <v>31.43</v>
      </c>
      <c r="R590" s="7" t="n">
        <v>30.14</v>
      </c>
      <c r="S590" s="7" t="n">
        <v>30.46</v>
      </c>
      <c r="T590" s="7" t="n">
        <v>31.77</v>
      </c>
      <c r="U590" s="10" t="n">
        <v>26.18</v>
      </c>
      <c r="V590" s="7" t="n">
        <v>41.6</v>
      </c>
      <c r="W590" s="7" t="n"/>
      <c r="X590" s="7" t="n"/>
      <c r="Y590" s="7" t="n"/>
    </row>
    <row r="591" ht="15" customHeight="1">
      <c r="A591" s="13" t="n">
        <v>45397</v>
      </c>
      <c r="B591" s="8" t="n">
        <v>64.65000000000001</v>
      </c>
      <c r="C591" s="7" t="n">
        <v>30.2</v>
      </c>
      <c r="D591" s="10" t="n">
        <v>28.23</v>
      </c>
      <c r="E591" s="7" t="n">
        <v>30.73</v>
      </c>
      <c r="F591" s="7" t="n">
        <v>37.66</v>
      </c>
      <c r="G591" s="7" t="n">
        <v>42.96</v>
      </c>
      <c r="H591" s="7" t="n">
        <v>37.01</v>
      </c>
      <c r="I591" s="7" t="n">
        <v>57.16</v>
      </c>
      <c r="J591" s="7" t="n">
        <v>55.73</v>
      </c>
      <c r="K591" s="7" t="n">
        <v>58.93</v>
      </c>
      <c r="L591" s="7" t="n">
        <v>54.63</v>
      </c>
      <c r="M591" s="10" t="n">
        <v>29.1</v>
      </c>
      <c r="N591" s="7" t="n">
        <v>40.67</v>
      </c>
      <c r="O591" s="7" t="n">
        <v>33.71</v>
      </c>
      <c r="P591" s="7" t="n">
        <v>34.86</v>
      </c>
      <c r="Q591" s="7" t="n">
        <v>32.14</v>
      </c>
      <c r="R591" s="7" t="n">
        <v>34.37</v>
      </c>
      <c r="S591" s="7" t="n">
        <v>34.8</v>
      </c>
      <c r="T591" s="7" t="n">
        <v>34.37</v>
      </c>
      <c r="U591" s="10" t="n">
        <v>28.65</v>
      </c>
      <c r="V591" s="7" t="n">
        <v>51.91</v>
      </c>
      <c r="W591" s="7" t="n"/>
      <c r="X591" s="7" t="n"/>
      <c r="Y591" s="7" t="n"/>
    </row>
    <row r="592" ht="15" customHeight="1">
      <c r="A592" s="13" t="n">
        <v>45394</v>
      </c>
      <c r="B592" s="7" t="n">
        <v>58.36</v>
      </c>
      <c r="C592" s="7" t="n">
        <v>32.36</v>
      </c>
      <c r="D592" s="7" t="n">
        <v>31.56</v>
      </c>
      <c r="E592" s="7" t="n">
        <v>33</v>
      </c>
      <c r="F592" s="7" t="n">
        <v>40.46</v>
      </c>
      <c r="G592" s="7" t="n">
        <v>35.49</v>
      </c>
      <c r="H592" s="7" t="n">
        <v>37.65</v>
      </c>
      <c r="I592" s="7" t="n">
        <v>58.89</v>
      </c>
      <c r="J592" s="8" t="n">
        <v>60.71</v>
      </c>
      <c r="K592" s="7" t="n">
        <v>54.7</v>
      </c>
      <c r="L592" s="7" t="n">
        <v>50.64</v>
      </c>
      <c r="M592" s="10" t="n">
        <v>26.63</v>
      </c>
      <c r="N592" s="7" t="n">
        <v>31</v>
      </c>
      <c r="O592" s="7" t="n">
        <v>34.35</v>
      </c>
      <c r="P592" s="7" t="n">
        <v>35.51</v>
      </c>
      <c r="Q592" s="7" t="n">
        <v>32</v>
      </c>
      <c r="R592" s="7" t="n">
        <v>32.95</v>
      </c>
      <c r="S592" s="7" t="n">
        <v>32.43</v>
      </c>
      <c r="T592" s="7" t="n">
        <v>32.49</v>
      </c>
      <c r="U592" s="7" t="n">
        <v>31</v>
      </c>
      <c r="V592" s="7" t="n">
        <v>55.17</v>
      </c>
      <c r="W592" s="7" t="n"/>
      <c r="X592" s="7" t="n"/>
      <c r="Y592" s="7" t="n"/>
    </row>
    <row r="593" ht="15" customHeight="1">
      <c r="A593" s="13" t="n">
        <v>45393</v>
      </c>
      <c r="B593" s="8" t="n">
        <v>62.46</v>
      </c>
      <c r="C593" s="7" t="n">
        <v>39.38</v>
      </c>
      <c r="D593" s="7" t="n">
        <v>31.37</v>
      </c>
      <c r="E593" s="7" t="n">
        <v>34.51</v>
      </c>
      <c r="F593" s="7" t="n">
        <v>38.22</v>
      </c>
      <c r="G593" s="7" t="n">
        <v>35.07</v>
      </c>
      <c r="H593" s="7" t="n">
        <v>39.96</v>
      </c>
      <c r="I593" s="7" t="n">
        <v>55.09</v>
      </c>
      <c r="J593" s="8" t="n">
        <v>64.31999999999999</v>
      </c>
      <c r="K593" s="7" t="n">
        <v>49.02</v>
      </c>
      <c r="L593" s="7" t="n">
        <v>52.21</v>
      </c>
      <c r="M593" s="7" t="n">
        <v>32.18</v>
      </c>
      <c r="N593" s="7" t="n">
        <v>38.44</v>
      </c>
      <c r="O593" s="7" t="n">
        <v>40.43</v>
      </c>
      <c r="P593" s="7" t="n">
        <v>42.62</v>
      </c>
      <c r="Q593" s="7" t="n">
        <v>35.79</v>
      </c>
      <c r="R593" s="7" t="n">
        <v>37.65</v>
      </c>
      <c r="S593" s="7" t="n">
        <v>35.71</v>
      </c>
      <c r="T593" s="7" t="n">
        <v>38.04</v>
      </c>
      <c r="U593" s="7" t="n">
        <v>32.26</v>
      </c>
      <c r="V593" s="7" t="n">
        <v>58.11</v>
      </c>
      <c r="W593" s="7" t="n"/>
      <c r="X593" s="7" t="n"/>
      <c r="Y593" s="7" t="n"/>
    </row>
    <row r="594" ht="15" customHeight="1">
      <c r="A594" s="13" t="n">
        <v>45392</v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</row>
    <row r="595" ht="15" customHeight="1">
      <c r="A595" s="13" t="n">
        <v>45391</v>
      </c>
      <c r="B595" s="8" t="n">
        <v>62</v>
      </c>
      <c r="C595" s="7" t="n">
        <v>41.94</v>
      </c>
      <c r="D595" s="7" t="n">
        <v>34.1</v>
      </c>
      <c r="E595" s="7" t="n">
        <v>37.66</v>
      </c>
      <c r="F595" s="7" t="n">
        <v>40.98</v>
      </c>
      <c r="G595" s="7" t="n">
        <v>37.6</v>
      </c>
      <c r="H595" s="7" t="n">
        <v>41.33</v>
      </c>
      <c r="I595" s="7" t="n">
        <v>57.31</v>
      </c>
      <c r="J595" s="8" t="n">
        <v>61.59</v>
      </c>
      <c r="K595" s="7" t="n">
        <v>45.64</v>
      </c>
      <c r="L595" s="7" t="n">
        <v>45.23</v>
      </c>
      <c r="M595" s="7" t="n">
        <v>34.96</v>
      </c>
      <c r="N595" s="7" t="n">
        <v>46.77</v>
      </c>
      <c r="O595" s="7" t="n">
        <v>41.76</v>
      </c>
      <c r="P595" s="7" t="n">
        <v>41.01</v>
      </c>
      <c r="Q595" s="7" t="n">
        <v>41.05</v>
      </c>
      <c r="R595" s="7" t="n">
        <v>41.52</v>
      </c>
      <c r="S595" s="7" t="n">
        <v>42.18</v>
      </c>
      <c r="T595" s="7" t="n">
        <v>44.15</v>
      </c>
      <c r="U595" s="7" t="n">
        <v>37.34</v>
      </c>
      <c r="V595" s="7" t="n">
        <v>55.4</v>
      </c>
      <c r="W595" s="7" t="n"/>
      <c r="X595" s="7" t="n"/>
      <c r="Y595" s="7" t="n"/>
    </row>
    <row r="596" ht="15" customHeight="1">
      <c r="A596" s="13" t="n">
        <v>45390</v>
      </c>
      <c r="B596" s="8" t="n">
        <v>60.24</v>
      </c>
      <c r="C596" s="7" t="n">
        <v>46.03</v>
      </c>
      <c r="D596" s="7" t="n">
        <v>32.63</v>
      </c>
      <c r="E596" s="7" t="n">
        <v>40.13</v>
      </c>
      <c r="F596" s="7" t="n">
        <v>47.07</v>
      </c>
      <c r="G596" s="7" t="n">
        <v>34.23</v>
      </c>
      <c r="H596" s="7" t="n">
        <v>37.85</v>
      </c>
      <c r="I596" s="7" t="n">
        <v>56.12</v>
      </c>
      <c r="J596" s="8" t="n">
        <v>63.32</v>
      </c>
      <c r="K596" s="7" t="n">
        <v>46.38</v>
      </c>
      <c r="L596" s="7" t="n">
        <v>46.01</v>
      </c>
      <c r="M596" s="7" t="n">
        <v>36.46</v>
      </c>
      <c r="N596" s="7" t="n">
        <v>46.74</v>
      </c>
      <c r="O596" s="7" t="n">
        <v>41.45</v>
      </c>
      <c r="P596" s="7" t="n">
        <v>34.08</v>
      </c>
      <c r="Q596" s="7" t="n">
        <v>43.22</v>
      </c>
      <c r="R596" s="7" t="n">
        <v>44</v>
      </c>
      <c r="S596" s="7" t="n">
        <v>41.88</v>
      </c>
      <c r="T596" s="7" t="n">
        <v>47.9</v>
      </c>
      <c r="U596" s="7" t="n">
        <v>38.45</v>
      </c>
      <c r="V596" s="7" t="n">
        <v>57.66</v>
      </c>
      <c r="W596" s="7" t="n"/>
      <c r="X596" s="7" t="n"/>
      <c r="Y596" s="7" t="n"/>
    </row>
    <row r="597" ht="15" customHeight="1">
      <c r="A597" s="13" t="n">
        <v>45387</v>
      </c>
      <c r="B597" s="8" t="n">
        <v>64.28</v>
      </c>
      <c r="C597" s="7" t="n">
        <v>49.68</v>
      </c>
      <c r="D597" s="7" t="n">
        <v>33.32</v>
      </c>
      <c r="E597" s="7" t="n">
        <v>43.74</v>
      </c>
      <c r="F597" s="7" t="n">
        <v>39.34</v>
      </c>
      <c r="G597" s="7" t="n">
        <v>39.41</v>
      </c>
      <c r="H597" s="7" t="n">
        <v>33.4</v>
      </c>
      <c r="I597" s="8" t="n">
        <v>60.65</v>
      </c>
      <c r="J597" s="8" t="n">
        <v>63.59</v>
      </c>
      <c r="K597" s="7" t="n">
        <v>50.72</v>
      </c>
      <c r="L597" s="7" t="n">
        <v>42.49</v>
      </c>
      <c r="M597" s="7" t="n">
        <v>36.82</v>
      </c>
      <c r="N597" s="7" t="n">
        <v>39.6</v>
      </c>
      <c r="O597" s="7" t="n">
        <v>48.96</v>
      </c>
      <c r="P597" s="7" t="n">
        <v>34.68</v>
      </c>
      <c r="Q597" s="7" t="n">
        <v>39.56</v>
      </c>
      <c r="R597" s="7" t="n">
        <v>42.71</v>
      </c>
      <c r="S597" s="7" t="n">
        <v>39.74</v>
      </c>
      <c r="T597" s="7" t="n">
        <v>43.55</v>
      </c>
      <c r="U597" s="7" t="n">
        <v>39.96</v>
      </c>
      <c r="V597" s="7" t="n">
        <v>57.16</v>
      </c>
      <c r="W597" s="7" t="n"/>
      <c r="X597" s="7" t="n"/>
      <c r="Y597" s="7" t="n"/>
    </row>
    <row r="598" ht="15" customHeight="1">
      <c r="A598" s="13" t="n">
        <v>45386</v>
      </c>
      <c r="B598" s="8" t="n">
        <v>67.45</v>
      </c>
      <c r="C598" s="7" t="n">
        <v>54.12</v>
      </c>
      <c r="D598" s="7" t="n">
        <v>35.85</v>
      </c>
      <c r="E598" s="7" t="n">
        <v>44.73</v>
      </c>
      <c r="F598" s="7" t="n">
        <v>42.15</v>
      </c>
      <c r="G598" s="7" t="n">
        <v>40.37</v>
      </c>
      <c r="H598" s="7" t="n">
        <v>36.43</v>
      </c>
      <c r="I598" s="8" t="n">
        <v>65.70999999999999</v>
      </c>
      <c r="J598" s="8" t="n">
        <v>69.27</v>
      </c>
      <c r="K598" s="7" t="n">
        <v>59.64</v>
      </c>
      <c r="L598" s="7" t="n">
        <v>44.98</v>
      </c>
      <c r="M598" s="7" t="n">
        <v>38.89</v>
      </c>
      <c r="N598" s="7" t="n">
        <v>40.55</v>
      </c>
      <c r="O598" s="7" t="n">
        <v>47.54</v>
      </c>
      <c r="P598" s="7" t="n">
        <v>37.2</v>
      </c>
      <c r="Q598" s="7" t="n">
        <v>42.31</v>
      </c>
      <c r="R598" s="7" t="n">
        <v>44.66</v>
      </c>
      <c r="S598" s="7" t="n">
        <v>39.41</v>
      </c>
      <c r="T598" s="7" t="n">
        <v>45.06</v>
      </c>
      <c r="U598" s="7" t="n">
        <v>43.47</v>
      </c>
      <c r="V598" s="8" t="n">
        <v>62.86</v>
      </c>
      <c r="W598" s="7" t="n"/>
      <c r="X598" s="7" t="n"/>
      <c r="Y598" s="7" t="n"/>
    </row>
    <row r="599" ht="15" customHeight="1">
      <c r="A599" s="13" t="n">
        <v>45385</v>
      </c>
      <c r="B599" s="8" t="n">
        <v>66.52</v>
      </c>
      <c r="C599" s="7" t="n">
        <v>58.13</v>
      </c>
      <c r="D599" s="7" t="n">
        <v>38.06</v>
      </c>
      <c r="E599" s="7" t="n">
        <v>42.73</v>
      </c>
      <c r="F599" s="7" t="n">
        <v>41.87</v>
      </c>
      <c r="G599" s="7" t="n">
        <v>44.41</v>
      </c>
      <c r="H599" s="10" t="n">
        <v>29.53</v>
      </c>
      <c r="I599" s="8" t="n">
        <v>68.77</v>
      </c>
      <c r="J599" s="8" t="n">
        <v>64.72</v>
      </c>
      <c r="K599" s="7" t="n">
        <v>56.05</v>
      </c>
      <c r="L599" s="7" t="n">
        <v>37.93</v>
      </c>
      <c r="M599" s="7" t="n">
        <v>38.97</v>
      </c>
      <c r="N599" s="7" t="n">
        <v>35.43</v>
      </c>
      <c r="O599" s="7" t="n">
        <v>47.85</v>
      </c>
      <c r="P599" s="7" t="n">
        <v>39.88</v>
      </c>
      <c r="Q599" s="7" t="n">
        <v>35.09</v>
      </c>
      <c r="R599" s="7" t="n">
        <v>39.96</v>
      </c>
      <c r="S599" s="7" t="n">
        <v>36.76</v>
      </c>
      <c r="T599" s="7" t="n">
        <v>43.92</v>
      </c>
      <c r="U599" s="7" t="n">
        <v>44.3</v>
      </c>
      <c r="V599" s="7" t="n">
        <v>57.39</v>
      </c>
      <c r="W599" s="7" t="n"/>
      <c r="X599" s="7" t="n"/>
      <c r="Y599" s="7" t="n"/>
    </row>
    <row r="600" ht="15" customHeight="1">
      <c r="A600" s="13" t="n">
        <v>45384</v>
      </c>
      <c r="B600" s="7" t="n">
        <v>59.92</v>
      </c>
      <c r="C600" s="8" t="n">
        <v>60.92</v>
      </c>
      <c r="D600" s="7" t="n">
        <v>41.37</v>
      </c>
      <c r="E600" s="7" t="n">
        <v>50.17</v>
      </c>
      <c r="F600" s="7" t="n">
        <v>46.51</v>
      </c>
      <c r="G600" s="7" t="n">
        <v>48.34</v>
      </c>
      <c r="H600" s="7" t="n">
        <v>34.45</v>
      </c>
      <c r="I600" s="9" t="n">
        <v>74.54000000000001</v>
      </c>
      <c r="J600" s="9" t="n">
        <v>76.05</v>
      </c>
      <c r="K600" s="7" t="n">
        <v>57.51</v>
      </c>
      <c r="L600" s="7" t="n">
        <v>42.94</v>
      </c>
      <c r="M600" s="7" t="n">
        <v>44.37</v>
      </c>
      <c r="N600" s="7" t="n">
        <v>37.19</v>
      </c>
      <c r="O600" s="7" t="n">
        <v>45.81</v>
      </c>
      <c r="P600" s="7" t="n">
        <v>36.58</v>
      </c>
      <c r="Q600" s="7" t="n">
        <v>40.05</v>
      </c>
      <c r="R600" s="7" t="n">
        <v>43.09</v>
      </c>
      <c r="S600" s="7" t="n">
        <v>38.29</v>
      </c>
      <c r="T600" s="7" t="n">
        <v>46.1</v>
      </c>
      <c r="U600" s="7" t="n">
        <v>46.52</v>
      </c>
      <c r="V600" s="8" t="n">
        <v>69.48999999999999</v>
      </c>
      <c r="W600" s="7" t="n"/>
      <c r="X600" s="7" t="n"/>
      <c r="Y600" s="7" t="n"/>
    </row>
    <row r="601" ht="15" customHeight="1">
      <c r="A601" s="13" t="n">
        <v>45383</v>
      </c>
      <c r="B601" s="8" t="n">
        <v>67.79000000000001</v>
      </c>
      <c r="C601" s="8" t="n">
        <v>67.94</v>
      </c>
      <c r="D601" s="7" t="n">
        <v>45.11</v>
      </c>
      <c r="E601" s="7" t="n">
        <v>52.71</v>
      </c>
      <c r="F601" s="7" t="n">
        <v>52.62</v>
      </c>
      <c r="G601" s="7" t="n">
        <v>49.25</v>
      </c>
      <c r="H601" s="7" t="n">
        <v>39.4</v>
      </c>
      <c r="I601" s="9" t="n">
        <v>77.73999999999999</v>
      </c>
      <c r="J601" s="9" t="n">
        <v>72.34999999999999</v>
      </c>
      <c r="K601" s="8" t="n">
        <v>63.86</v>
      </c>
      <c r="L601" s="7" t="n">
        <v>44.89</v>
      </c>
      <c r="M601" s="7" t="n">
        <v>47.57</v>
      </c>
      <c r="N601" s="7" t="n">
        <v>41.55</v>
      </c>
      <c r="O601" s="7" t="n">
        <v>46.36</v>
      </c>
      <c r="P601" s="7" t="n">
        <v>39.89</v>
      </c>
      <c r="Q601" s="7" t="n">
        <v>45.52</v>
      </c>
      <c r="R601" s="7" t="n">
        <v>43.65</v>
      </c>
      <c r="S601" s="7" t="n">
        <v>38.03</v>
      </c>
      <c r="T601" s="7" t="n">
        <v>43.8</v>
      </c>
      <c r="U601" s="7" t="n">
        <v>55.18</v>
      </c>
      <c r="V601" s="8" t="n">
        <v>67.39</v>
      </c>
      <c r="W601" s="7" t="n"/>
      <c r="X601" s="7" t="n"/>
      <c r="Y601" s="7" t="n"/>
    </row>
    <row r="602" ht="15" customHeight="1">
      <c r="A602" s="13" t="n">
        <v>45380</v>
      </c>
      <c r="B602" s="7" t="n">
        <v>52.66</v>
      </c>
      <c r="C602" s="7" t="n">
        <v>52.75</v>
      </c>
      <c r="D602" s="7" t="n">
        <v>41.51</v>
      </c>
      <c r="E602" s="7" t="n">
        <v>46.44</v>
      </c>
      <c r="F602" s="7" t="n">
        <v>57.13</v>
      </c>
      <c r="G602" s="7" t="n">
        <v>49.38</v>
      </c>
      <c r="H602" s="7" t="n">
        <v>40.02</v>
      </c>
      <c r="I602" s="9" t="n">
        <v>75.03</v>
      </c>
      <c r="J602" s="9" t="n">
        <v>72.69</v>
      </c>
      <c r="K602" s="8" t="n">
        <v>64.39</v>
      </c>
      <c r="L602" s="7" t="n">
        <v>46.4</v>
      </c>
      <c r="M602" s="7" t="n">
        <v>44.93</v>
      </c>
      <c r="N602" s="7" t="n">
        <v>40.36</v>
      </c>
      <c r="O602" s="7" t="n">
        <v>38.07</v>
      </c>
      <c r="P602" s="7" t="n">
        <v>31.26</v>
      </c>
      <c r="Q602" s="7" t="n">
        <v>46.33</v>
      </c>
      <c r="R602" s="7" t="n">
        <v>46.47</v>
      </c>
      <c r="S602" s="7" t="n">
        <v>41.58</v>
      </c>
      <c r="T602" s="7" t="n">
        <v>44.93</v>
      </c>
      <c r="U602" s="7" t="n">
        <v>49.14</v>
      </c>
      <c r="V602" s="8" t="n">
        <v>67.22</v>
      </c>
      <c r="W602" s="7" t="n"/>
      <c r="X602" s="7" t="n"/>
      <c r="Y602" s="7" t="n"/>
    </row>
    <row r="603" ht="15" customHeight="1">
      <c r="A603" s="13" t="n">
        <v>45379</v>
      </c>
      <c r="B603" s="7" t="n">
        <v>56.27</v>
      </c>
      <c r="C603" s="7" t="n">
        <v>57.4</v>
      </c>
      <c r="D603" s="7" t="n">
        <v>42.54</v>
      </c>
      <c r="E603" s="7" t="n">
        <v>50.34</v>
      </c>
      <c r="F603" s="7" t="n">
        <v>54.43</v>
      </c>
      <c r="G603" s="7" t="n">
        <v>56.3</v>
      </c>
      <c r="H603" s="7" t="n">
        <v>40.48</v>
      </c>
      <c r="I603" s="9" t="n">
        <v>78.43000000000001</v>
      </c>
      <c r="J603" s="9" t="n">
        <v>70.09</v>
      </c>
      <c r="K603" s="7" t="n">
        <v>59.99</v>
      </c>
      <c r="L603" s="7" t="n">
        <v>49.34</v>
      </c>
      <c r="M603" s="7" t="n">
        <v>47.24</v>
      </c>
      <c r="N603" s="7" t="n">
        <v>41.62</v>
      </c>
      <c r="O603" s="7" t="n">
        <v>43.78</v>
      </c>
      <c r="P603" s="7" t="n">
        <v>35.05</v>
      </c>
      <c r="Q603" s="7" t="n">
        <v>50.99</v>
      </c>
      <c r="R603" s="7" t="n">
        <v>49.96</v>
      </c>
      <c r="S603" s="7" t="n">
        <v>44.35</v>
      </c>
      <c r="T603" s="7" t="n">
        <v>48.16</v>
      </c>
      <c r="U603" s="7" t="n">
        <v>52.49</v>
      </c>
      <c r="V603" s="8" t="n">
        <v>65.68000000000001</v>
      </c>
      <c r="W603" s="7" t="n"/>
      <c r="X603" s="7" t="n"/>
      <c r="Y603" s="7" t="n"/>
    </row>
    <row r="604" ht="15" customHeight="1">
      <c r="A604" s="13" t="n">
        <v>45378</v>
      </c>
      <c r="B604" s="7" t="n">
        <v>55.63</v>
      </c>
      <c r="C604" s="7" t="n">
        <v>58.99</v>
      </c>
      <c r="D604" s="7" t="n">
        <v>48.86</v>
      </c>
      <c r="E604" s="7" t="n">
        <v>55.57</v>
      </c>
      <c r="F604" s="7" t="n">
        <v>56.06</v>
      </c>
      <c r="G604" s="7" t="n">
        <v>58.66</v>
      </c>
      <c r="H604" s="7" t="n">
        <v>45.68</v>
      </c>
      <c r="I604" s="9" t="n">
        <v>73.84999999999999</v>
      </c>
      <c r="J604" s="8" t="n">
        <v>69.98</v>
      </c>
      <c r="K604" s="7" t="n">
        <v>59.13</v>
      </c>
      <c r="L604" s="7" t="n">
        <v>55.22</v>
      </c>
      <c r="M604" s="7" t="n">
        <v>46.48</v>
      </c>
      <c r="N604" s="7" t="n">
        <v>42.18</v>
      </c>
      <c r="O604" s="7" t="n">
        <v>42.85</v>
      </c>
      <c r="P604" s="7" t="n">
        <v>35.17</v>
      </c>
      <c r="Q604" s="7" t="n">
        <v>58.04</v>
      </c>
      <c r="R604" s="7" t="n">
        <v>50.75</v>
      </c>
      <c r="S604" s="7" t="n">
        <v>48.05</v>
      </c>
      <c r="T604" s="7" t="n">
        <v>48.92</v>
      </c>
      <c r="U604" s="7" t="n">
        <v>57.63</v>
      </c>
      <c r="V604" s="8" t="n">
        <v>67.56</v>
      </c>
      <c r="W604" s="7" t="n"/>
      <c r="X604" s="7" t="n"/>
      <c r="Y604" s="7" t="n"/>
    </row>
    <row r="605" ht="15" customHeight="1">
      <c r="A605" s="13" t="n">
        <v>45377</v>
      </c>
      <c r="B605" s="7" t="n">
        <v>55.66</v>
      </c>
      <c r="C605" s="7" t="n">
        <v>57.71</v>
      </c>
      <c r="D605" s="7" t="n">
        <v>56</v>
      </c>
      <c r="E605" s="7" t="n">
        <v>56.59</v>
      </c>
      <c r="F605" s="7" t="n">
        <v>57.48</v>
      </c>
      <c r="G605" s="8" t="n">
        <v>60.03</v>
      </c>
      <c r="H605" s="7" t="n">
        <v>45.43</v>
      </c>
      <c r="I605" s="9" t="n">
        <v>70.8</v>
      </c>
      <c r="J605" s="8" t="n">
        <v>68.79000000000001</v>
      </c>
      <c r="K605" s="7" t="n">
        <v>54.14</v>
      </c>
      <c r="L605" s="7" t="n">
        <v>55.34</v>
      </c>
      <c r="M605" s="7" t="n">
        <v>48.85</v>
      </c>
      <c r="N605" s="7" t="n">
        <v>41.85</v>
      </c>
      <c r="O605" s="7" t="n">
        <v>40.15</v>
      </c>
      <c r="P605" s="7" t="n">
        <v>30.9</v>
      </c>
      <c r="Q605" s="7" t="n">
        <v>59.08</v>
      </c>
      <c r="R605" s="7" t="n">
        <v>58.26</v>
      </c>
      <c r="S605" s="7" t="n">
        <v>54.78</v>
      </c>
      <c r="T605" s="7" t="n">
        <v>54.43</v>
      </c>
      <c r="U605" s="7" t="n">
        <v>54.01</v>
      </c>
      <c r="V605" s="8" t="n">
        <v>66.59</v>
      </c>
      <c r="W605" s="7" t="n"/>
      <c r="X605" s="7" t="n"/>
      <c r="Y605" s="7" t="n"/>
    </row>
    <row r="606" ht="15" customHeight="1">
      <c r="A606" s="13" t="n">
        <v>45376</v>
      </c>
      <c r="B606" s="7" t="n">
        <v>50.52</v>
      </c>
      <c r="C606" s="7" t="n">
        <v>51.24</v>
      </c>
      <c r="D606" s="7" t="n">
        <v>58.69</v>
      </c>
      <c r="E606" s="7" t="n">
        <v>58.32</v>
      </c>
      <c r="F606" s="8" t="n">
        <v>62.69</v>
      </c>
      <c r="G606" s="7" t="n">
        <v>56.97</v>
      </c>
      <c r="H606" s="7" t="n">
        <v>46.98</v>
      </c>
      <c r="I606" s="8" t="n">
        <v>64.59999999999999</v>
      </c>
      <c r="J606" s="8" t="n">
        <v>65.63</v>
      </c>
      <c r="K606" s="7" t="n">
        <v>54.69</v>
      </c>
      <c r="L606" s="7" t="n">
        <v>52.22</v>
      </c>
      <c r="M606" s="7" t="n">
        <v>47.69</v>
      </c>
      <c r="N606" s="7" t="n">
        <v>43.89</v>
      </c>
      <c r="O606" s="7" t="n">
        <v>42.14</v>
      </c>
      <c r="P606" s="7" t="n">
        <v>30.49</v>
      </c>
      <c r="Q606" s="7" t="n">
        <v>51.33</v>
      </c>
      <c r="R606" s="7" t="n">
        <v>59.59</v>
      </c>
      <c r="S606" s="7" t="n">
        <v>54.75</v>
      </c>
      <c r="T606" s="7" t="n">
        <v>58.63</v>
      </c>
      <c r="U606" s="7" t="n">
        <v>48.22</v>
      </c>
      <c r="V606" s="8" t="n">
        <v>63.82</v>
      </c>
      <c r="W606" s="7" t="n"/>
      <c r="X606" s="7" t="n"/>
      <c r="Y606" s="7" t="n"/>
    </row>
    <row r="607" ht="15" customHeight="1">
      <c r="A607" s="13" t="n">
        <v>45373</v>
      </c>
      <c r="B607" s="7" t="n">
        <v>46.16</v>
      </c>
      <c r="C607" s="7" t="n">
        <v>58.69</v>
      </c>
      <c r="D607" s="8" t="n">
        <v>60.64</v>
      </c>
      <c r="E607" s="7" t="n">
        <v>55.83</v>
      </c>
      <c r="F607" s="8" t="n">
        <v>60.59</v>
      </c>
      <c r="G607" s="8" t="n">
        <v>60.52</v>
      </c>
      <c r="H607" s="7" t="n">
        <v>43.78</v>
      </c>
      <c r="I607" s="8" t="n">
        <v>68.17</v>
      </c>
      <c r="J607" s="8" t="n">
        <v>67.48</v>
      </c>
      <c r="K607" s="8" t="n">
        <v>60.5</v>
      </c>
      <c r="L607" s="7" t="n">
        <v>55.36</v>
      </c>
      <c r="M607" s="7" t="n">
        <v>49.73</v>
      </c>
      <c r="N607" s="7" t="n">
        <v>47.26</v>
      </c>
      <c r="O607" s="7" t="n">
        <v>48.03</v>
      </c>
      <c r="P607" s="7" t="n">
        <v>32.7</v>
      </c>
      <c r="Q607" s="7" t="n">
        <v>55.85</v>
      </c>
      <c r="R607" s="8" t="n">
        <v>63.73</v>
      </c>
      <c r="S607" s="8" t="n">
        <v>60.25</v>
      </c>
      <c r="T607" s="7" t="n">
        <v>59.86</v>
      </c>
      <c r="U607" s="7" t="n">
        <v>46.12</v>
      </c>
      <c r="V607" s="8" t="n">
        <v>65.14</v>
      </c>
      <c r="W607" s="7" t="n"/>
      <c r="X607" s="7" t="n"/>
      <c r="Y607" s="7" t="n"/>
    </row>
    <row r="608" ht="15" customHeight="1">
      <c r="A608" s="13" t="n">
        <v>45372</v>
      </c>
      <c r="B608" s="7" t="n">
        <v>40.96</v>
      </c>
      <c r="C608" s="7" t="n">
        <v>49.02</v>
      </c>
      <c r="D608" s="8" t="n">
        <v>62.75</v>
      </c>
      <c r="E608" s="7" t="n">
        <v>53.77</v>
      </c>
      <c r="F608" s="8" t="n">
        <v>61.8</v>
      </c>
      <c r="G608" s="7" t="n">
        <v>56.85</v>
      </c>
      <c r="H608" s="7" t="n">
        <v>44.44</v>
      </c>
      <c r="I608" s="8" t="n">
        <v>69.09999999999999</v>
      </c>
      <c r="J608" s="8" t="n">
        <v>68.28</v>
      </c>
      <c r="K608" s="7" t="n">
        <v>55.89</v>
      </c>
      <c r="L608" s="7" t="n">
        <v>59.21</v>
      </c>
      <c r="M608" s="7" t="n">
        <v>53.21</v>
      </c>
      <c r="N608" s="7" t="n">
        <v>47.52</v>
      </c>
      <c r="O608" s="7" t="n">
        <v>49.02</v>
      </c>
      <c r="P608" s="7" t="n">
        <v>33.97</v>
      </c>
      <c r="Q608" s="7" t="n">
        <v>53.75</v>
      </c>
      <c r="R608" s="8" t="n">
        <v>64.31</v>
      </c>
      <c r="S608" s="8" t="n">
        <v>60.1</v>
      </c>
      <c r="T608" s="8" t="n">
        <v>61.23</v>
      </c>
      <c r="U608" s="7" t="n">
        <v>45.73</v>
      </c>
      <c r="V608" s="8" t="n">
        <v>66.31999999999999</v>
      </c>
      <c r="W608" s="7" t="n"/>
      <c r="X608" s="7" t="n"/>
      <c r="Y608" s="7" t="n"/>
    </row>
    <row r="609" ht="15" customHeight="1">
      <c r="A609" s="13" t="n">
        <v>45371</v>
      </c>
      <c r="B609" s="7" t="n">
        <v>40.96</v>
      </c>
      <c r="C609" s="7" t="n">
        <v>43.7</v>
      </c>
      <c r="D609" s="7" t="n">
        <v>57.87</v>
      </c>
      <c r="E609" s="7" t="n">
        <v>50.03</v>
      </c>
      <c r="F609" s="7" t="n">
        <v>58.48</v>
      </c>
      <c r="G609" s="7" t="n">
        <v>55.93</v>
      </c>
      <c r="H609" s="7" t="n">
        <v>41.54</v>
      </c>
      <c r="I609" s="8" t="n">
        <v>66.98999999999999</v>
      </c>
      <c r="J609" s="8" t="n">
        <v>60.59</v>
      </c>
      <c r="K609" s="7" t="n">
        <v>52.02</v>
      </c>
      <c r="L609" s="7" t="n">
        <v>54.3</v>
      </c>
      <c r="M609" s="7" t="n">
        <v>45.9</v>
      </c>
      <c r="N609" s="7" t="n">
        <v>42.35</v>
      </c>
      <c r="O609" s="7" t="n">
        <v>42.98</v>
      </c>
      <c r="P609" s="7" t="n">
        <v>30.12</v>
      </c>
      <c r="Q609" s="7" t="n">
        <v>46.76</v>
      </c>
      <c r="R609" s="7" t="n">
        <v>57.94</v>
      </c>
      <c r="S609" s="7" t="n">
        <v>55.78</v>
      </c>
      <c r="T609" s="7" t="n">
        <v>55.25</v>
      </c>
      <c r="U609" s="7" t="n">
        <v>39.76</v>
      </c>
      <c r="V609" s="7" t="n">
        <v>59.12</v>
      </c>
      <c r="W609" s="7" t="n"/>
      <c r="X609" s="7" t="n"/>
      <c r="Y609" s="7" t="n"/>
    </row>
    <row r="610" ht="15" customHeight="1">
      <c r="A610" s="13" t="n">
        <v>45370</v>
      </c>
      <c r="B610" s="7" t="n">
        <v>41.3</v>
      </c>
      <c r="C610" s="7" t="n">
        <v>44.93</v>
      </c>
      <c r="D610" s="7" t="n">
        <v>44.95</v>
      </c>
      <c r="E610" s="7" t="n">
        <v>51.81</v>
      </c>
      <c r="F610" s="7" t="n">
        <v>58.06</v>
      </c>
      <c r="G610" s="7" t="n">
        <v>55.66</v>
      </c>
      <c r="H610" s="7" t="n">
        <v>43.98</v>
      </c>
      <c r="I610" s="8" t="n">
        <v>66.39</v>
      </c>
      <c r="J610" s="7" t="n">
        <v>51.92</v>
      </c>
      <c r="K610" s="7" t="n">
        <v>48.94</v>
      </c>
      <c r="L610" s="7" t="n">
        <v>53.92</v>
      </c>
      <c r="M610" s="7" t="n">
        <v>42.04</v>
      </c>
      <c r="N610" s="7" t="n">
        <v>43</v>
      </c>
      <c r="O610" s="7" t="n">
        <v>42.51</v>
      </c>
      <c r="P610" s="7" t="n">
        <v>30.06</v>
      </c>
      <c r="Q610" s="7" t="n">
        <v>47.66</v>
      </c>
      <c r="R610" s="7" t="n">
        <v>55.44</v>
      </c>
      <c r="S610" s="7" t="n">
        <v>54.39</v>
      </c>
      <c r="T610" s="7" t="n">
        <v>52.35</v>
      </c>
      <c r="U610" s="7" t="n">
        <v>36.36</v>
      </c>
      <c r="V610" s="7" t="n">
        <v>53.59</v>
      </c>
      <c r="W610" s="7" t="n"/>
      <c r="X610" s="7" t="n"/>
      <c r="Y610" s="7" t="n"/>
    </row>
    <row r="611" ht="15" customHeight="1">
      <c r="A611" s="13" t="n">
        <v>45369</v>
      </c>
      <c r="B611" s="7" t="n">
        <v>45.46</v>
      </c>
      <c r="C611" s="7" t="n">
        <v>43.77</v>
      </c>
      <c r="D611" s="7" t="n">
        <v>48.35</v>
      </c>
      <c r="E611" s="7" t="n">
        <v>55.81</v>
      </c>
      <c r="F611" s="7" t="n">
        <v>59.11</v>
      </c>
      <c r="G611" s="7" t="n">
        <v>54.97</v>
      </c>
      <c r="H611" s="7" t="n">
        <v>47.74</v>
      </c>
      <c r="I611" s="9" t="n">
        <v>70.62</v>
      </c>
      <c r="J611" s="7" t="n">
        <v>53.75</v>
      </c>
      <c r="K611" s="7" t="n">
        <v>54.49</v>
      </c>
      <c r="L611" s="8" t="n">
        <v>64.75</v>
      </c>
      <c r="M611" s="7" t="n">
        <v>43.96</v>
      </c>
      <c r="N611" s="7" t="n">
        <v>58.73</v>
      </c>
      <c r="O611" s="7" t="n">
        <v>46.99</v>
      </c>
      <c r="P611" s="7" t="n">
        <v>32.97</v>
      </c>
      <c r="Q611" s="7" t="n">
        <v>51.62</v>
      </c>
      <c r="R611" s="8" t="n">
        <v>60.63</v>
      </c>
      <c r="S611" s="7" t="n">
        <v>57.18</v>
      </c>
      <c r="T611" s="7" t="n">
        <v>57.26</v>
      </c>
      <c r="U611" s="7" t="n">
        <v>40.21</v>
      </c>
      <c r="V611" s="7" t="n">
        <v>58.21</v>
      </c>
      <c r="W611" s="7" t="n"/>
      <c r="X611" s="7" t="n"/>
      <c r="Y611" s="7" t="n"/>
    </row>
    <row r="612" ht="15" customHeight="1">
      <c r="A612" s="13" t="n">
        <v>45366</v>
      </c>
      <c r="B612" s="7" t="n">
        <v>43.54</v>
      </c>
      <c r="C612" s="7" t="n">
        <v>42.63</v>
      </c>
      <c r="D612" s="7" t="n">
        <v>40.21</v>
      </c>
      <c r="E612" s="7" t="n">
        <v>49.63</v>
      </c>
      <c r="F612" s="7" t="n">
        <v>51.85</v>
      </c>
      <c r="G612" s="7" t="n">
        <v>57.63</v>
      </c>
      <c r="H612" s="7" t="n">
        <v>44.88</v>
      </c>
      <c r="I612" s="8" t="n">
        <v>68.13</v>
      </c>
      <c r="J612" s="7" t="n">
        <v>48.97</v>
      </c>
      <c r="K612" s="7" t="n">
        <v>55</v>
      </c>
      <c r="L612" s="8" t="n">
        <v>62.14</v>
      </c>
      <c r="M612" s="7" t="n">
        <v>45.89</v>
      </c>
      <c r="N612" s="8" t="n">
        <v>65.76000000000001</v>
      </c>
      <c r="O612" s="7" t="n">
        <v>49.55</v>
      </c>
      <c r="P612" s="7" t="n">
        <v>33.52</v>
      </c>
      <c r="Q612" s="7" t="n">
        <v>53</v>
      </c>
      <c r="R612" s="8" t="n">
        <v>63.98</v>
      </c>
      <c r="S612" s="7" t="n">
        <v>57.44</v>
      </c>
      <c r="T612" s="7" t="n">
        <v>59.07</v>
      </c>
      <c r="U612" s="7" t="n">
        <v>41.96</v>
      </c>
      <c r="V612" s="7" t="n">
        <v>52.73</v>
      </c>
      <c r="W612" s="7" t="n"/>
      <c r="X612" s="7" t="n"/>
      <c r="Y612" s="7" t="n"/>
    </row>
    <row r="613" ht="15" customHeight="1">
      <c r="A613" s="13" t="n">
        <v>45365</v>
      </c>
      <c r="B613" s="7" t="n">
        <v>38.46</v>
      </c>
      <c r="C613" s="7" t="n">
        <v>40.8</v>
      </c>
      <c r="D613" s="7" t="n">
        <v>41.01</v>
      </c>
      <c r="E613" s="7" t="n">
        <v>52.39</v>
      </c>
      <c r="F613" s="7" t="n">
        <v>55.86</v>
      </c>
      <c r="G613" s="7" t="n">
        <v>58.43</v>
      </c>
      <c r="H613" s="7" t="n">
        <v>48.53</v>
      </c>
      <c r="I613" s="9" t="n">
        <v>76.8</v>
      </c>
      <c r="J613" s="7" t="n">
        <v>59.72</v>
      </c>
      <c r="K613" s="7" t="n">
        <v>54.67</v>
      </c>
      <c r="L613" s="8" t="n">
        <v>68.47</v>
      </c>
      <c r="M613" s="8" t="n">
        <v>62.16</v>
      </c>
      <c r="N613" s="8" t="n">
        <v>65.75</v>
      </c>
      <c r="O613" s="7" t="n">
        <v>45.66</v>
      </c>
      <c r="P613" s="7" t="n">
        <v>40.69</v>
      </c>
      <c r="Q613" s="7" t="n">
        <v>59.08</v>
      </c>
      <c r="R613" s="9" t="n">
        <v>71.42</v>
      </c>
      <c r="S613" s="8" t="n">
        <v>63.1</v>
      </c>
      <c r="T613" s="8" t="n">
        <v>64.28</v>
      </c>
      <c r="U613" s="7" t="n">
        <v>47.49</v>
      </c>
      <c r="V613" s="8" t="n">
        <v>63.42</v>
      </c>
      <c r="W613" s="7" t="n"/>
      <c r="X613" s="7" t="n"/>
      <c r="Y613" s="7" t="n"/>
    </row>
    <row r="614" ht="15" customHeight="1">
      <c r="A614" s="13" t="n">
        <v>45364</v>
      </c>
      <c r="B614" s="7" t="n">
        <v>35.33</v>
      </c>
      <c r="C614" s="7" t="n">
        <v>39.97</v>
      </c>
      <c r="D614" s="7" t="n">
        <v>40.81</v>
      </c>
      <c r="E614" s="7" t="n">
        <v>50.14</v>
      </c>
      <c r="F614" s="7" t="n">
        <v>54.12</v>
      </c>
      <c r="G614" s="7" t="n">
        <v>55.58</v>
      </c>
      <c r="H614" s="7" t="n">
        <v>49.67</v>
      </c>
      <c r="I614" s="9" t="n">
        <v>74.29000000000001</v>
      </c>
      <c r="J614" s="8" t="n">
        <v>60.59</v>
      </c>
      <c r="K614" s="7" t="n">
        <v>59.83</v>
      </c>
      <c r="L614" s="8" t="n">
        <v>62.55</v>
      </c>
      <c r="M614" s="7" t="n">
        <v>59.08</v>
      </c>
      <c r="N614" s="7" t="n">
        <v>59.69</v>
      </c>
      <c r="O614" s="7" t="n">
        <v>38.17</v>
      </c>
      <c r="P614" s="10" t="n">
        <v>27.09</v>
      </c>
      <c r="Q614" s="7" t="n">
        <v>52.7</v>
      </c>
      <c r="R614" s="8" t="n">
        <v>65.33</v>
      </c>
      <c r="S614" s="7" t="n">
        <v>59.94</v>
      </c>
      <c r="T614" s="7" t="n">
        <v>59.29</v>
      </c>
      <c r="U614" s="7" t="n">
        <v>47.16</v>
      </c>
      <c r="V614" s="8" t="n">
        <v>61.73</v>
      </c>
      <c r="W614" s="7" t="n"/>
      <c r="X614" s="7" t="n"/>
      <c r="Y614" s="7" t="n"/>
    </row>
    <row r="615" ht="15" customHeight="1">
      <c r="A615" s="13" t="n">
        <v>45363</v>
      </c>
      <c r="B615" s="7" t="n">
        <v>38.69</v>
      </c>
      <c r="C615" s="7" t="n">
        <v>40.95</v>
      </c>
      <c r="D615" s="7" t="n">
        <v>37.05</v>
      </c>
      <c r="E615" s="7" t="n">
        <v>52.12</v>
      </c>
      <c r="F615" s="7" t="n">
        <v>59.05</v>
      </c>
      <c r="G615" s="7" t="n">
        <v>54.16</v>
      </c>
      <c r="H615" s="7" t="n">
        <v>51.84</v>
      </c>
      <c r="I615" s="9" t="n">
        <v>70.84</v>
      </c>
      <c r="J615" s="7" t="n">
        <v>59.15</v>
      </c>
      <c r="K615" s="7" t="n">
        <v>59.4</v>
      </c>
      <c r="L615" s="8" t="n">
        <v>60.94</v>
      </c>
      <c r="M615" s="7" t="n">
        <v>57.21</v>
      </c>
      <c r="N615" s="7" t="n">
        <v>57.99</v>
      </c>
      <c r="O615" s="7" t="n">
        <v>38.53</v>
      </c>
      <c r="P615" s="10" t="n">
        <v>28.59</v>
      </c>
      <c r="Q615" s="7" t="n">
        <v>50.92</v>
      </c>
      <c r="R615" s="8" t="n">
        <v>60.47</v>
      </c>
      <c r="S615" s="7" t="n">
        <v>51.5</v>
      </c>
      <c r="T615" s="7" t="n">
        <v>57.01</v>
      </c>
      <c r="U615" s="7" t="n">
        <v>48.76</v>
      </c>
      <c r="V615" s="8" t="n">
        <v>60.93</v>
      </c>
      <c r="W615" s="7" t="n"/>
      <c r="X615" s="7" t="n"/>
      <c r="Y615" s="7" t="n"/>
    </row>
    <row r="616" ht="15" customHeight="1">
      <c r="A616" s="13" t="n">
        <v>45362</v>
      </c>
      <c r="B616" s="7" t="n">
        <v>38.75</v>
      </c>
      <c r="C616" s="7" t="n">
        <v>41.19</v>
      </c>
      <c r="D616" s="7" t="n">
        <v>38.1</v>
      </c>
      <c r="E616" s="7" t="n">
        <v>46.89</v>
      </c>
      <c r="F616" s="7" t="n">
        <v>56.43</v>
      </c>
      <c r="G616" s="7" t="n">
        <v>53.35</v>
      </c>
      <c r="H616" s="7" t="n">
        <v>46.1</v>
      </c>
      <c r="I616" s="9" t="n">
        <v>72.67</v>
      </c>
      <c r="J616" s="7" t="n">
        <v>52.49</v>
      </c>
      <c r="K616" s="8" t="n">
        <v>61.34</v>
      </c>
      <c r="L616" s="8" t="n">
        <v>63.02</v>
      </c>
      <c r="M616" s="7" t="n">
        <v>56.05</v>
      </c>
      <c r="N616" s="8" t="n">
        <v>61.77</v>
      </c>
      <c r="O616" s="7" t="n">
        <v>41.22</v>
      </c>
      <c r="P616" s="10" t="n">
        <v>29.56</v>
      </c>
      <c r="Q616" s="7" t="n">
        <v>51.36</v>
      </c>
      <c r="R616" s="8" t="n">
        <v>62.28</v>
      </c>
      <c r="S616" s="7" t="n">
        <v>51.17</v>
      </c>
      <c r="T616" s="8" t="n">
        <v>64.31999999999999</v>
      </c>
      <c r="U616" s="7" t="n">
        <v>46.82</v>
      </c>
      <c r="V616" s="7" t="n">
        <v>55.87</v>
      </c>
      <c r="W616" s="7" t="n"/>
      <c r="X616" s="7" t="n"/>
      <c r="Y616" s="7" t="n"/>
    </row>
    <row r="617" ht="15" customHeight="1">
      <c r="A617" s="13" t="n">
        <v>45359</v>
      </c>
      <c r="B617" s="7" t="n">
        <v>40.1</v>
      </c>
      <c r="C617" s="7" t="n">
        <v>38.47</v>
      </c>
      <c r="D617" s="7" t="n">
        <v>39.03</v>
      </c>
      <c r="E617" s="7" t="n">
        <v>49.59</v>
      </c>
      <c r="F617" s="7" t="n">
        <v>57.89</v>
      </c>
      <c r="G617" s="7" t="n">
        <v>58.63</v>
      </c>
      <c r="H617" s="7" t="n">
        <v>50.16</v>
      </c>
      <c r="I617" s="9" t="n">
        <v>70.79000000000001</v>
      </c>
      <c r="J617" s="7" t="n">
        <v>58.7</v>
      </c>
      <c r="K617" s="9" t="n">
        <v>74.19</v>
      </c>
      <c r="L617" s="8" t="n">
        <v>68.02</v>
      </c>
      <c r="M617" s="7" t="n">
        <v>57.95</v>
      </c>
      <c r="N617" s="8" t="n">
        <v>62.65</v>
      </c>
      <c r="O617" s="7" t="n">
        <v>44.66</v>
      </c>
      <c r="P617" s="7" t="n">
        <v>30.88</v>
      </c>
      <c r="Q617" s="7" t="n">
        <v>55.72</v>
      </c>
      <c r="R617" s="8" t="n">
        <v>64.84</v>
      </c>
      <c r="S617" s="7" t="n">
        <v>59.75</v>
      </c>
      <c r="T617" s="8" t="n">
        <v>65.34</v>
      </c>
      <c r="U617" s="7" t="n">
        <v>38.93</v>
      </c>
      <c r="V617" s="8" t="n">
        <v>62.23</v>
      </c>
      <c r="W617" s="7" t="n"/>
      <c r="X617" s="7" t="n"/>
      <c r="Y617" s="7" t="n"/>
    </row>
    <row r="618" ht="15" customHeight="1">
      <c r="A618" s="13" t="n">
        <v>45358</v>
      </c>
      <c r="B618" s="7" t="n">
        <v>34.86</v>
      </c>
      <c r="C618" s="7" t="n">
        <v>34.04</v>
      </c>
      <c r="D618" s="7" t="n">
        <v>44.16</v>
      </c>
      <c r="E618" s="7" t="n">
        <v>47.18</v>
      </c>
      <c r="F618" s="7" t="n">
        <v>45.52</v>
      </c>
      <c r="G618" s="7" t="n">
        <v>50.09</v>
      </c>
      <c r="H618" s="7" t="n">
        <v>47.89</v>
      </c>
      <c r="I618" s="8" t="n">
        <v>66.93000000000001</v>
      </c>
      <c r="J618" s="7" t="n">
        <v>51.87</v>
      </c>
      <c r="K618" s="9" t="n">
        <v>71.84</v>
      </c>
      <c r="L618" s="8" t="n">
        <v>66.59</v>
      </c>
      <c r="M618" s="7" t="n">
        <v>54.87</v>
      </c>
      <c r="N618" s="8" t="n">
        <v>65.59999999999999</v>
      </c>
      <c r="O618" s="7" t="n">
        <v>41.6</v>
      </c>
      <c r="P618" s="7" t="n">
        <v>32.15</v>
      </c>
      <c r="Q618" s="7" t="n">
        <v>55.85</v>
      </c>
      <c r="R618" s="8" t="n">
        <v>64.61</v>
      </c>
      <c r="S618" s="7" t="n">
        <v>58.69</v>
      </c>
      <c r="T618" s="8" t="n">
        <v>65.88</v>
      </c>
      <c r="U618" s="7" t="n">
        <v>31.67</v>
      </c>
      <c r="V618" s="7" t="n">
        <v>55.22</v>
      </c>
      <c r="W618" s="7" t="n"/>
      <c r="X618" s="7" t="n"/>
      <c r="Y618" s="7" t="n"/>
    </row>
    <row r="619" ht="15" customHeight="1">
      <c r="A619" s="13" t="n">
        <v>45357</v>
      </c>
      <c r="B619" s="7" t="n">
        <v>40.1</v>
      </c>
      <c r="C619" s="7" t="n">
        <v>35.79</v>
      </c>
      <c r="D619" s="7" t="n">
        <v>50.71</v>
      </c>
      <c r="E619" s="7" t="n">
        <v>46.17</v>
      </c>
      <c r="F619" s="7" t="n">
        <v>46.2</v>
      </c>
      <c r="G619" s="7" t="n">
        <v>50.44</v>
      </c>
      <c r="H619" s="7" t="n">
        <v>45.7</v>
      </c>
      <c r="I619" s="8" t="n">
        <v>69.14</v>
      </c>
      <c r="J619" s="7" t="n">
        <v>49.95</v>
      </c>
      <c r="K619" s="9" t="n">
        <v>80.22</v>
      </c>
      <c r="L619" s="8" t="n">
        <v>68.72</v>
      </c>
      <c r="M619" s="7" t="n">
        <v>55.66</v>
      </c>
      <c r="N619" s="9" t="n">
        <v>70.7</v>
      </c>
      <c r="O619" s="7" t="n">
        <v>45.98</v>
      </c>
      <c r="P619" s="7" t="n">
        <v>33.17</v>
      </c>
      <c r="Q619" s="7" t="n">
        <v>55.69</v>
      </c>
      <c r="R619" s="8" t="n">
        <v>62.27</v>
      </c>
      <c r="S619" s="7" t="n">
        <v>58.36</v>
      </c>
      <c r="T619" s="8" t="n">
        <v>63.51</v>
      </c>
      <c r="U619" s="7" t="n">
        <v>31.25</v>
      </c>
      <c r="V619" s="7" t="n">
        <v>54.51</v>
      </c>
      <c r="W619" s="7" t="n"/>
      <c r="X619" s="7" t="n"/>
      <c r="Y619" s="7" t="n"/>
    </row>
    <row r="620" ht="15" customHeight="1">
      <c r="A620" s="13" t="n">
        <v>45356</v>
      </c>
      <c r="B620" s="7" t="n">
        <v>39.05</v>
      </c>
      <c r="C620" s="7" t="n">
        <v>37.32</v>
      </c>
      <c r="D620" s="7" t="n">
        <v>52.24</v>
      </c>
      <c r="E620" s="7" t="n">
        <v>49.49</v>
      </c>
      <c r="F620" s="7" t="n">
        <v>40.76</v>
      </c>
      <c r="G620" s="7" t="n">
        <v>54.49</v>
      </c>
      <c r="H620" s="7" t="n">
        <v>49.47</v>
      </c>
      <c r="I620" s="8" t="n">
        <v>63.3</v>
      </c>
      <c r="J620" s="7" t="n">
        <v>54.74</v>
      </c>
      <c r="K620" s="9" t="n">
        <v>76.98999999999999</v>
      </c>
      <c r="L620" s="8" t="n">
        <v>65.54000000000001</v>
      </c>
      <c r="M620" s="7" t="n">
        <v>57.47</v>
      </c>
      <c r="N620" s="8" t="n">
        <v>69.48999999999999</v>
      </c>
      <c r="O620" s="7" t="n">
        <v>47.76</v>
      </c>
      <c r="P620" s="7" t="n">
        <v>37.72</v>
      </c>
      <c r="Q620" s="7" t="n">
        <v>54.76</v>
      </c>
      <c r="R620" s="8" t="n">
        <v>63.43</v>
      </c>
      <c r="S620" s="8" t="n">
        <v>66.06999999999999</v>
      </c>
      <c r="T620" s="8" t="n">
        <v>65.95999999999999</v>
      </c>
      <c r="U620" s="7" t="n">
        <v>31.7</v>
      </c>
      <c r="V620" s="7" t="n">
        <v>56.07</v>
      </c>
      <c r="W620" s="7" t="n"/>
      <c r="X620" s="7" t="n"/>
      <c r="Y620" s="7" t="n"/>
    </row>
    <row r="621" ht="15" customHeight="1">
      <c r="A621" s="13" t="n">
        <v>45355</v>
      </c>
      <c r="B621" s="7" t="n">
        <v>40.51</v>
      </c>
      <c r="C621" s="7" t="n">
        <v>39.46</v>
      </c>
      <c r="D621" s="7" t="n">
        <v>56.06</v>
      </c>
      <c r="E621" s="7" t="n">
        <v>48.33</v>
      </c>
      <c r="F621" s="7" t="n">
        <v>38.4</v>
      </c>
      <c r="G621" s="7" t="n">
        <v>58.88</v>
      </c>
      <c r="H621" s="7" t="n">
        <v>55.14</v>
      </c>
      <c r="I621" s="8" t="n">
        <v>65.28</v>
      </c>
      <c r="J621" s="8" t="n">
        <v>64.06999999999999</v>
      </c>
      <c r="K621" s="9" t="n">
        <v>74.69</v>
      </c>
      <c r="L621" s="9" t="n">
        <v>71.22</v>
      </c>
      <c r="M621" s="7" t="n">
        <v>57.63</v>
      </c>
      <c r="N621" s="9" t="n">
        <v>72.87</v>
      </c>
      <c r="O621" s="7" t="n">
        <v>50.88</v>
      </c>
      <c r="P621" s="7" t="n">
        <v>38.66</v>
      </c>
      <c r="Q621" s="7" t="n">
        <v>53.86</v>
      </c>
      <c r="R621" s="8" t="n">
        <v>64.39</v>
      </c>
      <c r="S621" s="8" t="n">
        <v>68.58</v>
      </c>
      <c r="T621" s="8" t="n">
        <v>66.45</v>
      </c>
      <c r="U621" s="7" t="n">
        <v>34.78</v>
      </c>
      <c r="V621" s="8" t="n">
        <v>63.12</v>
      </c>
      <c r="W621" s="7" t="n"/>
      <c r="X621" s="7" t="n"/>
      <c r="Y621" s="7" t="n"/>
    </row>
    <row r="622" ht="15" customHeight="1">
      <c r="A622" s="13" t="n">
        <v>45352</v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</row>
    <row r="623" ht="15" customHeight="1">
      <c r="A623" s="13" t="n">
        <v>45351</v>
      </c>
      <c r="B623" s="7" t="n">
        <v>38.03</v>
      </c>
      <c r="C623" s="7" t="n">
        <v>45.46</v>
      </c>
      <c r="D623" s="7" t="n">
        <v>51.7</v>
      </c>
      <c r="E623" s="7" t="n">
        <v>45.56</v>
      </c>
      <c r="F623" s="7" t="n">
        <v>41.05</v>
      </c>
      <c r="G623" s="8" t="n">
        <v>60.5</v>
      </c>
      <c r="H623" s="7" t="n">
        <v>45.94</v>
      </c>
      <c r="I623" s="7" t="n">
        <v>59.5</v>
      </c>
      <c r="J623" s="7" t="n">
        <v>54.9</v>
      </c>
      <c r="K623" s="9" t="n">
        <v>75.58</v>
      </c>
      <c r="L623" s="9" t="n">
        <v>70.19</v>
      </c>
      <c r="M623" s="7" t="n">
        <v>53.74</v>
      </c>
      <c r="N623" s="9" t="n">
        <v>73.26000000000001</v>
      </c>
      <c r="O623" s="7" t="n">
        <v>55.97</v>
      </c>
      <c r="P623" s="7" t="n">
        <v>43.42</v>
      </c>
      <c r="Q623" s="8" t="n">
        <v>60.02</v>
      </c>
      <c r="R623" s="8" t="n">
        <v>60.56</v>
      </c>
      <c r="S623" s="8" t="n">
        <v>66.05</v>
      </c>
      <c r="T623" s="8" t="n">
        <v>62.03</v>
      </c>
      <c r="U623" s="7" t="n">
        <v>39.09</v>
      </c>
      <c r="V623" s="7" t="n">
        <v>56.68</v>
      </c>
      <c r="W623" s="7" t="n"/>
      <c r="X623" s="7" t="n"/>
      <c r="Y623" s="7" t="n"/>
    </row>
    <row r="624" ht="15" customHeight="1">
      <c r="A624" s="13" t="n">
        <v>45350</v>
      </c>
      <c r="B624" s="7" t="n">
        <v>40.76</v>
      </c>
      <c r="C624" s="7" t="n">
        <v>46.46</v>
      </c>
      <c r="D624" s="7" t="n">
        <v>49.32</v>
      </c>
      <c r="E624" s="7" t="n">
        <v>49.65</v>
      </c>
      <c r="F624" s="7" t="n">
        <v>54.21</v>
      </c>
      <c r="G624" s="8" t="n">
        <v>61.38</v>
      </c>
      <c r="H624" s="7" t="n">
        <v>49.73</v>
      </c>
      <c r="I624" s="8" t="n">
        <v>65.58</v>
      </c>
      <c r="J624" s="7" t="n">
        <v>54.69</v>
      </c>
      <c r="K624" s="8" t="n">
        <v>68.81</v>
      </c>
      <c r="L624" s="8" t="n">
        <v>68.20999999999999</v>
      </c>
      <c r="M624" s="7" t="n">
        <v>54.77</v>
      </c>
      <c r="N624" s="9" t="n">
        <v>71.59999999999999</v>
      </c>
      <c r="O624" s="7" t="n">
        <v>59.26</v>
      </c>
      <c r="P624" s="7" t="n">
        <v>46.74</v>
      </c>
      <c r="Q624" s="7" t="n">
        <v>56.84</v>
      </c>
      <c r="R624" s="8" t="n">
        <v>60.2</v>
      </c>
      <c r="S624" s="8" t="n">
        <v>63.96</v>
      </c>
      <c r="T624" s="8" t="n">
        <v>64.28</v>
      </c>
      <c r="U624" s="7" t="n">
        <v>46.87</v>
      </c>
      <c r="V624" s="7" t="n">
        <v>59</v>
      </c>
      <c r="W624" s="7" t="n"/>
      <c r="X624" s="7" t="n"/>
      <c r="Y624" s="7" t="n"/>
    </row>
    <row r="625" ht="15" customHeight="1">
      <c r="A625" s="13" t="n">
        <v>45349</v>
      </c>
      <c r="B625" s="7" t="n">
        <v>41.87</v>
      </c>
      <c r="C625" s="7" t="n">
        <v>44.53</v>
      </c>
      <c r="D625" s="7" t="n">
        <v>48.96</v>
      </c>
      <c r="E625" s="7" t="n">
        <v>47.17</v>
      </c>
      <c r="F625" s="7" t="n">
        <v>55.76</v>
      </c>
      <c r="G625" s="8" t="n">
        <v>60.83</v>
      </c>
      <c r="H625" s="7" t="n">
        <v>44.43</v>
      </c>
      <c r="I625" s="7" t="n">
        <v>58.56</v>
      </c>
      <c r="J625" s="7" t="n">
        <v>51.83</v>
      </c>
      <c r="K625" s="8" t="n">
        <v>65.34</v>
      </c>
      <c r="L625" s="8" t="n">
        <v>61.2</v>
      </c>
      <c r="M625" s="7" t="n">
        <v>48.29</v>
      </c>
      <c r="N625" s="9" t="n">
        <v>71.13</v>
      </c>
      <c r="O625" s="7" t="n">
        <v>51.88</v>
      </c>
      <c r="P625" s="7" t="n">
        <v>46.03</v>
      </c>
      <c r="Q625" s="7" t="n">
        <v>54.62</v>
      </c>
      <c r="R625" s="7" t="n">
        <v>57.24</v>
      </c>
      <c r="S625" s="8" t="n">
        <v>60.74</v>
      </c>
      <c r="T625" s="7" t="n">
        <v>58.11</v>
      </c>
      <c r="U625" s="7" t="n">
        <v>46.07</v>
      </c>
      <c r="V625" s="7" t="n">
        <v>54.19</v>
      </c>
      <c r="W625" s="7" t="n"/>
      <c r="X625" s="7" t="n"/>
      <c r="Y625" s="7" t="n"/>
    </row>
    <row r="626" ht="15" customHeight="1">
      <c r="A626" s="13" t="n">
        <v>45348</v>
      </c>
      <c r="B626" s="7" t="n">
        <v>47.14</v>
      </c>
      <c r="C626" s="7" t="n">
        <v>46.83</v>
      </c>
      <c r="D626" s="7" t="n">
        <v>53.69</v>
      </c>
      <c r="E626" s="7" t="n">
        <v>50.94</v>
      </c>
      <c r="F626" s="7" t="n">
        <v>52.4</v>
      </c>
      <c r="G626" s="8" t="n">
        <v>64.77</v>
      </c>
      <c r="H626" s="7" t="n">
        <v>47.69</v>
      </c>
      <c r="I626" s="7" t="n">
        <v>57.84</v>
      </c>
      <c r="J626" s="7" t="n">
        <v>58.88</v>
      </c>
      <c r="K626" s="8" t="n">
        <v>67.94</v>
      </c>
      <c r="L626" s="8" t="n">
        <v>61.64</v>
      </c>
      <c r="M626" s="7" t="n">
        <v>53.16</v>
      </c>
      <c r="N626" s="9" t="n">
        <v>77.7</v>
      </c>
      <c r="O626" s="7" t="n">
        <v>55.94</v>
      </c>
      <c r="P626" s="7" t="n">
        <v>52.8</v>
      </c>
      <c r="Q626" s="7" t="n">
        <v>59.94</v>
      </c>
      <c r="R626" s="7" t="n">
        <v>58.76</v>
      </c>
      <c r="S626" s="8" t="n">
        <v>60.09</v>
      </c>
      <c r="T626" s="8" t="n">
        <v>61.3</v>
      </c>
      <c r="U626" s="7" t="n">
        <v>50.38</v>
      </c>
      <c r="V626" s="7" t="n">
        <v>59.28</v>
      </c>
      <c r="W626" s="7" t="n"/>
      <c r="X626" s="7" t="n"/>
      <c r="Y626" s="7" t="n"/>
    </row>
    <row r="627" ht="15" customHeight="1">
      <c r="A627" s="13" t="n">
        <v>45345</v>
      </c>
      <c r="B627" s="7" t="n">
        <v>52.61</v>
      </c>
      <c r="C627" s="7" t="n">
        <v>53.28</v>
      </c>
      <c r="D627" s="8" t="n">
        <v>60.77</v>
      </c>
      <c r="E627" s="7" t="n">
        <v>54.86</v>
      </c>
      <c r="F627" s="7" t="n">
        <v>51.25</v>
      </c>
      <c r="G627" s="9" t="n">
        <v>72.73</v>
      </c>
      <c r="H627" s="7" t="n">
        <v>50.67</v>
      </c>
      <c r="I627" s="7" t="n">
        <v>56.17</v>
      </c>
      <c r="J627" s="7" t="n">
        <v>58.16</v>
      </c>
      <c r="K627" s="8" t="n">
        <v>64.56</v>
      </c>
      <c r="L627" s="8" t="n">
        <v>66.18000000000001</v>
      </c>
      <c r="M627" s="8" t="n">
        <v>63.31</v>
      </c>
      <c r="N627" s="9" t="n">
        <v>73.66</v>
      </c>
      <c r="O627" s="7" t="n">
        <v>56.53</v>
      </c>
      <c r="P627" s="7" t="n">
        <v>52.73</v>
      </c>
      <c r="Q627" s="8" t="n">
        <v>64.3</v>
      </c>
      <c r="R627" s="8" t="n">
        <v>69.22</v>
      </c>
      <c r="S627" s="8" t="n">
        <v>69.70999999999999</v>
      </c>
      <c r="T627" s="9" t="n">
        <v>70.06</v>
      </c>
      <c r="U627" s="7" t="n">
        <v>52.73</v>
      </c>
      <c r="V627" s="8" t="n">
        <v>60.83</v>
      </c>
      <c r="W627" s="7" t="n"/>
      <c r="X627" s="7" t="n"/>
      <c r="Y627" s="7" t="n"/>
    </row>
    <row r="628" ht="15" customHeight="1">
      <c r="A628" s="13" t="n">
        <v>45344</v>
      </c>
      <c r="B628" s="7" t="n">
        <v>49.16</v>
      </c>
      <c r="C628" s="7" t="n">
        <v>50.43</v>
      </c>
      <c r="D628" s="8" t="n">
        <v>61.25</v>
      </c>
      <c r="E628" s="7" t="n">
        <v>59.46</v>
      </c>
      <c r="F628" s="7" t="n">
        <v>49.36</v>
      </c>
      <c r="G628" s="9" t="n">
        <v>73.72</v>
      </c>
      <c r="H628" s="7" t="n">
        <v>51.13</v>
      </c>
      <c r="I628" s="8" t="n">
        <v>62.19</v>
      </c>
      <c r="J628" s="7" t="n">
        <v>57.47</v>
      </c>
      <c r="K628" s="7" t="n">
        <v>57.96</v>
      </c>
      <c r="L628" s="8" t="n">
        <v>67.20999999999999</v>
      </c>
      <c r="M628" s="8" t="n">
        <v>67.91</v>
      </c>
      <c r="N628" s="9" t="n">
        <v>71.87</v>
      </c>
      <c r="O628" s="7" t="n">
        <v>58.5</v>
      </c>
      <c r="P628" s="7" t="n">
        <v>54.15</v>
      </c>
      <c r="Q628" s="8" t="n">
        <v>65.33</v>
      </c>
      <c r="R628" s="8" t="n">
        <v>66.58</v>
      </c>
      <c r="S628" s="8" t="n">
        <v>67.19</v>
      </c>
      <c r="T628" s="8" t="n">
        <v>66.81</v>
      </c>
      <c r="U628" s="7" t="n">
        <v>55.15</v>
      </c>
      <c r="V628" s="8" t="n">
        <v>61.12</v>
      </c>
      <c r="W628" s="7" t="n"/>
      <c r="X628" s="7" t="n"/>
      <c r="Y628" s="7" t="n"/>
    </row>
    <row r="629" ht="15" customHeight="1">
      <c r="A629" s="13" t="n">
        <v>45343</v>
      </c>
      <c r="B629" s="7" t="n">
        <v>51.59</v>
      </c>
      <c r="C629" s="7" t="n">
        <v>51.61</v>
      </c>
      <c r="D629" s="8" t="n">
        <v>61</v>
      </c>
      <c r="E629" s="8" t="n">
        <v>67.15000000000001</v>
      </c>
      <c r="F629" s="7" t="n">
        <v>51.66</v>
      </c>
      <c r="G629" s="9" t="n">
        <v>75.41</v>
      </c>
      <c r="H629" s="7" t="n">
        <v>53.51</v>
      </c>
      <c r="I629" s="7" t="n">
        <v>55.48</v>
      </c>
      <c r="J629" s="7" t="n">
        <v>53.72</v>
      </c>
      <c r="K629" s="8" t="n">
        <v>65.54000000000001</v>
      </c>
      <c r="L629" s="8" t="n">
        <v>64.42</v>
      </c>
      <c r="M629" s="8" t="n">
        <v>66.33</v>
      </c>
      <c r="N629" s="9" t="n">
        <v>70.97</v>
      </c>
      <c r="O629" s="7" t="n">
        <v>58.28</v>
      </c>
      <c r="P629" s="7" t="n">
        <v>54.25</v>
      </c>
      <c r="Q629" s="8" t="n">
        <v>65.84999999999999</v>
      </c>
      <c r="R629" s="8" t="n">
        <v>66.34999999999999</v>
      </c>
      <c r="S629" s="9" t="n">
        <v>70.56</v>
      </c>
      <c r="T629" s="8" t="n">
        <v>66.20999999999999</v>
      </c>
      <c r="U629" s="7" t="n">
        <v>53.04</v>
      </c>
      <c r="V629" s="7" t="n">
        <v>59.23</v>
      </c>
      <c r="W629" s="7" t="n"/>
      <c r="X629" s="7" t="n"/>
      <c r="Y629" s="7" t="n"/>
    </row>
    <row r="630" ht="15" customHeight="1">
      <c r="A630" s="13" t="n">
        <v>45342</v>
      </c>
      <c r="B630" s="7" t="n">
        <v>49.42</v>
      </c>
      <c r="C630" s="7" t="n">
        <v>44.07</v>
      </c>
      <c r="D630" s="8" t="n">
        <v>68.19</v>
      </c>
      <c r="E630" s="8" t="n">
        <v>69.81999999999999</v>
      </c>
      <c r="F630" s="7" t="n">
        <v>52.54</v>
      </c>
      <c r="G630" s="9" t="n">
        <v>75.81</v>
      </c>
      <c r="H630" s="7" t="n">
        <v>54.53</v>
      </c>
      <c r="I630" s="7" t="n">
        <v>57.57</v>
      </c>
      <c r="J630" s="7" t="n">
        <v>54.61</v>
      </c>
      <c r="K630" s="8" t="n">
        <v>65.56999999999999</v>
      </c>
      <c r="L630" s="8" t="n">
        <v>64.18000000000001</v>
      </c>
      <c r="M630" s="8" t="n">
        <v>67.83</v>
      </c>
      <c r="N630" s="9" t="n">
        <v>76.15000000000001</v>
      </c>
      <c r="O630" s="7" t="n">
        <v>58.68</v>
      </c>
      <c r="P630" s="7" t="n">
        <v>51.86</v>
      </c>
      <c r="Q630" s="9" t="n">
        <v>77.40000000000001</v>
      </c>
      <c r="R630" s="8" t="n">
        <v>66.33</v>
      </c>
      <c r="S630" s="8" t="n">
        <v>68.73</v>
      </c>
      <c r="T630" s="8" t="n">
        <v>63.48</v>
      </c>
      <c r="U630" s="7" t="n">
        <v>54.06</v>
      </c>
      <c r="V630" s="8" t="n">
        <v>60.19</v>
      </c>
      <c r="W630" s="7" t="n"/>
      <c r="X630" s="7" t="n"/>
      <c r="Y630" s="7" t="n"/>
    </row>
    <row r="631" ht="15" customHeight="1">
      <c r="A631" s="13" t="n">
        <v>45341</v>
      </c>
      <c r="B631" s="7" t="n">
        <v>52.24</v>
      </c>
      <c r="C631" s="7" t="n">
        <v>48.25</v>
      </c>
      <c r="D631" s="8" t="n">
        <v>64.38</v>
      </c>
      <c r="E631" s="9" t="n">
        <v>70.52</v>
      </c>
      <c r="F631" s="7" t="n">
        <v>53.68</v>
      </c>
      <c r="G631" s="9" t="n">
        <v>77.94</v>
      </c>
      <c r="H631" s="7" t="n">
        <v>57.38</v>
      </c>
      <c r="I631" s="8" t="n">
        <v>62.32</v>
      </c>
      <c r="J631" s="7" t="n">
        <v>55.4</v>
      </c>
      <c r="K631" s="8" t="n">
        <v>64.40000000000001</v>
      </c>
      <c r="L631" s="9" t="n">
        <v>70.75</v>
      </c>
      <c r="M631" s="9" t="n">
        <v>77.05</v>
      </c>
      <c r="N631" s="9" t="n">
        <v>76.11</v>
      </c>
      <c r="O631" s="8" t="n">
        <v>64.93000000000001</v>
      </c>
      <c r="P631" s="7" t="n">
        <v>52.08</v>
      </c>
      <c r="Q631" s="9" t="n">
        <v>78.75</v>
      </c>
      <c r="R631" s="9" t="n">
        <v>74.81999999999999</v>
      </c>
      <c r="S631" s="9" t="n">
        <v>77.19</v>
      </c>
      <c r="T631" s="9" t="n">
        <v>72.61</v>
      </c>
      <c r="U631" s="7" t="n">
        <v>56.24</v>
      </c>
      <c r="V631" s="8" t="n">
        <v>62.92</v>
      </c>
      <c r="W631" s="7" t="n"/>
      <c r="X631" s="7" t="n"/>
      <c r="Y631" s="7" t="n"/>
    </row>
    <row r="632" ht="15" customHeight="1">
      <c r="A632" s="13" t="n">
        <v>45338</v>
      </c>
      <c r="B632" s="7" t="n">
        <v>48.28</v>
      </c>
      <c r="C632" s="7" t="n">
        <v>41.61</v>
      </c>
      <c r="D632" s="7" t="n">
        <v>57.78</v>
      </c>
      <c r="E632" s="8" t="n">
        <v>69.15000000000001</v>
      </c>
      <c r="F632" s="7" t="n">
        <v>54.07</v>
      </c>
      <c r="G632" s="9" t="n">
        <v>76.83</v>
      </c>
      <c r="H632" s="7" t="n">
        <v>55.24</v>
      </c>
      <c r="I632" s="8" t="n">
        <v>63.41</v>
      </c>
      <c r="J632" s="7" t="n">
        <v>52.94</v>
      </c>
      <c r="K632" s="8" t="n">
        <v>64.26000000000001</v>
      </c>
      <c r="L632" s="8" t="n">
        <v>68.34</v>
      </c>
      <c r="M632" s="9" t="n">
        <v>73.59999999999999</v>
      </c>
      <c r="N632" s="8" t="n">
        <v>63.38</v>
      </c>
      <c r="O632" s="7" t="n">
        <v>59.31</v>
      </c>
      <c r="P632" s="7" t="n">
        <v>47.29</v>
      </c>
      <c r="Q632" s="9" t="n">
        <v>71.2</v>
      </c>
      <c r="R632" s="9" t="n">
        <v>70.81</v>
      </c>
      <c r="S632" s="9" t="n">
        <v>75.08</v>
      </c>
      <c r="T632" s="8" t="n">
        <v>68.42</v>
      </c>
      <c r="U632" s="7" t="n">
        <v>55.75</v>
      </c>
      <c r="V632" s="8" t="n">
        <v>60.59</v>
      </c>
      <c r="W632" s="7" t="n"/>
      <c r="X632" s="7" t="n"/>
      <c r="Y632" s="7" t="n"/>
    </row>
    <row r="633" ht="15" customHeight="1">
      <c r="A633" s="13" t="n">
        <v>45337</v>
      </c>
      <c r="B633" s="7" t="n">
        <v>38.63</v>
      </c>
      <c r="C633" s="7" t="n">
        <v>40.62</v>
      </c>
      <c r="D633" s="7" t="n">
        <v>54.01</v>
      </c>
      <c r="E633" s="8" t="n">
        <v>61.76</v>
      </c>
      <c r="F633" s="7" t="n">
        <v>52.75</v>
      </c>
      <c r="G633" s="9" t="n">
        <v>74.91</v>
      </c>
      <c r="H633" s="7" t="n">
        <v>52.08</v>
      </c>
      <c r="I633" s="8" t="n">
        <v>61.98</v>
      </c>
      <c r="J633" s="7" t="n">
        <v>51.64</v>
      </c>
      <c r="K633" s="7" t="n">
        <v>59.03</v>
      </c>
      <c r="L633" s="8" t="n">
        <v>64.72</v>
      </c>
      <c r="M633" s="8" t="n">
        <v>69.42</v>
      </c>
      <c r="N633" s="7" t="n">
        <v>59.83</v>
      </c>
      <c r="O633" s="7" t="n">
        <v>52.08</v>
      </c>
      <c r="P633" s="7" t="n">
        <v>42.03</v>
      </c>
      <c r="Q633" s="8" t="n">
        <v>66.91</v>
      </c>
      <c r="R633" s="8" t="n">
        <v>65.59</v>
      </c>
      <c r="S633" s="8" t="n">
        <v>68.73</v>
      </c>
      <c r="T633" s="8" t="n">
        <v>64.91</v>
      </c>
      <c r="U633" s="7" t="n">
        <v>53.99</v>
      </c>
      <c r="V633" s="7" t="n">
        <v>57.01</v>
      </c>
      <c r="W633" s="7" t="n"/>
      <c r="X633" s="7" t="n"/>
      <c r="Y633" s="7" t="n"/>
    </row>
    <row r="634" ht="15" customHeight="1">
      <c r="A634" s="13" t="n">
        <v>45336</v>
      </c>
      <c r="B634" s="7" t="n">
        <v>40.27</v>
      </c>
      <c r="C634" s="7" t="n">
        <v>44.4</v>
      </c>
      <c r="D634" s="7" t="n">
        <v>54.68</v>
      </c>
      <c r="E634" s="7" t="n">
        <v>55.53</v>
      </c>
      <c r="F634" s="7" t="n">
        <v>55.45</v>
      </c>
      <c r="G634" s="9" t="n">
        <v>77.05</v>
      </c>
      <c r="H634" s="7" t="n">
        <v>49.47</v>
      </c>
      <c r="I634" s="8" t="n">
        <v>64.55</v>
      </c>
      <c r="J634" s="7" t="n">
        <v>53.2</v>
      </c>
      <c r="K634" s="7" t="n">
        <v>55.84</v>
      </c>
      <c r="L634" s="9" t="n">
        <v>71.45</v>
      </c>
      <c r="M634" s="8" t="n">
        <v>67.47</v>
      </c>
      <c r="N634" s="8" t="n">
        <v>65.8</v>
      </c>
      <c r="O634" s="7" t="n">
        <v>51.82</v>
      </c>
      <c r="P634" s="7" t="n">
        <v>45.18</v>
      </c>
      <c r="Q634" s="8" t="n">
        <v>64.47</v>
      </c>
      <c r="R634" s="8" t="n">
        <v>69.04000000000001</v>
      </c>
      <c r="S634" s="8" t="n">
        <v>67.67</v>
      </c>
      <c r="T634" s="8" t="n">
        <v>68.16</v>
      </c>
      <c r="U634" s="7" t="n">
        <v>49.31</v>
      </c>
      <c r="V634" s="7" t="n">
        <v>58.61</v>
      </c>
      <c r="W634" s="7" t="n"/>
      <c r="X634" s="7" t="n"/>
      <c r="Y634" s="7" t="n"/>
    </row>
    <row r="635" ht="15" customHeight="1">
      <c r="A635" s="13" t="n">
        <v>45335</v>
      </c>
      <c r="B635" s="7" t="n">
        <v>43.45</v>
      </c>
      <c r="C635" s="7" t="n">
        <v>45.79</v>
      </c>
      <c r="D635" s="7" t="n">
        <v>55.23</v>
      </c>
      <c r="E635" s="7" t="n">
        <v>58.82</v>
      </c>
      <c r="F635" s="7" t="n">
        <v>59.82</v>
      </c>
      <c r="G635" s="9" t="n">
        <v>76.90000000000001</v>
      </c>
      <c r="H635" s="7" t="n">
        <v>52.44</v>
      </c>
      <c r="I635" s="8" t="n">
        <v>64.52</v>
      </c>
      <c r="J635" s="7" t="n">
        <v>58.53</v>
      </c>
      <c r="K635" s="7" t="n">
        <v>55.26</v>
      </c>
      <c r="L635" s="9" t="n">
        <v>72.61</v>
      </c>
      <c r="M635" s="9" t="n">
        <v>75.91</v>
      </c>
      <c r="N635" s="8" t="n">
        <v>69.55</v>
      </c>
      <c r="O635" s="7" t="n">
        <v>56.58</v>
      </c>
      <c r="P635" s="7" t="n">
        <v>50.34</v>
      </c>
      <c r="Q635" s="9" t="n">
        <v>71.03</v>
      </c>
      <c r="R635" s="9" t="n">
        <v>77.84999999999999</v>
      </c>
      <c r="S635" s="9" t="n">
        <v>75.17</v>
      </c>
      <c r="T635" s="9" t="n">
        <v>79.17</v>
      </c>
      <c r="U635" s="7" t="n">
        <v>48.78</v>
      </c>
      <c r="V635" s="8" t="n">
        <v>63.82</v>
      </c>
      <c r="W635" s="7" t="n"/>
      <c r="X635" s="7" t="n"/>
      <c r="Y635" s="7" t="n"/>
    </row>
    <row r="636" ht="15" customHeight="1">
      <c r="A636" s="13" t="n">
        <v>45334</v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</row>
    <row r="637" ht="15" customHeight="1">
      <c r="A637" s="13" t="n">
        <v>45331</v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</row>
    <row r="638" ht="15" customHeight="1">
      <c r="A638" s="13" t="n">
        <v>45330</v>
      </c>
      <c r="B638" s="7" t="n">
        <v>41.5</v>
      </c>
      <c r="C638" s="7" t="n">
        <v>42.2</v>
      </c>
      <c r="D638" s="7" t="n">
        <v>55.78</v>
      </c>
      <c r="E638" s="7" t="n">
        <v>57.73</v>
      </c>
      <c r="F638" s="7" t="n">
        <v>51.63</v>
      </c>
      <c r="G638" s="9" t="n">
        <v>76.48</v>
      </c>
      <c r="H638" s="7" t="n">
        <v>57.1</v>
      </c>
      <c r="I638" s="7" t="n">
        <v>59.39</v>
      </c>
      <c r="J638" s="7" t="n">
        <v>51.27</v>
      </c>
      <c r="K638" s="7" t="n">
        <v>53.12</v>
      </c>
      <c r="L638" s="9" t="n">
        <v>71.2</v>
      </c>
      <c r="M638" s="9" t="n">
        <v>78.18000000000001</v>
      </c>
      <c r="N638" s="8" t="n">
        <v>64.02</v>
      </c>
      <c r="O638" s="7" t="n">
        <v>52.91</v>
      </c>
      <c r="P638" s="7" t="n">
        <v>52.76</v>
      </c>
      <c r="Q638" s="8" t="n">
        <v>66.01000000000001</v>
      </c>
      <c r="R638" s="9" t="n">
        <v>77.78</v>
      </c>
      <c r="S638" s="9" t="n">
        <v>72.90000000000001</v>
      </c>
      <c r="T638" s="9" t="n">
        <v>82.34999999999999</v>
      </c>
      <c r="U638" s="7" t="n">
        <v>46.4</v>
      </c>
      <c r="V638" s="7" t="n">
        <v>58.47</v>
      </c>
      <c r="W638" s="7" t="n"/>
      <c r="X638" s="7" t="n"/>
      <c r="Y638" s="7" t="n"/>
    </row>
    <row r="639" ht="15" customHeight="1">
      <c r="A639" s="13" t="n">
        <v>45329</v>
      </c>
      <c r="B639" s="7" t="n">
        <v>44.39</v>
      </c>
      <c r="C639" s="7" t="n">
        <v>54.5</v>
      </c>
      <c r="D639" s="7" t="n">
        <v>58.53</v>
      </c>
      <c r="E639" s="7" t="n">
        <v>57.09</v>
      </c>
      <c r="F639" s="7" t="n">
        <v>53.44</v>
      </c>
      <c r="G639" s="9" t="n">
        <v>75.88</v>
      </c>
      <c r="H639" s="7" t="n">
        <v>56.47</v>
      </c>
      <c r="I639" s="7" t="n">
        <v>46.17</v>
      </c>
      <c r="J639" s="7" t="n">
        <v>50.15</v>
      </c>
      <c r="K639" s="7" t="n">
        <v>51.15</v>
      </c>
      <c r="L639" s="9" t="n">
        <v>70.67</v>
      </c>
      <c r="M639" s="9" t="n">
        <v>77.42</v>
      </c>
      <c r="N639" s="9" t="n">
        <v>70.77</v>
      </c>
      <c r="O639" s="7" t="n">
        <v>53.98</v>
      </c>
      <c r="P639" s="7" t="n">
        <v>57.48</v>
      </c>
      <c r="Q639" s="9" t="n">
        <v>74.56999999999999</v>
      </c>
      <c r="R639" s="9" t="n">
        <v>76.05</v>
      </c>
      <c r="S639" s="9" t="n">
        <v>72.94</v>
      </c>
      <c r="T639" s="9" t="n">
        <v>79.59</v>
      </c>
      <c r="U639" s="7" t="n">
        <v>44.69</v>
      </c>
      <c r="V639" s="7" t="n">
        <v>57.36</v>
      </c>
      <c r="W639" s="7" t="n"/>
      <c r="X639" s="7" t="n"/>
      <c r="Y639" s="7" t="n"/>
    </row>
    <row r="640" ht="15" customHeight="1">
      <c r="A640" s="13" t="n">
        <v>45328</v>
      </c>
      <c r="B640" s="7" t="n">
        <v>40.99</v>
      </c>
      <c r="C640" s="7" t="n">
        <v>44.79</v>
      </c>
      <c r="D640" s="7" t="n">
        <v>55.95</v>
      </c>
      <c r="E640" s="7" t="n">
        <v>53.43</v>
      </c>
      <c r="F640" s="7" t="n">
        <v>58.23</v>
      </c>
      <c r="G640" s="9" t="n">
        <v>74.20999999999999</v>
      </c>
      <c r="H640" s="7" t="n">
        <v>49.26</v>
      </c>
      <c r="I640" s="7" t="n">
        <v>43.21</v>
      </c>
      <c r="J640" s="7" t="n">
        <v>45.47</v>
      </c>
      <c r="K640" s="7" t="n">
        <v>51.79</v>
      </c>
      <c r="L640" s="8" t="n">
        <v>67.09</v>
      </c>
      <c r="M640" s="9" t="n">
        <v>73.15000000000001</v>
      </c>
      <c r="N640" s="8" t="n">
        <v>66.09999999999999</v>
      </c>
      <c r="O640" s="7" t="n">
        <v>49.9</v>
      </c>
      <c r="P640" s="7" t="n">
        <v>54.25</v>
      </c>
      <c r="Q640" s="9" t="n">
        <v>71.36</v>
      </c>
      <c r="R640" s="9" t="n">
        <v>72.66</v>
      </c>
      <c r="S640" s="9" t="n">
        <v>70.05</v>
      </c>
      <c r="T640" s="9" t="n">
        <v>76.76000000000001</v>
      </c>
      <c r="U640" s="7" t="n">
        <v>44.81</v>
      </c>
      <c r="V640" s="7" t="n">
        <v>52.94</v>
      </c>
      <c r="W640" s="7" t="n"/>
      <c r="X640" s="7" t="n"/>
      <c r="Y640" s="7" t="n"/>
    </row>
    <row r="641" ht="15" customHeight="1">
      <c r="A641" s="13" t="n">
        <v>45327</v>
      </c>
      <c r="B641" s="7" t="n">
        <v>47.92</v>
      </c>
      <c r="C641" s="7" t="n">
        <v>46</v>
      </c>
      <c r="D641" s="7" t="n">
        <v>59.34</v>
      </c>
      <c r="E641" s="7" t="n">
        <v>54.99</v>
      </c>
      <c r="F641" s="7" t="n">
        <v>56.86</v>
      </c>
      <c r="G641" s="9" t="n">
        <v>79.41</v>
      </c>
      <c r="H641" s="7" t="n">
        <v>54.81</v>
      </c>
      <c r="I641" s="7" t="n">
        <v>44.08</v>
      </c>
      <c r="J641" s="7" t="n">
        <v>45.32</v>
      </c>
      <c r="K641" s="7" t="n">
        <v>44.3</v>
      </c>
      <c r="L641" s="9" t="n">
        <v>76.54000000000001</v>
      </c>
      <c r="M641" s="9" t="n">
        <v>79.09999999999999</v>
      </c>
      <c r="N641" s="8" t="n">
        <v>65.61</v>
      </c>
      <c r="O641" s="7" t="n">
        <v>57.06</v>
      </c>
      <c r="P641" s="7" t="n">
        <v>53.58</v>
      </c>
      <c r="Q641" s="9" t="n">
        <v>73.41</v>
      </c>
      <c r="R641" s="9" t="n">
        <v>76.89</v>
      </c>
      <c r="S641" s="9" t="n">
        <v>73.56</v>
      </c>
      <c r="T641" s="9" t="n">
        <v>81.06999999999999</v>
      </c>
      <c r="U641" s="7" t="n">
        <v>47</v>
      </c>
      <c r="V641" s="7" t="n">
        <v>55.17</v>
      </c>
      <c r="W641" s="7" t="n"/>
      <c r="X641" s="7" t="n"/>
      <c r="Y641" s="7" t="n"/>
    </row>
    <row r="642" ht="15" customHeight="1">
      <c r="A642" s="13" t="n">
        <v>45324</v>
      </c>
      <c r="B642" s="7" t="n">
        <v>49.5</v>
      </c>
      <c r="C642" s="7" t="n">
        <v>46.9</v>
      </c>
      <c r="D642" s="7" t="n">
        <v>55.61</v>
      </c>
      <c r="E642" s="7" t="n">
        <v>53.51</v>
      </c>
      <c r="F642" s="8" t="n">
        <v>61.65</v>
      </c>
      <c r="G642" s="9" t="n">
        <v>72.01000000000001</v>
      </c>
      <c r="H642" s="7" t="n">
        <v>56.51</v>
      </c>
      <c r="I642" s="7" t="n">
        <v>47.74</v>
      </c>
      <c r="J642" s="7" t="n">
        <v>50.03</v>
      </c>
      <c r="K642" s="7" t="n">
        <v>43.74</v>
      </c>
      <c r="L642" s="9" t="n">
        <v>75.25</v>
      </c>
      <c r="M642" s="9" t="n">
        <v>78.77</v>
      </c>
      <c r="N642" s="8" t="n">
        <v>67.91</v>
      </c>
      <c r="O642" s="7" t="n">
        <v>58.11</v>
      </c>
      <c r="P642" s="8" t="n">
        <v>62.53</v>
      </c>
      <c r="Q642" s="9" t="n">
        <v>77.67</v>
      </c>
      <c r="R642" s="9" t="n">
        <v>83.61</v>
      </c>
      <c r="S642" s="9" t="n">
        <v>80.66</v>
      </c>
      <c r="T642" s="9" t="n">
        <v>81.79000000000001</v>
      </c>
      <c r="U642" s="7" t="n">
        <v>53.67</v>
      </c>
      <c r="V642" s="7" t="n">
        <v>58.54</v>
      </c>
      <c r="W642" s="7" t="n"/>
      <c r="X642" s="7" t="n"/>
      <c r="Y642" s="7" t="n"/>
    </row>
    <row r="643" ht="15" customHeight="1">
      <c r="A643" s="13" t="n">
        <v>45323</v>
      </c>
      <c r="B643" s="7" t="n">
        <v>37.95</v>
      </c>
      <c r="C643" s="7" t="n">
        <v>31.04</v>
      </c>
      <c r="D643" s="7" t="n">
        <v>54.58</v>
      </c>
      <c r="E643" s="7" t="n">
        <v>45.51</v>
      </c>
      <c r="F643" s="7" t="n">
        <v>54.05</v>
      </c>
      <c r="G643" s="8" t="n">
        <v>66.26000000000001</v>
      </c>
      <c r="H643" s="7" t="n">
        <v>50.9</v>
      </c>
      <c r="I643" s="7" t="n">
        <v>37.7</v>
      </c>
      <c r="J643" s="7" t="n">
        <v>41.17</v>
      </c>
      <c r="K643" s="7" t="n">
        <v>38.04</v>
      </c>
      <c r="L643" s="8" t="n">
        <v>65.04000000000001</v>
      </c>
      <c r="M643" s="9" t="n">
        <v>77.56</v>
      </c>
      <c r="N643" s="8" t="n">
        <v>68.54000000000001</v>
      </c>
      <c r="O643" s="8" t="n">
        <v>62.93</v>
      </c>
      <c r="P643" s="7" t="n">
        <v>53.92</v>
      </c>
      <c r="Q643" s="9" t="n">
        <v>74.23999999999999</v>
      </c>
      <c r="R643" s="9" t="n">
        <v>79.75</v>
      </c>
      <c r="S643" s="9" t="n">
        <v>77.77</v>
      </c>
      <c r="T643" s="9" t="n">
        <v>78.81</v>
      </c>
      <c r="U643" s="7" t="n">
        <v>36.03</v>
      </c>
      <c r="V643" s="7" t="n">
        <v>46.85</v>
      </c>
      <c r="W643" s="7" t="n"/>
      <c r="X643" s="7" t="n"/>
      <c r="Y643" s="7" t="n"/>
    </row>
    <row r="644" ht="15" customHeight="1">
      <c r="A644" s="13" t="n">
        <v>45322</v>
      </c>
      <c r="B644" s="7" t="n">
        <v>32.47</v>
      </c>
      <c r="C644" s="7" t="n">
        <v>30.66</v>
      </c>
      <c r="D644" s="7" t="n">
        <v>46.93</v>
      </c>
      <c r="E644" s="7" t="n">
        <v>39.42</v>
      </c>
      <c r="F644" s="7" t="n">
        <v>56.89</v>
      </c>
      <c r="G644" s="7" t="n">
        <v>57.23</v>
      </c>
      <c r="H644" s="7" t="n">
        <v>44.28</v>
      </c>
      <c r="I644" s="7" t="n">
        <v>38.34</v>
      </c>
      <c r="J644" s="7" t="n">
        <v>36.38</v>
      </c>
      <c r="K644" s="7" t="n">
        <v>37.04</v>
      </c>
      <c r="L644" s="7" t="n">
        <v>58.18</v>
      </c>
      <c r="M644" s="8" t="n">
        <v>69.53</v>
      </c>
      <c r="N644" s="8" t="n">
        <v>62.65</v>
      </c>
      <c r="O644" s="7" t="n">
        <v>58.28</v>
      </c>
      <c r="P644" s="7" t="n">
        <v>50.98</v>
      </c>
      <c r="Q644" s="8" t="n">
        <v>64.79000000000001</v>
      </c>
      <c r="R644" s="9" t="n">
        <v>71.31999999999999</v>
      </c>
      <c r="S644" s="8" t="n">
        <v>67.66</v>
      </c>
      <c r="T644" s="8" t="n">
        <v>69.2</v>
      </c>
      <c r="U644" s="7" t="n">
        <v>32.84</v>
      </c>
      <c r="V644" s="7" t="n">
        <v>40.57</v>
      </c>
      <c r="W644" s="7" t="n"/>
      <c r="X644" s="7" t="n"/>
      <c r="Y644" s="7" t="n"/>
    </row>
    <row r="645" ht="15" customHeight="1">
      <c r="A645" s="13" t="n">
        <v>45321</v>
      </c>
      <c r="B645" s="7" t="n">
        <v>32.46</v>
      </c>
      <c r="C645" s="10" t="n">
        <v>28.9</v>
      </c>
      <c r="D645" s="7" t="n">
        <v>48.11</v>
      </c>
      <c r="E645" s="7" t="n">
        <v>41.62</v>
      </c>
      <c r="F645" s="7" t="n">
        <v>55.46</v>
      </c>
      <c r="G645" s="7" t="n">
        <v>56.89</v>
      </c>
      <c r="H645" s="7" t="n">
        <v>45.53</v>
      </c>
      <c r="I645" s="7" t="n">
        <v>34.55</v>
      </c>
      <c r="J645" s="7" t="n">
        <v>41.17</v>
      </c>
      <c r="K645" s="7" t="n">
        <v>44.59</v>
      </c>
      <c r="L645" s="7" t="n">
        <v>51.24</v>
      </c>
      <c r="M645" s="8" t="n">
        <v>62.2</v>
      </c>
      <c r="N645" s="8" t="n">
        <v>61.18</v>
      </c>
      <c r="O645" s="7" t="n">
        <v>57.38</v>
      </c>
      <c r="P645" s="7" t="n">
        <v>49.42</v>
      </c>
      <c r="Q645" s="8" t="n">
        <v>61.77</v>
      </c>
      <c r="R645" s="8" t="n">
        <v>65.39</v>
      </c>
      <c r="S645" s="8" t="n">
        <v>68.08</v>
      </c>
      <c r="T645" s="8" t="n">
        <v>61.89</v>
      </c>
      <c r="U645" s="7" t="n">
        <v>38.47</v>
      </c>
      <c r="V645" s="7" t="n">
        <v>42.86</v>
      </c>
      <c r="W645" s="7" t="n"/>
      <c r="X645" s="7" t="n"/>
      <c r="Y645" s="7" t="n"/>
    </row>
    <row r="646" ht="15" customHeight="1">
      <c r="A646" s="13" t="n">
        <v>45320</v>
      </c>
      <c r="B646" s="10" t="n">
        <v>28.42</v>
      </c>
      <c r="C646" s="10" t="n">
        <v>27.33</v>
      </c>
      <c r="D646" s="7" t="n">
        <v>47.67</v>
      </c>
      <c r="E646" s="7" t="n">
        <v>42.33</v>
      </c>
      <c r="F646" s="7" t="n">
        <v>52.85</v>
      </c>
      <c r="G646" s="7" t="n">
        <v>47.88</v>
      </c>
      <c r="H646" s="7" t="n">
        <v>43.26</v>
      </c>
      <c r="I646" s="7" t="n">
        <v>38.02</v>
      </c>
      <c r="J646" s="7" t="n">
        <v>41.74</v>
      </c>
      <c r="K646" s="7" t="n">
        <v>40.3</v>
      </c>
      <c r="L646" s="7" t="n">
        <v>57.44</v>
      </c>
      <c r="M646" s="8" t="n">
        <v>60.14</v>
      </c>
      <c r="N646" s="8" t="n">
        <v>65.55</v>
      </c>
      <c r="O646" s="7" t="n">
        <v>57.12</v>
      </c>
      <c r="P646" s="7" t="n">
        <v>51.48</v>
      </c>
      <c r="Q646" s="7" t="n">
        <v>56.27</v>
      </c>
      <c r="R646" s="8" t="n">
        <v>63.39</v>
      </c>
      <c r="S646" s="8" t="n">
        <v>63.98</v>
      </c>
      <c r="T646" s="7" t="n">
        <v>56.86</v>
      </c>
      <c r="U646" s="7" t="n">
        <v>40.19</v>
      </c>
      <c r="V646" s="7" t="n">
        <v>43.7</v>
      </c>
      <c r="W646" s="7" t="n"/>
      <c r="X646" s="7" t="n"/>
      <c r="Y646" s="7" t="n"/>
    </row>
    <row r="647" ht="15" customHeight="1">
      <c r="A647" s="13" t="n">
        <v>45317</v>
      </c>
      <c r="B647" s="10" t="n">
        <v>28.93</v>
      </c>
      <c r="C647" s="10" t="n">
        <v>27.52</v>
      </c>
      <c r="D647" s="7" t="n">
        <v>42.42</v>
      </c>
      <c r="E647" s="7" t="n">
        <v>37.49</v>
      </c>
      <c r="F647" s="7" t="n">
        <v>49.03</v>
      </c>
      <c r="G647" s="7" t="n">
        <v>40.24</v>
      </c>
      <c r="H647" s="7" t="n">
        <v>35.18</v>
      </c>
      <c r="I647" s="7" t="n">
        <v>38.68</v>
      </c>
      <c r="J647" s="7" t="n">
        <v>39.96</v>
      </c>
      <c r="K647" s="7" t="n">
        <v>37.88</v>
      </c>
      <c r="L647" s="7" t="n">
        <v>51.13</v>
      </c>
      <c r="M647" s="7" t="n">
        <v>43.23</v>
      </c>
      <c r="N647" s="7" t="n">
        <v>54.56</v>
      </c>
      <c r="O647" s="7" t="n">
        <v>49.49</v>
      </c>
      <c r="P647" s="7" t="n">
        <v>53.8</v>
      </c>
      <c r="Q647" s="7" t="n">
        <v>56.87</v>
      </c>
      <c r="R647" s="7" t="n">
        <v>57.05</v>
      </c>
      <c r="S647" s="7" t="n">
        <v>58.79</v>
      </c>
      <c r="T647" s="7" t="n">
        <v>46.47</v>
      </c>
      <c r="U647" s="7" t="n">
        <v>44.46</v>
      </c>
      <c r="V647" s="7" t="n">
        <v>39.23</v>
      </c>
      <c r="W647" s="7" t="n"/>
      <c r="X647" s="7" t="n"/>
      <c r="Y647" s="7" t="n"/>
    </row>
    <row r="648" ht="15" customHeight="1">
      <c r="A648" s="13" t="n">
        <v>45316</v>
      </c>
      <c r="B648" s="10" t="n">
        <v>26.78</v>
      </c>
      <c r="C648" s="10" t="n">
        <v>22.23</v>
      </c>
      <c r="D648" s="7" t="n">
        <v>41.98</v>
      </c>
      <c r="E648" s="7" t="n">
        <v>33.14</v>
      </c>
      <c r="F648" s="7" t="n">
        <v>50.08</v>
      </c>
      <c r="G648" s="7" t="n">
        <v>37.23</v>
      </c>
      <c r="H648" s="10" t="n">
        <v>27.76</v>
      </c>
      <c r="I648" s="7" t="n">
        <v>35.35</v>
      </c>
      <c r="J648" s="7" t="n">
        <v>40.14</v>
      </c>
      <c r="K648" s="7" t="n">
        <v>41.67</v>
      </c>
      <c r="L648" s="7" t="n">
        <v>51.92</v>
      </c>
      <c r="M648" s="7" t="n">
        <v>36.42</v>
      </c>
      <c r="N648" s="7" t="n">
        <v>53.59</v>
      </c>
      <c r="O648" s="7" t="n">
        <v>37.5</v>
      </c>
      <c r="P648" s="7" t="n">
        <v>53.29</v>
      </c>
      <c r="Q648" s="7" t="n">
        <v>49.95</v>
      </c>
      <c r="R648" s="7" t="n">
        <v>54.92</v>
      </c>
      <c r="S648" s="7" t="n">
        <v>49.21</v>
      </c>
      <c r="T648" s="7" t="n">
        <v>46.63</v>
      </c>
      <c r="U648" s="7" t="n">
        <v>39.36</v>
      </c>
      <c r="V648" s="7" t="n">
        <v>38.44</v>
      </c>
      <c r="W648" s="7" t="n"/>
      <c r="X648" s="7" t="n"/>
      <c r="Y648" s="7" t="n"/>
    </row>
    <row r="649" ht="15" customHeight="1">
      <c r="A649" s="13" t="n">
        <v>45315</v>
      </c>
      <c r="B649" s="10" t="n">
        <v>23.28</v>
      </c>
      <c r="C649" s="10" t="n">
        <v>21.77</v>
      </c>
      <c r="D649" s="7" t="n">
        <v>42.72</v>
      </c>
      <c r="E649" s="10" t="n">
        <v>28.97</v>
      </c>
      <c r="F649" s="7" t="n">
        <v>49.46</v>
      </c>
      <c r="G649" s="7" t="n">
        <v>30.33</v>
      </c>
      <c r="H649" s="10" t="n">
        <v>27.24</v>
      </c>
      <c r="I649" s="7" t="n">
        <v>36.67</v>
      </c>
      <c r="J649" s="7" t="n">
        <v>43.53</v>
      </c>
      <c r="K649" s="7" t="n">
        <v>46.87</v>
      </c>
      <c r="L649" s="7" t="n">
        <v>42.39</v>
      </c>
      <c r="M649" s="7" t="n">
        <v>32.34</v>
      </c>
      <c r="N649" s="7" t="n">
        <v>43.11</v>
      </c>
      <c r="O649" s="7" t="n">
        <v>30.26</v>
      </c>
      <c r="P649" s="7" t="n">
        <v>51.09</v>
      </c>
      <c r="Q649" s="7" t="n">
        <v>41.51</v>
      </c>
      <c r="R649" s="7" t="n">
        <v>51.55</v>
      </c>
      <c r="S649" s="7" t="n">
        <v>42.05</v>
      </c>
      <c r="T649" s="7" t="n">
        <v>41.55</v>
      </c>
      <c r="U649" s="7" t="n">
        <v>41.8</v>
      </c>
      <c r="V649" s="7" t="n">
        <v>39.03</v>
      </c>
      <c r="W649" s="7" t="n"/>
      <c r="X649" s="7" t="n"/>
      <c r="Y649" s="7" t="n"/>
    </row>
    <row r="650" ht="15" customHeight="1">
      <c r="A650" s="13" t="n">
        <v>45314</v>
      </c>
      <c r="B650" s="10" t="n">
        <v>25.01</v>
      </c>
      <c r="C650" s="10" t="n">
        <v>21.87</v>
      </c>
      <c r="D650" s="7" t="n">
        <v>47.63</v>
      </c>
      <c r="E650" s="10" t="n">
        <v>24.78</v>
      </c>
      <c r="F650" s="7" t="n">
        <v>52.35</v>
      </c>
      <c r="G650" s="7" t="n">
        <v>32.55</v>
      </c>
      <c r="H650" s="10" t="n">
        <v>28.24</v>
      </c>
      <c r="I650" s="7" t="n">
        <v>37.72</v>
      </c>
      <c r="J650" s="7" t="n">
        <v>45.93</v>
      </c>
      <c r="K650" s="7" t="n">
        <v>50.76</v>
      </c>
      <c r="L650" s="7" t="n">
        <v>43.72</v>
      </c>
      <c r="M650" s="7" t="n">
        <v>32.36</v>
      </c>
      <c r="N650" s="7" t="n">
        <v>42.38</v>
      </c>
      <c r="O650" s="7" t="n">
        <v>32.66</v>
      </c>
      <c r="P650" s="7" t="n">
        <v>54.61</v>
      </c>
      <c r="Q650" s="7" t="n">
        <v>39.52</v>
      </c>
      <c r="R650" s="7" t="n">
        <v>49.66</v>
      </c>
      <c r="S650" s="7" t="n">
        <v>41.29</v>
      </c>
      <c r="T650" s="7" t="n">
        <v>37.7</v>
      </c>
      <c r="U650" s="7" t="n">
        <v>43.24</v>
      </c>
      <c r="V650" s="7" t="n">
        <v>40.79</v>
      </c>
      <c r="W650" s="7" t="n"/>
      <c r="X650" s="7" t="n"/>
      <c r="Y650" s="7" t="n"/>
    </row>
    <row r="651" ht="15" customHeight="1">
      <c r="A651" s="13" t="n">
        <v>45313</v>
      </c>
      <c r="B651" s="10" t="n">
        <v>21.36</v>
      </c>
      <c r="C651" s="10" t="n">
        <v>21.6</v>
      </c>
      <c r="D651" s="7" t="n">
        <v>44.06</v>
      </c>
      <c r="E651" s="10" t="n">
        <v>18.85</v>
      </c>
      <c r="F651" s="7" t="n">
        <v>51.81</v>
      </c>
      <c r="G651" s="10" t="n">
        <v>23.65</v>
      </c>
      <c r="H651" s="10" t="n">
        <v>24.75</v>
      </c>
      <c r="I651" s="7" t="n">
        <v>36.51</v>
      </c>
      <c r="J651" s="7" t="n">
        <v>46.54</v>
      </c>
      <c r="K651" s="7" t="n">
        <v>48.42</v>
      </c>
      <c r="L651" s="7" t="n">
        <v>39.22</v>
      </c>
      <c r="M651" s="10" t="n">
        <v>29.58</v>
      </c>
      <c r="N651" s="7" t="n">
        <v>44.63</v>
      </c>
      <c r="O651" s="7" t="n">
        <v>30.35</v>
      </c>
      <c r="P651" s="7" t="n">
        <v>49.92</v>
      </c>
      <c r="Q651" s="7" t="n">
        <v>41.16</v>
      </c>
      <c r="R651" s="7" t="n">
        <v>39.33</v>
      </c>
      <c r="S651" s="7" t="n">
        <v>30.91</v>
      </c>
      <c r="T651" s="7" t="n">
        <v>31.79</v>
      </c>
      <c r="U651" s="7" t="n">
        <v>39.87</v>
      </c>
      <c r="V651" s="7" t="n">
        <v>39.59</v>
      </c>
      <c r="W651" s="7" t="n"/>
      <c r="X651" s="7" t="n"/>
      <c r="Y651" s="7" t="n"/>
    </row>
    <row r="652" ht="15" customHeight="1">
      <c r="A652" s="13" t="n">
        <v>45310</v>
      </c>
      <c r="B652" s="10" t="n">
        <v>21.78</v>
      </c>
      <c r="C652" s="10" t="n">
        <v>22.74</v>
      </c>
      <c r="D652" s="7" t="n">
        <v>50.02</v>
      </c>
      <c r="E652" s="10" t="n">
        <v>22.52</v>
      </c>
      <c r="F652" s="7" t="n">
        <v>44.67</v>
      </c>
      <c r="G652" s="10" t="n">
        <v>24.94</v>
      </c>
      <c r="H652" s="10" t="n">
        <v>28.01</v>
      </c>
      <c r="I652" s="7" t="n">
        <v>38.1</v>
      </c>
      <c r="J652" s="7" t="n">
        <v>47.96</v>
      </c>
      <c r="K652" s="7" t="n">
        <v>44.34</v>
      </c>
      <c r="L652" s="7" t="n">
        <v>40.15</v>
      </c>
      <c r="M652" s="10" t="n">
        <v>29.31</v>
      </c>
      <c r="N652" s="7" t="n">
        <v>38.13</v>
      </c>
      <c r="O652" s="7" t="n">
        <v>34.49</v>
      </c>
      <c r="P652" s="7" t="n">
        <v>52.56</v>
      </c>
      <c r="Q652" s="7" t="n">
        <v>40.83</v>
      </c>
      <c r="R652" s="7" t="n">
        <v>39.3</v>
      </c>
      <c r="S652" s="7" t="n">
        <v>31.9</v>
      </c>
      <c r="T652" s="10" t="n">
        <v>28.48</v>
      </c>
      <c r="U652" s="7" t="n">
        <v>40.61</v>
      </c>
      <c r="V652" s="7" t="n">
        <v>40.96</v>
      </c>
      <c r="W652" s="7" t="n"/>
      <c r="X652" s="7" t="n"/>
      <c r="Y652" s="7" t="n"/>
    </row>
    <row r="653" ht="15" customHeight="1">
      <c r="A653" s="13" t="n">
        <v>45309</v>
      </c>
      <c r="B653" s="10" t="n">
        <v>22.09</v>
      </c>
      <c r="C653" s="10" t="n">
        <v>20.77</v>
      </c>
      <c r="D653" s="7" t="n">
        <v>46.02</v>
      </c>
      <c r="E653" s="10" t="n">
        <v>23</v>
      </c>
      <c r="F653" s="7" t="n">
        <v>41.02</v>
      </c>
      <c r="G653" s="10" t="n">
        <v>22.05</v>
      </c>
      <c r="H653" s="10" t="n">
        <v>29.04</v>
      </c>
      <c r="I653" s="7" t="n">
        <v>35.09</v>
      </c>
      <c r="J653" s="7" t="n">
        <v>36.45</v>
      </c>
      <c r="K653" s="7" t="n">
        <v>39.34</v>
      </c>
      <c r="L653" s="7" t="n">
        <v>34.98</v>
      </c>
      <c r="M653" s="10" t="n">
        <v>23.02</v>
      </c>
      <c r="N653" s="7" t="n">
        <v>46.44</v>
      </c>
      <c r="O653" s="7" t="n">
        <v>31.96</v>
      </c>
      <c r="P653" s="7" t="n">
        <v>54.12</v>
      </c>
      <c r="Q653" s="7" t="n">
        <v>41.18</v>
      </c>
      <c r="R653" s="7" t="n">
        <v>37.63</v>
      </c>
      <c r="S653" s="7" t="n">
        <v>31.52</v>
      </c>
      <c r="T653" s="7" t="n">
        <v>30.16</v>
      </c>
      <c r="U653" s="7" t="n">
        <v>38.41</v>
      </c>
      <c r="V653" s="7" t="n">
        <v>32.14</v>
      </c>
      <c r="W653" s="7" t="n"/>
      <c r="X653" s="7" t="n"/>
      <c r="Y653" s="7" t="n"/>
    </row>
    <row r="654" ht="15" customHeight="1">
      <c r="A654" s="13" t="n">
        <v>45308</v>
      </c>
      <c r="B654" s="10" t="n">
        <v>22.3</v>
      </c>
      <c r="C654" s="10" t="n">
        <v>21.07</v>
      </c>
      <c r="D654" s="7" t="n">
        <v>42.02</v>
      </c>
      <c r="E654" s="10" t="n">
        <v>20.12</v>
      </c>
      <c r="F654" s="7" t="n">
        <v>43.02</v>
      </c>
      <c r="G654" s="10" t="n">
        <v>23.91</v>
      </c>
      <c r="H654" s="10" t="n">
        <v>28.26</v>
      </c>
      <c r="I654" s="7" t="n">
        <v>33.38</v>
      </c>
      <c r="J654" s="7" t="n">
        <v>31.39</v>
      </c>
      <c r="K654" s="7" t="n">
        <v>39.71</v>
      </c>
      <c r="L654" s="7" t="n">
        <v>35.56</v>
      </c>
      <c r="M654" s="10" t="n">
        <v>23.88</v>
      </c>
      <c r="N654" s="7" t="n">
        <v>50.21</v>
      </c>
      <c r="O654" s="7" t="n">
        <v>32.74</v>
      </c>
      <c r="P654" s="7" t="n">
        <v>56.94</v>
      </c>
      <c r="Q654" s="7" t="n">
        <v>37.7</v>
      </c>
      <c r="R654" s="7" t="n">
        <v>40.06</v>
      </c>
      <c r="S654" s="7" t="n">
        <v>33.64</v>
      </c>
      <c r="T654" s="7" t="n">
        <v>33.66</v>
      </c>
      <c r="U654" s="7" t="n">
        <v>39.94</v>
      </c>
      <c r="V654" s="10" t="n">
        <v>29.3</v>
      </c>
      <c r="W654" s="7" t="n"/>
      <c r="X654" s="7" t="n"/>
      <c r="Y654" s="7" t="n"/>
    </row>
    <row r="655" ht="15" customHeight="1">
      <c r="A655" s="13" t="n">
        <v>45307</v>
      </c>
      <c r="B655" s="10" t="n">
        <v>26.57</v>
      </c>
      <c r="C655" s="10" t="n">
        <v>24.56</v>
      </c>
      <c r="D655" s="7" t="n">
        <v>51.51</v>
      </c>
      <c r="E655" s="10" t="n">
        <v>25.74</v>
      </c>
      <c r="F655" s="7" t="n">
        <v>50.4</v>
      </c>
      <c r="G655" s="10" t="n">
        <v>29.78</v>
      </c>
      <c r="H655" s="7" t="n">
        <v>34.18</v>
      </c>
      <c r="I655" s="7" t="n">
        <v>39.95</v>
      </c>
      <c r="J655" s="7" t="n">
        <v>37.87</v>
      </c>
      <c r="K655" s="7" t="n">
        <v>46.32</v>
      </c>
      <c r="L655" s="7" t="n">
        <v>42.78</v>
      </c>
      <c r="M655" s="10" t="n">
        <v>28.67</v>
      </c>
      <c r="N655" s="7" t="n">
        <v>56.13</v>
      </c>
      <c r="O655" s="7" t="n">
        <v>39.97</v>
      </c>
      <c r="P655" s="8" t="n">
        <v>62.01</v>
      </c>
      <c r="Q655" s="7" t="n">
        <v>36.18</v>
      </c>
      <c r="R655" s="7" t="n">
        <v>48.02</v>
      </c>
      <c r="S655" s="7" t="n">
        <v>37.29</v>
      </c>
      <c r="T655" s="7" t="n">
        <v>38.19</v>
      </c>
      <c r="U655" s="7" t="n">
        <v>51.01</v>
      </c>
      <c r="V655" s="7" t="n">
        <v>36.42</v>
      </c>
      <c r="W655" s="7" t="n"/>
      <c r="X655" s="7" t="n"/>
      <c r="Y655" s="7" t="n"/>
    </row>
    <row r="656" ht="15" customHeight="1">
      <c r="A656" s="13" t="n">
        <v>45306</v>
      </c>
      <c r="B656" s="7" t="n">
        <v>41.43</v>
      </c>
      <c r="C656" s="10" t="n">
        <v>27.91</v>
      </c>
      <c r="D656" s="7" t="n">
        <v>54.87</v>
      </c>
      <c r="E656" s="10" t="n">
        <v>27.71</v>
      </c>
      <c r="F656" s="7" t="n">
        <v>50.45</v>
      </c>
      <c r="G656" s="7" t="n">
        <v>34.19</v>
      </c>
      <c r="H656" s="7" t="n">
        <v>35.77</v>
      </c>
      <c r="I656" s="7" t="n">
        <v>46.07</v>
      </c>
      <c r="J656" s="7" t="n">
        <v>42.44</v>
      </c>
      <c r="K656" s="7" t="n">
        <v>50.89</v>
      </c>
      <c r="L656" s="7" t="n">
        <v>47.83</v>
      </c>
      <c r="M656" s="7" t="n">
        <v>31.71</v>
      </c>
      <c r="N656" s="7" t="n">
        <v>48.66</v>
      </c>
      <c r="O656" s="7" t="n">
        <v>41.47</v>
      </c>
      <c r="P656" s="8" t="n">
        <v>66.37</v>
      </c>
      <c r="Q656" s="7" t="n">
        <v>40.32</v>
      </c>
      <c r="R656" s="7" t="n">
        <v>51.19</v>
      </c>
      <c r="S656" s="7" t="n">
        <v>40.99</v>
      </c>
      <c r="T656" s="7" t="n">
        <v>43.41</v>
      </c>
      <c r="U656" s="7" t="n">
        <v>58.78</v>
      </c>
      <c r="V656" s="7" t="n">
        <v>40.78</v>
      </c>
      <c r="W656" s="7" t="n"/>
      <c r="X656" s="7" t="n"/>
      <c r="Y656" s="7" t="n"/>
    </row>
    <row r="657" ht="15" customHeight="1">
      <c r="A657" s="13" t="n">
        <v>45303</v>
      </c>
      <c r="B657" s="7" t="n">
        <v>39.01</v>
      </c>
      <c r="C657" s="7" t="n">
        <v>32.28</v>
      </c>
      <c r="D657" s="7" t="n">
        <v>56.35</v>
      </c>
      <c r="E657" s="7" t="n">
        <v>30.24</v>
      </c>
      <c r="F657" s="7" t="n">
        <v>52.58</v>
      </c>
      <c r="G657" s="7" t="n">
        <v>32.34</v>
      </c>
      <c r="H657" s="7" t="n">
        <v>37.96</v>
      </c>
      <c r="I657" s="7" t="n">
        <v>46.7</v>
      </c>
      <c r="J657" s="7" t="n">
        <v>42.72</v>
      </c>
      <c r="K657" s="7" t="n">
        <v>53.78</v>
      </c>
      <c r="L657" s="7" t="n">
        <v>42.4</v>
      </c>
      <c r="M657" s="7" t="n">
        <v>34.97</v>
      </c>
      <c r="N657" s="7" t="n">
        <v>46.37</v>
      </c>
      <c r="O657" s="7" t="n">
        <v>46.24</v>
      </c>
      <c r="P657" s="8" t="n">
        <v>64.84</v>
      </c>
      <c r="Q657" s="7" t="n">
        <v>40</v>
      </c>
      <c r="R657" s="7" t="n">
        <v>44.84</v>
      </c>
      <c r="S657" s="7" t="n">
        <v>40.22</v>
      </c>
      <c r="T657" s="7" t="n">
        <v>38.01</v>
      </c>
      <c r="U657" s="8" t="n">
        <v>60.24</v>
      </c>
      <c r="V657" s="7" t="n">
        <v>41.37</v>
      </c>
      <c r="W657" s="7" t="n"/>
      <c r="X657" s="7" t="n"/>
      <c r="Y657" s="7" t="n"/>
    </row>
    <row r="658" ht="15" customHeight="1">
      <c r="A658" s="13" t="n">
        <v>45302</v>
      </c>
      <c r="B658" s="7" t="n">
        <v>37.2</v>
      </c>
      <c r="C658" s="7" t="n">
        <v>34.03</v>
      </c>
      <c r="D658" s="8" t="n">
        <v>61.85</v>
      </c>
      <c r="E658" s="7" t="n">
        <v>33.79</v>
      </c>
      <c r="F658" s="7" t="n">
        <v>58.63</v>
      </c>
      <c r="G658" s="7" t="n">
        <v>32.22</v>
      </c>
      <c r="H658" s="7" t="n">
        <v>39.67</v>
      </c>
      <c r="I658" s="7" t="n">
        <v>47.98</v>
      </c>
      <c r="J658" s="7" t="n">
        <v>44.8</v>
      </c>
      <c r="K658" s="7" t="n">
        <v>59.86</v>
      </c>
      <c r="L658" s="7" t="n">
        <v>44.42</v>
      </c>
      <c r="M658" s="7" t="n">
        <v>32.09</v>
      </c>
      <c r="N658" s="7" t="n">
        <v>46.29</v>
      </c>
      <c r="O658" s="7" t="n">
        <v>50.11</v>
      </c>
      <c r="P658" s="8" t="n">
        <v>61.73</v>
      </c>
      <c r="Q658" s="7" t="n">
        <v>37.92</v>
      </c>
      <c r="R658" s="7" t="n">
        <v>45.36</v>
      </c>
      <c r="S658" s="7" t="n">
        <v>45.47</v>
      </c>
      <c r="T658" s="10" t="n">
        <v>29.96</v>
      </c>
      <c r="U658" s="8" t="n">
        <v>64.70999999999999</v>
      </c>
      <c r="V658" s="7" t="n">
        <v>44.51</v>
      </c>
      <c r="W658" s="7" t="n"/>
      <c r="X658" s="7" t="n"/>
      <c r="Y658" s="7" t="n"/>
    </row>
    <row r="659" ht="15" customHeight="1">
      <c r="A659" s="13" t="n">
        <v>45301</v>
      </c>
      <c r="B659" s="7" t="n">
        <v>44.86</v>
      </c>
      <c r="C659" s="7" t="n">
        <v>34.24</v>
      </c>
      <c r="D659" s="7" t="n">
        <v>59.8</v>
      </c>
      <c r="E659" s="7" t="n">
        <v>37.31</v>
      </c>
      <c r="F659" s="7" t="n">
        <v>58.68</v>
      </c>
      <c r="G659" s="7" t="n">
        <v>32.35</v>
      </c>
      <c r="H659" s="7" t="n">
        <v>39.92</v>
      </c>
      <c r="I659" s="7" t="n">
        <v>49.98</v>
      </c>
      <c r="J659" s="7" t="n">
        <v>44.96</v>
      </c>
      <c r="K659" s="7" t="n">
        <v>59.36</v>
      </c>
      <c r="L659" s="7" t="n">
        <v>46.77</v>
      </c>
      <c r="M659" s="7" t="n">
        <v>34.95</v>
      </c>
      <c r="N659" s="7" t="n">
        <v>51.31</v>
      </c>
      <c r="O659" s="7" t="n">
        <v>52.28</v>
      </c>
      <c r="P659" s="8" t="n">
        <v>61.39</v>
      </c>
      <c r="Q659" s="7" t="n">
        <v>39.03</v>
      </c>
      <c r="R659" s="7" t="n">
        <v>41.04</v>
      </c>
      <c r="S659" s="7" t="n">
        <v>38.45</v>
      </c>
      <c r="T659" s="7" t="n">
        <v>32.41</v>
      </c>
      <c r="U659" s="8" t="n">
        <v>62.74</v>
      </c>
      <c r="V659" s="7" t="n">
        <v>45.63</v>
      </c>
      <c r="W659" s="7" t="n"/>
      <c r="X659" s="7" t="n"/>
      <c r="Y659" s="7" t="n"/>
    </row>
    <row r="660" ht="15" customHeight="1">
      <c r="A660" s="13" t="n">
        <v>45300</v>
      </c>
      <c r="B660" s="7" t="n">
        <v>44.23</v>
      </c>
      <c r="C660" s="7" t="n">
        <v>37.57</v>
      </c>
      <c r="D660" s="7" t="n">
        <v>39.58</v>
      </c>
      <c r="E660" s="7" t="n">
        <v>39.85</v>
      </c>
      <c r="F660" s="7" t="n">
        <v>59.4</v>
      </c>
      <c r="G660" s="7" t="n">
        <v>31.82</v>
      </c>
      <c r="H660" s="7" t="n">
        <v>43.23</v>
      </c>
      <c r="I660" s="7" t="n">
        <v>50.97</v>
      </c>
      <c r="J660" s="7" t="n">
        <v>50.77</v>
      </c>
      <c r="K660" s="8" t="n">
        <v>63.5</v>
      </c>
      <c r="L660" s="7" t="n">
        <v>43.2</v>
      </c>
      <c r="M660" s="7" t="n">
        <v>39.57</v>
      </c>
      <c r="N660" s="7" t="n">
        <v>55</v>
      </c>
      <c r="O660" s="7" t="n">
        <v>44.07</v>
      </c>
      <c r="P660" s="8" t="n">
        <v>63.84</v>
      </c>
      <c r="Q660" s="7" t="n">
        <v>40.02</v>
      </c>
      <c r="R660" s="7" t="n">
        <v>43.32</v>
      </c>
      <c r="S660" s="7" t="n">
        <v>40.06</v>
      </c>
      <c r="T660" s="7" t="n">
        <v>35.45</v>
      </c>
      <c r="U660" s="8" t="n">
        <v>61.41</v>
      </c>
      <c r="V660" s="7" t="n">
        <v>49.49</v>
      </c>
      <c r="W660" s="7" t="n"/>
      <c r="X660" s="7" t="n"/>
      <c r="Y660" s="7" t="n"/>
    </row>
    <row r="661">
      <c r="A661" s="13" t="n">
        <v>45299</v>
      </c>
      <c r="B661" s="7" t="n">
        <v>44.8</v>
      </c>
      <c r="C661" s="7" t="n">
        <v>35.76</v>
      </c>
      <c r="D661" s="7" t="n">
        <v>37.31</v>
      </c>
      <c r="E661" s="7" t="n">
        <v>39.35</v>
      </c>
      <c r="F661" s="7" t="n">
        <v>58.61</v>
      </c>
      <c r="G661" s="7" t="n">
        <v>30.07</v>
      </c>
      <c r="H661" s="7" t="n">
        <v>45.96</v>
      </c>
      <c r="I661" s="7" t="n">
        <v>50.41</v>
      </c>
      <c r="J661" s="7" t="n">
        <v>56.13</v>
      </c>
      <c r="K661" s="7" t="n">
        <v>57.47</v>
      </c>
      <c r="L661" s="7" t="n">
        <v>44.4</v>
      </c>
      <c r="M661" s="7" t="n">
        <v>39.76</v>
      </c>
      <c r="N661" s="7" t="n">
        <v>44.59</v>
      </c>
      <c r="O661" s="7" t="n">
        <v>32</v>
      </c>
      <c r="P661" s="8" t="n">
        <v>63.2</v>
      </c>
      <c r="Q661" s="7" t="n">
        <v>37.27</v>
      </c>
      <c r="R661" s="7" t="n">
        <v>39.69</v>
      </c>
      <c r="S661" s="7" t="n">
        <v>34.61</v>
      </c>
      <c r="T661" s="7" t="n">
        <v>33.17</v>
      </c>
      <c r="U661" s="7" t="n">
        <v>57.96</v>
      </c>
      <c r="V661" s="7" t="n">
        <v>52.58</v>
      </c>
      <c r="W661" s="7" t="n"/>
      <c r="X661" s="7" t="n"/>
      <c r="Y661" s="7" t="n"/>
    </row>
    <row r="662">
      <c r="A662" s="13" t="n">
        <v>45296</v>
      </c>
      <c r="B662" s="7" t="n">
        <v>47.93</v>
      </c>
      <c r="C662" s="7" t="n">
        <v>34.49</v>
      </c>
      <c r="D662" s="7" t="n">
        <v>35.24</v>
      </c>
      <c r="E662" s="7" t="n">
        <v>41.52</v>
      </c>
      <c r="F662" s="8" t="n">
        <v>64.63</v>
      </c>
      <c r="G662" s="7" t="n">
        <v>31.22</v>
      </c>
      <c r="H662" s="7" t="n">
        <v>49.83</v>
      </c>
      <c r="I662" s="7" t="n">
        <v>50.91</v>
      </c>
      <c r="J662" s="7" t="n">
        <v>57.34</v>
      </c>
      <c r="K662" s="8" t="n">
        <v>61.97</v>
      </c>
      <c r="L662" s="7" t="n">
        <v>48.33</v>
      </c>
      <c r="M662" s="7" t="n">
        <v>42.88</v>
      </c>
      <c r="N662" s="7" t="n">
        <v>49.93</v>
      </c>
      <c r="O662" s="7" t="n">
        <v>31.69</v>
      </c>
      <c r="P662" s="8" t="n">
        <v>65.53</v>
      </c>
      <c r="Q662" s="7" t="n">
        <v>38.25</v>
      </c>
      <c r="R662" s="7" t="n">
        <v>40.16</v>
      </c>
      <c r="S662" s="7" t="n">
        <v>36.81</v>
      </c>
      <c r="T662" s="7" t="n">
        <v>33.89</v>
      </c>
      <c r="U662" s="7" t="n">
        <v>52.5</v>
      </c>
      <c r="V662" s="7" t="n">
        <v>55.51</v>
      </c>
      <c r="W662" s="7" t="n"/>
      <c r="X662" s="7" t="n"/>
      <c r="Y662" s="7" t="n"/>
    </row>
    <row r="663">
      <c r="A663" s="13" t="n">
        <v>45295</v>
      </c>
      <c r="B663" s="7" t="n">
        <v>52.51</v>
      </c>
      <c r="C663" s="7" t="n">
        <v>38.28</v>
      </c>
      <c r="D663" s="7" t="n">
        <v>35.73</v>
      </c>
      <c r="E663" s="7" t="n">
        <v>41.79</v>
      </c>
      <c r="F663" s="8" t="n">
        <v>69.43000000000001</v>
      </c>
      <c r="G663" s="7" t="n">
        <v>34.66</v>
      </c>
      <c r="H663" s="7" t="n">
        <v>45.65</v>
      </c>
      <c r="I663" s="7" t="n">
        <v>55.11</v>
      </c>
      <c r="J663" s="7" t="n">
        <v>57.39</v>
      </c>
      <c r="K663" s="8" t="n">
        <v>61.8</v>
      </c>
      <c r="L663" s="7" t="n">
        <v>51.6</v>
      </c>
      <c r="M663" s="7" t="n">
        <v>45.17</v>
      </c>
      <c r="N663" s="7" t="n">
        <v>50.72</v>
      </c>
      <c r="O663" s="7" t="n">
        <v>32.92</v>
      </c>
      <c r="P663" s="8" t="n">
        <v>64.97</v>
      </c>
      <c r="Q663" s="7" t="n">
        <v>39.22</v>
      </c>
      <c r="R663" s="7" t="n">
        <v>42.03</v>
      </c>
      <c r="S663" s="7" t="n">
        <v>38.14</v>
      </c>
      <c r="T663" s="7" t="n">
        <v>35.91</v>
      </c>
      <c r="U663" s="7" t="n">
        <v>55.69</v>
      </c>
      <c r="V663" s="7" t="n">
        <v>56.84</v>
      </c>
      <c r="W663" s="7" t="n"/>
      <c r="X663" s="7" t="n"/>
      <c r="Y663" s="7" t="n"/>
    </row>
    <row r="664">
      <c r="A664" s="13" t="n">
        <v>45294</v>
      </c>
      <c r="B664" s="7" t="n">
        <v>51.11</v>
      </c>
      <c r="C664" s="7" t="n">
        <v>39.72</v>
      </c>
      <c r="D664" s="7" t="n">
        <v>37.34</v>
      </c>
      <c r="E664" s="7" t="n">
        <v>43.8</v>
      </c>
      <c r="F664" s="9" t="n">
        <v>84.09999999999999</v>
      </c>
      <c r="G664" s="7" t="n">
        <v>35.45</v>
      </c>
      <c r="H664" s="7" t="n">
        <v>46.52</v>
      </c>
      <c r="I664" s="7" t="n">
        <v>56.8</v>
      </c>
      <c r="J664" s="7" t="n">
        <v>58.56</v>
      </c>
      <c r="K664" s="8" t="n">
        <v>67.38</v>
      </c>
      <c r="L664" s="7" t="n">
        <v>56.69</v>
      </c>
      <c r="M664" s="7" t="n">
        <v>49.61</v>
      </c>
      <c r="N664" s="7" t="n">
        <v>57.82</v>
      </c>
      <c r="O664" s="7" t="n">
        <v>34.55</v>
      </c>
      <c r="P664" s="8" t="n">
        <v>62.99</v>
      </c>
      <c r="Q664" s="7" t="n">
        <v>39.27</v>
      </c>
      <c r="R664" s="7" t="n">
        <v>47.46</v>
      </c>
      <c r="S664" s="7" t="n">
        <v>41.14</v>
      </c>
      <c r="T664" s="7" t="n">
        <v>39.39</v>
      </c>
      <c r="U664" s="7" t="n">
        <v>57.08</v>
      </c>
      <c r="V664" s="8" t="n">
        <v>60.52</v>
      </c>
      <c r="W664" s="7" t="n"/>
      <c r="X664" s="7" t="n"/>
      <c r="Y664" s="7" t="n"/>
    </row>
    <row r="665">
      <c r="A665" s="13" t="n">
        <v>45293</v>
      </c>
      <c r="B665" s="7" t="n">
        <v>58.5</v>
      </c>
      <c r="C665" s="7" t="n">
        <v>45.3</v>
      </c>
      <c r="D665" s="7" t="n">
        <v>35.69</v>
      </c>
      <c r="E665" s="7" t="n">
        <v>52.02</v>
      </c>
      <c r="F665" s="9" t="n">
        <v>84.04000000000001</v>
      </c>
      <c r="G665" s="7" t="n">
        <v>41.15</v>
      </c>
      <c r="H665" s="7" t="n">
        <v>54.24</v>
      </c>
      <c r="I665" s="8" t="n">
        <v>66.19</v>
      </c>
      <c r="J665" s="9" t="n">
        <v>75.78</v>
      </c>
      <c r="K665" s="8" t="n">
        <v>65.2</v>
      </c>
      <c r="L665" s="9" t="n">
        <v>71.73</v>
      </c>
      <c r="M665" s="7" t="n">
        <v>54.61</v>
      </c>
      <c r="N665" s="7" t="n">
        <v>50.88</v>
      </c>
      <c r="O665" s="7" t="n">
        <v>34.83</v>
      </c>
      <c r="P665" s="8" t="n">
        <v>69.81</v>
      </c>
      <c r="Q665" s="7" t="n">
        <v>43.64</v>
      </c>
      <c r="R665" s="7" t="n">
        <v>56.24</v>
      </c>
      <c r="S665" s="7" t="n">
        <v>50.57</v>
      </c>
      <c r="T665" s="7" t="n">
        <v>45.06</v>
      </c>
      <c r="U665" s="9" t="n">
        <v>71.20999999999999</v>
      </c>
      <c r="V665" s="9" t="n">
        <v>76.34</v>
      </c>
      <c r="W665" s="7" t="n"/>
      <c r="X665" s="7" t="n"/>
      <c r="Y665" s="7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4" t="inlineStr">
        <is>
          <t>섹터</t>
        </is>
      </c>
      <c r="B1" s="14" t="inlineStr">
        <is>
          <t>종목명</t>
        </is>
      </c>
      <c r="C1" s="14" t="inlineStr">
        <is>
          <t>코드</t>
        </is>
      </c>
      <c r="D1" s="14" t="inlineStr">
        <is>
          <t>구분</t>
        </is>
      </c>
      <c r="E1" s="14" t="inlineStr">
        <is>
          <t>ETF1명</t>
        </is>
      </c>
      <c r="F1" s="14" t="inlineStr">
        <is>
          <t>비중1(%)</t>
        </is>
      </c>
      <c r="G1" s="14" t="inlineStr">
        <is>
          <t>ETF2명</t>
        </is>
      </c>
      <c r="H1" s="14" t="inlineStr">
        <is>
          <t>비중2(%)</t>
        </is>
      </c>
      <c r="I1" s="14" t="inlineStr">
        <is>
          <t>ETF3명</t>
        </is>
      </c>
      <c r="J1" s="14" t="inlineStr">
        <is>
          <t>비중3(%)</t>
        </is>
      </c>
      <c r="K1" s="14" t="inlineStr">
        <is>
          <t>ETF4명</t>
        </is>
      </c>
      <c r="L1" s="14" t="inlineStr">
        <is>
          <t>비중4(%)</t>
        </is>
      </c>
      <c r="M1" s="14" t="inlineStr">
        <is>
          <t>ETF5명</t>
        </is>
      </c>
      <c r="N1" s="14" t="inlineStr">
        <is>
          <t>비중5(%)</t>
        </is>
      </c>
    </row>
    <row r="2" ht="16" customHeight="1">
      <c r="A2" s="15" t="inlineStr">
        <is>
          <t>음식료·담배</t>
        </is>
      </c>
      <c r="B2" s="36" t="inlineStr">
        <is>
          <t>KT&amp;G</t>
        </is>
      </c>
      <c r="C2" s="15" t="inlineStr">
        <is>
          <t>033780</t>
        </is>
      </c>
      <c r="D2" s="15" t="inlineStr">
        <is>
          <t>대표1</t>
        </is>
      </c>
      <c r="E2" s="36" t="inlineStr">
        <is>
          <t>TIGER 200 생활소비재</t>
        </is>
      </c>
      <c r="F2" s="17" t="n">
        <v>0.207628</v>
      </c>
      <c r="G2" s="36" t="inlineStr">
        <is>
          <t>KODEX 필수소비재</t>
        </is>
      </c>
      <c r="H2" s="17" t="n">
        <v>0.203994</v>
      </c>
      <c r="I2" s="36" t="inlineStr">
        <is>
          <t>HANARO 농업융복합산업</t>
        </is>
      </c>
      <c r="J2" s="17" t="n">
        <v>0.200115</v>
      </c>
      <c r="K2" s="36" t="inlineStr">
        <is>
          <t>TIGER 경기방어</t>
        </is>
      </c>
      <c r="L2" s="17" t="n">
        <v>0.08970700000000001</v>
      </c>
    </row>
    <row r="3" ht="16" customHeight="1">
      <c r="A3" s="15" t="inlineStr">
        <is>
          <t>음식료·담배</t>
        </is>
      </c>
      <c r="B3" s="36" t="inlineStr">
        <is>
          <t>삼양식품</t>
        </is>
      </c>
      <c r="C3" s="15" t="inlineStr">
        <is>
          <t>003230</t>
        </is>
      </c>
      <c r="D3" s="15" t="inlineStr">
        <is>
          <t>대표2</t>
        </is>
      </c>
      <c r="E3" s="36" t="inlineStr">
        <is>
          <t>HANARO Fn K-푸드</t>
        </is>
      </c>
      <c r="F3" s="17" t="n">
        <v>0.151008</v>
      </c>
      <c r="G3" s="36" t="inlineStr">
        <is>
          <t>VITA MZ소비액티브</t>
        </is>
      </c>
      <c r="H3" s="17" t="n">
        <v>0.095914</v>
      </c>
      <c r="I3" s="36" t="inlineStr">
        <is>
          <t>KODEX 필수소비재</t>
        </is>
      </c>
      <c r="J3" s="17" t="n">
        <v>0.08933400000000001</v>
      </c>
      <c r="K3" s="36" t="inlineStr">
        <is>
          <t>TIGER 200 생활소비재</t>
        </is>
      </c>
      <c r="L3" s="17" t="n">
        <v>0.069628</v>
      </c>
      <c r="M3" s="36" t="inlineStr">
        <is>
          <t>TIME K컬처액티브</t>
        </is>
      </c>
      <c r="N3" s="17" t="n">
        <v>0.068385</v>
      </c>
    </row>
    <row r="4" ht="16" customHeight="1">
      <c r="A4" s="15" t="inlineStr">
        <is>
          <t>음식료·담배</t>
        </is>
      </c>
      <c r="B4" s="36" t="inlineStr">
        <is>
          <t>한성기업</t>
        </is>
      </c>
      <c r="C4" s="15" t="inlineStr">
        <is>
          <t>003680</t>
        </is>
      </c>
      <c r="D4" s="15" t="inlineStr">
        <is>
          <t>대표3</t>
        </is>
      </c>
    </row>
    <row r="5" ht="16" customHeight="1">
      <c r="A5" s="15" t="inlineStr">
        <is>
          <t>섬유·의류</t>
        </is>
      </c>
      <c r="B5" s="36" t="inlineStr">
        <is>
          <t>F&amp;F</t>
        </is>
      </c>
      <c r="C5" s="15" t="inlineStr">
        <is>
          <t>383220</t>
        </is>
      </c>
      <c r="D5" s="15" t="inlineStr">
        <is>
          <t>대표1</t>
        </is>
      </c>
      <c r="E5" s="36" t="inlineStr">
        <is>
          <t>TIGER 중국소비테마</t>
        </is>
      </c>
      <c r="F5" s="17" t="n">
        <v>0.037815</v>
      </c>
      <c r="G5" s="36" t="inlineStr">
        <is>
          <t>RISE K엔터&amp;여행레저</t>
        </is>
      </c>
      <c r="H5" s="17" t="n">
        <v>0.029762</v>
      </c>
      <c r="I5" s="36" t="inlineStr">
        <is>
          <t>HANARO Fn골프테마</t>
        </is>
      </c>
      <c r="J5" s="17" t="n">
        <v>0.029596</v>
      </c>
      <c r="K5" s="36" t="inlineStr">
        <is>
          <t>VITA MZ소비액티브</t>
        </is>
      </c>
      <c r="L5" s="17" t="n">
        <v>0.023468</v>
      </c>
      <c r="M5" s="36" t="inlineStr">
        <is>
          <t>RISE 우량업종대표주</t>
        </is>
      </c>
      <c r="N5" s="17" t="n">
        <v>0.020935</v>
      </c>
    </row>
    <row r="6" ht="16" customHeight="1">
      <c r="A6" s="15" t="inlineStr">
        <is>
          <t>섬유·의류</t>
        </is>
      </c>
      <c r="B6" s="36" t="inlineStr">
        <is>
          <t>LF</t>
        </is>
      </c>
      <c r="C6" s="15" t="inlineStr">
        <is>
          <t>093050</t>
        </is>
      </c>
      <c r="D6" s="15" t="inlineStr">
        <is>
          <t>대표2</t>
        </is>
      </c>
      <c r="E6" s="36" t="inlineStr">
        <is>
          <t>KODEX 밸류Plus</t>
        </is>
      </c>
      <c r="F6" s="17" t="n">
        <v>0.020086</v>
      </c>
      <c r="G6" s="36" t="inlineStr">
        <is>
          <t>TIGER 우량가치</t>
        </is>
      </c>
      <c r="H6" s="17" t="n">
        <v>0.018195</v>
      </c>
      <c r="I6" s="36" t="inlineStr">
        <is>
          <t>KODEX 퀄리티Plus</t>
        </is>
      </c>
      <c r="J6" s="17" t="n">
        <v>0.018161</v>
      </c>
      <c r="K6" s="36" t="inlineStr">
        <is>
          <t>PLUS 고배당저변동50</t>
        </is>
      </c>
      <c r="L6" s="17" t="n">
        <v>0.01722</v>
      </c>
      <c r="M6" s="36" t="inlineStr">
        <is>
          <t>HK S&amp;P코리아로우볼</t>
        </is>
      </c>
      <c r="N6" s="17" t="n">
        <v>0.016996</v>
      </c>
    </row>
    <row r="7" ht="16" customHeight="1">
      <c r="A7" s="15" t="inlineStr">
        <is>
          <t>섬유·의류</t>
        </is>
      </c>
      <c r="B7" s="36" t="inlineStr">
        <is>
          <t>우성머티리얼스</t>
        </is>
      </c>
      <c r="C7" s="15" t="inlineStr">
        <is>
          <t>011300</t>
        </is>
      </c>
      <c r="D7" s="15" t="inlineStr">
        <is>
          <t>대표3</t>
        </is>
      </c>
    </row>
    <row r="8" ht="16" customHeight="1">
      <c r="A8" s="15" t="inlineStr">
        <is>
          <t>종이·목재</t>
        </is>
      </c>
      <c r="B8" s="36" t="inlineStr">
        <is>
          <t>신대양제지</t>
        </is>
      </c>
      <c r="C8" s="15" t="inlineStr">
        <is>
          <t>016590</t>
        </is>
      </c>
      <c r="D8" s="15" t="inlineStr">
        <is>
          <t>대표1</t>
        </is>
      </c>
      <c r="E8" s="36" t="inlineStr">
        <is>
          <t>TIGER AI코리아그로스액티브</t>
        </is>
      </c>
      <c r="F8" s="17" t="n">
        <v>0.000674</v>
      </c>
      <c r="G8" s="36" t="inlineStr">
        <is>
          <t>PLUS 코스피TR</t>
        </is>
      </c>
      <c r="H8" s="17" t="n">
        <v>0.000103</v>
      </c>
      <c r="I8" s="36" t="inlineStr">
        <is>
          <t>RISE 코스피</t>
        </is>
      </c>
      <c r="J8" s="17" t="n">
        <v>0.000103</v>
      </c>
      <c r="K8" s="36" t="inlineStr">
        <is>
          <t>PLUS 코스피</t>
        </is>
      </c>
      <c r="L8" s="17" t="n">
        <v>0.0001</v>
      </c>
    </row>
    <row r="9" ht="16" customHeight="1">
      <c r="A9" s="15" t="inlineStr">
        <is>
          <t>종이·목재</t>
        </is>
      </c>
      <c r="B9" s="36" t="inlineStr">
        <is>
          <t>아세아제지</t>
        </is>
      </c>
      <c r="C9" s="15" t="inlineStr">
        <is>
          <t>002310</t>
        </is>
      </c>
      <c r="D9" s="15" t="inlineStr">
        <is>
          <t>대표2</t>
        </is>
      </c>
      <c r="E9" s="36" t="inlineStr">
        <is>
          <t>KODEX 밸류Plus</t>
        </is>
      </c>
      <c r="F9" s="17" t="n">
        <v>0.020859</v>
      </c>
      <c r="G9" s="36" t="inlineStr">
        <is>
          <t>PLUS 고배당저변동50</t>
        </is>
      </c>
      <c r="H9" s="17" t="n">
        <v>0.011122</v>
      </c>
      <c r="I9" s="36" t="inlineStr">
        <is>
          <t>MIDAS 코스피액티브</t>
        </is>
      </c>
      <c r="J9" s="17" t="n">
        <v>0.001502</v>
      </c>
      <c r="K9" s="36" t="inlineStr">
        <is>
          <t>PLUS 코스피TR</t>
        </is>
      </c>
      <c r="L9" s="17" t="n">
        <v>8.800000000000001e-05</v>
      </c>
    </row>
    <row r="10" ht="16" customHeight="1">
      <c r="A10" s="15" t="inlineStr">
        <is>
          <t>종이·목재</t>
        </is>
      </c>
      <c r="B10" s="36" t="inlineStr">
        <is>
          <t>블루산업개발</t>
        </is>
      </c>
      <c r="C10" s="15" t="inlineStr">
        <is>
          <t>006740</t>
        </is>
      </c>
      <c r="D10" s="15" t="inlineStr">
        <is>
          <t>대표3</t>
        </is>
      </c>
    </row>
    <row r="11" ht="16" customHeight="1">
      <c r="A11" s="15" t="inlineStr">
        <is>
          <t>화학</t>
        </is>
      </c>
      <c r="B11" s="36" t="inlineStr">
        <is>
          <t>LG화학</t>
        </is>
      </c>
      <c r="C11" s="15" t="inlineStr">
        <is>
          <t>051910</t>
        </is>
      </c>
      <c r="D11" s="15" t="inlineStr">
        <is>
          <t>대표1</t>
        </is>
      </c>
      <c r="E11" s="36" t="inlineStr">
        <is>
          <t>HANARO 농업융복합산업</t>
        </is>
      </c>
      <c r="F11" s="17" t="n">
        <v>0.179078</v>
      </c>
      <c r="G11" s="36" t="inlineStr">
        <is>
          <t>KODEX 에너지화학</t>
        </is>
      </c>
      <c r="H11" s="17" t="n">
        <v>0.178803</v>
      </c>
      <c r="I11" s="36" t="inlineStr">
        <is>
          <t>SOL 2차전지소부장Fn</t>
        </is>
      </c>
      <c r="J11" s="17" t="n">
        <v>0.163714</v>
      </c>
      <c r="K11" s="36" t="inlineStr">
        <is>
          <t>KODEX 2차전지핵심소재10</t>
        </is>
      </c>
      <c r="L11" s="17" t="n">
        <v>0.160352</v>
      </c>
      <c r="M11" s="36" t="inlineStr">
        <is>
          <t>TIGER LG그룹플러스</t>
        </is>
      </c>
      <c r="N11" s="17" t="n">
        <v>0.158768</v>
      </c>
    </row>
    <row r="12" ht="16" customHeight="1">
      <c r="A12" s="15" t="inlineStr">
        <is>
          <t>화학</t>
        </is>
      </c>
      <c r="B12" s="36" t="inlineStr">
        <is>
          <t>SK이노베이션</t>
        </is>
      </c>
      <c r="C12" s="15" t="inlineStr">
        <is>
          <t>096770</t>
        </is>
      </c>
      <c r="D12" s="15" t="inlineStr">
        <is>
          <t>대표2</t>
        </is>
      </c>
      <c r="E12" s="36" t="inlineStr">
        <is>
          <t>KODEX 에너지화학</t>
        </is>
      </c>
      <c r="F12" s="17" t="n">
        <v>0.120299</v>
      </c>
      <c r="G12" s="36" t="inlineStr">
        <is>
          <t>TIGER 200 에너지화학</t>
        </is>
      </c>
      <c r="H12" s="17" t="n">
        <v>0.110459</v>
      </c>
      <c r="I12" s="36" t="inlineStr">
        <is>
          <t>RISE 2차전지TOP10</t>
        </is>
      </c>
      <c r="J12" s="17" t="n">
        <v>0.094917</v>
      </c>
      <c r="K12" s="36" t="inlineStr">
        <is>
          <t>RISE 2차전지액티브</t>
        </is>
      </c>
      <c r="L12" s="17" t="n">
        <v>0.08470800000000001</v>
      </c>
      <c r="M12" s="36" t="inlineStr">
        <is>
          <t>BNK 2차전지양극재</t>
        </is>
      </c>
      <c r="N12" s="17" t="n">
        <v>0.08179299999999999</v>
      </c>
    </row>
    <row r="13" ht="16" customHeight="1">
      <c r="A13" s="15" t="inlineStr">
        <is>
          <t>화학</t>
        </is>
      </c>
      <c r="B13" s="36" t="inlineStr">
        <is>
          <t>금호타이어</t>
        </is>
      </c>
      <c r="C13" s="15" t="inlineStr">
        <is>
          <t>073240</t>
        </is>
      </c>
      <c r="D13" s="15" t="inlineStr">
        <is>
          <t>대표3</t>
        </is>
      </c>
    </row>
    <row r="14" ht="16" customHeight="1">
      <c r="A14" s="15" t="inlineStr">
        <is>
          <t>제약</t>
        </is>
      </c>
      <c r="B14" s="36" t="inlineStr">
        <is>
          <t>삼성바이오로직스</t>
        </is>
      </c>
      <c r="C14" s="15" t="inlineStr">
        <is>
          <t>207940</t>
        </is>
      </c>
      <c r="D14" s="15" t="inlineStr">
        <is>
          <t>대표1</t>
        </is>
      </c>
      <c r="E14" s="36" t="inlineStr">
        <is>
          <t>TIGER 바이오TOP10</t>
        </is>
      </c>
      <c r="F14" s="17" t="n">
        <v>0.232247</v>
      </c>
      <c r="G14" s="36" t="inlineStr">
        <is>
          <t>KIWOOM 의료AI</t>
        </is>
      </c>
      <c r="H14" s="17" t="n">
        <v>0.182566</v>
      </c>
      <c r="I14" s="36" t="inlineStr">
        <is>
          <t>TIGER 200 헬스케어</t>
        </is>
      </c>
      <c r="J14" s="17" t="n">
        <v>0.171616</v>
      </c>
    </row>
    <row r="15" ht="16" customHeight="1">
      <c r="A15" s="15" t="inlineStr">
        <is>
          <t>제약</t>
        </is>
      </c>
      <c r="B15" s="36" t="inlineStr">
        <is>
          <t>셀트리온</t>
        </is>
      </c>
      <c r="C15" s="15" t="inlineStr">
        <is>
          <t>068270</t>
        </is>
      </c>
      <c r="D15" s="15" t="inlineStr">
        <is>
          <t>대표2</t>
        </is>
      </c>
      <c r="E15" s="36" t="inlineStr">
        <is>
          <t>TIGER 바이오TOP10</t>
        </is>
      </c>
      <c r="F15" s="17" t="n">
        <v>0.253296</v>
      </c>
      <c r="G15" s="36" t="inlineStr">
        <is>
          <t>TIGER 200 헬스케어</t>
        </is>
      </c>
      <c r="H15" s="17" t="n">
        <v>0.230885</v>
      </c>
      <c r="I15" s="36" t="inlineStr">
        <is>
          <t>TIGER 헬스케어</t>
        </is>
      </c>
      <c r="J15" s="17" t="n">
        <v>0.198445</v>
      </c>
      <c r="K15" s="36" t="inlineStr">
        <is>
          <t>KODEX 헬스케어</t>
        </is>
      </c>
      <c r="L15" s="17" t="n">
        <v>0.192372</v>
      </c>
    </row>
    <row r="16" ht="16" customHeight="1">
      <c r="A16" s="15" t="inlineStr">
        <is>
          <t>제약</t>
        </is>
      </c>
      <c r="B16" s="36" t="inlineStr">
        <is>
          <t>일양약품</t>
        </is>
      </c>
      <c r="C16" s="15" t="inlineStr">
        <is>
          <t>007570</t>
        </is>
      </c>
      <c r="D16" s="15" t="inlineStr">
        <is>
          <t>대표3</t>
        </is>
      </c>
    </row>
    <row r="17" ht="16" customHeight="1">
      <c r="A17" s="15" t="inlineStr">
        <is>
          <t>비금속</t>
        </is>
      </c>
      <c r="B17" s="36" t="inlineStr">
        <is>
          <t>한일시멘트</t>
        </is>
      </c>
      <c r="C17" s="15" t="inlineStr">
        <is>
          <t>300720</t>
        </is>
      </c>
      <c r="D17" s="15" t="inlineStr">
        <is>
          <t>대표1</t>
        </is>
      </c>
      <c r="E17" s="36" t="inlineStr">
        <is>
          <t>파워 고배당저변동성</t>
        </is>
      </c>
      <c r="F17" s="17" t="n">
        <v>0.020513</v>
      </c>
      <c r="G17" s="36" t="inlineStr">
        <is>
          <t>RISE 200고배당커버드콜ATM</t>
        </is>
      </c>
      <c r="H17" s="17" t="n">
        <v>0.020497</v>
      </c>
      <c r="I17" s="36" t="inlineStr">
        <is>
          <t>HK S&amp;P코리아로우볼</t>
        </is>
      </c>
      <c r="J17" s="17" t="n">
        <v>0.015675</v>
      </c>
      <c r="K17" s="36" t="inlineStr">
        <is>
          <t>RISE 중소형고배당</t>
        </is>
      </c>
      <c r="L17" s="17" t="n">
        <v>0.015261</v>
      </c>
    </row>
    <row r="18" ht="16" customHeight="1">
      <c r="A18" s="15" t="inlineStr">
        <is>
          <t>비금속</t>
        </is>
      </c>
      <c r="B18" s="36" t="inlineStr">
        <is>
          <t>아이에스동서</t>
        </is>
      </c>
      <c r="C18" s="15" t="inlineStr">
        <is>
          <t>010780</t>
        </is>
      </c>
      <c r="D18" s="15" t="inlineStr">
        <is>
          <t>대표2</t>
        </is>
      </c>
      <c r="E18" s="36" t="inlineStr">
        <is>
          <t>RISE 배터리 리사이클링</t>
        </is>
      </c>
      <c r="F18" s="17" t="n">
        <v>0.06468600000000001</v>
      </c>
      <c r="G18" s="36" t="inlineStr">
        <is>
          <t>KODEX 건설</t>
        </is>
      </c>
      <c r="H18" s="17" t="n">
        <v>0.010435</v>
      </c>
      <c r="I18" s="36" t="inlineStr">
        <is>
          <t>TRUSTON 주주가치액티브</t>
        </is>
      </c>
      <c r="J18" s="17" t="n">
        <v>0.003915</v>
      </c>
      <c r="K18" s="36" t="inlineStr">
        <is>
          <t>TIGER 코스피중형주</t>
        </is>
      </c>
      <c r="L18" s="17" t="n">
        <v>0.002006</v>
      </c>
      <c r="M18" s="36" t="inlineStr">
        <is>
          <t>MIDAS 코스피액티브</t>
        </is>
      </c>
      <c r="N18" s="17" t="n">
        <v>0.000612</v>
      </c>
    </row>
    <row r="19" ht="16" customHeight="1">
      <c r="A19" s="15" t="inlineStr">
        <is>
          <t>비금속</t>
        </is>
      </c>
      <c r="B19" s="36" t="inlineStr">
        <is>
          <t>성신양회</t>
        </is>
      </c>
      <c r="C19" s="15" t="inlineStr">
        <is>
          <t>004980</t>
        </is>
      </c>
      <c r="D19" s="15" t="inlineStr">
        <is>
          <t>대표3</t>
        </is>
      </c>
    </row>
    <row r="20" ht="16" customHeight="1">
      <c r="A20" s="15" t="inlineStr">
        <is>
          <t>금속</t>
        </is>
      </c>
      <c r="B20" s="36" t="inlineStr">
        <is>
          <t>POSCO홀딩스</t>
        </is>
      </c>
      <c r="C20" s="15" t="inlineStr">
        <is>
          <t>005490</t>
        </is>
      </c>
      <c r="D20" s="15" t="inlineStr">
        <is>
          <t>대표1</t>
        </is>
      </c>
      <c r="E20" s="36" t="inlineStr">
        <is>
          <t>ACE 포스코그룹포커스</t>
        </is>
      </c>
      <c r="F20" s="17" t="n">
        <v>0.277321</v>
      </c>
      <c r="G20" s="36" t="inlineStr">
        <is>
          <t>TIGER 200 철강소재</t>
        </is>
      </c>
      <c r="H20" s="17" t="n">
        <v>0.230266</v>
      </c>
      <c r="I20" s="36" t="inlineStr">
        <is>
          <t>SOL 2차전지소부장Fn</t>
        </is>
      </c>
      <c r="J20" s="17" t="n">
        <v>0.224609</v>
      </c>
      <c r="K20" s="36" t="inlineStr">
        <is>
          <t>KODEX 철강</t>
        </is>
      </c>
      <c r="L20" s="17" t="n">
        <v>0.2137</v>
      </c>
    </row>
    <row r="21" ht="16" customHeight="1">
      <c r="A21" s="15" t="inlineStr">
        <is>
          <t>금속</t>
        </is>
      </c>
      <c r="B21" s="36" t="inlineStr">
        <is>
          <t>고려아연</t>
        </is>
      </c>
      <c r="C21" s="15" t="inlineStr">
        <is>
          <t>010130</t>
        </is>
      </c>
      <c r="D21" s="15" t="inlineStr">
        <is>
          <t>대표2</t>
        </is>
      </c>
      <c r="E21" s="36" t="inlineStr">
        <is>
          <t>TIGER 200 철강소재</t>
        </is>
      </c>
      <c r="F21" s="17" t="n">
        <v>0.235234</v>
      </c>
      <c r="G21" s="36" t="inlineStr">
        <is>
          <t>KODEX 철강</t>
        </is>
      </c>
      <c r="H21" s="17" t="n">
        <v>0.175356</v>
      </c>
      <c r="I21" s="36" t="inlineStr">
        <is>
          <t>RISE 배터리 리사이클링</t>
        </is>
      </c>
      <c r="J21" s="17" t="n">
        <v>0.062408</v>
      </c>
      <c r="K21" s="36" t="inlineStr">
        <is>
          <t>KoAct 반도체&amp;2차전지핵심소재액티브</t>
        </is>
      </c>
      <c r="L21" s="17" t="n">
        <v>0.028209</v>
      </c>
      <c r="M21" s="36" t="inlineStr">
        <is>
          <t>KODEX 최소변동성</t>
        </is>
      </c>
      <c r="N21" s="17" t="n">
        <v>0.019255</v>
      </c>
    </row>
    <row r="22" ht="16" customHeight="1">
      <c r="A22" s="15" t="inlineStr">
        <is>
          <t>금속</t>
        </is>
      </c>
      <c r="B22" s="36" t="inlineStr">
        <is>
          <t>다스코</t>
        </is>
      </c>
      <c r="C22" s="15" t="inlineStr">
        <is>
          <t>058730</t>
        </is>
      </c>
      <c r="D22" s="15" t="inlineStr">
        <is>
          <t>대표3</t>
        </is>
      </c>
    </row>
    <row r="23" ht="16" customHeight="1">
      <c r="A23" s="15" t="inlineStr">
        <is>
          <t>기계·장비</t>
        </is>
      </c>
      <c r="B23" s="36" t="inlineStr">
        <is>
          <t>두산에너빌리티</t>
        </is>
      </c>
      <c r="C23" s="15" t="inlineStr">
        <is>
          <t>034020</t>
        </is>
      </c>
      <c r="D23" s="15" t="inlineStr">
        <is>
          <t>대표1</t>
        </is>
      </c>
      <c r="E23" s="36" t="inlineStr">
        <is>
          <t>ACE 원자력TOP10</t>
        </is>
      </c>
      <c r="F23" s="17" t="n">
        <v>0.233212</v>
      </c>
      <c r="G23" s="36" t="inlineStr">
        <is>
          <t>TIGER 200 중공업</t>
        </is>
      </c>
      <c r="H23" s="17" t="n">
        <v>0.229928</v>
      </c>
      <c r="I23" s="36" t="inlineStr">
        <is>
          <t>KIWOOM K-2차전지북미공급망</t>
        </is>
      </c>
      <c r="J23" s="17" t="n">
        <v>0.18018</v>
      </c>
    </row>
    <row r="24" ht="16" customHeight="1">
      <c r="A24" s="15" t="inlineStr">
        <is>
          <t>기계·장비</t>
        </is>
      </c>
      <c r="B24" s="36" t="inlineStr">
        <is>
          <t>한미반도체</t>
        </is>
      </c>
      <c r="C24" s="15" t="inlineStr">
        <is>
          <t>042700</t>
        </is>
      </c>
      <c r="D24" s="15" t="inlineStr">
        <is>
          <t>대표2</t>
        </is>
      </c>
      <c r="E24" s="36" t="inlineStr">
        <is>
          <t>KODEX AI반도체핵심장비</t>
        </is>
      </c>
      <c r="F24" s="17" t="n">
        <v>0.305259</v>
      </c>
      <c r="G24" s="36" t="inlineStr">
        <is>
          <t>TIGER AI반도체핵심공정</t>
        </is>
      </c>
      <c r="H24" s="17" t="n">
        <v>0.271755</v>
      </c>
      <c r="I24" s="36" t="inlineStr">
        <is>
          <t>SOL 반도체후공정</t>
        </is>
      </c>
      <c r="J24" s="17" t="n">
        <v>0.235276</v>
      </c>
      <c r="K24" s="36" t="inlineStr">
        <is>
          <t>ACE AI반도체TOP3+</t>
        </is>
      </c>
      <c r="L24" s="17" t="n">
        <v>0.221799</v>
      </c>
    </row>
    <row r="25" ht="16" customHeight="1">
      <c r="A25" s="15" t="inlineStr">
        <is>
          <t>기계·장비</t>
        </is>
      </c>
      <c r="B25" s="36" t="inlineStr">
        <is>
          <t>화천기공</t>
        </is>
      </c>
      <c r="C25" s="15" t="inlineStr">
        <is>
          <t>000850</t>
        </is>
      </c>
      <c r="D25" s="15" t="inlineStr">
        <is>
          <t>대표3</t>
        </is>
      </c>
    </row>
    <row r="26" ht="16" customHeight="1">
      <c r="A26" s="15" t="inlineStr">
        <is>
          <t>전기전자</t>
        </is>
      </c>
      <c r="B26" s="36" t="inlineStr">
        <is>
          <t>삼성전자</t>
        </is>
      </c>
      <c r="C26" s="15" t="inlineStr">
        <is>
          <t>005930</t>
        </is>
      </c>
      <c r="D26" s="15" t="inlineStr">
        <is>
          <t>대표1</t>
        </is>
      </c>
    </row>
    <row r="27" ht="16" customHeight="1">
      <c r="A27" s="15" t="inlineStr">
        <is>
          <t>전기전자</t>
        </is>
      </c>
      <c r="B27" s="36" t="inlineStr">
        <is>
          <t>SK하이닉스</t>
        </is>
      </c>
      <c r="C27" s="15" t="inlineStr">
        <is>
          <t>000660</t>
        </is>
      </c>
      <c r="D27" s="15" t="inlineStr">
        <is>
          <t>대표2</t>
        </is>
      </c>
      <c r="E27" s="36" t="inlineStr">
        <is>
          <t>RISE 대형고배당10TR</t>
        </is>
      </c>
      <c r="F27" s="17" t="n">
        <v>0.3599349999999999</v>
      </c>
      <c r="G27" s="36" t="inlineStr">
        <is>
          <t>RISE 대형고배당10TR</t>
        </is>
      </c>
      <c r="H27" s="17" t="n">
        <v>0.3599349999999999</v>
      </c>
    </row>
    <row r="28" ht="16" customHeight="1">
      <c r="A28" s="15" t="inlineStr">
        <is>
          <t>전기전자</t>
        </is>
      </c>
      <c r="B28" s="36" t="inlineStr">
        <is>
          <t>금호전기</t>
        </is>
      </c>
      <c r="C28" s="15" t="inlineStr">
        <is>
          <t>001210</t>
        </is>
      </c>
      <c r="D28" s="15" t="inlineStr">
        <is>
          <t>대표3</t>
        </is>
      </c>
    </row>
    <row r="29" ht="16" customHeight="1">
      <c r="A29" s="15" t="inlineStr">
        <is>
          <t>의료·정밀</t>
        </is>
      </c>
      <c r="B29" s="36" t="inlineStr">
        <is>
          <t>케이씨텍</t>
        </is>
      </c>
      <c r="C29" s="15" t="inlineStr">
        <is>
          <t>281820</t>
        </is>
      </c>
      <c r="D29" s="15" t="inlineStr">
        <is>
          <t>대표1</t>
        </is>
      </c>
      <c r="E29" s="36" t="inlineStr">
        <is>
          <t>KODEX 모멘텀Plus</t>
        </is>
      </c>
      <c r="F29" s="17" t="n">
        <v>0.009874000000000001</v>
      </c>
      <c r="G29" s="36" t="inlineStr">
        <is>
          <t>KODEX 모멘텀Plus</t>
        </is>
      </c>
      <c r="H29" s="17" t="n">
        <v>0.009874000000000001</v>
      </c>
      <c r="I29" s="36" t="inlineStr">
        <is>
          <t>KoAct 코리아밸류업액티브</t>
        </is>
      </c>
      <c r="J29" s="17" t="n">
        <v>0.007675</v>
      </c>
      <c r="K29" s="36" t="inlineStr">
        <is>
          <t>TIGER 코스피중형주</t>
        </is>
      </c>
      <c r="L29" s="17" t="n">
        <v>0.002894</v>
      </c>
      <c r="M29" s="36" t="inlineStr">
        <is>
          <t>MIDAS 중소형액티브</t>
        </is>
      </c>
      <c r="N29" s="17" t="n">
        <v>0.00281</v>
      </c>
    </row>
    <row r="30" ht="16" customHeight="1">
      <c r="A30" s="15" t="inlineStr">
        <is>
          <t>의료·정밀</t>
        </is>
      </c>
      <c r="B30" s="36" t="inlineStr">
        <is>
          <t>에스디바이오센서</t>
        </is>
      </c>
      <c r="C30" s="15" t="inlineStr">
        <is>
          <t>137310</t>
        </is>
      </c>
      <c r="D30" s="15" t="inlineStr">
        <is>
          <t>대표2</t>
        </is>
      </c>
      <c r="E30" s="36" t="inlineStr">
        <is>
          <t>TIGER 의료기기</t>
        </is>
      </c>
      <c r="F30" s="17" t="n">
        <v>0.01425</v>
      </c>
      <c r="G30" s="36" t="inlineStr">
        <is>
          <t>TIGER 200 헬스케어</t>
        </is>
      </c>
      <c r="H30" s="17" t="n">
        <v>0.008159999999999999</v>
      </c>
      <c r="I30" s="36" t="inlineStr">
        <is>
          <t>KODEX 200동일가중</t>
        </is>
      </c>
      <c r="J30" s="17" t="n">
        <v>0.004172</v>
      </c>
      <c r="K30" s="36" t="inlineStr">
        <is>
          <t>TIGER 200동일가중</t>
        </is>
      </c>
      <c r="L30" s="17" t="n">
        <v>0.004167000000000001</v>
      </c>
      <c r="M30" s="36" t="inlineStr">
        <is>
          <t>TIGER 코스피중형주</t>
        </is>
      </c>
      <c r="N30" s="17" t="n">
        <v>0.00227</v>
      </c>
    </row>
    <row r="31" ht="16" customHeight="1">
      <c r="A31" s="15" t="inlineStr">
        <is>
          <t>의료·정밀</t>
        </is>
      </c>
      <c r="B31" s="36" t="inlineStr">
        <is>
          <t>덴티움</t>
        </is>
      </c>
      <c r="C31" s="15" t="inlineStr">
        <is>
          <t>145720</t>
        </is>
      </c>
      <c r="D31" s="15" t="inlineStr">
        <is>
          <t>대표3</t>
        </is>
      </c>
      <c r="E31" s="36" t="inlineStr">
        <is>
          <t>SOL 의료기기소부장Fn</t>
        </is>
      </c>
      <c r="F31" s="17" t="n">
        <v>0.066331</v>
      </c>
      <c r="G31" s="36" t="inlineStr">
        <is>
          <t>TIGER 중국소비테마</t>
        </is>
      </c>
      <c r="H31" s="17" t="n">
        <v>0.036228</v>
      </c>
      <c r="I31" s="36" t="inlineStr">
        <is>
          <t>TIGER 의료기기</t>
        </is>
      </c>
      <c r="J31" s="17" t="n">
        <v>0.01737</v>
      </c>
      <c r="K31" s="36" t="inlineStr">
        <is>
          <t>RISE 헬스케어</t>
        </is>
      </c>
      <c r="L31" s="17" t="n">
        <v>0.00412</v>
      </c>
      <c r="M31" s="36" t="inlineStr">
        <is>
          <t>TRUSTON 주주가치액티브</t>
        </is>
      </c>
      <c r="N31" s="17" t="n">
        <v>0.003976</v>
      </c>
    </row>
    <row r="32" ht="16" customHeight="1">
      <c r="A32" s="15" t="inlineStr">
        <is>
          <t>운송장비</t>
        </is>
      </c>
      <c r="B32" s="36" t="inlineStr">
        <is>
          <t>현대차</t>
        </is>
      </c>
      <c r="C32" s="15" t="inlineStr">
        <is>
          <t>005380</t>
        </is>
      </c>
      <c r="D32" s="15" t="inlineStr">
        <is>
          <t>대표1</t>
        </is>
      </c>
      <c r="E32" s="36" t="inlineStr">
        <is>
          <t>TIGER 현대차그룹플러스</t>
        </is>
      </c>
      <c r="F32" s="17" t="n">
        <v>0.312242</v>
      </c>
      <c r="G32" s="36" t="inlineStr">
        <is>
          <t>KODEX 자동차</t>
        </is>
      </c>
      <c r="H32" s="17" t="n">
        <v>0.303616</v>
      </c>
      <c r="I32" s="36" t="inlineStr">
        <is>
          <t>TIGER 200 경기소비재</t>
        </is>
      </c>
      <c r="J32" s="17" t="n">
        <v>0.301705</v>
      </c>
      <c r="K32" s="36" t="inlineStr">
        <is>
          <t>SOL 자동차TOP3플러스</t>
        </is>
      </c>
      <c r="L32" s="17" t="n">
        <v>0.223551</v>
      </c>
    </row>
    <row r="33" ht="16" customHeight="1">
      <c r="A33" s="15" t="inlineStr">
        <is>
          <t>운송장비</t>
        </is>
      </c>
      <c r="B33" s="36" t="inlineStr">
        <is>
          <t>기아</t>
        </is>
      </c>
      <c r="C33" s="15" t="inlineStr">
        <is>
          <t>000270</t>
        </is>
      </c>
      <c r="D33" s="15" t="inlineStr">
        <is>
          <t>대표2</t>
        </is>
      </c>
    </row>
    <row r="34" ht="16" customHeight="1">
      <c r="A34" s="15" t="inlineStr">
        <is>
          <t>운송장비</t>
        </is>
      </c>
      <c r="B34" s="36" t="inlineStr">
        <is>
          <t>금호에이치티</t>
        </is>
      </c>
      <c r="C34" s="15" t="inlineStr">
        <is>
          <t>214330</t>
        </is>
      </c>
      <c r="D34" s="15" t="inlineStr">
        <is>
          <t>대표3</t>
        </is>
      </c>
    </row>
    <row r="35" ht="16" customHeight="1">
      <c r="A35" s="15" t="inlineStr">
        <is>
          <t>유통</t>
        </is>
      </c>
      <c r="B35" s="36" t="inlineStr">
        <is>
          <t>삼성물산</t>
        </is>
      </c>
      <c r="C35" s="15" t="inlineStr">
        <is>
          <t>028260</t>
        </is>
      </c>
      <c r="D35" s="15" t="inlineStr">
        <is>
          <t>대표1</t>
        </is>
      </c>
      <c r="E35" s="36" t="inlineStr">
        <is>
          <t>TIGER 200 건설</t>
        </is>
      </c>
      <c r="F35" s="17" t="n">
        <v>0.122834</v>
      </c>
      <c r="G35" s="36" t="inlineStr">
        <is>
          <t>TIGER 삼성그룹</t>
        </is>
      </c>
      <c r="H35" s="17" t="n">
        <v>0.121794</v>
      </c>
      <c r="I35" s="36" t="inlineStr">
        <is>
          <t>ACE 삼성그룹섹터가중</t>
        </is>
      </c>
      <c r="J35" s="17" t="n">
        <v>0.106691</v>
      </c>
      <c r="K35" s="36" t="inlineStr">
        <is>
          <t>HANARO Fn골프테마</t>
        </is>
      </c>
      <c r="L35" s="17" t="n">
        <v>0.088797</v>
      </c>
    </row>
    <row r="36" ht="16" customHeight="1">
      <c r="A36" s="15" t="inlineStr">
        <is>
          <t>유통</t>
        </is>
      </c>
      <c r="B36" s="36" t="inlineStr">
        <is>
          <t>포스코인터내셔널</t>
        </is>
      </c>
      <c r="C36" s="15" t="inlineStr">
        <is>
          <t>047050</t>
        </is>
      </c>
      <c r="D36" s="15" t="inlineStr">
        <is>
          <t>대표2</t>
        </is>
      </c>
      <c r="E36" s="36" t="inlineStr">
        <is>
          <t>ACE 포스코그룹포커스</t>
        </is>
      </c>
      <c r="F36" s="17" t="n">
        <v>0.21922</v>
      </c>
      <c r="G36" s="36" t="inlineStr">
        <is>
          <t>HANARO Fn친환경에너지</t>
        </is>
      </c>
      <c r="H36" s="17" t="n">
        <v>0.088354</v>
      </c>
      <c r="I36" s="36" t="inlineStr">
        <is>
          <t>HANARO K고배당</t>
        </is>
      </c>
      <c r="J36" s="17" t="n">
        <v>0.056328</v>
      </c>
      <c r="K36" s="36" t="inlineStr">
        <is>
          <t>KoAct 반도체&amp;2차전지핵심소재액티브</t>
        </is>
      </c>
      <c r="L36" s="17" t="n">
        <v>0.05283400000000001</v>
      </c>
    </row>
    <row r="37" ht="16" customHeight="1">
      <c r="A37" s="15" t="inlineStr">
        <is>
          <t>유통</t>
        </is>
      </c>
      <c r="B37" s="36" t="inlineStr">
        <is>
          <t>모나미</t>
        </is>
      </c>
      <c r="C37" s="15" t="inlineStr">
        <is>
          <t>005360</t>
        </is>
      </c>
      <c r="D37" s="15" t="inlineStr">
        <is>
          <t>대표3</t>
        </is>
      </c>
    </row>
    <row r="38" ht="16" customHeight="1">
      <c r="A38" s="15" t="inlineStr">
        <is>
          <t>전기·가스</t>
        </is>
      </c>
      <c r="B38" s="36" t="inlineStr">
        <is>
          <t>한국전력</t>
        </is>
      </c>
      <c r="C38" s="15" t="inlineStr">
        <is>
          <t>015760</t>
        </is>
      </c>
      <c r="D38" s="15" t="inlineStr">
        <is>
          <t>대표1</t>
        </is>
      </c>
      <c r="E38" s="36" t="inlineStr">
        <is>
          <t>TIGER 200 생활소비재</t>
        </is>
      </c>
      <c r="F38" s="17" t="n">
        <v>0.17921</v>
      </c>
      <c r="G38" s="36" t="inlineStr">
        <is>
          <t>ACE 원자력TOP10</t>
        </is>
      </c>
      <c r="H38" s="17" t="n">
        <v>0.127236</v>
      </c>
      <c r="I38" s="36" t="inlineStr">
        <is>
          <t>TIGER 경기방어</t>
        </is>
      </c>
      <c r="J38" s="17" t="n">
        <v>0.07924199999999999</v>
      </c>
    </row>
    <row r="39" ht="16" customHeight="1">
      <c r="A39" s="15" t="inlineStr">
        <is>
          <t>전기·가스</t>
        </is>
      </c>
      <c r="B39" s="36" t="inlineStr">
        <is>
          <t>한국가스공사</t>
        </is>
      </c>
      <c r="C39" s="15" t="inlineStr">
        <is>
          <t>036460</t>
        </is>
      </c>
      <c r="D39" s="15" t="inlineStr">
        <is>
          <t>대표2</t>
        </is>
      </c>
      <c r="E39" s="36" t="inlineStr">
        <is>
          <t>RISE 중소형고배당</t>
        </is>
      </c>
      <c r="F39" s="17" t="n">
        <v>0.028939</v>
      </c>
      <c r="G39" s="36" t="inlineStr">
        <is>
          <t>RISE 우량업종대표주</t>
        </is>
      </c>
      <c r="H39" s="17" t="n">
        <v>0.021961</v>
      </c>
      <c r="I39" s="36" t="inlineStr">
        <is>
          <t>PLUS 고배당주위클리커버드콜</t>
        </is>
      </c>
      <c r="J39" s="17" t="n">
        <v>0.01994</v>
      </c>
    </row>
    <row r="40" ht="16" customHeight="1">
      <c r="A40" s="15" t="inlineStr">
        <is>
          <t>전기·가스</t>
        </is>
      </c>
      <c r="B40" s="36" t="inlineStr">
        <is>
          <t>SGC에너지</t>
        </is>
      </c>
      <c r="C40" s="15" t="inlineStr">
        <is>
          <t>005090</t>
        </is>
      </c>
      <c r="D40" s="15" t="inlineStr">
        <is>
          <t>대표3</t>
        </is>
      </c>
      <c r="E40" s="36" t="inlineStr">
        <is>
          <t>RISE 중소형고배당</t>
        </is>
      </c>
      <c r="F40" s="17" t="n">
        <v>0.013998</v>
      </c>
      <c r="G40" s="36" t="inlineStr">
        <is>
          <t>RISE 고배당</t>
        </is>
      </c>
      <c r="H40" s="17" t="n">
        <v>0.001141</v>
      </c>
      <c r="I40" s="36" t="inlineStr">
        <is>
          <t>ACE 코스피</t>
        </is>
      </c>
      <c r="J40" s="17" t="n">
        <v>0.000175</v>
      </c>
      <c r="K40" s="36" t="inlineStr">
        <is>
          <t>PLUS 코스피</t>
        </is>
      </c>
      <c r="L40" s="17" t="n">
        <v>0.000175</v>
      </c>
    </row>
    <row r="41" ht="16" customHeight="1">
      <c r="A41" s="15" t="inlineStr">
        <is>
          <t>건설</t>
        </is>
      </c>
      <c r="B41" s="36" t="inlineStr">
        <is>
          <t>현대건설</t>
        </is>
      </c>
      <c r="C41" s="15" t="inlineStr">
        <is>
          <t>000720</t>
        </is>
      </c>
      <c r="D41" s="15" t="inlineStr">
        <is>
          <t>대표1</t>
        </is>
      </c>
      <c r="E41" s="36" t="inlineStr">
        <is>
          <t>TIGER 200 건설</t>
        </is>
      </c>
      <c r="F41" s="17" t="n">
        <v>0.237414</v>
      </c>
      <c r="G41" s="36" t="inlineStr">
        <is>
          <t>KODEX 건설</t>
        </is>
      </c>
      <c r="H41" s="17" t="n">
        <v>0.205231</v>
      </c>
    </row>
    <row r="42" ht="16" customHeight="1">
      <c r="A42" s="15" t="inlineStr">
        <is>
          <t>건설</t>
        </is>
      </c>
      <c r="B42" s="36" t="inlineStr">
        <is>
          <t>대우건설</t>
        </is>
      </c>
      <c r="C42" s="15" t="inlineStr">
        <is>
          <t>047040</t>
        </is>
      </c>
      <c r="D42" s="15" t="inlineStr">
        <is>
          <t>대표2</t>
        </is>
      </c>
      <c r="E42" s="36" t="inlineStr">
        <is>
          <t>KODEX 건설</t>
        </is>
      </c>
      <c r="F42" s="17" t="n">
        <v>0.184872</v>
      </c>
      <c r="G42" s="36" t="inlineStr">
        <is>
          <t>TIGER 200 건설</t>
        </is>
      </c>
      <c r="H42" s="17" t="n">
        <v>0.169141</v>
      </c>
    </row>
    <row r="43" ht="16" customHeight="1">
      <c r="A43" s="15" t="inlineStr">
        <is>
          <t>건설</t>
        </is>
      </c>
      <c r="B43" s="36" t="inlineStr">
        <is>
          <t>금호건설</t>
        </is>
      </c>
      <c r="C43" s="15" t="inlineStr">
        <is>
          <t>002990</t>
        </is>
      </c>
      <c r="D43" s="15" t="inlineStr">
        <is>
          <t>대표3</t>
        </is>
      </c>
    </row>
    <row r="44" ht="16" customHeight="1">
      <c r="A44" s="15" t="inlineStr">
        <is>
          <t>운송·창고</t>
        </is>
      </c>
      <c r="B44" s="36" t="inlineStr">
        <is>
          <t>HMM</t>
        </is>
      </c>
      <c r="C44" s="15" t="inlineStr">
        <is>
          <t>011200</t>
        </is>
      </c>
      <c r="D44" s="15" t="inlineStr">
        <is>
          <t>대표1</t>
        </is>
      </c>
      <c r="E44" s="36" t="inlineStr">
        <is>
          <t>KODEX 운송</t>
        </is>
      </c>
      <c r="F44" s="17" t="n">
        <v>0.143709</v>
      </c>
      <c r="G44" s="36" t="inlineStr">
        <is>
          <t>HANARO Fn조선해운</t>
        </is>
      </c>
      <c r="H44" s="17" t="n">
        <v>0.121573</v>
      </c>
      <c r="I44" s="36" t="inlineStr">
        <is>
          <t>TIGER 200 산업재</t>
        </is>
      </c>
      <c r="J44" s="17" t="n">
        <v>0.03771</v>
      </c>
      <c r="K44" s="36" t="inlineStr">
        <is>
          <t>KODEX 친환경조선해운액티브</t>
        </is>
      </c>
      <c r="L44" s="17" t="n">
        <v>0.024371</v>
      </c>
      <c r="M44" s="36" t="inlineStr">
        <is>
          <t>KIWOOM 블루칩</t>
        </is>
      </c>
      <c r="N44" s="17" t="n">
        <v>0.022276</v>
      </c>
    </row>
    <row r="45" ht="16" customHeight="1">
      <c r="A45" s="15" t="inlineStr">
        <is>
          <t>운송·창고</t>
        </is>
      </c>
      <c r="B45" s="36" t="inlineStr">
        <is>
          <t>현대글로비스</t>
        </is>
      </c>
      <c r="C45" s="15" t="inlineStr">
        <is>
          <t>086280</t>
        </is>
      </c>
      <c r="D45" s="15" t="inlineStr">
        <is>
          <t>대표2</t>
        </is>
      </c>
      <c r="E45" s="36" t="inlineStr">
        <is>
          <t>KODEX 운송</t>
        </is>
      </c>
      <c r="F45" s="17" t="n">
        <v>0.287821</v>
      </c>
      <c r="G45" s="36" t="inlineStr">
        <is>
          <t>TIGER 퓨처모빌리티액티브</t>
        </is>
      </c>
      <c r="H45" s="17" t="n">
        <v>0.065777</v>
      </c>
      <c r="I45" s="36" t="inlineStr">
        <is>
          <t>TIGER 200 산업재</t>
        </is>
      </c>
      <c r="J45" s="17" t="n">
        <v>0.051079</v>
      </c>
      <c r="K45" s="36" t="inlineStr">
        <is>
          <t>TIGER 현대차그룹플러스</t>
        </is>
      </c>
      <c r="L45" s="17" t="n">
        <v>0.050367</v>
      </c>
      <c r="M45" s="36" t="inlineStr">
        <is>
          <t>RISE 배터리 리사이클링</t>
        </is>
      </c>
      <c r="N45" s="17" t="n">
        <v>0.045625</v>
      </c>
    </row>
    <row r="46" ht="16" customHeight="1">
      <c r="A46" s="15" t="inlineStr">
        <is>
          <t>운송·창고</t>
        </is>
      </c>
      <c r="B46" s="36" t="inlineStr">
        <is>
          <t>흥아해운</t>
        </is>
      </c>
      <c r="C46" s="15" t="inlineStr">
        <is>
          <t>003280</t>
        </is>
      </c>
      <c r="D46" s="15" t="inlineStr">
        <is>
          <t>대표3</t>
        </is>
      </c>
    </row>
    <row r="47" ht="16" customHeight="1">
      <c r="A47" s="15" t="inlineStr">
        <is>
          <t>통신</t>
        </is>
      </c>
      <c r="B47" s="36" t="inlineStr">
        <is>
          <t>SK텔레콤</t>
        </is>
      </c>
      <c r="C47" s="15" t="inlineStr">
        <is>
          <t>017670</t>
        </is>
      </c>
      <c r="D47" s="15" t="inlineStr">
        <is>
          <t>대표1</t>
        </is>
      </c>
      <c r="E47" s="36" t="inlineStr">
        <is>
          <t>TIGER 200커뮤니케이션서비스</t>
        </is>
      </c>
      <c r="F47" s="17" t="n">
        <v>0.181939</v>
      </c>
      <c r="G47" s="36" t="inlineStr">
        <is>
          <t>HANARO Fn K-메타버스MZ</t>
        </is>
      </c>
      <c r="H47" s="17" t="n">
        <v>0.123812</v>
      </c>
      <c r="I47" s="36" t="inlineStr">
        <is>
          <t>HANARO K고배당</t>
        </is>
      </c>
      <c r="J47" s="17" t="n">
        <v>0.118591</v>
      </c>
      <c r="K47" s="36" t="inlineStr">
        <is>
          <t>HANARO Fn5G산업</t>
        </is>
      </c>
      <c r="L47" s="17" t="n">
        <v>0.09279</v>
      </c>
      <c r="M47" s="36" t="inlineStr">
        <is>
          <t>RISE 내수주플러스</t>
        </is>
      </c>
      <c r="N47" s="17" t="n">
        <v>0.075752</v>
      </c>
    </row>
    <row r="48" ht="16" customHeight="1">
      <c r="A48" s="15" t="inlineStr">
        <is>
          <t>통신</t>
        </is>
      </c>
      <c r="B48" s="36" t="inlineStr">
        <is>
          <t>KT</t>
        </is>
      </c>
      <c r="C48" s="15" t="inlineStr">
        <is>
          <t>030200</t>
        </is>
      </c>
      <c r="D48" s="15" t="inlineStr">
        <is>
          <t>대표2</t>
        </is>
      </c>
      <c r="E48" s="36" t="inlineStr">
        <is>
          <t>TIGER 200커뮤니케이션서비스</t>
        </is>
      </c>
      <c r="F48" s="17" t="n">
        <v>0.17039</v>
      </c>
      <c r="G48" s="36" t="inlineStr">
        <is>
          <t>TIGER 200커뮤니케이션서비스</t>
        </is>
      </c>
      <c r="H48" s="17" t="n">
        <v>0.17039</v>
      </c>
      <c r="I48" s="36" t="inlineStr">
        <is>
          <t>HANARO Fn K-메타버스MZ</t>
        </is>
      </c>
      <c r="J48" s="17" t="n">
        <v>0.079544</v>
      </c>
      <c r="K48" s="36" t="inlineStr">
        <is>
          <t>HANARO Fn K-메타버스MZ</t>
        </is>
      </c>
      <c r="L48" s="17" t="n">
        <v>0.079544</v>
      </c>
      <c r="M48" s="36" t="inlineStr">
        <is>
          <t>TIGER 경기방어</t>
        </is>
      </c>
      <c r="N48" s="17" t="n">
        <v>0.07499399999999999</v>
      </c>
    </row>
    <row r="49" ht="16" customHeight="1">
      <c r="A49" s="15" t="inlineStr">
        <is>
          <t>통신</t>
        </is>
      </c>
      <c r="B49" s="36" t="inlineStr">
        <is>
          <t>LG유플러스</t>
        </is>
      </c>
      <c r="C49" s="15" t="inlineStr">
        <is>
          <t>032640</t>
        </is>
      </c>
      <c r="D49" s="15" t="inlineStr">
        <is>
          <t>대표3</t>
        </is>
      </c>
    </row>
    <row r="50" ht="16" customHeight="1">
      <c r="A50" s="15" t="inlineStr">
        <is>
          <t>금융</t>
        </is>
      </c>
      <c r="B50" s="36" t="inlineStr">
        <is>
          <t>SK스퀘어</t>
        </is>
      </c>
      <c r="C50" s="15" t="inlineStr">
        <is>
          <t>402340</t>
        </is>
      </c>
      <c r="D50" s="15" t="inlineStr">
        <is>
          <t>대표1</t>
        </is>
      </c>
      <c r="E50" s="36" t="inlineStr">
        <is>
          <t>UNICORN SK하이닉스밸류체인액티브</t>
        </is>
      </c>
      <c r="F50" s="17" t="n">
        <v>0.244677</v>
      </c>
      <c r="G50" s="36" t="inlineStr">
        <is>
          <t>KODEX 200IT TR</t>
        </is>
      </c>
      <c r="H50" s="17" t="n">
        <v>0.188208</v>
      </c>
      <c r="I50" s="36" t="inlineStr">
        <is>
          <t>KODEX Top10동일가중</t>
        </is>
      </c>
      <c r="J50" s="17" t="n">
        <v>0.164095</v>
      </c>
      <c r="K50" s="36" t="inlineStr">
        <is>
          <t>KIWOOM 코리아테크TOP10</t>
        </is>
      </c>
      <c r="L50" s="17" t="n">
        <v>0.161438</v>
      </c>
    </row>
    <row r="51" ht="16" customHeight="1">
      <c r="A51" s="15" t="inlineStr">
        <is>
          <t>금융</t>
        </is>
      </c>
      <c r="B51" s="36" t="inlineStr">
        <is>
          <t>삼성생명</t>
        </is>
      </c>
      <c r="C51" s="15" t="inlineStr">
        <is>
          <t>032830</t>
        </is>
      </c>
      <c r="D51" s="15" t="inlineStr">
        <is>
          <t>대표2</t>
        </is>
      </c>
      <c r="E51" s="36" t="inlineStr">
        <is>
          <t>KODEX 보험</t>
        </is>
      </c>
      <c r="F51" s="17" t="n">
        <v>0.297894</v>
      </c>
      <c r="G51" s="36" t="inlineStr">
        <is>
          <t>RISE 200금융</t>
        </is>
      </c>
      <c r="H51" s="17" t="n">
        <v>0.077126</v>
      </c>
      <c r="I51" s="36" t="inlineStr">
        <is>
          <t>KODEX 삼성그룹밸류</t>
        </is>
      </c>
      <c r="J51" s="17" t="n">
        <v>0.076613</v>
      </c>
      <c r="K51" s="36" t="inlineStr">
        <is>
          <t>TIGER 200 금융</t>
        </is>
      </c>
      <c r="L51" s="17" t="n">
        <v>0.07660400000000001</v>
      </c>
    </row>
    <row r="52" ht="16" customHeight="1">
      <c r="A52" s="15" t="inlineStr">
        <is>
          <t>금융</t>
        </is>
      </c>
      <c r="B52" s="36" t="inlineStr">
        <is>
          <t>한국전자홀딩스</t>
        </is>
      </c>
      <c r="C52" s="15" t="inlineStr">
        <is>
          <t>006200</t>
        </is>
      </c>
      <c r="D52" s="15" t="inlineStr">
        <is>
          <t>대표3</t>
        </is>
      </c>
    </row>
    <row r="53" ht="16" customHeight="1">
      <c r="A53" s="15" t="inlineStr">
        <is>
          <t>증권</t>
        </is>
      </c>
      <c r="B53" s="36" t="inlineStr">
        <is>
          <t>미래에셋증권</t>
        </is>
      </c>
      <c r="C53" s="15" t="inlineStr">
        <is>
          <t>006800</t>
        </is>
      </c>
      <c r="D53" s="15" t="inlineStr">
        <is>
          <t>대표1</t>
        </is>
      </c>
      <c r="E53" s="36" t="inlineStr">
        <is>
          <t>TIGER 증권</t>
        </is>
      </c>
      <c r="F53" s="17" t="n">
        <v>0.361602</v>
      </c>
    </row>
    <row r="54" ht="16" customHeight="1">
      <c r="A54" s="15" t="inlineStr">
        <is>
          <t>증권</t>
        </is>
      </c>
      <c r="B54" s="36" t="inlineStr">
        <is>
          <t>NH투자증권</t>
        </is>
      </c>
      <c r="C54" s="15" t="inlineStr">
        <is>
          <t>005940</t>
        </is>
      </c>
      <c r="D54" s="15" t="inlineStr">
        <is>
          <t>대표2</t>
        </is>
      </c>
      <c r="E54" s="36" t="inlineStr">
        <is>
          <t>TIGER 증권</t>
        </is>
      </c>
      <c r="F54" s="17" t="n">
        <v>0.103616</v>
      </c>
      <c r="G54" s="36" t="inlineStr">
        <is>
          <t>KODEX 고배당주</t>
        </is>
      </c>
      <c r="H54" s="17" t="n">
        <v>0.08881600000000001</v>
      </c>
    </row>
    <row r="55" ht="16" customHeight="1">
      <c r="A55" s="15" t="inlineStr">
        <is>
          <t>증권</t>
        </is>
      </c>
      <c r="B55" s="36" t="inlineStr">
        <is>
          <t>유화증권</t>
        </is>
      </c>
      <c r="C55" s="15" t="inlineStr">
        <is>
          <t>003460</t>
        </is>
      </c>
      <c r="D55" s="15" t="inlineStr">
        <is>
          <t>대표3</t>
        </is>
      </c>
    </row>
    <row r="56" ht="16" customHeight="1">
      <c r="A56" s="15" t="inlineStr">
        <is>
          <t>보험</t>
        </is>
      </c>
      <c r="B56" s="36" t="inlineStr">
        <is>
          <t>삼성생명</t>
        </is>
      </c>
      <c r="C56" s="15" t="inlineStr">
        <is>
          <t>032830</t>
        </is>
      </c>
      <c r="D56" s="15" t="inlineStr">
        <is>
          <t>대표1</t>
        </is>
      </c>
      <c r="E56" s="36" t="inlineStr">
        <is>
          <t>KODEX 보험</t>
        </is>
      </c>
      <c r="F56" s="17" t="n">
        <v>0.297894</v>
      </c>
      <c r="G56" s="36" t="inlineStr">
        <is>
          <t>RISE 200금융</t>
        </is>
      </c>
      <c r="H56" s="17" t="n">
        <v>0.077126</v>
      </c>
      <c r="I56" s="36" t="inlineStr">
        <is>
          <t>KODEX 삼성그룹밸류</t>
        </is>
      </c>
      <c r="J56" s="17" t="n">
        <v>0.076613</v>
      </c>
      <c r="K56" s="36" t="inlineStr">
        <is>
          <t>TIGER 200 금융</t>
        </is>
      </c>
      <c r="L56" s="17" t="n">
        <v>0.07660400000000001</v>
      </c>
    </row>
    <row r="57" ht="16" customHeight="1">
      <c r="A57" s="15" t="inlineStr">
        <is>
          <t>보험</t>
        </is>
      </c>
      <c r="B57" s="36" t="inlineStr">
        <is>
          <t>삼성화재</t>
        </is>
      </c>
      <c r="C57" s="15" t="inlineStr">
        <is>
          <t>000810</t>
        </is>
      </c>
      <c r="D57" s="15" t="inlineStr">
        <is>
          <t>대표2</t>
        </is>
      </c>
      <c r="E57" s="36" t="inlineStr">
        <is>
          <t>KODEX 보험</t>
        </is>
      </c>
      <c r="F57" s="17" t="n">
        <v>0.153271</v>
      </c>
      <c r="G57" s="36" t="inlineStr">
        <is>
          <t>KODEX 금융고배당TOP10타겟위클리커버드콜</t>
        </is>
      </c>
      <c r="H57" s="17" t="n">
        <v>0.058074</v>
      </c>
    </row>
    <row r="58" ht="16" customHeight="1">
      <c r="A58" s="15" t="inlineStr">
        <is>
          <t>보험</t>
        </is>
      </c>
      <c r="B58" s="36" t="inlineStr">
        <is>
          <t>DB손해보험</t>
        </is>
      </c>
      <c r="C58" s="15" t="inlineStr">
        <is>
          <t>005830</t>
        </is>
      </c>
      <c r="D58" s="15" t="inlineStr">
        <is>
          <t>대표3</t>
        </is>
      </c>
      <c r="E58" s="36" t="inlineStr">
        <is>
          <t>KODEX 보험</t>
        </is>
      </c>
      <c r="F58" s="17" t="n">
        <v>0.191311</v>
      </c>
      <c r="G58" s="36" t="inlineStr">
        <is>
          <t>RISE 코리아금융고배당</t>
        </is>
      </c>
      <c r="H58" s="17" t="n">
        <v>0.09825900000000001</v>
      </c>
      <c r="I58" s="36" t="inlineStr">
        <is>
          <t>KODEX 고배당주</t>
        </is>
      </c>
      <c r="J58" s="17" t="n">
        <v>0.088947</v>
      </c>
    </row>
    <row r="59" ht="16" customHeight="1">
      <c r="A59" s="15" t="inlineStr">
        <is>
          <t>일반서비스</t>
        </is>
      </c>
      <c r="B59" s="36" t="inlineStr">
        <is>
          <t>HD현대마린솔루션</t>
        </is>
      </c>
      <c r="C59" s="15" t="inlineStr">
        <is>
          <t>443060</t>
        </is>
      </c>
      <c r="D59" s="15" t="inlineStr">
        <is>
          <t>대표1</t>
        </is>
      </c>
      <c r="E59" s="36" t="inlineStr">
        <is>
          <t>HANARO Fn조선해운</t>
        </is>
      </c>
      <c r="F59" s="17" t="n">
        <v>0.074072</v>
      </c>
      <c r="G59" s="36" t="inlineStr">
        <is>
          <t>KODEX 친환경조선해운액티브</t>
        </is>
      </c>
      <c r="H59" s="17" t="n">
        <v>0.054215</v>
      </c>
      <c r="I59" s="36" t="inlineStr">
        <is>
          <t>HK 베스트일레븐액티브</t>
        </is>
      </c>
      <c r="J59" s="17" t="n">
        <v>0.049851</v>
      </c>
    </row>
    <row r="60" ht="16" customHeight="1">
      <c r="A60" s="15" t="inlineStr">
        <is>
          <t>일반서비스</t>
        </is>
      </c>
      <c r="B60" s="36" t="inlineStr">
        <is>
          <t>삼성E&amp;A</t>
        </is>
      </c>
      <c r="C60" s="15" t="inlineStr">
        <is>
          <t>028050</t>
        </is>
      </c>
      <c r="D60" s="15" t="inlineStr">
        <is>
          <t>대표2</t>
        </is>
      </c>
      <c r="E60" s="36" t="inlineStr">
        <is>
          <t>KODEX 건설</t>
        </is>
      </c>
      <c r="F60" s="17" t="n">
        <v>0.18371</v>
      </c>
      <c r="G60" s="36" t="inlineStr">
        <is>
          <t>TIGER 200 건설</t>
        </is>
      </c>
      <c r="H60" s="17" t="n">
        <v>0.171118</v>
      </c>
      <c r="I60" s="36" t="inlineStr">
        <is>
          <t>ACE 삼성그룹동일가중</t>
        </is>
      </c>
      <c r="J60" s="17" t="n">
        <v>0.08110200000000001</v>
      </c>
      <c r="K60" s="36" t="inlineStr">
        <is>
          <t>KODEX 삼성그룹밸류</t>
        </is>
      </c>
      <c r="L60" s="17" t="n">
        <v>0.06357599999999999</v>
      </c>
      <c r="M60" s="36" t="inlineStr">
        <is>
          <t>TIGER 삼성그룹</t>
        </is>
      </c>
      <c r="N60" s="17" t="n">
        <v>0.050134</v>
      </c>
    </row>
    <row r="61" ht="16" customHeight="1">
      <c r="A61" s="15" t="inlineStr">
        <is>
          <t>일반서비스</t>
        </is>
      </c>
      <c r="B61" s="36" t="inlineStr">
        <is>
          <t>롯데렌탈</t>
        </is>
      </c>
      <c r="C61" s="15" t="inlineStr">
        <is>
          <t>089860</t>
        </is>
      </c>
      <c r="D61" s="15" t="inlineStr">
        <is>
          <t>대표3</t>
        </is>
      </c>
    </row>
    <row r="62" ht="16" customHeight="1">
      <c r="A62" s="15" t="inlineStr">
        <is>
          <t>제조</t>
        </is>
      </c>
      <c r="B62" s="36" t="inlineStr">
        <is>
          <t>삼성전자</t>
        </is>
      </c>
      <c r="C62" s="15" t="inlineStr">
        <is>
          <t>005930</t>
        </is>
      </c>
      <c r="D62" s="15" t="inlineStr">
        <is>
          <t>대표1</t>
        </is>
      </c>
    </row>
    <row r="63" ht="16" customHeight="1">
      <c r="A63" s="15" t="inlineStr">
        <is>
          <t>제조</t>
        </is>
      </c>
      <c r="B63" s="36" t="inlineStr">
        <is>
          <t>SK하이닉스</t>
        </is>
      </c>
      <c r="C63" s="15" t="inlineStr">
        <is>
          <t>000660</t>
        </is>
      </c>
      <c r="D63" s="15" t="inlineStr">
        <is>
          <t>대표2</t>
        </is>
      </c>
      <c r="E63" s="36" t="inlineStr">
        <is>
          <t>RISE 대형고배당10TR</t>
        </is>
      </c>
      <c r="F63" s="17" t="n">
        <v>0.3599349999999999</v>
      </c>
      <c r="G63" s="36" t="inlineStr">
        <is>
          <t>RISE 대형고배당10TR</t>
        </is>
      </c>
      <c r="H63" s="17" t="n">
        <v>0.3599349999999999</v>
      </c>
    </row>
    <row r="64" ht="16" customHeight="1">
      <c r="A64" s="15" t="inlineStr">
        <is>
          <t>제조</t>
        </is>
      </c>
      <c r="B64" s="36" t="inlineStr">
        <is>
          <t>금호에이치티</t>
        </is>
      </c>
      <c r="C64" s="15" t="inlineStr">
        <is>
          <t>214330</t>
        </is>
      </c>
      <c r="D64" s="15" t="inlineStr">
        <is>
          <t>대표3</t>
        </is>
      </c>
    </row>
    <row r="65" ht="16" customHeight="1">
      <c r="A65" s="15" t="inlineStr">
        <is>
          <t>부동산</t>
        </is>
      </c>
      <c r="B65" s="36" t="inlineStr">
        <is>
          <t>SK리츠</t>
        </is>
      </c>
      <c r="C65" s="15" t="inlineStr">
        <is>
          <t>395400</t>
        </is>
      </c>
      <c r="D65" s="15" t="inlineStr">
        <is>
          <t>대표1</t>
        </is>
      </c>
    </row>
    <row r="66" ht="16" customHeight="1">
      <c r="A66" s="15" t="inlineStr">
        <is>
          <t>부동산</t>
        </is>
      </c>
      <c r="B66" s="36" t="inlineStr">
        <is>
          <t>롯데리츠</t>
        </is>
      </c>
      <c r="C66" s="15" t="inlineStr">
        <is>
          <t>330590</t>
        </is>
      </c>
      <c r="D66" s="15" t="inlineStr">
        <is>
          <t>대표2</t>
        </is>
      </c>
    </row>
    <row r="67" ht="16" customHeight="1">
      <c r="A67" s="15" t="inlineStr">
        <is>
          <t>부동산</t>
        </is>
      </c>
      <c r="B67" s="36" t="inlineStr">
        <is>
          <t>마스턴프리미어리츠</t>
        </is>
      </c>
      <c r="C67" s="15" t="inlineStr">
        <is>
          <t>357430</t>
        </is>
      </c>
      <c r="D67" s="15" t="inlineStr">
        <is>
          <t>대표3</t>
        </is>
      </c>
    </row>
    <row r="68" ht="16" customHeight="1">
      <c r="A68" s="15" t="inlineStr">
        <is>
          <t>IT서비스</t>
        </is>
      </c>
      <c r="B68" s="36" t="inlineStr">
        <is>
          <t>NAVER</t>
        </is>
      </c>
      <c r="C68" s="15" t="inlineStr">
        <is>
          <t>035420</t>
        </is>
      </c>
      <c r="D68" s="15" t="inlineStr">
        <is>
          <t>대표1</t>
        </is>
      </c>
      <c r="E68" s="36" t="inlineStr">
        <is>
          <t>TIGER 인터넷TOP10</t>
        </is>
      </c>
      <c r="F68" s="17" t="n">
        <v>0.247687</v>
      </c>
      <c r="G68" s="36" t="inlineStr">
        <is>
          <t>TIGER 소프트웨어</t>
        </is>
      </c>
      <c r="H68" s="17" t="n">
        <v>0.222535</v>
      </c>
      <c r="I68" s="36" t="inlineStr">
        <is>
          <t>KODEX K콘텐츠</t>
        </is>
      </c>
      <c r="J68" s="17" t="n">
        <v>0.21684</v>
      </c>
    </row>
    <row r="69" ht="16" customHeight="1">
      <c r="A69" s="15" t="inlineStr">
        <is>
          <t>IT서비스</t>
        </is>
      </c>
      <c r="B69" s="36" t="inlineStr">
        <is>
          <t>카카오</t>
        </is>
      </c>
      <c r="C69" s="15" t="inlineStr">
        <is>
          <t>035720</t>
        </is>
      </c>
      <c r="D69" s="15" t="inlineStr">
        <is>
          <t>대표2</t>
        </is>
      </c>
      <c r="E69" s="36" t="inlineStr">
        <is>
          <t>TIGER 인터넷TOP10</t>
        </is>
      </c>
      <c r="F69" s="17" t="n">
        <v>0.240194</v>
      </c>
      <c r="G69" s="36" t="inlineStr">
        <is>
          <t>TIGER 소프트웨어</t>
        </is>
      </c>
      <c r="H69" s="17" t="n">
        <v>0.20147</v>
      </c>
    </row>
    <row r="70" ht="16" customHeight="1">
      <c r="A70" s="15" t="inlineStr">
        <is>
          <t>IT서비스</t>
        </is>
      </c>
      <c r="B70" s="36" t="inlineStr">
        <is>
          <t>키다리스튜디오</t>
        </is>
      </c>
      <c r="C70" s="15" t="inlineStr">
        <is>
          <t>020120</t>
        </is>
      </c>
      <c r="D70" s="15" t="inlineStr">
        <is>
          <t>대표3</t>
        </is>
      </c>
      <c r="E70" s="36" t="inlineStr">
        <is>
          <t>KODEX 웹툰&amp;드라마</t>
        </is>
      </c>
      <c r="F70" s="17" t="n">
        <v>0.034503</v>
      </c>
    </row>
    <row r="71" ht="16" customHeight="1">
      <c r="A71" s="15" t="inlineStr">
        <is>
          <t>오락·문화</t>
        </is>
      </c>
      <c r="B71" s="36" t="inlineStr">
        <is>
          <t>하이브</t>
        </is>
      </c>
      <c r="C71" s="15" t="inlineStr">
        <is>
          <t>352820</t>
        </is>
      </c>
      <c r="D71" s="15" t="inlineStr">
        <is>
          <t>대표1</t>
        </is>
      </c>
      <c r="E71" s="36" t="inlineStr">
        <is>
          <t>HANARO Fn K-POP&amp;미디어</t>
        </is>
      </c>
      <c r="F71" s="17" t="n">
        <v>0.238436</v>
      </c>
      <c r="G71" s="36" t="inlineStr">
        <is>
          <t>ACE KPOP포커스</t>
        </is>
      </c>
      <c r="H71" s="17" t="n">
        <v>0.200438</v>
      </c>
      <c r="I71" s="36" t="inlineStr">
        <is>
          <t>RISE 메타버스</t>
        </is>
      </c>
      <c r="J71" s="17" t="n">
        <v>0.111088</v>
      </c>
      <c r="K71" s="36" t="inlineStr">
        <is>
          <t>RISE 메타버스</t>
        </is>
      </c>
      <c r="L71" s="17" t="n">
        <v>0.111088</v>
      </c>
      <c r="M71" s="36" t="inlineStr">
        <is>
          <t>TIGER Fn메타버스</t>
        </is>
      </c>
      <c r="N71" s="17" t="n">
        <v>0.105026</v>
      </c>
    </row>
    <row r="72" ht="16" customHeight="1">
      <c r="A72" s="15" t="inlineStr">
        <is>
          <t>오락·문화</t>
        </is>
      </c>
      <c r="B72" s="36" t="inlineStr">
        <is>
          <t>강원랜드</t>
        </is>
      </c>
      <c r="C72" s="15" t="inlineStr">
        <is>
          <t>035250</t>
        </is>
      </c>
      <c r="D72" s="15" t="inlineStr">
        <is>
          <t>대표2</t>
        </is>
      </c>
      <c r="E72" s="36" t="inlineStr">
        <is>
          <t>TIGER 여행레저</t>
        </is>
      </c>
      <c r="F72" s="17" t="n">
        <v>0.089588</v>
      </c>
      <c r="G72" s="36" t="inlineStr">
        <is>
          <t>RISE K엔터&amp;여행레저</t>
        </is>
      </c>
      <c r="H72" s="17" t="n">
        <v>0.068256</v>
      </c>
      <c r="I72" s="36" t="inlineStr">
        <is>
          <t>HANARO Fn골프테마</t>
        </is>
      </c>
      <c r="J72" s="17" t="n">
        <v>0.06764300000000001</v>
      </c>
      <c r="K72" s="36" t="inlineStr">
        <is>
          <t>KODEX 경기소비재</t>
        </is>
      </c>
      <c r="L72" s="17" t="n">
        <v>0.039573</v>
      </c>
    </row>
    <row r="73" ht="16" customHeight="1">
      <c r="A73" s="15" t="inlineStr">
        <is>
          <t>오락·문화</t>
        </is>
      </c>
      <c r="B73" s="36" t="inlineStr">
        <is>
          <t>하이브</t>
        </is>
      </c>
      <c r="C73" s="15" t="inlineStr">
        <is>
          <t>352820</t>
        </is>
      </c>
      <c r="D73" s="15" t="inlineStr">
        <is>
          <t>대표3</t>
        </is>
      </c>
      <c r="E73" s="36" t="inlineStr">
        <is>
          <t>HANARO Fn K-POP&amp;미디어</t>
        </is>
      </c>
      <c r="F73" s="17" t="n">
        <v>0.238436</v>
      </c>
      <c r="G73" s="36" t="inlineStr">
        <is>
          <t>ACE KPOP포커스</t>
        </is>
      </c>
      <c r="H73" s="17" t="n">
        <v>0.200438</v>
      </c>
      <c r="I73" s="36" t="inlineStr">
        <is>
          <t>RISE 메타버스</t>
        </is>
      </c>
      <c r="J73" s="17" t="n">
        <v>0.111088</v>
      </c>
      <c r="K73" s="36" t="inlineStr">
        <is>
          <t>RISE 메타버스</t>
        </is>
      </c>
      <c r="L73" s="17" t="n">
        <v>0.111088</v>
      </c>
      <c r="M73" s="36" t="inlineStr">
        <is>
          <t>TIGER Fn메타버스</t>
        </is>
      </c>
      <c r="N73" s="17" t="n">
        <v>0.105026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18" t="inlineStr">
        <is>
          <t>생성: 2026-07-13 08:32  |  출처: SEIBro + pykrx(KRX)  |  ■ 금=대표1(시총1위)  ■ 초록=대표2(시총2위)  ■ 파랑=대표3(직전주최고상승)</t>
        </is>
      </c>
    </row>
    <row r="2" ht="20" customHeight="1">
      <c r="A2" s="14" t="inlineStr">
        <is>
          <t>ETF명</t>
        </is>
      </c>
      <c r="B2" s="14" t="inlineStr">
        <is>
          <t>티커</t>
        </is>
      </c>
      <c r="C2" s="14" t="inlineStr">
        <is>
          <t>운용사</t>
        </is>
      </c>
      <c r="D2" s="14" t="inlineStr">
        <is>
          <t>AUM(억)</t>
        </is>
      </c>
      <c r="E2" s="14" t="inlineStr">
        <is>
          <t>편입1순위</t>
        </is>
      </c>
      <c r="F2" s="14" t="inlineStr">
        <is>
          <t>비중1(%)</t>
        </is>
      </c>
      <c r="G2" s="14" t="inlineStr">
        <is>
          <t>편입2순위</t>
        </is>
      </c>
      <c r="H2" s="14" t="inlineStr">
        <is>
          <t>비중2(%)</t>
        </is>
      </c>
      <c r="I2" s="14" t="inlineStr">
        <is>
          <t>편입3순위</t>
        </is>
      </c>
      <c r="J2" s="14" t="inlineStr">
        <is>
          <t>비중3(%)</t>
        </is>
      </c>
      <c r="K2" s="14" t="inlineStr">
        <is>
          <t>편입4순위</t>
        </is>
      </c>
      <c r="L2" s="14" t="inlineStr">
        <is>
          <t>비중4(%)</t>
        </is>
      </c>
      <c r="M2" s="14" t="inlineStr">
        <is>
          <t>편입5순위</t>
        </is>
      </c>
      <c r="N2" s="14" t="inlineStr">
        <is>
          <t>비중5(%)</t>
        </is>
      </c>
      <c r="O2" s="14" t="inlineStr">
        <is>
          <t>편입6순위</t>
        </is>
      </c>
      <c r="P2" s="14" t="inlineStr">
        <is>
          <t>비중6(%)</t>
        </is>
      </c>
      <c r="Q2" s="14" t="inlineStr">
        <is>
          <t>편입7순위</t>
        </is>
      </c>
      <c r="R2" s="14" t="inlineStr">
        <is>
          <t>비중7(%)</t>
        </is>
      </c>
      <c r="S2" s="14" t="inlineStr">
        <is>
          <t>편입8순위</t>
        </is>
      </c>
      <c r="T2" s="14" t="inlineStr">
        <is>
          <t>비중8(%)</t>
        </is>
      </c>
      <c r="U2" s="14" t="inlineStr">
        <is>
          <t>편입9순위</t>
        </is>
      </c>
      <c r="V2" s="14" t="inlineStr">
        <is>
          <t>비중9(%)</t>
        </is>
      </c>
      <c r="W2" s="14" t="inlineStr">
        <is>
          <t>편입10순위</t>
        </is>
      </c>
      <c r="X2" s="14" t="inlineStr">
        <is>
          <t>비중10(%)</t>
        </is>
      </c>
    </row>
    <row r="3" ht="16" customHeight="1">
      <c r="A3" s="36" t="inlineStr">
        <is>
          <t>TIGER 현대차그룹플러스</t>
        </is>
      </c>
      <c r="B3" s="15" t="inlineStr">
        <is>
          <t>138540</t>
        </is>
      </c>
      <c r="C3" s="36" t="inlineStr">
        <is>
          <t>미래에셋자산운용</t>
        </is>
      </c>
      <c r="D3" s="19" t="n">
        <v>7621</v>
      </c>
      <c r="E3" s="20" t="inlineStr">
        <is>
          <t>현대차</t>
        </is>
      </c>
      <c r="F3" s="21" t="n">
        <v>0.3105999946594238</v>
      </c>
      <c r="G3" s="22" t="inlineStr">
        <is>
          <t>기아</t>
        </is>
      </c>
      <c r="H3" s="23" t="n">
        <v>0.2136000061035156</v>
      </c>
      <c r="I3" s="36" t="inlineStr">
        <is>
          <t>현대모비스</t>
        </is>
      </c>
      <c r="J3" s="17" t="n">
        <v>0.1238000011444092</v>
      </c>
      <c r="K3" s="36" t="inlineStr">
        <is>
          <t>현대제철</t>
        </is>
      </c>
      <c r="L3" s="17" t="n">
        <v>0.090600004196167</v>
      </c>
      <c r="M3" s="20" t="inlineStr">
        <is>
          <t>현대건설</t>
        </is>
      </c>
      <c r="N3" s="21" t="n">
        <v>0.0584000015258789</v>
      </c>
      <c r="O3" s="22" t="inlineStr">
        <is>
          <t>현대글로비스</t>
        </is>
      </c>
      <c r="P3" s="23" t="n">
        <v>0.0490999984741211</v>
      </c>
      <c r="Q3" s="36" t="inlineStr">
        <is>
          <t>HD건설기계</t>
        </is>
      </c>
      <c r="R3" s="17" t="n">
        <v>0.02880000114440918</v>
      </c>
      <c r="S3" s="36" t="inlineStr">
        <is>
          <t>HD현대</t>
        </is>
      </c>
      <c r="T3" s="17" t="n">
        <v>0.02849999904632568</v>
      </c>
      <c r="U3" s="36" t="inlineStr">
        <is>
          <t>HD한국조선해양</t>
        </is>
      </c>
      <c r="V3" s="17" t="n">
        <v>0.01769999980926514</v>
      </c>
      <c r="W3" s="36" t="inlineStr">
        <is>
          <t>현대위아</t>
        </is>
      </c>
      <c r="X3" s="17" t="n">
        <v>0.01590000033378601</v>
      </c>
    </row>
    <row r="4" ht="16" customHeight="1">
      <c r="A4" s="36" t="inlineStr">
        <is>
          <t>KODEX 금융고배당TOP10타겟위클리커버드콜</t>
        </is>
      </c>
      <c r="B4" s="15" t="inlineStr">
        <is>
          <t>498410</t>
        </is>
      </c>
      <c r="C4" s="36" t="inlineStr">
        <is>
          <t>삼성자산운용</t>
        </is>
      </c>
      <c r="D4" s="19" t="n">
        <v>7440</v>
      </c>
      <c r="E4" s="36" t="inlineStr">
        <is>
          <t>하나금융지주</t>
        </is>
      </c>
      <c r="F4" s="17" t="n">
        <v>0.1663999938964844</v>
      </c>
      <c r="G4" s="36" t="inlineStr">
        <is>
          <t>KB금융</t>
        </is>
      </c>
      <c r="H4" s="17" t="n">
        <v>0.1593000030517578</v>
      </c>
      <c r="I4" s="36" t="inlineStr">
        <is>
          <t>신한지주</t>
        </is>
      </c>
      <c r="J4" s="17" t="n">
        <v>0.1344999980926514</v>
      </c>
      <c r="K4" s="36" t="inlineStr">
        <is>
          <t>우리금융지주</t>
        </is>
      </c>
      <c r="L4" s="17" t="n">
        <v>0.1086999988555908</v>
      </c>
      <c r="M4" s="36" t="inlineStr">
        <is>
          <t>기업은행</t>
        </is>
      </c>
      <c r="N4" s="17" t="n">
        <v>0.08760000228881835</v>
      </c>
      <c r="O4" s="36" t="inlineStr">
        <is>
          <t>KODEX 금융고배당TOP10</t>
        </is>
      </c>
      <c r="P4" s="17" t="n">
        <v>0.08260000228881836</v>
      </c>
      <c r="Q4" s="22" t="inlineStr">
        <is>
          <t>삼성화재</t>
        </is>
      </c>
      <c r="R4" s="23" t="n">
        <v>0.05869999885559082</v>
      </c>
      <c r="S4" s="22" t="inlineStr">
        <is>
          <t>NH투자증권</t>
        </is>
      </c>
      <c r="T4" s="23" t="n">
        <v>0.05590000152587891</v>
      </c>
      <c r="U4" s="24" t="inlineStr">
        <is>
          <t>DB손해보험</t>
        </is>
      </c>
      <c r="V4" s="25" t="n">
        <v>0.05449999809265137</v>
      </c>
      <c r="W4" s="36" t="inlineStr">
        <is>
          <t>삼성증권</t>
        </is>
      </c>
      <c r="X4" s="17" t="n">
        <v>0.05269999980926514</v>
      </c>
    </row>
    <row r="5" ht="16" customHeight="1">
      <c r="A5" s="36" t="inlineStr">
        <is>
          <t>ACE AI반도체TOP3+</t>
        </is>
      </c>
      <c r="B5" s="15" t="inlineStr">
        <is>
          <t>469150</t>
        </is>
      </c>
      <c r="C5" s="36" t="inlineStr">
        <is>
          <t>한국투자신탁운용</t>
        </is>
      </c>
      <c r="D5" s="19" t="n">
        <v>7413</v>
      </c>
      <c r="E5" s="22" t="inlineStr">
        <is>
          <t>SK하이닉스</t>
        </is>
      </c>
      <c r="F5" s="23" t="n">
        <v>0.2903000068664551</v>
      </c>
      <c r="G5" s="20" t="inlineStr">
        <is>
          <t>삼성전자</t>
        </is>
      </c>
      <c r="H5" s="21" t="n">
        <v>0.2304999923706055</v>
      </c>
      <c r="I5" s="22" t="inlineStr">
        <is>
          <t>한미반도체</t>
        </is>
      </c>
      <c r="J5" s="23" t="n">
        <v>0.2207999992370605</v>
      </c>
      <c r="K5" s="36" t="inlineStr">
        <is>
          <t>삼성전기</t>
        </is>
      </c>
      <c r="L5" s="17" t="n">
        <v>0.0252999997138977</v>
      </c>
      <c r="M5" s="36" t="inlineStr">
        <is>
          <t>주성엔지니어링</t>
        </is>
      </c>
      <c r="N5" s="17" t="n">
        <v>0.02109999895095825</v>
      </c>
      <c r="O5" s="36" t="inlineStr">
        <is>
          <t>DB하이텍</t>
        </is>
      </c>
      <c r="P5" s="17" t="n">
        <v>0.02039999961853027</v>
      </c>
      <c r="Q5" s="36" t="inlineStr">
        <is>
          <t>대덕전자</t>
        </is>
      </c>
      <c r="R5" s="17" t="n">
        <v>0.01980000019073486</v>
      </c>
      <c r="S5" s="36" t="inlineStr">
        <is>
          <t>심텍</t>
        </is>
      </c>
      <c r="T5" s="17" t="n">
        <v>0.01850000023841858</v>
      </c>
      <c r="U5" s="36" t="inlineStr">
        <is>
          <t>ISC</t>
        </is>
      </c>
      <c r="V5" s="17" t="n">
        <v>0.01519999980926514</v>
      </c>
      <c r="W5" s="36" t="inlineStr">
        <is>
          <t>이수페타시스</t>
        </is>
      </c>
      <c r="X5" s="17" t="n">
        <v>0.015</v>
      </c>
    </row>
    <row r="6" ht="16" customHeight="1">
      <c r="A6" s="36" t="inlineStr">
        <is>
          <t>KODEX 신재생에너지액티브</t>
        </is>
      </c>
      <c r="B6" s="15" t="inlineStr">
        <is>
          <t>385510</t>
        </is>
      </c>
      <c r="C6" s="36" t="inlineStr">
        <is>
          <t>삼성자산운용</t>
        </is>
      </c>
      <c r="D6" s="19" t="n">
        <v>5969</v>
      </c>
      <c r="E6" s="36" t="inlineStr">
        <is>
          <t>OCI홀딩스</t>
        </is>
      </c>
      <c r="F6" s="17" t="n">
        <v>0.08460000038146973</v>
      </c>
      <c r="G6" s="36" t="inlineStr">
        <is>
          <t>삼성SDI</t>
        </is>
      </c>
      <c r="H6" s="17" t="n">
        <v>0.06389999866485596</v>
      </c>
      <c r="I6" s="36" t="inlineStr">
        <is>
          <t>산일전기</t>
        </is>
      </c>
      <c r="J6" s="17" t="n">
        <v>0.06090000152587891</v>
      </c>
      <c r="K6" s="36" t="inlineStr">
        <is>
          <t>LS ELECTRIC</t>
        </is>
      </c>
      <c r="L6" s="17" t="n">
        <v>0.05869999885559082</v>
      </c>
      <c r="M6" s="36" t="inlineStr">
        <is>
          <t>HD현대에너지솔루션</t>
        </is>
      </c>
      <c r="N6" s="17" t="n">
        <v>0.0584000015258789</v>
      </c>
      <c r="O6" s="36" t="inlineStr">
        <is>
          <t>비나텍</t>
        </is>
      </c>
      <c r="P6" s="17" t="n">
        <v>0.05510000228881836</v>
      </c>
      <c r="Q6" s="36" t="inlineStr">
        <is>
          <t>효성중공업</t>
        </is>
      </c>
      <c r="R6" s="17" t="n">
        <v>0.04739999771118164</v>
      </c>
      <c r="S6" s="36" t="inlineStr">
        <is>
          <t>씨에스윈드</t>
        </is>
      </c>
      <c r="T6" s="17" t="n">
        <v>0.0425</v>
      </c>
      <c r="U6" s="36" t="inlineStr">
        <is>
          <t>SK오션플랜트</t>
        </is>
      </c>
      <c r="V6" s="17" t="n">
        <v>0.03650000095367432</v>
      </c>
      <c r="W6" s="36" t="inlineStr">
        <is>
          <t>일진전기</t>
        </is>
      </c>
      <c r="X6" s="17" t="n">
        <v>0.03440000057220459</v>
      </c>
    </row>
    <row r="7" ht="16" customHeight="1">
      <c r="A7" s="36" t="inlineStr">
        <is>
          <t>KODEX AI반도체핵심장비</t>
        </is>
      </c>
      <c r="B7" s="15" t="inlineStr">
        <is>
          <t>471990</t>
        </is>
      </c>
      <c r="C7" s="36" t="inlineStr">
        <is>
          <t>삼성자산운용</t>
        </is>
      </c>
      <c r="D7" s="19" t="n">
        <v>5634</v>
      </c>
      <c r="E7" s="22" t="inlineStr">
        <is>
          <t>한미반도체</t>
        </is>
      </c>
      <c r="F7" s="23" t="n">
        <v>0.3076000022888183</v>
      </c>
      <c r="G7" s="36" t="inlineStr">
        <is>
          <t>두산</t>
        </is>
      </c>
      <c r="H7" s="17" t="n">
        <v>0.1998999977111816</v>
      </c>
      <c r="I7" s="36" t="inlineStr">
        <is>
          <t>리노공업</t>
        </is>
      </c>
      <c r="J7" s="17" t="n">
        <v>0.1019999980926514</v>
      </c>
      <c r="K7" s="36" t="inlineStr">
        <is>
          <t>이수페타시스</t>
        </is>
      </c>
      <c r="L7" s="17" t="n">
        <v>0.09989999771118165</v>
      </c>
      <c r="M7" s="36" t="inlineStr">
        <is>
          <t>ISC</t>
        </is>
      </c>
      <c r="N7" s="17" t="n">
        <v>0.08850000381469726</v>
      </c>
      <c r="O7" s="36" t="inlineStr">
        <is>
          <t>대덕전자</t>
        </is>
      </c>
      <c r="P7" s="17" t="n">
        <v>0.04590000152587891</v>
      </c>
      <c r="Q7" s="36" t="inlineStr">
        <is>
          <t>이오테크닉스</t>
        </is>
      </c>
      <c r="R7" s="17" t="n">
        <v>0.03880000114440918</v>
      </c>
      <c r="S7" s="36" t="inlineStr">
        <is>
          <t>HPSP</t>
        </is>
      </c>
      <c r="T7" s="17" t="n">
        <v>0.02980000019073486</v>
      </c>
      <c r="U7" s="36" t="inlineStr">
        <is>
          <t>심텍</t>
        </is>
      </c>
      <c r="V7" s="17" t="n">
        <v>0.02880000114440918</v>
      </c>
      <c r="W7" s="36" t="inlineStr">
        <is>
          <t>하나마이크론</t>
        </is>
      </c>
      <c r="X7" s="17" t="n">
        <v>0.01970000028610229</v>
      </c>
    </row>
    <row r="8" ht="16" customHeight="1">
      <c r="A8" s="36" t="inlineStr">
        <is>
          <t>RISE 대형고배당10TR</t>
        </is>
      </c>
      <c r="B8" s="15" t="inlineStr">
        <is>
          <t>315960</t>
        </is>
      </c>
      <c r="C8" s="36" t="inlineStr">
        <is>
          <t>케이비자산운용</t>
        </is>
      </c>
      <c r="D8" s="19" t="n">
        <v>5546</v>
      </c>
      <c r="E8" s="22" t="inlineStr">
        <is>
          <t>SK하이닉스</t>
        </is>
      </c>
      <c r="F8" s="23" t="n">
        <v>0.3847000122070313</v>
      </c>
      <c r="G8" s="20" t="inlineStr">
        <is>
          <t>삼성전자</t>
        </is>
      </c>
      <c r="H8" s="21" t="n">
        <v>0.2823999977111816</v>
      </c>
      <c r="I8" s="20" t="inlineStr">
        <is>
          <t>현대차</t>
        </is>
      </c>
      <c r="J8" s="21" t="n">
        <v>0.12</v>
      </c>
      <c r="K8" s="36" t="inlineStr">
        <is>
          <t>KB금융</t>
        </is>
      </c>
      <c r="L8" s="17" t="n">
        <v>0.04449999809265136</v>
      </c>
      <c r="M8" s="22" t="inlineStr">
        <is>
          <t>기아</t>
        </is>
      </c>
      <c r="N8" s="23" t="n">
        <v>0.04380000114440918</v>
      </c>
      <c r="O8" s="36" t="inlineStr">
        <is>
          <t>신한지주</t>
        </is>
      </c>
      <c r="P8" s="17" t="n">
        <v>0.03539999961853027</v>
      </c>
      <c r="Q8" s="20" t="inlineStr">
        <is>
          <t>POSCO홀딩스</t>
        </is>
      </c>
      <c r="R8" s="21" t="n">
        <v>0.02920000076293945</v>
      </c>
      <c r="S8" s="36" t="inlineStr">
        <is>
          <t>하나금융지주</t>
        </is>
      </c>
      <c r="T8" s="17" t="n">
        <v>0.02599999904632568</v>
      </c>
      <c r="U8" s="36" t="inlineStr">
        <is>
          <t>우리금융지주</t>
        </is>
      </c>
      <c r="V8" s="17" t="n">
        <v>0.01769999980926514</v>
      </c>
      <c r="W8" s="22" t="inlineStr">
        <is>
          <t>삼성화재</t>
        </is>
      </c>
      <c r="X8" s="23" t="n">
        <v>0.01620000004768372</v>
      </c>
    </row>
    <row r="9" ht="16" customHeight="1">
      <c r="A9" s="36" t="inlineStr">
        <is>
          <t>KODEX 자동차</t>
        </is>
      </c>
      <c r="B9" s="15" t="inlineStr">
        <is>
          <t>091180</t>
        </is>
      </c>
      <c r="C9" s="36" t="inlineStr">
        <is>
          <t>삼성자산운용</t>
        </is>
      </c>
      <c r="D9" s="19" t="n">
        <v>5527</v>
      </c>
      <c r="E9" s="20" t="inlineStr">
        <is>
          <t>현대차</t>
        </is>
      </c>
      <c r="F9" s="21" t="n">
        <v>0.2985000038146973</v>
      </c>
      <c r="G9" s="22" t="inlineStr">
        <is>
          <t>기아</t>
        </is>
      </c>
      <c r="H9" s="23" t="n">
        <v>0.1755999946594238</v>
      </c>
      <c r="I9" s="36" t="inlineStr">
        <is>
          <t>현대모비스</t>
        </is>
      </c>
      <c r="J9" s="17" t="n">
        <v>0.1682999992370605</v>
      </c>
      <c r="K9" s="36" t="inlineStr">
        <is>
          <t>한국타이어앤테크놀로지</t>
        </is>
      </c>
      <c r="L9" s="17" t="n">
        <v>0.100600004196167</v>
      </c>
      <c r="M9" s="36" t="inlineStr">
        <is>
          <t>HL만도</t>
        </is>
      </c>
      <c r="N9" s="17" t="n">
        <v>0.04289999961853028</v>
      </c>
      <c r="O9" s="36" t="inlineStr">
        <is>
          <t>현대위아</t>
        </is>
      </c>
      <c r="P9" s="17" t="n">
        <v>0.02930000066757202</v>
      </c>
      <c r="Q9" s="36" t="inlineStr">
        <is>
          <t>한온시스템</t>
        </is>
      </c>
      <c r="R9" s="17" t="n">
        <v>0.0275</v>
      </c>
      <c r="S9" s="36" t="inlineStr">
        <is>
          <t>DN오토모티브</t>
        </is>
      </c>
      <c r="T9" s="17" t="n">
        <v>0.02410000085830688</v>
      </c>
      <c r="U9" s="36" t="inlineStr">
        <is>
          <t>에스엘</t>
        </is>
      </c>
      <c r="V9" s="17" t="n">
        <v>0.02289999961853027</v>
      </c>
      <c r="W9" s="24" t="inlineStr">
        <is>
          <t>금호타이어</t>
        </is>
      </c>
      <c r="X9" s="25" t="n">
        <v>0.02049999952316284</v>
      </c>
    </row>
    <row r="10" ht="16" customHeight="1">
      <c r="A10" s="36" t="inlineStr">
        <is>
          <t>RISE AI&amp;로봇</t>
        </is>
      </c>
      <c r="B10" s="15" t="inlineStr">
        <is>
          <t>469070</t>
        </is>
      </c>
      <c r="C10" s="36" t="inlineStr">
        <is>
          <t>케이비자산운용</t>
        </is>
      </c>
      <c r="D10" s="19" t="n">
        <v>5326</v>
      </c>
      <c r="E10" s="36" t="inlineStr">
        <is>
          <t>로보티즈</t>
        </is>
      </c>
      <c r="F10" s="17" t="n">
        <v>0.06849999904632569</v>
      </c>
      <c r="G10" s="36" t="inlineStr">
        <is>
          <t>LG씨엔에스</t>
        </is>
      </c>
      <c r="H10" s="17" t="n">
        <v>0.0678000020980835</v>
      </c>
      <c r="I10" s="36" t="inlineStr">
        <is>
          <t>두산로보틱스</t>
        </is>
      </c>
      <c r="J10" s="17" t="n">
        <v>0.06510000228881836</v>
      </c>
      <c r="K10" s="36" t="inlineStr">
        <is>
          <t>현대오토에버</t>
        </is>
      </c>
      <c r="L10" s="17" t="n">
        <v>0.06010000228881836</v>
      </c>
      <c r="M10" s="20" t="inlineStr">
        <is>
          <t>현대차</t>
        </is>
      </c>
      <c r="N10" s="21" t="n">
        <v>0.05809999942779541</v>
      </c>
      <c r="O10" s="36" t="inlineStr">
        <is>
          <t>레인보우로보틱스</t>
        </is>
      </c>
      <c r="P10" s="17" t="n">
        <v>0.05139999866485596</v>
      </c>
      <c r="Q10" s="20" t="inlineStr">
        <is>
          <t>NAVER</t>
        </is>
      </c>
      <c r="R10" s="21" t="n">
        <v>0.04889999866485596</v>
      </c>
      <c r="S10" s="36" t="inlineStr">
        <is>
          <t>에스피지</t>
        </is>
      </c>
      <c r="T10" s="17" t="n">
        <v>0.04650000095367432</v>
      </c>
      <c r="U10" s="36" t="inlineStr">
        <is>
          <t>루닛</t>
        </is>
      </c>
      <c r="V10" s="17" t="n">
        <v>0.04309999942779541</v>
      </c>
      <c r="W10" s="36" t="inlineStr">
        <is>
          <t>휴림로봇</t>
        </is>
      </c>
      <c r="X10" s="17" t="n">
        <v>0.03400000095367432</v>
      </c>
    </row>
    <row r="11" ht="16" customHeight="1">
      <c r="A11" s="36" t="inlineStr">
        <is>
          <t>KODEX 은행</t>
        </is>
      </c>
      <c r="B11" s="15" t="inlineStr">
        <is>
          <t>091170</t>
        </is>
      </c>
      <c r="C11" s="36" t="inlineStr">
        <is>
          <t>삼성자산운용</t>
        </is>
      </c>
      <c r="D11" s="19" t="n">
        <v>4673</v>
      </c>
      <c r="E11" s="36" t="inlineStr">
        <is>
          <t>신한지주</t>
        </is>
      </c>
      <c r="F11" s="17" t="n">
        <v>0.2164999961853027</v>
      </c>
      <c r="G11" s="36" t="inlineStr">
        <is>
          <t>하나금융지주</t>
        </is>
      </c>
      <c r="H11" s="17" t="n">
        <v>0.2139999961853027</v>
      </c>
      <c r="I11" s="36" t="inlineStr">
        <is>
          <t>KB금융</t>
        </is>
      </c>
      <c r="J11" s="17" t="n">
        <v>0.2057999992370605</v>
      </c>
      <c r="K11" s="36" t="inlineStr">
        <is>
          <t>우리금융지주</t>
        </is>
      </c>
      <c r="L11" s="17" t="n">
        <v>0.1660000038146973</v>
      </c>
      <c r="M11" s="36" t="inlineStr">
        <is>
          <t>카카오뱅크</t>
        </is>
      </c>
      <c r="N11" s="17" t="n">
        <v>0.06170000076293945</v>
      </c>
      <c r="O11" s="36" t="inlineStr">
        <is>
          <t>기업은행</t>
        </is>
      </c>
      <c r="P11" s="17" t="n">
        <v>0.04480000019073486</v>
      </c>
      <c r="Q11" s="36" t="inlineStr">
        <is>
          <t>BNK금융지주</t>
        </is>
      </c>
      <c r="R11" s="17" t="n">
        <v>0.03450000047683716</v>
      </c>
      <c r="S11" s="36" t="inlineStr">
        <is>
          <t>JB금융지주</t>
        </is>
      </c>
      <c r="T11" s="17" t="n">
        <v>0.03180000066757202</v>
      </c>
      <c r="U11" s="36" t="inlineStr">
        <is>
          <t>iM금융지주</t>
        </is>
      </c>
      <c r="V11" s="17" t="n">
        <v>0.01990000009536743</v>
      </c>
      <c r="W11" s="36" t="inlineStr">
        <is>
          <t>원화현금</t>
        </is>
      </c>
      <c r="X11" s="17" t="n">
        <v>0.003799999952316284</v>
      </c>
    </row>
    <row r="12" ht="16" customHeight="1">
      <c r="A12" s="36" t="inlineStr">
        <is>
          <t>TIGER 코스피</t>
        </is>
      </c>
      <c r="B12" s="15" t="inlineStr">
        <is>
          <t>277630</t>
        </is>
      </c>
      <c r="C12" s="36" t="inlineStr">
        <is>
          <t>미래에셋자산운용</t>
        </is>
      </c>
      <c r="D12" s="19" t="n">
        <v>4604</v>
      </c>
      <c r="E12" s="20" t="inlineStr">
        <is>
          <t>삼성전자</t>
        </is>
      </c>
      <c r="F12" s="21" t="n">
        <v>0.2467000007629395</v>
      </c>
      <c r="G12" s="22" t="inlineStr">
        <is>
          <t>SK하이닉스</t>
        </is>
      </c>
      <c r="H12" s="23" t="n">
        <v>0.1890999984741211</v>
      </c>
      <c r="I12" s="20" t="inlineStr">
        <is>
          <t>SK스퀘어</t>
        </is>
      </c>
      <c r="J12" s="21" t="n">
        <v>0.02369999885559082</v>
      </c>
      <c r="K12" s="36" t="inlineStr">
        <is>
          <t>LG에너지솔루션</t>
        </is>
      </c>
      <c r="L12" s="17" t="n">
        <v>0.01990000009536743</v>
      </c>
      <c r="M12" s="20" t="inlineStr">
        <is>
          <t>현대차</t>
        </is>
      </c>
      <c r="N12" s="21" t="n">
        <v>0.01980000019073486</v>
      </c>
      <c r="O12" s="20" t="inlineStr">
        <is>
          <t>두산에너빌리티</t>
        </is>
      </c>
      <c r="P12" s="21" t="n">
        <v>0.01460000038146973</v>
      </c>
      <c r="Q12" s="36" t="inlineStr">
        <is>
          <t>한화에어로스페이스</t>
        </is>
      </c>
      <c r="R12" s="17" t="n">
        <v>0.01330000042915344</v>
      </c>
      <c r="S12" s="36" t="inlineStr">
        <is>
          <t>HD현대중공업</t>
        </is>
      </c>
      <c r="T12" s="17" t="n">
        <v>0.0127999997138977</v>
      </c>
      <c r="U12" s="20" t="inlineStr">
        <is>
          <t>삼성바이오로직스</t>
        </is>
      </c>
      <c r="V12" s="21" t="n">
        <v>0.01230000019073486</v>
      </c>
      <c r="W12" s="36" t="inlineStr">
        <is>
          <t>삼성전기</t>
        </is>
      </c>
      <c r="X12" s="17" t="n">
        <v>0.0122000002861023</v>
      </c>
    </row>
    <row r="13" ht="16" customHeight="1">
      <c r="A13" s="36" t="inlineStr">
        <is>
          <t>ACE 원자력TOP10</t>
        </is>
      </c>
      <c r="B13" s="15" t="inlineStr">
        <is>
          <t>433500</t>
        </is>
      </c>
      <c r="C13" s="36" t="inlineStr">
        <is>
          <t>한국투자신탁운용</t>
        </is>
      </c>
      <c r="D13" s="19" t="n">
        <v>4530</v>
      </c>
      <c r="E13" s="20" t="inlineStr">
        <is>
          <t>두산에너빌리티</t>
        </is>
      </c>
      <c r="F13" s="21" t="n">
        <v>0.2317000007629395</v>
      </c>
      <c r="G13" s="36" t="inlineStr">
        <is>
          <t>HD현대일렉트릭</t>
        </is>
      </c>
      <c r="H13" s="17" t="n">
        <v>0.2039999961853027</v>
      </c>
      <c r="I13" s="36" t="inlineStr">
        <is>
          <t>LS ELECTRIC</t>
        </is>
      </c>
      <c r="J13" s="17" t="n">
        <v>0.1351000022888184</v>
      </c>
      <c r="K13" s="20" t="inlineStr">
        <is>
          <t>한국전력</t>
        </is>
      </c>
      <c r="L13" s="21" t="n">
        <v>0.1285000038146973</v>
      </c>
      <c r="M13" s="20" t="inlineStr">
        <is>
          <t>현대건설</t>
        </is>
      </c>
      <c r="N13" s="21" t="n">
        <v>0.1072999954223633</v>
      </c>
      <c r="O13" s="22" t="inlineStr">
        <is>
          <t>대우건설</t>
        </is>
      </c>
      <c r="P13" s="23" t="n">
        <v>0.09930000305175782</v>
      </c>
      <c r="Q13" s="36" t="inlineStr">
        <is>
          <t>한전기술</t>
        </is>
      </c>
      <c r="R13" s="17" t="n">
        <v>0.02839999914169311</v>
      </c>
      <c r="S13" s="36" t="inlineStr">
        <is>
          <t>비에이치아이</t>
        </is>
      </c>
      <c r="T13" s="17" t="n">
        <v>0.02710000038146973</v>
      </c>
      <c r="U13" s="36" t="inlineStr">
        <is>
          <t>한전KPS</t>
        </is>
      </c>
      <c r="V13" s="17" t="n">
        <v>0.02</v>
      </c>
      <c r="W13" s="36" t="inlineStr">
        <is>
          <t>효성중공업</t>
        </is>
      </c>
      <c r="X13" s="17" t="n">
        <v>0.01679999947547912</v>
      </c>
    </row>
    <row r="14" ht="16" customHeight="1">
      <c r="A14" s="36" t="inlineStr">
        <is>
          <t>TIGER 지주회사</t>
        </is>
      </c>
      <c r="B14" s="15" t="inlineStr">
        <is>
          <t>307520</t>
        </is>
      </c>
      <c r="C14" s="36" t="inlineStr">
        <is>
          <t>미래에셋자산운용</t>
        </is>
      </c>
      <c r="D14" s="19" t="n">
        <v>4357</v>
      </c>
      <c r="E14" s="36" t="inlineStr">
        <is>
          <t>두산</t>
        </is>
      </c>
      <c r="F14" s="17" t="n">
        <v>0.1114999961853027</v>
      </c>
      <c r="G14" s="36" t="inlineStr">
        <is>
          <t>LS</t>
        </is>
      </c>
      <c r="H14" s="17" t="n">
        <v>0.1030000019073486</v>
      </c>
      <c r="I14" s="36" t="inlineStr">
        <is>
          <t>SK</t>
        </is>
      </c>
      <c r="J14" s="17" t="n">
        <v>0.08810000419616699</v>
      </c>
      <c r="K14" s="20" t="inlineStr">
        <is>
          <t>POSCO홀딩스</t>
        </is>
      </c>
      <c r="L14" s="21" t="n">
        <v>0.08329999923706055</v>
      </c>
      <c r="M14" s="36" t="inlineStr">
        <is>
          <t>HD현대</t>
        </is>
      </c>
      <c r="N14" s="17" t="n">
        <v>0.07380000114440918</v>
      </c>
      <c r="O14" s="36" t="inlineStr">
        <is>
          <t>LG</t>
        </is>
      </c>
      <c r="P14" s="17" t="n">
        <v>0.06739999771118164</v>
      </c>
      <c r="Q14" s="20" t="inlineStr">
        <is>
          <t>삼성물산</t>
        </is>
      </c>
      <c r="R14" s="21" t="n">
        <v>0.06079999923706055</v>
      </c>
      <c r="S14" s="36" t="inlineStr">
        <is>
          <t>한진칼</t>
        </is>
      </c>
      <c r="T14" s="17" t="n">
        <v>0.05550000190734863</v>
      </c>
      <c r="U14" s="36" t="inlineStr">
        <is>
          <t>OCI홀딩스</t>
        </is>
      </c>
      <c r="V14" s="17" t="n">
        <v>0.05519999980926513</v>
      </c>
      <c r="W14" s="36" t="inlineStr">
        <is>
          <t>한화</t>
        </is>
      </c>
      <c r="X14" s="17" t="n">
        <v>0.04539999961853027</v>
      </c>
    </row>
    <row r="15" ht="16" customHeight="1">
      <c r="A15" s="36" t="inlineStr">
        <is>
          <t>TIGER 증권</t>
        </is>
      </c>
      <c r="B15" s="15" t="inlineStr">
        <is>
          <t>157500</t>
        </is>
      </c>
      <c r="C15" s="36" t="inlineStr">
        <is>
          <t>미래에셋자산운용</t>
        </is>
      </c>
      <c r="D15" s="19" t="n">
        <v>4353</v>
      </c>
      <c r="E15" s="20" t="inlineStr">
        <is>
          <t>미래에셋증권</t>
        </is>
      </c>
      <c r="F15" s="21" t="n">
        <v>0.3463000106811523</v>
      </c>
      <c r="G15" s="36" t="inlineStr">
        <is>
          <t>한국금융지주</t>
        </is>
      </c>
      <c r="H15" s="17" t="n">
        <v>0.2026000022888184</v>
      </c>
      <c r="I15" s="36" t="inlineStr">
        <is>
          <t>삼성증권</t>
        </is>
      </c>
      <c r="J15" s="17" t="n">
        <v>0.1572999954223633</v>
      </c>
      <c r="K15" s="36" t="inlineStr">
        <is>
          <t>키움증권</t>
        </is>
      </c>
      <c r="L15" s="17" t="n">
        <v>0.1086999988555908</v>
      </c>
      <c r="M15" s="22" t="inlineStr">
        <is>
          <t>NH투자증권</t>
        </is>
      </c>
      <c r="N15" s="23" t="n">
        <v>0.1007999992370606</v>
      </c>
      <c r="O15" s="36" t="inlineStr">
        <is>
          <t>대신증권</t>
        </is>
      </c>
      <c r="P15" s="17" t="n">
        <v>0.02019999980926514</v>
      </c>
      <c r="Q15" s="36" t="inlineStr">
        <is>
          <t>한화투자증권</t>
        </is>
      </c>
      <c r="R15" s="17" t="n">
        <v>0.01659999966621399</v>
      </c>
      <c r="S15" s="36" t="inlineStr">
        <is>
          <t>신영증권</t>
        </is>
      </c>
      <c r="T15" s="17" t="n">
        <v>0.01620000004768372</v>
      </c>
      <c r="U15" s="36" t="inlineStr">
        <is>
          <t>원화현금</t>
        </is>
      </c>
      <c r="V15" s="17" t="n">
        <v>0.01519999980926514</v>
      </c>
      <c r="W15" s="36" t="inlineStr">
        <is>
          <t>유안타증권</t>
        </is>
      </c>
      <c r="X15" s="17" t="n">
        <v>0.008799999952316284</v>
      </c>
    </row>
    <row r="16" ht="16" customHeight="1">
      <c r="A16" s="36" t="inlineStr">
        <is>
          <t>TIGER 200 중공업</t>
        </is>
      </c>
      <c r="B16" s="15" t="inlineStr">
        <is>
          <t>139230</t>
        </is>
      </c>
      <c r="C16" s="36" t="inlineStr">
        <is>
          <t>미래에셋자산운용</t>
        </is>
      </c>
      <c r="D16" s="19" t="n">
        <v>4167</v>
      </c>
      <c r="E16" s="20" t="inlineStr">
        <is>
          <t>두산에너빌리티</t>
        </is>
      </c>
      <c r="F16" s="21" t="n">
        <v>0.2226000022888183</v>
      </c>
      <c r="G16" s="36" t="inlineStr">
        <is>
          <t>HD현대일렉트릭</t>
        </is>
      </c>
      <c r="H16" s="17" t="n">
        <v>0.1180000019073486</v>
      </c>
      <c r="I16" s="36" t="inlineStr">
        <is>
          <t>HD현대중공업</t>
        </is>
      </c>
      <c r="J16" s="17" t="n">
        <v>0.09010000228881836</v>
      </c>
      <c r="K16" s="36" t="inlineStr">
        <is>
          <t>HD한국조선해양</t>
        </is>
      </c>
      <c r="L16" s="17" t="n">
        <v>0.08850000381469726</v>
      </c>
      <c r="M16" s="36" t="inlineStr">
        <is>
          <t>삼성중공업</t>
        </is>
      </c>
      <c r="N16" s="17" t="n">
        <v>0.08640000343322754</v>
      </c>
      <c r="O16" s="36" t="inlineStr">
        <is>
          <t>효성중공업</t>
        </is>
      </c>
      <c r="P16" s="17" t="n">
        <v>0.08300000190734863</v>
      </c>
      <c r="Q16" s="36" t="inlineStr">
        <is>
          <t>현대로템</t>
        </is>
      </c>
      <c r="R16" s="17" t="n">
        <v>0.07980000019073487</v>
      </c>
      <c r="S16" s="36" t="inlineStr">
        <is>
          <t>한화오션</t>
        </is>
      </c>
      <c r="T16" s="17" t="n">
        <v>0.07110000133514405</v>
      </c>
      <c r="U16" s="36" t="inlineStr">
        <is>
          <t>두산</t>
        </is>
      </c>
      <c r="V16" s="17" t="n">
        <v>0.0503000020980835</v>
      </c>
      <c r="W16" s="36" t="inlineStr">
        <is>
          <t>한화엔진</t>
        </is>
      </c>
      <c r="X16" s="17" t="n">
        <v>0.01980000019073486</v>
      </c>
    </row>
    <row r="17" ht="16" customHeight="1">
      <c r="A17" s="36" t="inlineStr">
        <is>
          <t>KODEX 고배당주</t>
        </is>
      </c>
      <c r="B17" s="15" t="inlineStr">
        <is>
          <t>279530</t>
        </is>
      </c>
      <c r="C17" s="36" t="inlineStr">
        <is>
          <t>삼성자산운용</t>
        </is>
      </c>
      <c r="D17" s="19" t="n">
        <v>4153</v>
      </c>
      <c r="E17" s="22" t="inlineStr">
        <is>
          <t>NH투자증권</t>
        </is>
      </c>
      <c r="F17" s="23" t="n">
        <v>0.09210000038146973</v>
      </c>
      <c r="G17" s="24" t="inlineStr">
        <is>
          <t>DB손해보험</t>
        </is>
      </c>
      <c r="H17" s="25" t="n">
        <v>0.08439999580383301</v>
      </c>
      <c r="I17" s="36" t="inlineStr">
        <is>
          <t>롯데쇼핑</t>
        </is>
      </c>
      <c r="J17" s="17" t="n">
        <v>0.08289999961853027</v>
      </c>
      <c r="K17" s="36" t="inlineStr">
        <is>
          <t>현대엘리베이터</t>
        </is>
      </c>
      <c r="L17" s="17" t="n">
        <v>0.08260000228881836</v>
      </c>
      <c r="M17" s="22" t="inlineStr">
        <is>
          <t>기아</t>
        </is>
      </c>
      <c r="N17" s="23" t="n">
        <v>0.06559999942779542</v>
      </c>
      <c r="O17" s="36" t="inlineStr">
        <is>
          <t>삼성증권</t>
        </is>
      </c>
      <c r="P17" s="17" t="n">
        <v>0.05570000171661377</v>
      </c>
      <c r="Q17" s="20" t="inlineStr">
        <is>
          <t>현대차</t>
        </is>
      </c>
      <c r="R17" s="21" t="n">
        <v>0.05320000171661377</v>
      </c>
      <c r="S17" s="36" t="inlineStr">
        <is>
          <t>제일기획</t>
        </is>
      </c>
      <c r="T17" s="17" t="n">
        <v>0.05230000019073486</v>
      </c>
      <c r="U17" s="36" t="inlineStr">
        <is>
          <t>GS</t>
        </is>
      </c>
      <c r="V17" s="17" t="n">
        <v>0.04300000190734863</v>
      </c>
      <c r="W17" s="36" t="inlineStr">
        <is>
          <t>대신증권</t>
        </is>
      </c>
      <c r="X17" s="17" t="n">
        <v>0.0421999979019165</v>
      </c>
    </row>
    <row r="18" ht="16" customHeight="1">
      <c r="A18" s="36" t="inlineStr">
        <is>
          <t>SOL 금융지주플러스고배당</t>
        </is>
      </c>
      <c r="B18" s="15" t="inlineStr">
        <is>
          <t>484880</t>
        </is>
      </c>
      <c r="C18" s="36" t="inlineStr">
        <is>
          <t>신한자산운용</t>
        </is>
      </c>
      <c r="D18" s="19" t="n">
        <v>4101</v>
      </c>
      <c r="E18" s="36" t="inlineStr">
        <is>
          <t>신한지주</t>
        </is>
      </c>
      <c r="F18" s="17" t="n">
        <v>0.1970999908447266</v>
      </c>
      <c r="G18" s="36" t="inlineStr">
        <is>
          <t>KB금융</t>
        </is>
      </c>
      <c r="H18" s="17" t="n">
        <v>0.1969000053405762</v>
      </c>
      <c r="I18" s="36" t="inlineStr">
        <is>
          <t>하나금융지주</t>
        </is>
      </c>
      <c r="J18" s="17" t="n">
        <v>0.1955999946594238</v>
      </c>
      <c r="K18" s="36" t="inlineStr">
        <is>
          <t>우리금융지주</t>
        </is>
      </c>
      <c r="L18" s="17" t="n">
        <v>0.1614999961853027</v>
      </c>
      <c r="M18" s="36" t="inlineStr">
        <is>
          <t>한국금융지주</t>
        </is>
      </c>
      <c r="N18" s="17" t="n">
        <v>0.07980000019073487</v>
      </c>
      <c r="O18" s="22" t="inlineStr">
        <is>
          <t>NH투자증권</t>
        </is>
      </c>
      <c r="P18" s="23" t="n">
        <v>0.05230000019073486</v>
      </c>
      <c r="Q18" s="36" t="inlineStr">
        <is>
          <t>BNK금융지주</t>
        </is>
      </c>
      <c r="R18" s="17" t="n">
        <v>0.03890000104904175</v>
      </c>
      <c r="S18" s="36" t="inlineStr">
        <is>
          <t>JB금융지주</t>
        </is>
      </c>
      <c r="T18" s="17" t="n">
        <v>0.03240000009536743</v>
      </c>
      <c r="U18" s="36" t="inlineStr">
        <is>
          <t>메리츠금융지주</t>
        </is>
      </c>
      <c r="V18" s="17" t="n">
        <v>0.02470000028610229</v>
      </c>
      <c r="W18" s="36" t="inlineStr">
        <is>
          <t>iM금융지주</t>
        </is>
      </c>
      <c r="X18" s="17" t="n">
        <v>0.02049999952316284</v>
      </c>
    </row>
    <row r="19" ht="16" customHeight="1">
      <c r="A19" s="36" t="inlineStr">
        <is>
          <t>TIME 코스피액티브</t>
        </is>
      </c>
      <c r="B19" s="15" t="inlineStr">
        <is>
          <t>385720</t>
        </is>
      </c>
      <c r="C19" s="36" t="inlineStr">
        <is>
          <t>타임폴리오자산운용</t>
        </is>
      </c>
      <c r="D19" s="19" t="n">
        <v>3856</v>
      </c>
      <c r="E19" s="22" t="inlineStr">
        <is>
          <t>SK하이닉스</t>
        </is>
      </c>
      <c r="F19" s="23" t="n">
        <v>0.261200008392334</v>
      </c>
      <c r="G19" s="20" t="inlineStr">
        <is>
          <t>삼성전자</t>
        </is>
      </c>
      <c r="H19" s="21" t="n">
        <v>0.2123999977111816</v>
      </c>
      <c r="I19" s="22" t="inlineStr">
        <is>
          <t>삼양식품</t>
        </is>
      </c>
      <c r="J19" s="23" t="n">
        <v>0.04420000076293945</v>
      </c>
      <c r="K19" s="20" t="inlineStr">
        <is>
          <t>SK스퀘어</t>
        </is>
      </c>
      <c r="L19" s="21" t="n">
        <v>0.03970000028610229</v>
      </c>
      <c r="M19" s="36" t="inlineStr">
        <is>
          <t>KB금융</t>
        </is>
      </c>
      <c r="N19" s="17" t="n">
        <v>0.03829999923706055</v>
      </c>
      <c r="O19" s="36" t="inlineStr">
        <is>
          <t>에이피알</t>
        </is>
      </c>
      <c r="P19" s="17" t="n">
        <v>0.03299999952316284</v>
      </c>
      <c r="Q19" s="36" t="inlineStr">
        <is>
          <t>삼성SDI</t>
        </is>
      </c>
      <c r="R19" s="17" t="n">
        <v>0.03269999980926513</v>
      </c>
      <c r="S19" s="36" t="inlineStr">
        <is>
          <t>두산</t>
        </is>
      </c>
      <c r="T19" s="17" t="n">
        <v>0.02579999923706055</v>
      </c>
      <c r="U19" s="36" t="inlineStr">
        <is>
          <t>SK</t>
        </is>
      </c>
      <c r="V19" s="17" t="n">
        <v>0.02319999933242798</v>
      </c>
      <c r="W19" s="36" t="inlineStr">
        <is>
          <t>신세계</t>
        </is>
      </c>
      <c r="X19" s="17" t="n">
        <v>0.0222000002861023</v>
      </c>
    </row>
    <row r="20" ht="16" customHeight="1">
      <c r="A20" s="36" t="inlineStr">
        <is>
          <t>TIME K바이오액티브</t>
        </is>
      </c>
      <c r="B20" s="15" t="inlineStr">
        <is>
          <t>463050</t>
        </is>
      </c>
      <c r="C20" s="36" t="inlineStr">
        <is>
          <t>타임폴리오자산운용</t>
        </is>
      </c>
      <c r="D20" s="19" t="n">
        <v>3688</v>
      </c>
      <c r="E20" s="22" t="inlineStr">
        <is>
          <t>셀트리온</t>
        </is>
      </c>
      <c r="F20" s="23" t="n">
        <v>0.1380000019073486</v>
      </c>
      <c r="G20" s="36" t="inlineStr">
        <is>
          <t>알테오젠</t>
        </is>
      </c>
      <c r="H20" s="17" t="n">
        <v>0.08670000076293945</v>
      </c>
      <c r="I20" s="20" t="inlineStr">
        <is>
          <t>삼성바이오로직스</t>
        </is>
      </c>
      <c r="J20" s="21" t="n">
        <v>0.06980000019073486</v>
      </c>
      <c r="K20" s="36" t="inlineStr">
        <is>
          <t>올릭스</t>
        </is>
      </c>
      <c r="L20" s="17" t="n">
        <v>0.06769999980926514</v>
      </c>
      <c r="M20" s="36" t="inlineStr">
        <is>
          <t>리가켐바이오</t>
        </is>
      </c>
      <c r="N20" s="17" t="n">
        <v>0.06519999980926514</v>
      </c>
      <c r="O20" s="36" t="inlineStr">
        <is>
          <t>에이프릴바이오</t>
        </is>
      </c>
      <c r="P20" s="17" t="n">
        <v>0.04590000152587891</v>
      </c>
      <c r="Q20" s="36" t="inlineStr">
        <is>
          <t>에스티팜</t>
        </is>
      </c>
      <c r="R20" s="17" t="n">
        <v>0.04510000228881836</v>
      </c>
      <c r="S20" s="36" t="inlineStr">
        <is>
          <t>에이비엘바이오</t>
        </is>
      </c>
      <c r="T20" s="17" t="n">
        <v>0.03759999990463257</v>
      </c>
      <c r="U20" s="36" t="inlineStr">
        <is>
          <t>한미약품</t>
        </is>
      </c>
      <c r="V20" s="17" t="n">
        <v>0.0352999997138977</v>
      </c>
      <c r="W20" s="36" t="inlineStr">
        <is>
          <t>알지노믹스</t>
        </is>
      </c>
      <c r="X20" s="17" t="n">
        <v>0.02990000009536743</v>
      </c>
    </row>
    <row r="21" ht="16" customHeight="1">
      <c r="A21" s="36" t="inlineStr">
        <is>
          <t>RISE ESG사회책임투자</t>
        </is>
      </c>
      <c r="B21" s="15" t="inlineStr">
        <is>
          <t>290130</t>
        </is>
      </c>
      <c r="C21" s="36" t="inlineStr">
        <is>
          <t>케이비자산운용</t>
        </is>
      </c>
      <c r="D21" s="19" t="n">
        <v>3315</v>
      </c>
      <c r="E21" s="22" t="inlineStr">
        <is>
          <t>SK하이닉스</t>
        </is>
      </c>
      <c r="F21" s="23" t="n">
        <v>0.346500015258789</v>
      </c>
      <c r="G21" s="20" t="inlineStr">
        <is>
          <t>삼성전자</t>
        </is>
      </c>
      <c r="H21" s="21" t="n">
        <v>0.3070000076293946</v>
      </c>
      <c r="I21" s="20" t="inlineStr">
        <is>
          <t>SK스퀘어</t>
        </is>
      </c>
      <c r="J21" s="21" t="n">
        <v>0.03940000057220459</v>
      </c>
      <c r="K21" s="20" t="inlineStr">
        <is>
          <t>두산에너빌리티</t>
        </is>
      </c>
      <c r="L21" s="21" t="n">
        <v>0.02390000104904175</v>
      </c>
      <c r="M21" s="36" t="inlineStr">
        <is>
          <t>삼성전기</t>
        </is>
      </c>
      <c r="N21" s="17" t="n">
        <v>0.0222000002861023</v>
      </c>
      <c r="O21" s="36" t="inlineStr">
        <is>
          <t>KB금융</t>
        </is>
      </c>
      <c r="P21" s="17" t="n">
        <v>0.02180000066757202</v>
      </c>
      <c r="Q21" s="22" t="inlineStr">
        <is>
          <t>기아</t>
        </is>
      </c>
      <c r="R21" s="23" t="n">
        <v>0.01629999995231628</v>
      </c>
      <c r="S21" s="20" t="inlineStr">
        <is>
          <t>POSCO홀딩스</t>
        </is>
      </c>
      <c r="T21" s="21" t="n">
        <v>0.01470000028610229</v>
      </c>
      <c r="U21" s="20" t="inlineStr">
        <is>
          <t>삼성물산</t>
        </is>
      </c>
      <c r="V21" s="21" t="n">
        <v>0.01340000033378601</v>
      </c>
      <c r="W21" s="22" t="inlineStr">
        <is>
          <t>셀트리온</t>
        </is>
      </c>
      <c r="X21" s="23" t="n">
        <v>0.0127999997138977</v>
      </c>
    </row>
    <row r="22" ht="16" customHeight="1">
      <c r="A22" s="36" t="inlineStr">
        <is>
          <t>KoAct 코리아밸류업액티브</t>
        </is>
      </c>
      <c r="B22" s="15" t="inlineStr">
        <is>
          <t>495230</t>
        </is>
      </c>
      <c r="C22" s="36" t="inlineStr">
        <is>
          <t>삼성액티브자산운용</t>
        </is>
      </c>
      <c r="D22" s="19" t="n">
        <v>3276</v>
      </c>
      <c r="E22" s="22" t="inlineStr">
        <is>
          <t>SK하이닉스</t>
        </is>
      </c>
      <c r="F22" s="23" t="n">
        <v>0.2418000030517578</v>
      </c>
      <c r="G22" s="20" t="inlineStr">
        <is>
          <t>삼성전자</t>
        </is>
      </c>
      <c r="H22" s="21" t="n">
        <v>0.228799991607666</v>
      </c>
      <c r="I22" s="20" t="inlineStr">
        <is>
          <t>현대차</t>
        </is>
      </c>
      <c r="J22" s="21" t="n">
        <v>0.04630000114440918</v>
      </c>
      <c r="K22" s="20" t="inlineStr">
        <is>
          <t>SK스퀘어</t>
        </is>
      </c>
      <c r="L22" s="21" t="n">
        <v>0.04449999809265136</v>
      </c>
      <c r="M22" s="36" t="inlineStr">
        <is>
          <t>SK</t>
        </is>
      </c>
      <c r="N22" s="17" t="n">
        <v>0.04070000171661377</v>
      </c>
      <c r="O22" s="36" t="inlineStr">
        <is>
          <t>KB금융</t>
        </is>
      </c>
      <c r="P22" s="17" t="n">
        <v>0.02700000047683716</v>
      </c>
      <c r="Q22" s="36" t="inlineStr">
        <is>
          <t>현대모비스</t>
        </is>
      </c>
      <c r="R22" s="17" t="n">
        <v>0.02079999923706055</v>
      </c>
      <c r="S22" s="36" t="inlineStr">
        <is>
          <t>신한지주</t>
        </is>
      </c>
      <c r="T22" s="17" t="n">
        <v>0.02059999942779541</v>
      </c>
      <c r="U22" s="22" t="inlineStr">
        <is>
          <t>기아</t>
        </is>
      </c>
      <c r="V22" s="23" t="n">
        <v>0.01789999961853027</v>
      </c>
      <c r="W22" s="36" t="inlineStr">
        <is>
          <t>한화에어로스페이스</t>
        </is>
      </c>
      <c r="X22" s="17" t="n">
        <v>0.01730000019073486</v>
      </c>
    </row>
    <row r="23" ht="16" customHeight="1">
      <c r="A23" s="36" t="inlineStr">
        <is>
          <t>PLUS 고배당주위클리커버드콜</t>
        </is>
      </c>
      <c r="B23" s="15" t="inlineStr">
        <is>
          <t>489030</t>
        </is>
      </c>
      <c r="C23" s="36" t="inlineStr">
        <is>
          <t>한화자산운용</t>
        </is>
      </c>
      <c r="D23" s="19" t="n">
        <v>3233</v>
      </c>
      <c r="E23" s="20" t="inlineStr">
        <is>
          <t>현대차</t>
        </is>
      </c>
      <c r="F23" s="21" t="n">
        <v>0.0680999994277954</v>
      </c>
      <c r="G23" s="22" t="inlineStr">
        <is>
          <t>NH투자증권</t>
        </is>
      </c>
      <c r="H23" s="23" t="n">
        <v>0.05860000133514404</v>
      </c>
      <c r="I23" s="36" t="inlineStr">
        <is>
          <t>삼성증권</t>
        </is>
      </c>
      <c r="J23" s="17" t="n">
        <v>0.05159999847412109</v>
      </c>
      <c r="K23" s="22" t="inlineStr">
        <is>
          <t>기아</t>
        </is>
      </c>
      <c r="L23" s="23" t="n">
        <v>0.0496999979019165</v>
      </c>
      <c r="M23" s="24" t="inlineStr">
        <is>
          <t>DB손해보험</t>
        </is>
      </c>
      <c r="N23" s="25" t="n">
        <v>0.04710000038146973</v>
      </c>
      <c r="O23" s="36" t="inlineStr">
        <is>
          <t>LX인터내셔널</t>
        </is>
      </c>
      <c r="P23" s="17" t="n">
        <v>0.04389999866485596</v>
      </c>
      <c r="Q23" s="36" t="inlineStr">
        <is>
          <t>우리금융지주</t>
        </is>
      </c>
      <c r="R23" s="17" t="n">
        <v>0.04360000133514404</v>
      </c>
      <c r="S23" s="36" t="inlineStr">
        <is>
          <t>원화현금</t>
        </is>
      </c>
      <c r="T23" s="17" t="n">
        <v>0.04360000133514404</v>
      </c>
      <c r="U23" s="36" t="inlineStr">
        <is>
          <t>현대엘리베이터</t>
        </is>
      </c>
      <c r="V23" s="17" t="n">
        <v>0.04230000019073486</v>
      </c>
      <c r="W23" s="36" t="inlineStr">
        <is>
          <t>기업은행</t>
        </is>
      </c>
      <c r="X23" s="17" t="n">
        <v>0.03990000009536743</v>
      </c>
    </row>
    <row r="24" ht="16" customHeight="1">
      <c r="A24" s="36" t="inlineStr">
        <is>
          <t>RISE 2차전지액티브</t>
        </is>
      </c>
      <c r="B24" s="15" t="inlineStr">
        <is>
          <t>422420</t>
        </is>
      </c>
      <c r="C24" s="36" t="inlineStr">
        <is>
          <t>케이비자산운용</t>
        </is>
      </c>
      <c r="D24" s="19" t="n">
        <v>3149</v>
      </c>
      <c r="E24" s="36" t="inlineStr">
        <is>
          <t>삼성SDI</t>
        </is>
      </c>
      <c r="F24" s="17" t="n">
        <v>0.1273999977111816</v>
      </c>
      <c r="G24" s="36" t="inlineStr">
        <is>
          <t>엘앤에프</t>
        </is>
      </c>
      <c r="H24" s="17" t="n">
        <v>0.1005000019073486</v>
      </c>
      <c r="I24" s="20" t="inlineStr">
        <is>
          <t>POSCO홀딩스</t>
        </is>
      </c>
      <c r="J24" s="21" t="n">
        <v>0.09829999923706055</v>
      </c>
      <c r="K24" s="36" t="inlineStr">
        <is>
          <t>에코프로비엠</t>
        </is>
      </c>
      <c r="L24" s="17" t="n">
        <v>0.08359999656677246</v>
      </c>
      <c r="M24" s="36" t="inlineStr">
        <is>
          <t>LG에너지솔루션</t>
        </is>
      </c>
      <c r="N24" s="17" t="n">
        <v>0.08359999656677246</v>
      </c>
      <c r="O24" s="36" t="inlineStr">
        <is>
          <t>에코프로</t>
        </is>
      </c>
      <c r="P24" s="17" t="n">
        <v>0.08210000038146972</v>
      </c>
      <c r="Q24" s="22" t="inlineStr">
        <is>
          <t>SK이노베이션</t>
        </is>
      </c>
      <c r="R24" s="23" t="n">
        <v>0.08180000305175782</v>
      </c>
      <c r="S24" s="36" t="inlineStr">
        <is>
          <t>포스코퓨처엠</t>
        </is>
      </c>
      <c r="T24" s="17" t="n">
        <v>0.07780000209808349</v>
      </c>
      <c r="U24" s="36" t="inlineStr">
        <is>
          <t>대주전자재료</t>
        </is>
      </c>
      <c r="V24" s="17" t="n">
        <v>0.05980000019073486</v>
      </c>
      <c r="W24" s="36" t="inlineStr">
        <is>
          <t>롯데에너지머티리얼즈</t>
        </is>
      </c>
      <c r="X24" s="17" t="n">
        <v>0.05070000171661377</v>
      </c>
    </row>
    <row r="25" ht="16" customHeight="1">
      <c r="A25" s="36" t="inlineStr">
        <is>
          <t>KODEX 건설</t>
        </is>
      </c>
      <c r="B25" s="15" t="inlineStr">
        <is>
          <t>117700</t>
        </is>
      </c>
      <c r="C25" s="36" t="inlineStr">
        <is>
          <t>삼성자산운용</t>
        </is>
      </c>
      <c r="D25" s="19" t="n">
        <v>3103</v>
      </c>
      <c r="E25" s="20" t="inlineStr">
        <is>
          <t>현대건설</t>
        </is>
      </c>
      <c r="F25" s="21" t="n">
        <v>0.2032999992370605</v>
      </c>
      <c r="G25" s="22" t="inlineStr">
        <is>
          <t>삼성E&amp;A</t>
        </is>
      </c>
      <c r="H25" s="23" t="n">
        <v>0.1954000091552734</v>
      </c>
      <c r="I25" s="22" t="inlineStr">
        <is>
          <t>대우건설</t>
        </is>
      </c>
      <c r="J25" s="23" t="n">
        <v>0.1684000015258789</v>
      </c>
      <c r="K25" s="36" t="inlineStr">
        <is>
          <t>한전기술</t>
        </is>
      </c>
      <c r="L25" s="17" t="n">
        <v>0.09289999961853028</v>
      </c>
      <c r="M25" s="36" t="inlineStr">
        <is>
          <t>DL이앤씨</t>
        </is>
      </c>
      <c r="N25" s="17" t="n">
        <v>0.07170000076293945</v>
      </c>
      <c r="O25" s="36" t="inlineStr">
        <is>
          <t>GS건설</t>
        </is>
      </c>
      <c r="P25" s="17" t="n">
        <v>0.06150000095367432</v>
      </c>
      <c r="Q25" s="36" t="inlineStr">
        <is>
          <t>현대무벡스</t>
        </is>
      </c>
      <c r="R25" s="17" t="n">
        <v>0.03849999904632569</v>
      </c>
      <c r="S25" s="36" t="inlineStr">
        <is>
          <t>IPARK현대산업개발</t>
        </is>
      </c>
      <c r="T25" s="17" t="n">
        <v>0.0225</v>
      </c>
      <c r="U25" s="36" t="inlineStr">
        <is>
          <t>LS마린솔루션</t>
        </is>
      </c>
      <c r="V25" s="17" t="n">
        <v>0.02079999923706055</v>
      </c>
      <c r="W25" s="36" t="inlineStr">
        <is>
          <t>성광벤드</t>
        </is>
      </c>
      <c r="X25" s="17" t="n">
        <v>0.02039999961853027</v>
      </c>
    </row>
    <row r="26" ht="16" customHeight="1">
      <c r="A26" s="36" t="inlineStr">
        <is>
          <t>TIGER 바이오TOP10</t>
        </is>
      </c>
      <c r="B26" s="15" t="inlineStr">
        <is>
          <t>364970</t>
        </is>
      </c>
      <c r="C26" s="36" t="inlineStr">
        <is>
          <t>미래에셋자산운용</t>
        </is>
      </c>
      <c r="D26" s="19" t="n">
        <v>2894</v>
      </c>
      <c r="E26" s="36" t="inlineStr">
        <is>
          <t>알테오젠</t>
        </is>
      </c>
      <c r="F26" s="17" t="n">
        <v>0.2621999931335449</v>
      </c>
      <c r="G26" s="22" t="inlineStr">
        <is>
          <t>셀트리온</t>
        </is>
      </c>
      <c r="H26" s="23" t="n">
        <v>0.2503000068664551</v>
      </c>
      <c r="I26" s="20" t="inlineStr">
        <is>
          <t>삼성바이오로직스</t>
        </is>
      </c>
      <c r="J26" s="21" t="n">
        <v>0.2376000022888184</v>
      </c>
      <c r="K26" s="36" t="inlineStr">
        <is>
          <t>HLB</t>
        </is>
      </c>
      <c r="L26" s="17" t="n">
        <v>0.05199999809265136</v>
      </c>
      <c r="M26" s="36" t="inlineStr">
        <is>
          <t>펩트론</t>
        </is>
      </c>
      <c r="N26" s="17" t="n">
        <v>0.0415999984741211</v>
      </c>
      <c r="O26" s="36" t="inlineStr">
        <is>
          <t>에이비엘바이오</t>
        </is>
      </c>
      <c r="P26" s="17" t="n">
        <v>0.03980000019073486</v>
      </c>
      <c r="Q26" s="36" t="inlineStr">
        <is>
          <t>유한양행</t>
        </is>
      </c>
      <c r="R26" s="17" t="n">
        <v>0.03930000066757202</v>
      </c>
      <c r="S26" s="36" t="inlineStr">
        <is>
          <t>리가켐바이오</t>
        </is>
      </c>
      <c r="T26" s="17" t="n">
        <v>0.03369999885559082</v>
      </c>
      <c r="U26" s="36" t="inlineStr">
        <is>
          <t>삼성에피스홀딩스</t>
        </is>
      </c>
      <c r="V26" s="17" t="n">
        <v>0.02109999895095825</v>
      </c>
      <c r="W26" s="36" t="inlineStr">
        <is>
          <t>SK바이오팜</t>
        </is>
      </c>
      <c r="X26" s="17" t="n">
        <v>0.01990000009536743</v>
      </c>
    </row>
    <row r="27" ht="16" customHeight="1">
      <c r="A27" s="36" t="inlineStr">
        <is>
          <t>HANARO 전력설비투자</t>
        </is>
      </c>
      <c r="B27" s="15" t="inlineStr">
        <is>
          <t>491820</t>
        </is>
      </c>
      <c r="C27" s="36" t="inlineStr">
        <is>
          <t>엔에이치아문디자산운용</t>
        </is>
      </c>
      <c r="D27" s="19" t="n">
        <v>2787</v>
      </c>
      <c r="E27" s="36" t="inlineStr">
        <is>
          <t>LS ELECTRIC</t>
        </is>
      </c>
      <c r="F27" s="17" t="n">
        <v>0.2411000061035156</v>
      </c>
      <c r="G27" s="36" t="inlineStr">
        <is>
          <t>효성중공업</t>
        </is>
      </c>
      <c r="H27" s="17" t="n">
        <v>0.1704999923706055</v>
      </c>
      <c r="I27" s="36" t="inlineStr">
        <is>
          <t>HD현대일렉트릭</t>
        </is>
      </c>
      <c r="J27" s="17" t="n">
        <v>0.1269999980926514</v>
      </c>
      <c r="K27" s="36" t="inlineStr">
        <is>
          <t>LS</t>
        </is>
      </c>
      <c r="L27" s="17" t="n">
        <v>0.1256999969482422</v>
      </c>
      <c r="M27" s="36" t="inlineStr">
        <is>
          <t>대한전선</t>
        </is>
      </c>
      <c r="N27" s="17" t="n">
        <v>0.1077000045776367</v>
      </c>
      <c r="O27" s="36" t="inlineStr">
        <is>
          <t>가온전선</t>
        </is>
      </c>
      <c r="P27" s="17" t="n">
        <v>0.06619999885559082</v>
      </c>
      <c r="Q27" s="36" t="inlineStr">
        <is>
          <t>산일전기</t>
        </is>
      </c>
      <c r="R27" s="17" t="n">
        <v>0.05409999847412109</v>
      </c>
      <c r="S27" s="36" t="inlineStr">
        <is>
          <t>일진전기</t>
        </is>
      </c>
      <c r="T27" s="17" t="n">
        <v>0.04449999809265136</v>
      </c>
      <c r="U27" s="36" t="inlineStr">
        <is>
          <t>LS머트리얼즈</t>
        </is>
      </c>
      <c r="V27" s="17" t="n">
        <v>0.01389999985694885</v>
      </c>
      <c r="W27" s="36" t="inlineStr">
        <is>
          <t>대원전선</t>
        </is>
      </c>
      <c r="X27" s="17" t="n">
        <v>0.01360000014305115</v>
      </c>
    </row>
    <row r="28" ht="16" customHeight="1">
      <c r="A28" s="36" t="inlineStr">
        <is>
          <t>KODEX 2차전지핵심소재10</t>
        </is>
      </c>
      <c r="B28" s="15" t="inlineStr">
        <is>
          <t>461950</t>
        </is>
      </c>
      <c r="C28" s="36" t="inlineStr">
        <is>
          <t>삼성자산운용</t>
        </is>
      </c>
      <c r="D28" s="19" t="n">
        <v>2738</v>
      </c>
      <c r="E28" s="20" t="inlineStr">
        <is>
          <t>POSCO홀딩스</t>
        </is>
      </c>
      <c r="F28" s="21" t="n">
        <v>0.1770000076293945</v>
      </c>
      <c r="G28" s="36" t="inlineStr">
        <is>
          <t>에코프로비엠</t>
        </is>
      </c>
      <c r="H28" s="17" t="n">
        <v>0.1696999931335449</v>
      </c>
      <c r="I28" s="20" t="inlineStr">
        <is>
          <t>LG화학</t>
        </is>
      </c>
      <c r="J28" s="21" t="n">
        <v>0.1656999969482422</v>
      </c>
      <c r="K28" s="36" t="inlineStr">
        <is>
          <t>포스코퓨처엠</t>
        </is>
      </c>
      <c r="L28" s="17" t="n">
        <v>0.1528999996185303</v>
      </c>
      <c r="M28" s="36" t="inlineStr">
        <is>
          <t>엘앤에프</t>
        </is>
      </c>
      <c r="N28" s="17" t="n">
        <v>0.1464000034332275</v>
      </c>
      <c r="O28" s="36" t="inlineStr">
        <is>
          <t>에코프로</t>
        </is>
      </c>
      <c r="P28" s="17" t="n">
        <v>0.1257999992370605</v>
      </c>
      <c r="Q28" s="36" t="inlineStr">
        <is>
          <t>코스모신소재</t>
        </is>
      </c>
      <c r="R28" s="17" t="n">
        <v>0.01919999957084656</v>
      </c>
      <c r="S28" s="36" t="inlineStr">
        <is>
          <t>대주전자재료</t>
        </is>
      </c>
      <c r="T28" s="17" t="n">
        <v>0.01889999985694885</v>
      </c>
      <c r="U28" s="36" t="inlineStr">
        <is>
          <t>나노신소재</t>
        </is>
      </c>
      <c r="V28" s="17" t="n">
        <v>0.01340000033378601</v>
      </c>
      <c r="W28" s="36" t="inlineStr">
        <is>
          <t>엔켐</t>
        </is>
      </c>
      <c r="X28" s="17" t="n">
        <v>0.01139999985694885</v>
      </c>
    </row>
    <row r="29" ht="16" customHeight="1">
      <c r="A29" s="36" t="inlineStr">
        <is>
          <t>TIGER 화장품</t>
        </is>
      </c>
      <c r="B29" s="15" t="inlineStr">
        <is>
          <t>228790</t>
        </is>
      </c>
      <c r="C29" s="36" t="inlineStr">
        <is>
          <t>미래에셋자산운용</t>
        </is>
      </c>
      <c r="D29" s="19" t="n">
        <v>2627</v>
      </c>
      <c r="E29" s="36" t="inlineStr">
        <is>
          <t>한국콜마</t>
        </is>
      </c>
      <c r="F29" s="17" t="n">
        <v>0.1434000015258789</v>
      </c>
      <c r="G29" s="36" t="inlineStr">
        <is>
          <t>달바글로벌</t>
        </is>
      </c>
      <c r="H29" s="17" t="n">
        <v>0.120600004196167</v>
      </c>
      <c r="I29" s="36" t="inlineStr">
        <is>
          <t>파마리서치</t>
        </is>
      </c>
      <c r="J29" s="17" t="n">
        <v>0.1090999984741211</v>
      </c>
      <c r="K29" s="36" t="inlineStr">
        <is>
          <t>에이피알</t>
        </is>
      </c>
      <c r="L29" s="17" t="n">
        <v>0.1052999973297119</v>
      </c>
      <c r="M29" s="36" t="inlineStr">
        <is>
          <t>LG생활건강</t>
        </is>
      </c>
      <c r="N29" s="17" t="n">
        <v>0.09140000343322754</v>
      </c>
      <c r="O29" s="36" t="inlineStr">
        <is>
          <t>아모레퍼시픽</t>
        </is>
      </c>
      <c r="P29" s="17" t="n">
        <v>0.08720000267028809</v>
      </c>
      <c r="Q29" s="36" t="inlineStr">
        <is>
          <t>코스맥스</t>
        </is>
      </c>
      <c r="R29" s="17" t="n">
        <v>0.08520000457763671</v>
      </c>
      <c r="S29" s="36" t="inlineStr">
        <is>
          <t>실리콘투</t>
        </is>
      </c>
      <c r="T29" s="17" t="n">
        <v>0.08149999618530274</v>
      </c>
      <c r="U29" s="36" t="inlineStr">
        <is>
          <t>코스메카코리아</t>
        </is>
      </c>
      <c r="V29" s="17" t="n">
        <v>0.0584000015258789</v>
      </c>
      <c r="W29" s="36" t="inlineStr">
        <is>
          <t>브이티</t>
        </is>
      </c>
      <c r="X29" s="17" t="n">
        <v>0.02730000019073486</v>
      </c>
    </row>
    <row r="30" ht="16" customHeight="1">
      <c r="A30" s="36" t="inlineStr">
        <is>
          <t>SOL 자동차TOP3플러스</t>
        </is>
      </c>
      <c r="B30" s="15" t="inlineStr">
        <is>
          <t>466930</t>
        </is>
      </c>
      <c r="C30" s="36" t="inlineStr">
        <is>
          <t>신한자산운용</t>
        </is>
      </c>
      <c r="D30" s="19" t="n">
        <v>2591</v>
      </c>
      <c r="E30" s="20" t="inlineStr">
        <is>
          <t>현대차</t>
        </is>
      </c>
      <c r="F30" s="21" t="n">
        <v>0.2145999908447266</v>
      </c>
      <c r="G30" s="22" t="inlineStr">
        <is>
          <t>기아</t>
        </is>
      </c>
      <c r="H30" s="23" t="n">
        <v>0.2009000015258789</v>
      </c>
      <c r="I30" s="36" t="inlineStr">
        <is>
          <t>현대모비스</t>
        </is>
      </c>
      <c r="J30" s="17" t="n">
        <v>0.1903000068664551</v>
      </c>
      <c r="K30" s="36" t="inlineStr">
        <is>
          <t>삼성전기</t>
        </is>
      </c>
      <c r="L30" s="17" t="n">
        <v>0.1902000045776367</v>
      </c>
      <c r="M30" s="20" t="inlineStr">
        <is>
          <t>삼성전자</t>
        </is>
      </c>
      <c r="N30" s="21" t="n">
        <v>0.07420000076293945</v>
      </c>
      <c r="O30" s="36" t="inlineStr">
        <is>
          <t>LG전자</t>
        </is>
      </c>
      <c r="P30" s="17" t="n">
        <v>0.05849999904632568</v>
      </c>
      <c r="Q30" s="36" t="inlineStr">
        <is>
          <t>LG이노텍</t>
        </is>
      </c>
      <c r="R30" s="17" t="n">
        <v>0.03130000114440918</v>
      </c>
      <c r="S30" s="36" t="inlineStr">
        <is>
          <t>현대오토에버</t>
        </is>
      </c>
      <c r="T30" s="17" t="n">
        <v>0.01029999971389771</v>
      </c>
      <c r="U30" s="36" t="inlineStr">
        <is>
          <t>고영</t>
        </is>
      </c>
      <c r="V30" s="17" t="n">
        <v>0.00800000011920929</v>
      </c>
      <c r="W30" s="36" t="inlineStr">
        <is>
          <t>HL만도</t>
        </is>
      </c>
      <c r="X30" s="17" t="n">
        <v>0.00699999988079071</v>
      </c>
    </row>
    <row r="31" ht="16" customHeight="1">
      <c r="A31" s="36" t="inlineStr">
        <is>
          <t>RISE 비메모리반도체액티브</t>
        </is>
      </c>
      <c r="B31" s="15" t="inlineStr">
        <is>
          <t>388420</t>
        </is>
      </c>
      <c r="C31" s="36" t="inlineStr">
        <is>
          <t>케이비자산운용</t>
        </is>
      </c>
      <c r="D31" s="19" t="n">
        <v>2453</v>
      </c>
      <c r="E31" s="20" t="inlineStr">
        <is>
          <t>삼성전자</t>
        </is>
      </c>
      <c r="F31" s="21" t="n">
        <v>0.1993000030517578</v>
      </c>
      <c r="G31" s="22" t="inlineStr">
        <is>
          <t>SK하이닉스</t>
        </is>
      </c>
      <c r="H31" s="23" t="n">
        <v>0.1668000030517578</v>
      </c>
      <c r="I31" s="22" t="inlineStr">
        <is>
          <t>한미반도체</t>
        </is>
      </c>
      <c r="J31" s="23" t="n">
        <v>0.08380000114440918</v>
      </c>
      <c r="K31" s="36" t="inlineStr">
        <is>
          <t>리노공업</t>
        </is>
      </c>
      <c r="L31" s="17" t="n">
        <v>0.07650000095367432</v>
      </c>
      <c r="M31" s="20" t="inlineStr">
        <is>
          <t>SK스퀘어</t>
        </is>
      </c>
      <c r="N31" s="21" t="n">
        <v>0.06989999771118165</v>
      </c>
      <c r="O31" s="36" t="inlineStr">
        <is>
          <t>삼성전기</t>
        </is>
      </c>
      <c r="P31" s="17" t="n">
        <v>0.0690999984741211</v>
      </c>
      <c r="Q31" s="36" t="inlineStr">
        <is>
          <t>이수페타시스</t>
        </is>
      </c>
      <c r="R31" s="17" t="n">
        <v>0.06699999809265136</v>
      </c>
      <c r="S31" s="36" t="inlineStr">
        <is>
          <t>DB하이텍</t>
        </is>
      </c>
      <c r="T31" s="17" t="n">
        <v>0.05800000190734864</v>
      </c>
      <c r="U31" s="36" t="inlineStr">
        <is>
          <t>대덕전자</t>
        </is>
      </c>
      <c r="V31" s="17" t="n">
        <v>0.05179999828338623</v>
      </c>
      <c r="W31" s="36" t="inlineStr">
        <is>
          <t>두산</t>
        </is>
      </c>
      <c r="X31" s="17" t="n">
        <v>0.04559999942779541</v>
      </c>
    </row>
    <row r="32" ht="16" customHeight="1">
      <c r="A32" s="36" t="inlineStr">
        <is>
          <t>RISE 고배당</t>
        </is>
      </c>
      <c r="B32" s="15" t="inlineStr">
        <is>
          <t>266160</t>
        </is>
      </c>
      <c r="C32" s="36" t="inlineStr">
        <is>
          <t>케이비자산운용</t>
        </is>
      </c>
      <c r="D32" s="19" t="n">
        <v>2439</v>
      </c>
      <c r="E32" s="20" t="inlineStr">
        <is>
          <t>삼성전자</t>
        </is>
      </c>
      <c r="F32" s="21" t="n">
        <v>0.3747000122070313</v>
      </c>
      <c r="G32" s="20" t="inlineStr">
        <is>
          <t>현대차</t>
        </is>
      </c>
      <c r="H32" s="21" t="n">
        <v>0.09310000419616699</v>
      </c>
      <c r="I32" s="22" t="inlineStr">
        <is>
          <t>기아</t>
        </is>
      </c>
      <c r="J32" s="23" t="n">
        <v>0.05670000076293946</v>
      </c>
      <c r="K32" s="20" t="inlineStr">
        <is>
          <t>삼성생명</t>
        </is>
      </c>
      <c r="L32" s="21" t="n">
        <v>0.04480000019073486</v>
      </c>
      <c r="M32" s="36" t="inlineStr">
        <is>
          <t>신한지주</t>
        </is>
      </c>
      <c r="N32" s="17" t="n">
        <v>0.0375</v>
      </c>
      <c r="O32" s="36" t="inlineStr">
        <is>
          <t>KB금융</t>
        </is>
      </c>
      <c r="P32" s="17" t="n">
        <v>0.03660000085830688</v>
      </c>
      <c r="Q32" s="36" t="inlineStr">
        <is>
          <t>하나금융지주</t>
        </is>
      </c>
      <c r="R32" s="17" t="n">
        <v>0.03579999923706054</v>
      </c>
      <c r="S32" s="36" t="inlineStr">
        <is>
          <t>우리금융지주</t>
        </is>
      </c>
      <c r="T32" s="17" t="n">
        <v>0.02980000019073486</v>
      </c>
      <c r="U32" s="20" t="inlineStr">
        <is>
          <t>SK텔레콤</t>
        </is>
      </c>
      <c r="V32" s="21" t="n">
        <v>0.02480000019073486</v>
      </c>
      <c r="W32" s="36" t="inlineStr">
        <is>
          <t>기업은행</t>
        </is>
      </c>
      <c r="X32" s="17" t="n">
        <v>0.02200000047683716</v>
      </c>
    </row>
    <row r="33" ht="16" customHeight="1">
      <c r="A33" s="36" t="inlineStr">
        <is>
          <t>KODEX 삼성그룹밸류</t>
        </is>
      </c>
      <c r="B33" s="15" t="inlineStr">
        <is>
          <t>213610</t>
        </is>
      </c>
      <c r="C33" s="36" t="inlineStr">
        <is>
          <t>삼성자산운용</t>
        </is>
      </c>
      <c r="D33" s="19" t="n">
        <v>2366</v>
      </c>
      <c r="E33" s="20" t="inlineStr">
        <is>
          <t>삼성전자</t>
        </is>
      </c>
      <c r="F33" s="21" t="n">
        <v>0.2455999946594238</v>
      </c>
      <c r="G33" s="36" t="inlineStr">
        <is>
          <t>삼성전기</t>
        </is>
      </c>
      <c r="H33" s="17" t="n">
        <v>0.09390000343322753</v>
      </c>
      <c r="I33" s="20" t="inlineStr">
        <is>
          <t>삼성물산</t>
        </is>
      </c>
      <c r="J33" s="21" t="n">
        <v>0.08180000305175782</v>
      </c>
      <c r="K33" s="36" t="inlineStr">
        <is>
          <t>삼성SDI</t>
        </is>
      </c>
      <c r="L33" s="17" t="n">
        <v>0.08</v>
      </c>
      <c r="M33" s="20" t="inlineStr">
        <is>
          <t>삼성생명</t>
        </is>
      </c>
      <c r="N33" s="21" t="n">
        <v>0.07809999942779541</v>
      </c>
      <c r="O33" s="20" t="inlineStr">
        <is>
          <t>삼성바이오로직스</t>
        </is>
      </c>
      <c r="P33" s="21" t="n">
        <v>0.06449999809265136</v>
      </c>
      <c r="Q33" s="22" t="inlineStr">
        <is>
          <t>삼성E&amp;A</t>
        </is>
      </c>
      <c r="R33" s="23" t="n">
        <v>0.06260000228881836</v>
      </c>
      <c r="S33" s="36" t="inlineStr">
        <is>
          <t>삼성증권</t>
        </is>
      </c>
      <c r="T33" s="17" t="n">
        <v>0.04719999790191651</v>
      </c>
      <c r="U33" s="36" t="inlineStr">
        <is>
          <t>삼성중공업</t>
        </is>
      </c>
      <c r="V33" s="17" t="n">
        <v>0.04650000095367432</v>
      </c>
      <c r="W33" s="22" t="inlineStr">
        <is>
          <t>삼성화재</t>
        </is>
      </c>
      <c r="X33" s="23" t="n">
        <v>0.04139999866485596</v>
      </c>
    </row>
    <row r="34" ht="16" customHeight="1">
      <c r="A34" s="36" t="inlineStr">
        <is>
          <t>RISE 코스피</t>
        </is>
      </c>
      <c r="B34" s="15" t="inlineStr">
        <is>
          <t>302450</t>
        </is>
      </c>
      <c r="C34" s="36" t="inlineStr">
        <is>
          <t>케이비자산운용</t>
        </is>
      </c>
      <c r="D34" s="19" t="n">
        <v>2324</v>
      </c>
      <c r="E34" s="20" t="inlineStr">
        <is>
          <t>삼성전자</t>
        </is>
      </c>
      <c r="F34" s="21" t="n">
        <v>0.2470000076293945</v>
      </c>
      <c r="G34" s="22" t="inlineStr">
        <is>
          <t>SK하이닉스</t>
        </is>
      </c>
      <c r="H34" s="23" t="n">
        <v>0.1877000045776367</v>
      </c>
      <c r="I34" s="20" t="inlineStr">
        <is>
          <t>SK스퀘어</t>
        </is>
      </c>
      <c r="J34" s="21" t="n">
        <v>0.02380000114440918</v>
      </c>
      <c r="K34" s="20" t="inlineStr">
        <is>
          <t>현대차</t>
        </is>
      </c>
      <c r="L34" s="21" t="n">
        <v>0.02009999990463257</v>
      </c>
      <c r="M34" s="36" t="inlineStr">
        <is>
          <t>LG에너지솔루션</t>
        </is>
      </c>
      <c r="N34" s="17" t="n">
        <v>0.02009999990463257</v>
      </c>
      <c r="O34" s="20" t="inlineStr">
        <is>
          <t>두산에너빌리티</t>
        </is>
      </c>
      <c r="P34" s="21" t="n">
        <v>0.01490000009536743</v>
      </c>
      <c r="Q34" s="36" t="inlineStr">
        <is>
          <t>한화에어로스페이스</t>
        </is>
      </c>
      <c r="R34" s="17" t="n">
        <v>0.01379999995231628</v>
      </c>
      <c r="S34" s="36" t="inlineStr">
        <is>
          <t>HD현대중공업</t>
        </is>
      </c>
      <c r="T34" s="17" t="n">
        <v>0.01299999952316284</v>
      </c>
      <c r="U34" s="36" t="inlineStr">
        <is>
          <t>삼성전기</t>
        </is>
      </c>
      <c r="V34" s="17" t="n">
        <v>0.01259999990463257</v>
      </c>
      <c r="W34" s="20" t="inlineStr">
        <is>
          <t>삼성바이오로직스</t>
        </is>
      </c>
      <c r="X34" s="21" t="n">
        <v>0.01240000009536743</v>
      </c>
    </row>
    <row r="35" ht="16" customHeight="1">
      <c r="A35" s="36" t="inlineStr">
        <is>
          <t>TIGER AI반도체핵심공정</t>
        </is>
      </c>
      <c r="B35" s="15" t="inlineStr">
        <is>
          <t>471760</t>
        </is>
      </c>
      <c r="C35" s="36" t="inlineStr">
        <is>
          <t>미래에셋자산운용</t>
        </is>
      </c>
      <c r="D35" s="19" t="n">
        <v>2323</v>
      </c>
      <c r="E35" s="22" t="inlineStr">
        <is>
          <t>한미반도체</t>
        </is>
      </c>
      <c r="F35" s="23" t="n">
        <v>0.2772999954223633</v>
      </c>
      <c r="G35" s="36" t="inlineStr">
        <is>
          <t>리노공업</t>
        </is>
      </c>
      <c r="H35" s="17" t="n">
        <v>0.1796999931335449</v>
      </c>
      <c r="I35" s="36" t="inlineStr">
        <is>
          <t>이수페타시스</t>
        </is>
      </c>
      <c r="J35" s="17" t="n">
        <v>0.1603000068664551</v>
      </c>
      <c r="K35" s="36" t="inlineStr">
        <is>
          <t>이오테크닉스</t>
        </is>
      </c>
      <c r="L35" s="17" t="n">
        <v>0.09180000305175781</v>
      </c>
      <c r="M35" s="36" t="inlineStr">
        <is>
          <t>ISC</t>
        </is>
      </c>
      <c r="N35" s="17" t="n">
        <v>0.07710000038146973</v>
      </c>
      <c r="O35" s="36" t="inlineStr">
        <is>
          <t>대덕전자</t>
        </is>
      </c>
      <c r="P35" s="17" t="n">
        <v>0.03140000104904175</v>
      </c>
      <c r="Q35" s="36" t="inlineStr">
        <is>
          <t>한화비전</t>
        </is>
      </c>
      <c r="R35" s="17" t="n">
        <v>0.02480000019073486</v>
      </c>
      <c r="S35" s="36" t="inlineStr">
        <is>
          <t>HPSP</t>
        </is>
      </c>
      <c r="T35" s="17" t="n">
        <v>0.02480000019073486</v>
      </c>
      <c r="U35" s="36" t="inlineStr">
        <is>
          <t>심텍</t>
        </is>
      </c>
      <c r="V35" s="17" t="n">
        <v>0.01820000052452088</v>
      </c>
      <c r="W35" s="36" t="inlineStr">
        <is>
          <t>피에스케이홀딩스</t>
        </is>
      </c>
      <c r="X35" s="17" t="n">
        <v>0.01580000042915344</v>
      </c>
    </row>
    <row r="36" ht="16" customHeight="1">
      <c r="A36" s="36" t="inlineStr">
        <is>
          <t>TIGER 200 건설</t>
        </is>
      </c>
      <c r="B36" s="15" t="inlineStr">
        <is>
          <t>139220</t>
        </is>
      </c>
      <c r="C36" s="36" t="inlineStr">
        <is>
          <t>미래에셋자산운용</t>
        </is>
      </c>
      <c r="D36" s="19" t="n">
        <v>2257</v>
      </c>
      <c r="E36" s="20" t="inlineStr">
        <is>
          <t>현대건설</t>
        </is>
      </c>
      <c r="F36" s="21" t="n">
        <v>0.235</v>
      </c>
      <c r="G36" s="22" t="inlineStr">
        <is>
          <t>삼성E&amp;A</t>
        </is>
      </c>
      <c r="H36" s="23" t="n">
        <v>0.1821999931335449</v>
      </c>
      <c r="I36" s="22" t="inlineStr">
        <is>
          <t>대우건설</t>
        </is>
      </c>
      <c r="J36" s="23" t="n">
        <v>0.1539000034332275</v>
      </c>
      <c r="K36" s="20" t="inlineStr">
        <is>
          <t>삼성물산</t>
        </is>
      </c>
      <c r="L36" s="21" t="n">
        <v>0.1336999988555908</v>
      </c>
      <c r="M36" s="36" t="inlineStr">
        <is>
          <t>한전기술</t>
        </is>
      </c>
      <c r="N36" s="17" t="n">
        <v>0.08520000457763671</v>
      </c>
      <c r="O36" s="36" t="inlineStr">
        <is>
          <t>DL이앤씨</t>
        </is>
      </c>
      <c r="P36" s="17" t="n">
        <v>0.06570000171661378</v>
      </c>
      <c r="Q36" s="36" t="inlineStr">
        <is>
          <t>KCC</t>
        </is>
      </c>
      <c r="R36" s="17" t="n">
        <v>0.05829999923706055</v>
      </c>
      <c r="S36" s="36" t="inlineStr">
        <is>
          <t>GS건설</t>
        </is>
      </c>
      <c r="T36" s="17" t="n">
        <v>0.05619999885559082</v>
      </c>
      <c r="U36" s="36" t="inlineStr">
        <is>
          <t>DL</t>
        </is>
      </c>
      <c r="V36" s="17" t="n">
        <v>0.0175</v>
      </c>
      <c r="W36" s="20" t="inlineStr">
        <is>
          <t>한일시멘트</t>
        </is>
      </c>
      <c r="X36" s="21" t="n">
        <v>0.008999999761581421</v>
      </c>
    </row>
    <row r="37" ht="16" customHeight="1">
      <c r="A37" s="36" t="inlineStr">
        <is>
          <t>SOL 2차전지소부장Fn</t>
        </is>
      </c>
      <c r="B37" s="15" t="inlineStr">
        <is>
          <t>455860</t>
        </is>
      </c>
      <c r="C37" s="36" t="inlineStr">
        <is>
          <t>신한자산운용</t>
        </is>
      </c>
      <c r="D37" s="19" t="n">
        <v>1933</v>
      </c>
      <c r="E37" s="20" t="inlineStr">
        <is>
          <t>POSCO홀딩스</t>
        </is>
      </c>
      <c r="F37" s="21" t="n">
        <v>0.2346999931335449</v>
      </c>
      <c r="G37" s="20" t="inlineStr">
        <is>
          <t>LG화학</t>
        </is>
      </c>
      <c r="H37" s="21" t="n">
        <v>0.1679999923706055</v>
      </c>
      <c r="I37" s="36" t="inlineStr">
        <is>
          <t>에코프로</t>
        </is>
      </c>
      <c r="J37" s="17" t="n">
        <v>0.1606999969482422</v>
      </c>
      <c r="K37" s="36" t="inlineStr">
        <is>
          <t>에코프로비엠</t>
        </is>
      </c>
      <c r="L37" s="17" t="n">
        <v>0.1218000030517578</v>
      </c>
      <c r="M37" s="36" t="inlineStr">
        <is>
          <t>포스코퓨처엠</t>
        </is>
      </c>
      <c r="N37" s="17" t="n">
        <v>0.09359999656677247</v>
      </c>
      <c r="O37" s="36" t="inlineStr">
        <is>
          <t>엘앤에프</t>
        </is>
      </c>
      <c r="P37" s="17" t="n">
        <v>0.06139999866485596</v>
      </c>
      <c r="Q37" s="36" t="inlineStr">
        <is>
          <t>에코프로머티</t>
        </is>
      </c>
      <c r="R37" s="17" t="n">
        <v>0.03140000104904175</v>
      </c>
      <c r="S37" s="36" t="inlineStr">
        <is>
          <t>이수스페셜티케미컬</t>
        </is>
      </c>
      <c r="T37" s="17" t="n">
        <v>0.02559999942779541</v>
      </c>
      <c r="U37" s="36" t="inlineStr">
        <is>
          <t>롯데에너지머티리얼즈</t>
        </is>
      </c>
      <c r="V37" s="17" t="n">
        <v>0.01809999942779541</v>
      </c>
      <c r="W37" s="36" t="inlineStr">
        <is>
          <t>대주전자재료</t>
        </is>
      </c>
      <c r="X37" s="17" t="n">
        <v>0.01789999961853027</v>
      </c>
    </row>
    <row r="38" ht="16" customHeight="1">
      <c r="A38" s="36" t="inlineStr">
        <is>
          <t>TIGER 헬스케어</t>
        </is>
      </c>
      <c r="B38" s="15" t="inlineStr">
        <is>
          <t>143860</t>
        </is>
      </c>
      <c r="C38" s="36" t="inlineStr">
        <is>
          <t>미래에셋자산운용</t>
        </is>
      </c>
      <c r="D38" s="19" t="n">
        <v>1883</v>
      </c>
      <c r="E38" s="22" t="inlineStr">
        <is>
          <t>셀트리온</t>
        </is>
      </c>
      <c r="F38" s="23" t="n">
        <v>0.1977000045776367</v>
      </c>
      <c r="G38" s="36" t="inlineStr">
        <is>
          <t>알테오젠</t>
        </is>
      </c>
      <c r="H38" s="17" t="n">
        <v>0.1005000019073486</v>
      </c>
      <c r="I38" s="20" t="inlineStr">
        <is>
          <t>삼성바이오로직스</t>
        </is>
      </c>
      <c r="J38" s="21" t="n">
        <v>0.1</v>
      </c>
      <c r="K38" s="36" t="inlineStr">
        <is>
          <t>HLB</t>
        </is>
      </c>
      <c r="L38" s="17" t="n">
        <v>0.04710000038146973</v>
      </c>
      <c r="M38" s="36" t="inlineStr">
        <is>
          <t>펩트론</t>
        </is>
      </c>
      <c r="N38" s="17" t="n">
        <v>0.03789999961853027</v>
      </c>
      <c r="O38" s="36" t="inlineStr">
        <is>
          <t>삼천당제약</t>
        </is>
      </c>
      <c r="P38" s="17" t="n">
        <v>0.03710000038146972</v>
      </c>
      <c r="Q38" s="36" t="inlineStr">
        <is>
          <t>에이비엘바이오</t>
        </is>
      </c>
      <c r="R38" s="17" t="n">
        <v>0.03619999885559082</v>
      </c>
      <c r="S38" s="36" t="inlineStr">
        <is>
          <t>유한양행</t>
        </is>
      </c>
      <c r="T38" s="17" t="n">
        <v>0.03569999933242798</v>
      </c>
      <c r="U38" s="36" t="inlineStr">
        <is>
          <t>리가켐바이오</t>
        </is>
      </c>
      <c r="V38" s="17" t="n">
        <v>0.03069999933242798</v>
      </c>
      <c r="W38" s="36" t="inlineStr">
        <is>
          <t>보로노이</t>
        </is>
      </c>
      <c r="X38" s="17" t="n">
        <v>0.02069999933242798</v>
      </c>
    </row>
    <row r="39" ht="16" customHeight="1">
      <c r="A39" s="36" t="inlineStr">
        <is>
          <t>HANARO CAPEX설비투자iSelect</t>
        </is>
      </c>
      <c r="B39" s="15" t="inlineStr">
        <is>
          <t>454320</t>
        </is>
      </c>
      <c r="C39" s="36" t="inlineStr">
        <is>
          <t>엔에이치아문디자산운용</t>
        </is>
      </c>
      <c r="D39" s="19" t="n">
        <v>1802</v>
      </c>
      <c r="E39" s="36" t="inlineStr">
        <is>
          <t>LS ELECTRIC</t>
        </is>
      </c>
      <c r="F39" s="17" t="n">
        <v>0.1629000091552734</v>
      </c>
      <c r="G39" s="36" t="inlineStr">
        <is>
          <t>LS</t>
        </is>
      </c>
      <c r="H39" s="17" t="n">
        <v>0.1326000022888184</v>
      </c>
      <c r="I39" s="36" t="inlineStr">
        <is>
          <t>효성중공업</t>
        </is>
      </c>
      <c r="J39" s="17" t="n">
        <v>0.1147999954223633</v>
      </c>
      <c r="K39" s="20" t="inlineStr">
        <is>
          <t>두산에너빌리티</t>
        </is>
      </c>
      <c r="L39" s="21" t="n">
        <v>0.08680000305175781</v>
      </c>
      <c r="M39" s="36" t="inlineStr">
        <is>
          <t>HD현대일렉트릭</t>
        </is>
      </c>
      <c r="N39" s="17" t="n">
        <v>0.0859000015258789</v>
      </c>
      <c r="O39" s="36" t="inlineStr">
        <is>
          <t>HD건설기계</t>
        </is>
      </c>
      <c r="P39" s="17" t="n">
        <v>0.08140000343322754</v>
      </c>
      <c r="Q39" s="36" t="inlineStr">
        <is>
          <t>산일전기</t>
        </is>
      </c>
      <c r="R39" s="17" t="n">
        <v>0.05710000038146973</v>
      </c>
      <c r="S39" s="36" t="inlineStr">
        <is>
          <t>두산밥캣</t>
        </is>
      </c>
      <c r="T39" s="17" t="n">
        <v>0.05530000209808349</v>
      </c>
      <c r="U39" s="36" t="inlineStr">
        <is>
          <t>한전기술</t>
        </is>
      </c>
      <c r="V39" s="17" t="n">
        <v>0.0453000020980835</v>
      </c>
      <c r="W39" s="36" t="inlineStr">
        <is>
          <t>에스피지</t>
        </is>
      </c>
      <c r="X39" s="17" t="n">
        <v>0.02700000047683716</v>
      </c>
    </row>
    <row r="40" ht="16" customHeight="1">
      <c r="A40" s="36" t="inlineStr">
        <is>
          <t>MIDAS 코스피액티브</t>
        </is>
      </c>
      <c r="B40" s="15" t="inlineStr">
        <is>
          <t>403790</t>
        </is>
      </c>
      <c r="C40" s="36" t="inlineStr">
        <is>
          <t>마이다스에셋자산운용</t>
        </is>
      </c>
      <c r="D40" s="19" t="n">
        <v>1721</v>
      </c>
      <c r="E40" s="20" t="inlineStr">
        <is>
          <t>삼성전자</t>
        </is>
      </c>
      <c r="F40" s="21" t="n">
        <v>0.25</v>
      </c>
      <c r="G40" s="22" t="inlineStr">
        <is>
          <t>SK하이닉스</t>
        </is>
      </c>
      <c r="H40" s="23" t="n">
        <v>0.1772999954223633</v>
      </c>
      <c r="I40" s="36" t="inlineStr">
        <is>
          <t>원화현금</t>
        </is>
      </c>
      <c r="J40" s="17" t="n">
        <v>0.03420000076293946</v>
      </c>
      <c r="K40" s="36" t="inlineStr">
        <is>
          <t>LG에너지솔루션</t>
        </is>
      </c>
      <c r="L40" s="17" t="n">
        <v>0.01850000023841858</v>
      </c>
      <c r="M40" s="20" t="inlineStr">
        <is>
          <t>현대차</t>
        </is>
      </c>
      <c r="N40" s="21" t="n">
        <v>0.01720000028610229</v>
      </c>
      <c r="O40" s="20" t="inlineStr">
        <is>
          <t>SK스퀘어</t>
        </is>
      </c>
      <c r="P40" s="21" t="n">
        <v>0.01490000009536743</v>
      </c>
      <c r="Q40" s="36" t="inlineStr">
        <is>
          <t>현대차우</t>
        </is>
      </c>
      <c r="R40" s="17" t="n">
        <v>0.01450000047683716</v>
      </c>
      <c r="S40" s="22" t="inlineStr">
        <is>
          <t>기아</t>
        </is>
      </c>
      <c r="T40" s="23" t="n">
        <v>0.01389999985694885</v>
      </c>
      <c r="U40" s="36" t="inlineStr">
        <is>
          <t>KB금융</t>
        </is>
      </c>
      <c r="V40" s="17" t="n">
        <v>0.01379999995231628</v>
      </c>
      <c r="W40" s="36" t="inlineStr">
        <is>
          <t>HD현대중공업</t>
        </is>
      </c>
      <c r="X40" s="17" t="n">
        <v>0.01240000009536743</v>
      </c>
    </row>
    <row r="41" ht="16" customHeight="1">
      <c r="A41" s="36" t="inlineStr">
        <is>
          <t>UNICORN SK하이닉스밸류체인액티브</t>
        </is>
      </c>
      <c r="B41" s="15" t="inlineStr">
        <is>
          <t>494220</t>
        </is>
      </c>
      <c r="C41" s="36" t="inlineStr">
        <is>
          <t>현대자산운용</t>
        </is>
      </c>
      <c r="D41" s="19" t="n">
        <v>1686</v>
      </c>
      <c r="E41" s="20" t="inlineStr">
        <is>
          <t>SK스퀘어</t>
        </is>
      </c>
      <c r="F41" s="21" t="n">
        <v>0.26</v>
      </c>
      <c r="G41" s="22" t="inlineStr">
        <is>
          <t>SK하이닉스</t>
        </is>
      </c>
      <c r="H41" s="23" t="n">
        <v>0.2425</v>
      </c>
      <c r="I41" s="36" t="inlineStr">
        <is>
          <t>티씨케이</t>
        </is>
      </c>
      <c r="J41" s="17" t="n">
        <v>0.04190000057220459</v>
      </c>
      <c r="K41" s="36" t="inlineStr">
        <is>
          <t>피에스케이홀딩스</t>
        </is>
      </c>
      <c r="L41" s="17" t="n">
        <v>0.04119999885559082</v>
      </c>
      <c r="M41" s="36" t="inlineStr">
        <is>
          <t>브이엠</t>
        </is>
      </c>
      <c r="N41" s="17" t="n">
        <v>0.04010000228881836</v>
      </c>
      <c r="O41" s="36" t="inlineStr">
        <is>
          <t>두산</t>
        </is>
      </c>
      <c r="P41" s="17" t="n">
        <v>0.03950000047683716</v>
      </c>
      <c r="Q41" s="36" t="inlineStr">
        <is>
          <t>덕산하이메탈</t>
        </is>
      </c>
      <c r="R41" s="17" t="n">
        <v>0.03880000114440918</v>
      </c>
      <c r="S41" s="36" t="inlineStr">
        <is>
          <t>샘씨엔에스</t>
        </is>
      </c>
      <c r="T41" s="17" t="n">
        <v>0.03740000009536743</v>
      </c>
      <c r="U41" s="36" t="inlineStr">
        <is>
          <t>피에스케이</t>
        </is>
      </c>
      <c r="V41" s="17" t="n">
        <v>0.03589999914169312</v>
      </c>
      <c r="W41" s="36" t="inlineStr">
        <is>
          <t>오킨스전자</t>
        </is>
      </c>
      <c r="X41" s="17" t="n">
        <v>0.03380000114440918</v>
      </c>
    </row>
    <row r="42" ht="16" customHeight="1">
      <c r="A42" s="36" t="inlineStr">
        <is>
          <t>KODEX 성장주</t>
        </is>
      </c>
      <c r="B42" s="15" t="inlineStr">
        <is>
          <t>325010</t>
        </is>
      </c>
      <c r="C42" s="36" t="inlineStr">
        <is>
          <t>삼성자산운용</t>
        </is>
      </c>
      <c r="D42" s="19" t="n">
        <v>1684</v>
      </c>
      <c r="E42" s="22" t="inlineStr">
        <is>
          <t>SK하이닉스</t>
        </is>
      </c>
      <c r="F42" s="23" t="n">
        <v>0.2893000030517578</v>
      </c>
      <c r="G42" s="20" t="inlineStr">
        <is>
          <t>삼성전자</t>
        </is>
      </c>
      <c r="H42" s="21" t="n">
        <v>0.243799991607666</v>
      </c>
      <c r="I42" s="20" t="inlineStr">
        <is>
          <t>SK스퀘어</t>
        </is>
      </c>
      <c r="J42" s="21" t="n">
        <v>0.06050000190734863</v>
      </c>
      <c r="K42" s="36" t="inlineStr">
        <is>
          <t>삼성전기</t>
        </is>
      </c>
      <c r="L42" s="17" t="n">
        <v>0.05570000171661377</v>
      </c>
      <c r="M42" s="36" t="inlineStr">
        <is>
          <t>한화에어로스페이스</t>
        </is>
      </c>
      <c r="N42" s="17" t="n">
        <v>0.01600000023841858</v>
      </c>
      <c r="O42" s="20" t="inlineStr">
        <is>
          <t>두산에너빌리티</t>
        </is>
      </c>
      <c r="P42" s="21" t="n">
        <v>0.01580000042915344</v>
      </c>
      <c r="Q42" s="36" t="inlineStr">
        <is>
          <t>삼성SDI</t>
        </is>
      </c>
      <c r="R42" s="17" t="n">
        <v>0.01389999985694885</v>
      </c>
      <c r="S42" s="22" t="inlineStr">
        <is>
          <t>셀트리온</t>
        </is>
      </c>
      <c r="T42" s="23" t="n">
        <v>0.01159999966621399</v>
      </c>
      <c r="U42" s="36" t="inlineStr">
        <is>
          <t>HD현대일렉트릭</t>
        </is>
      </c>
      <c r="V42" s="17" t="n">
        <v>0.009900000095367432</v>
      </c>
      <c r="W42" s="36" t="inlineStr">
        <is>
          <t>HD현대중공업</t>
        </is>
      </c>
      <c r="X42" s="17" t="n">
        <v>0.009100000262260438</v>
      </c>
    </row>
    <row r="43" ht="16" customHeight="1">
      <c r="A43" s="36" t="inlineStr">
        <is>
          <t>KODEX 배당가치</t>
        </is>
      </c>
      <c r="B43" s="15" t="inlineStr">
        <is>
          <t>325020</t>
        </is>
      </c>
      <c r="C43" s="36" t="inlineStr">
        <is>
          <t>삼성자산운용</t>
        </is>
      </c>
      <c r="D43" s="19" t="n">
        <v>1611</v>
      </c>
      <c r="E43" s="20" t="inlineStr">
        <is>
          <t>삼성전자</t>
        </is>
      </c>
      <c r="F43" s="21" t="n">
        <v>0.2520999908447266</v>
      </c>
      <c r="G43" s="20" t="inlineStr">
        <is>
          <t>현대차</t>
        </is>
      </c>
      <c r="H43" s="21" t="n">
        <v>0.09890000343322754</v>
      </c>
      <c r="I43" s="36" t="inlineStr">
        <is>
          <t>KB금융</t>
        </is>
      </c>
      <c r="J43" s="17" t="n">
        <v>0.05610000133514404</v>
      </c>
      <c r="K43" s="36" t="inlineStr">
        <is>
          <t>현대모비스</t>
        </is>
      </c>
      <c r="L43" s="17" t="n">
        <v>0.04579999923706055</v>
      </c>
      <c r="M43" s="36" t="inlineStr">
        <is>
          <t>신한지주</t>
        </is>
      </c>
      <c r="N43" s="17" t="n">
        <v>0.04369999885559082</v>
      </c>
      <c r="O43" s="22" t="inlineStr">
        <is>
          <t>기아</t>
        </is>
      </c>
      <c r="P43" s="23" t="n">
        <v>0.0434000015258789</v>
      </c>
      <c r="Q43" s="20" t="inlineStr">
        <is>
          <t>삼성생명</t>
        </is>
      </c>
      <c r="R43" s="21" t="n">
        <v>0.03839999914169311</v>
      </c>
      <c r="S43" s="36" t="inlineStr">
        <is>
          <t>하나금융지주</t>
        </is>
      </c>
      <c r="T43" s="17" t="n">
        <v>0.03240000009536743</v>
      </c>
      <c r="U43" s="20" t="inlineStr">
        <is>
          <t>POSCO홀딩스</t>
        </is>
      </c>
      <c r="V43" s="21" t="n">
        <v>0.02789999961853027</v>
      </c>
      <c r="W43" s="22" t="inlineStr">
        <is>
          <t>삼성화재</t>
        </is>
      </c>
      <c r="X43" s="23" t="n">
        <v>0.02279999971389771</v>
      </c>
    </row>
    <row r="44" ht="16" customHeight="1">
      <c r="A44" s="36" t="inlineStr">
        <is>
          <t>RISE IT플러스</t>
        </is>
      </c>
      <c r="B44" s="15" t="inlineStr">
        <is>
          <t>326240</t>
        </is>
      </c>
      <c r="C44" s="36" t="inlineStr">
        <is>
          <t>케이비자산운용</t>
        </is>
      </c>
      <c r="D44" s="19" t="n">
        <v>1450</v>
      </c>
      <c r="E44" s="20" t="inlineStr">
        <is>
          <t>삼성전자</t>
        </is>
      </c>
      <c r="F44" s="21" t="n">
        <v>0.3377000045776367</v>
      </c>
      <c r="G44" s="22" t="inlineStr">
        <is>
          <t>SK하이닉스</t>
        </is>
      </c>
      <c r="H44" s="23" t="n">
        <v>0.1704000091552734</v>
      </c>
      <c r="I44" s="36" t="inlineStr">
        <is>
          <t>삼성전기</t>
        </is>
      </c>
      <c r="J44" s="17" t="n">
        <v>0.1152999973297119</v>
      </c>
      <c r="K44" s="36" t="inlineStr">
        <is>
          <t>삼성SDI</t>
        </is>
      </c>
      <c r="L44" s="17" t="n">
        <v>0.03930000066757202</v>
      </c>
      <c r="M44" s="20" t="inlineStr">
        <is>
          <t>NAVER</t>
        </is>
      </c>
      <c r="N44" s="21" t="n">
        <v>0.03920000076293945</v>
      </c>
      <c r="O44" s="22" t="inlineStr">
        <is>
          <t>한미반도체</t>
        </is>
      </c>
      <c r="P44" s="23" t="n">
        <v>0.01860000014305115</v>
      </c>
      <c r="Q44" s="36" t="inlineStr">
        <is>
          <t>LG이노텍</t>
        </is>
      </c>
      <c r="R44" s="17" t="n">
        <v>0.01809999942779541</v>
      </c>
      <c r="S44" s="36" t="inlineStr">
        <is>
          <t>LG에너지솔루션</t>
        </is>
      </c>
      <c r="T44" s="17" t="n">
        <v>0.01730000019073486</v>
      </c>
      <c r="U44" s="22" t="inlineStr">
        <is>
          <t>카카오</t>
        </is>
      </c>
      <c r="V44" s="23" t="n">
        <v>0.01659999966621399</v>
      </c>
      <c r="W44" s="36" t="inlineStr">
        <is>
          <t>에코프로</t>
        </is>
      </c>
      <c r="X44" s="17" t="n">
        <v>0.01379999995231628</v>
      </c>
    </row>
    <row r="45" ht="16" customHeight="1">
      <c r="A45" s="36" t="inlineStr">
        <is>
          <t>SOL K방산</t>
        </is>
      </c>
      <c r="B45" s="15" t="inlineStr">
        <is>
          <t>490480</t>
        </is>
      </c>
      <c r="C45" s="36" t="inlineStr">
        <is>
          <t>신한자산운용</t>
        </is>
      </c>
      <c r="D45" s="19" t="n">
        <v>1419</v>
      </c>
      <c r="E45" s="36" t="inlineStr">
        <is>
          <t>한화에어로스페이스</t>
        </is>
      </c>
      <c r="F45" s="17" t="n">
        <v>0.2285000038146973</v>
      </c>
      <c r="G45" s="36" t="inlineStr">
        <is>
          <t>LIG디펜스앤에어로스페이스</t>
        </is>
      </c>
      <c r="H45" s="17" t="n">
        <v>0.1688999938964844</v>
      </c>
      <c r="I45" s="36" t="inlineStr">
        <is>
          <t>HD현대중공업</t>
        </is>
      </c>
      <c r="J45" s="17" t="n">
        <v>0.1530000019073486</v>
      </c>
      <c r="K45" s="36" t="inlineStr">
        <is>
          <t>한화오션</t>
        </is>
      </c>
      <c r="L45" s="17" t="n">
        <v>0.1285000038146973</v>
      </c>
      <c r="M45" s="36" t="inlineStr">
        <is>
          <t>한국항공우주</t>
        </is>
      </c>
      <c r="N45" s="17" t="n">
        <v>0.1240999984741211</v>
      </c>
      <c r="O45" s="36" t="inlineStr">
        <is>
          <t>현대로템</t>
        </is>
      </c>
      <c r="P45" s="17" t="n">
        <v>0.0759000015258789</v>
      </c>
      <c r="Q45" s="36" t="inlineStr">
        <is>
          <t>한화시스템</t>
        </is>
      </c>
      <c r="R45" s="17" t="n">
        <v>0.04719999790191651</v>
      </c>
      <c r="S45" s="36" t="inlineStr">
        <is>
          <t>풍산</t>
        </is>
      </c>
      <c r="T45" s="17" t="n">
        <v>0.03289999961853027</v>
      </c>
      <c r="U45" s="36" t="inlineStr">
        <is>
          <t>쎄트렉아이</t>
        </is>
      </c>
      <c r="V45" s="17" t="n">
        <v>0.02710000038146973</v>
      </c>
      <c r="W45" s="36" t="inlineStr">
        <is>
          <t>인텔리안테크</t>
        </is>
      </c>
      <c r="X45" s="17" t="n">
        <v>0.01460000038146973</v>
      </c>
    </row>
    <row r="46" ht="16" customHeight="1">
      <c r="A46" s="36" t="inlineStr">
        <is>
          <t>KODEX 200IT TR</t>
        </is>
      </c>
      <c r="B46" s="15" t="inlineStr">
        <is>
          <t>363580</t>
        </is>
      </c>
      <c r="C46" s="36" t="inlineStr">
        <is>
          <t>삼성자산운용</t>
        </is>
      </c>
      <c r="D46" s="19" t="n">
        <v>1407</v>
      </c>
      <c r="E46" s="22" t="inlineStr">
        <is>
          <t>SK하이닉스</t>
        </is>
      </c>
      <c r="F46" s="23" t="n">
        <v>0.2260000038146973</v>
      </c>
      <c r="G46" s="20" t="inlineStr">
        <is>
          <t>SK스퀘어</t>
        </is>
      </c>
      <c r="H46" s="21" t="n">
        <v>0.2082999992370606</v>
      </c>
      <c r="I46" s="20" t="inlineStr">
        <is>
          <t>삼성전자</t>
        </is>
      </c>
      <c r="J46" s="21" t="n">
        <v>0.1805999946594238</v>
      </c>
      <c r="K46" s="36" t="inlineStr">
        <is>
          <t>삼성전기</t>
        </is>
      </c>
      <c r="L46" s="17" t="n">
        <v>0.1165999984741211</v>
      </c>
      <c r="M46" s="36" t="inlineStr">
        <is>
          <t>삼성SDI</t>
        </is>
      </c>
      <c r="N46" s="17" t="n">
        <v>0.09770000457763672</v>
      </c>
      <c r="O46" s="22" t="inlineStr">
        <is>
          <t>한미반도체</t>
        </is>
      </c>
      <c r="P46" s="23" t="n">
        <v>0.03609999895095825</v>
      </c>
      <c r="Q46" s="36" t="inlineStr">
        <is>
          <t>LG전자</t>
        </is>
      </c>
      <c r="R46" s="17" t="n">
        <v>0.03539999961853027</v>
      </c>
      <c r="S46" s="36" t="inlineStr">
        <is>
          <t>LG</t>
        </is>
      </c>
      <c r="T46" s="17" t="n">
        <v>0.02140000104904175</v>
      </c>
      <c r="U46" s="36" t="inlineStr">
        <is>
          <t>LG이노텍</t>
        </is>
      </c>
      <c r="V46" s="17" t="n">
        <v>0.01940000057220459</v>
      </c>
      <c r="W46" s="36" t="inlineStr">
        <is>
          <t>이수페타시스</t>
        </is>
      </c>
      <c r="X46" s="17" t="n">
        <v>0.01860000014305115</v>
      </c>
    </row>
    <row r="47" ht="16" customHeight="1">
      <c r="A47" s="36" t="inlineStr">
        <is>
          <t>ACE KPOP포커스</t>
        </is>
      </c>
      <c r="B47" s="15" t="inlineStr">
        <is>
          <t>475050</t>
        </is>
      </c>
      <c r="C47" s="36" t="inlineStr">
        <is>
          <t>한국투자신탁운용</t>
        </is>
      </c>
      <c r="D47" s="19" t="n">
        <v>1387</v>
      </c>
      <c r="E47" s="36" t="inlineStr">
        <is>
          <t>에스엠</t>
        </is>
      </c>
      <c r="F47" s="17" t="n">
        <v>0.2773999977111816</v>
      </c>
      <c r="G47" s="36" t="inlineStr">
        <is>
          <t>JYP Ent.</t>
        </is>
      </c>
      <c r="H47" s="17" t="n">
        <v>0.2679000091552735</v>
      </c>
      <c r="I47" s="20" t="inlineStr">
        <is>
          <t>하이브</t>
        </is>
      </c>
      <c r="J47" s="21" t="n">
        <v>0.2064999961853027</v>
      </c>
      <c r="K47" s="36" t="inlineStr">
        <is>
          <t>와이지엔터테인먼트</t>
        </is>
      </c>
      <c r="L47" s="17" t="n">
        <v>0.1934000015258789</v>
      </c>
      <c r="M47" s="36" t="inlineStr">
        <is>
          <t>노머스</t>
        </is>
      </c>
      <c r="N47" s="17" t="n">
        <v>0.009100000262260438</v>
      </c>
      <c r="O47" s="36" t="inlineStr">
        <is>
          <t>드림어스컴퍼니</t>
        </is>
      </c>
      <c r="P47" s="17" t="n">
        <v>0.009100000262260438</v>
      </c>
      <c r="Q47" s="36" t="inlineStr">
        <is>
          <t>큐브엔터</t>
        </is>
      </c>
      <c r="R47" s="17" t="n">
        <v>0.008799999952316284</v>
      </c>
      <c r="S47" s="36" t="inlineStr">
        <is>
          <t>CJ ENM</t>
        </is>
      </c>
      <c r="T47" s="17" t="n">
        <v>0.008100000023841859</v>
      </c>
      <c r="U47" s="36" t="inlineStr">
        <is>
          <t>YG PLUS</t>
        </is>
      </c>
      <c r="V47" s="17" t="n">
        <v>0.007900000214576722</v>
      </c>
      <c r="W47" s="36" t="inlineStr">
        <is>
          <t>디어유</t>
        </is>
      </c>
      <c r="X47" s="17" t="n">
        <v>0.007799999713897705</v>
      </c>
    </row>
    <row r="48" ht="16" customHeight="1">
      <c r="A48" s="36" t="inlineStr">
        <is>
          <t>PLUS 코스피TR</t>
        </is>
      </c>
      <c r="B48" s="15" t="inlineStr">
        <is>
          <t>328370</t>
        </is>
      </c>
      <c r="C48" s="36" t="inlineStr">
        <is>
          <t>한화자산운용</t>
        </is>
      </c>
      <c r="D48" s="19" t="n">
        <v>1351</v>
      </c>
      <c r="E48" s="20" t="inlineStr">
        <is>
          <t>삼성전자</t>
        </is>
      </c>
      <c r="F48" s="21" t="n">
        <v>0.2452000045776367</v>
      </c>
      <c r="G48" s="22" t="inlineStr">
        <is>
          <t>SK하이닉스</t>
        </is>
      </c>
      <c r="H48" s="23" t="n">
        <v>0.1881999969482422</v>
      </c>
      <c r="I48" s="20" t="inlineStr">
        <is>
          <t>SK스퀘어</t>
        </is>
      </c>
      <c r="J48" s="21" t="n">
        <v>0.02400000095367432</v>
      </c>
      <c r="K48" s="20" t="inlineStr">
        <is>
          <t>현대차</t>
        </is>
      </c>
      <c r="L48" s="21" t="n">
        <v>0.02019999980926514</v>
      </c>
      <c r="M48" s="36" t="inlineStr">
        <is>
          <t>LG에너지솔루션</t>
        </is>
      </c>
      <c r="N48" s="17" t="n">
        <v>0.02019999980926514</v>
      </c>
      <c r="O48" s="20" t="inlineStr">
        <is>
          <t>두산에너빌리티</t>
        </is>
      </c>
      <c r="P48" s="21" t="n">
        <v>0.01460000038146973</v>
      </c>
      <c r="Q48" s="36" t="inlineStr">
        <is>
          <t>한화에어로스페이스</t>
        </is>
      </c>
      <c r="R48" s="17" t="n">
        <v>0.01419999957084656</v>
      </c>
      <c r="S48" s="36" t="inlineStr">
        <is>
          <t>HD현대중공업</t>
        </is>
      </c>
      <c r="T48" s="17" t="n">
        <v>0.01330000042915344</v>
      </c>
      <c r="U48" s="20" t="inlineStr">
        <is>
          <t>삼성바이오로직스</t>
        </is>
      </c>
      <c r="V48" s="21" t="n">
        <v>0.01299999952316284</v>
      </c>
      <c r="W48" s="36" t="inlineStr">
        <is>
          <t>삼성전기</t>
        </is>
      </c>
      <c r="X48" s="17" t="n">
        <v>0.0127999997138977</v>
      </c>
    </row>
    <row r="49" ht="16" customHeight="1">
      <c r="A49" s="36" t="inlineStr">
        <is>
          <t>ACE 포스코그룹포커스</t>
        </is>
      </c>
      <c r="B49" s="15" t="inlineStr">
        <is>
          <t>469170</t>
        </is>
      </c>
      <c r="C49" s="36" t="inlineStr">
        <is>
          <t>한국투자신탁운용</t>
        </is>
      </c>
      <c r="D49" s="19" t="n">
        <v>1223</v>
      </c>
      <c r="E49" s="20" t="inlineStr">
        <is>
          <t>POSCO홀딩스</t>
        </is>
      </c>
      <c r="F49" s="21" t="n">
        <v>0.2910000038146973</v>
      </c>
      <c r="G49" s="36" t="inlineStr">
        <is>
          <t>포스코퓨처엠</t>
        </is>
      </c>
      <c r="H49" s="17" t="n">
        <v>0.2536000061035156</v>
      </c>
      <c r="I49" s="22" t="inlineStr">
        <is>
          <t>포스코인터내셔널</t>
        </is>
      </c>
      <c r="J49" s="23" t="n">
        <v>0.2207999992370605</v>
      </c>
      <c r="K49" s="36" t="inlineStr">
        <is>
          <t>포스코DX</t>
        </is>
      </c>
      <c r="L49" s="17" t="n">
        <v>0.1348999977111816</v>
      </c>
      <c r="M49" s="36" t="inlineStr">
        <is>
          <t>포스코엠텍</t>
        </is>
      </c>
      <c r="N49" s="17" t="n">
        <v>0.03160000085830689</v>
      </c>
      <c r="O49" s="36" t="inlineStr">
        <is>
          <t>포스코스틸리온</t>
        </is>
      </c>
      <c r="P49" s="17" t="n">
        <v>0.01600000023841858</v>
      </c>
      <c r="Q49" s="20" t="inlineStr">
        <is>
          <t>HD현대마린솔루션</t>
        </is>
      </c>
      <c r="R49" s="21" t="n">
        <v>0.01490000009536743</v>
      </c>
      <c r="S49" s="36" t="inlineStr">
        <is>
          <t>LG에너지솔루션</t>
        </is>
      </c>
      <c r="T49" s="17" t="n">
        <v>0.01259999990463257</v>
      </c>
      <c r="U49" s="36" t="inlineStr">
        <is>
          <t>LX인터내셔널</t>
        </is>
      </c>
      <c r="V49" s="17" t="n">
        <v>0.01200000047683716</v>
      </c>
      <c r="W49" s="36" t="inlineStr">
        <is>
          <t>현대제철</t>
        </is>
      </c>
      <c r="X49" s="17" t="n">
        <v>0.01139999985694885</v>
      </c>
    </row>
    <row r="50" ht="16" customHeight="1">
      <c r="A50" s="36" t="inlineStr">
        <is>
          <t>TIGER 삼성그룹</t>
        </is>
      </c>
      <c r="B50" s="15" t="inlineStr">
        <is>
          <t>138520</t>
        </is>
      </c>
      <c r="C50" s="36" t="inlineStr">
        <is>
          <t>미래에셋자산운용</t>
        </is>
      </c>
      <c r="D50" s="19" t="n">
        <v>1189</v>
      </c>
      <c r="E50" s="20" t="inlineStr">
        <is>
          <t>삼성전자</t>
        </is>
      </c>
      <c r="F50" s="21" t="n">
        <v>0.3128000068664551</v>
      </c>
      <c r="G50" s="36" t="inlineStr">
        <is>
          <t>삼성SDI</t>
        </is>
      </c>
      <c r="H50" s="17" t="n">
        <v>0.1357999992370605</v>
      </c>
      <c r="I50" s="36" t="inlineStr">
        <is>
          <t>삼성전기</t>
        </is>
      </c>
      <c r="J50" s="17" t="n">
        <v>0.1228999996185303</v>
      </c>
      <c r="K50" s="20" t="inlineStr">
        <is>
          <t>삼성물산</t>
        </is>
      </c>
      <c r="L50" s="21" t="n">
        <v>0.1222000026702881</v>
      </c>
      <c r="M50" s="20" t="inlineStr">
        <is>
          <t>삼성생명</t>
        </is>
      </c>
      <c r="N50" s="21" t="n">
        <v>0.07010000228881835</v>
      </c>
      <c r="O50" s="22" t="inlineStr">
        <is>
          <t>삼성E&amp;A</t>
        </is>
      </c>
      <c r="P50" s="23" t="n">
        <v>0.04920000076293946</v>
      </c>
      <c r="Q50" s="22" t="inlineStr">
        <is>
          <t>삼성화재</t>
        </is>
      </c>
      <c r="R50" s="23" t="n">
        <v>0.04559999942779541</v>
      </c>
      <c r="S50" s="36" t="inlineStr">
        <is>
          <t>삼성중공업</t>
        </is>
      </c>
      <c r="T50" s="17" t="n">
        <v>0.04190000057220459</v>
      </c>
      <c r="U50" s="36" t="inlineStr">
        <is>
          <t>삼성증권</t>
        </is>
      </c>
      <c r="V50" s="17" t="n">
        <v>0.02619999885559082</v>
      </c>
      <c r="W50" s="36" t="inlineStr">
        <is>
          <t>삼성에스디에스</t>
        </is>
      </c>
      <c r="X50" s="17" t="n">
        <v>0.02240000009536743</v>
      </c>
    </row>
    <row r="51" ht="16" customHeight="1">
      <c r="A51" s="36" t="inlineStr">
        <is>
          <t>ACE 라이프자산주주가치액티브</t>
        </is>
      </c>
      <c r="B51" s="15" t="inlineStr">
        <is>
          <t>494330</t>
        </is>
      </c>
      <c r="C51" s="36" t="inlineStr">
        <is>
          <t>한국투자신탁운용</t>
        </is>
      </c>
      <c r="D51" s="19" t="n">
        <v>1142</v>
      </c>
      <c r="E51" s="20" t="inlineStr">
        <is>
          <t>삼성전자</t>
        </is>
      </c>
      <c r="F51" s="21" t="n">
        <v>0.2646999931335449</v>
      </c>
      <c r="G51" s="20" t="inlineStr">
        <is>
          <t>SK스퀘어</t>
        </is>
      </c>
      <c r="H51" s="21" t="n">
        <v>0.1182999992370605</v>
      </c>
      <c r="I51" s="22" t="inlineStr">
        <is>
          <t>SK하이닉스</t>
        </is>
      </c>
      <c r="J51" s="23" t="n">
        <v>0.08970000267028809</v>
      </c>
      <c r="K51" s="20" t="inlineStr">
        <is>
          <t>삼성물산</t>
        </is>
      </c>
      <c r="L51" s="21" t="n">
        <v>0.05869999885559082</v>
      </c>
      <c r="M51" s="36" t="inlineStr">
        <is>
          <t>한국금융지주</t>
        </is>
      </c>
      <c r="N51" s="17" t="n">
        <v>0.05130000114440918</v>
      </c>
      <c r="O51" s="36" t="inlineStr">
        <is>
          <t>HD건설기계</t>
        </is>
      </c>
      <c r="P51" s="17" t="n">
        <v>0.04110000133514404</v>
      </c>
      <c r="Q51" s="36" t="inlineStr">
        <is>
          <t>SK</t>
        </is>
      </c>
      <c r="R51" s="17" t="n">
        <v>0.03809999942779541</v>
      </c>
      <c r="S51" s="36" t="inlineStr">
        <is>
          <t>BNK금융지주</t>
        </is>
      </c>
      <c r="T51" s="17" t="n">
        <v>0.02390000104904175</v>
      </c>
      <c r="U51" s="36" t="inlineStr">
        <is>
          <t>코오롱인더</t>
        </is>
      </c>
      <c r="V51" s="17" t="n">
        <v>0.02119999885559082</v>
      </c>
      <c r="W51" s="20" t="inlineStr">
        <is>
          <t>POSCO홀딩스</t>
        </is>
      </c>
      <c r="X51" s="21" t="n">
        <v>0.02099999904632568</v>
      </c>
    </row>
    <row r="52" ht="16" customHeight="1">
      <c r="A52" s="36" t="inlineStr">
        <is>
          <t>TIGER 미디어컨텐츠</t>
        </is>
      </c>
      <c r="B52" s="15" t="inlineStr">
        <is>
          <t>228810</t>
        </is>
      </c>
      <c r="C52" s="36" t="inlineStr">
        <is>
          <t>미래에셋자산운용</t>
        </is>
      </c>
      <c r="D52" s="19" t="n">
        <v>1135</v>
      </c>
      <c r="E52" s="36" t="inlineStr">
        <is>
          <t>SAMG엔터</t>
        </is>
      </c>
      <c r="F52" s="17" t="n">
        <v>0.1077999973297119</v>
      </c>
      <c r="G52" s="36" t="inlineStr">
        <is>
          <t>에스엠</t>
        </is>
      </c>
      <c r="H52" s="17" t="n">
        <v>0.1052000045776367</v>
      </c>
      <c r="I52" s="36" t="inlineStr">
        <is>
          <t>와이지엔터테인먼트</t>
        </is>
      </c>
      <c r="J52" s="17" t="n">
        <v>0.09939999580383301</v>
      </c>
      <c r="K52" s="36" t="inlineStr">
        <is>
          <t>디어유</t>
        </is>
      </c>
      <c r="L52" s="17" t="n">
        <v>0.09789999961853027</v>
      </c>
      <c r="M52" s="36" t="inlineStr">
        <is>
          <t>JYP Ent.</t>
        </is>
      </c>
      <c r="N52" s="17" t="n">
        <v>0.09720000267028808</v>
      </c>
      <c r="O52" s="36" t="inlineStr">
        <is>
          <t>스튜디오드래곤</t>
        </is>
      </c>
      <c r="P52" s="17" t="n">
        <v>0.09680000305175782</v>
      </c>
      <c r="Q52" s="36" t="inlineStr">
        <is>
          <t>CJ ENM</t>
        </is>
      </c>
      <c r="R52" s="17" t="n">
        <v>0.09539999961853027</v>
      </c>
      <c r="S52" s="20" t="inlineStr">
        <is>
          <t>하이브</t>
        </is>
      </c>
      <c r="T52" s="21" t="n">
        <v>0.09479999542236328</v>
      </c>
      <c r="U52" s="36" t="inlineStr">
        <is>
          <t>노머스</t>
        </is>
      </c>
      <c r="V52" s="17" t="n">
        <v>0.04809999942779541</v>
      </c>
      <c r="W52" s="36" t="inlineStr">
        <is>
          <t>더핑크퐁컴퍼니</t>
        </is>
      </c>
      <c r="X52" s="17" t="n">
        <v>0.04659999847412109</v>
      </c>
    </row>
    <row r="53" ht="16" customHeight="1">
      <c r="A53" s="36" t="inlineStr">
        <is>
          <t>HANARO Fn조선해운</t>
        </is>
      </c>
      <c r="B53" s="15" t="inlineStr">
        <is>
          <t>441540</t>
        </is>
      </c>
      <c r="C53" s="36" t="inlineStr">
        <is>
          <t>엔에이치아문디자산운용</t>
        </is>
      </c>
      <c r="D53" s="19" t="n">
        <v>1134</v>
      </c>
      <c r="E53" s="36" t="inlineStr">
        <is>
          <t>삼성중공업</t>
        </is>
      </c>
      <c r="F53" s="17" t="n">
        <v>0.1521000003814697</v>
      </c>
      <c r="G53" s="36" t="inlineStr">
        <is>
          <t>HD현대중공업</t>
        </is>
      </c>
      <c r="H53" s="17" t="n">
        <v>0.1492000007629395</v>
      </c>
      <c r="I53" s="36" t="inlineStr">
        <is>
          <t>한화오션</t>
        </is>
      </c>
      <c r="J53" s="17" t="n">
        <v>0.1423999977111816</v>
      </c>
      <c r="K53" s="36" t="inlineStr">
        <is>
          <t>HD한국조선해양</t>
        </is>
      </c>
      <c r="L53" s="17" t="n">
        <v>0.13</v>
      </c>
      <c r="M53" s="20" t="inlineStr">
        <is>
          <t>HMM</t>
        </is>
      </c>
      <c r="N53" s="21" t="n">
        <v>0.1235999965667725</v>
      </c>
      <c r="O53" s="36" t="inlineStr">
        <is>
          <t>한화엔진</t>
        </is>
      </c>
      <c r="P53" s="17" t="n">
        <v>0.09210000038146973</v>
      </c>
      <c r="Q53" s="20" t="inlineStr">
        <is>
          <t>HD현대마린솔루션</t>
        </is>
      </c>
      <c r="R53" s="21" t="n">
        <v>0.07409999847412109</v>
      </c>
      <c r="S53" s="36" t="inlineStr">
        <is>
          <t>HD현대마린엔진</t>
        </is>
      </c>
      <c r="T53" s="17" t="n">
        <v>0.04400000095367432</v>
      </c>
      <c r="U53" s="36" t="inlineStr">
        <is>
          <t>팬오션</t>
        </is>
      </c>
      <c r="V53" s="17" t="n">
        <v>0.02519999980926514</v>
      </c>
      <c r="W53" s="36" t="inlineStr">
        <is>
          <t>대한조선</t>
        </is>
      </c>
      <c r="X53" s="17" t="n">
        <v>0.01740000009536743</v>
      </c>
    </row>
    <row r="54" ht="16" customHeight="1">
      <c r="A54" s="36" t="inlineStr">
        <is>
          <t>KODEX 코스피TR</t>
        </is>
      </c>
      <c r="B54" s="15" t="inlineStr">
        <is>
          <t>359210</t>
        </is>
      </c>
      <c r="C54" s="36" t="inlineStr">
        <is>
          <t>삼성자산운용</t>
        </is>
      </c>
      <c r="D54" s="19" t="n">
        <v>1128</v>
      </c>
      <c r="E54" s="20" t="inlineStr">
        <is>
          <t>삼성전자</t>
        </is>
      </c>
      <c r="F54" s="21" t="n">
        <v>0.246299991607666</v>
      </c>
      <c r="G54" s="22" t="inlineStr">
        <is>
          <t>SK하이닉스</t>
        </is>
      </c>
      <c r="H54" s="23" t="n">
        <v>0.1872999954223633</v>
      </c>
      <c r="I54" s="20" t="inlineStr">
        <is>
          <t>SK스퀘어</t>
        </is>
      </c>
      <c r="J54" s="21" t="n">
        <v>0.02380000114440918</v>
      </c>
      <c r="K54" s="36" t="inlineStr">
        <is>
          <t>LG에너지솔루션</t>
        </is>
      </c>
      <c r="L54" s="17" t="n">
        <v>0.02009999990463257</v>
      </c>
      <c r="M54" s="20" t="inlineStr">
        <is>
          <t>현대차</t>
        </is>
      </c>
      <c r="N54" s="21" t="n">
        <v>0.01990000009536743</v>
      </c>
      <c r="O54" s="20" t="inlineStr">
        <is>
          <t>두산에너빌리티</t>
        </is>
      </c>
      <c r="P54" s="21" t="n">
        <v>0.01480000019073486</v>
      </c>
      <c r="Q54" s="36" t="inlineStr">
        <is>
          <t>한화에어로스페이스</t>
        </is>
      </c>
      <c r="R54" s="17" t="n">
        <v>0.01379999995231628</v>
      </c>
      <c r="S54" s="36" t="inlineStr">
        <is>
          <t>HD현대중공업</t>
        </is>
      </c>
      <c r="T54" s="17" t="n">
        <v>0.0127999997138977</v>
      </c>
      <c r="U54" s="36" t="inlineStr">
        <is>
          <t>삼성전기</t>
        </is>
      </c>
      <c r="V54" s="17" t="n">
        <v>0.0125</v>
      </c>
      <c r="W54" s="20" t="inlineStr">
        <is>
          <t>삼성바이오로직스</t>
        </is>
      </c>
      <c r="X54" s="21" t="n">
        <v>0.01240000009536743</v>
      </c>
    </row>
    <row r="55" ht="16" customHeight="1">
      <c r="A55" s="36" t="inlineStr">
        <is>
          <t>TIGER 소프트웨어</t>
        </is>
      </c>
      <c r="B55" s="15" t="inlineStr">
        <is>
          <t>157490</t>
        </is>
      </c>
      <c r="C55" s="36" t="inlineStr">
        <is>
          <t>미래에셋자산운용</t>
        </is>
      </c>
      <c r="D55" s="19" t="n">
        <v>1113</v>
      </c>
      <c r="E55" s="20" t="inlineStr">
        <is>
          <t>NAVER</t>
        </is>
      </c>
      <c r="F55" s="21" t="n">
        <v>0.2154999923706055</v>
      </c>
      <c r="G55" s="22" t="inlineStr">
        <is>
          <t>카카오</t>
        </is>
      </c>
      <c r="H55" s="23" t="n">
        <v>0.1995999908447266</v>
      </c>
      <c r="I55" s="36" t="inlineStr">
        <is>
          <t>크래프톤</t>
        </is>
      </c>
      <c r="J55" s="17" t="n">
        <v>0.120600004196167</v>
      </c>
      <c r="K55" s="36" t="inlineStr">
        <is>
          <t>삼성에스디에스</t>
        </is>
      </c>
      <c r="L55" s="17" t="n">
        <v>0.09550000190734863</v>
      </c>
      <c r="M55" s="36" t="inlineStr">
        <is>
          <t>NC</t>
        </is>
      </c>
      <c r="N55" s="17" t="n">
        <v>0.07039999961853027</v>
      </c>
      <c r="O55" s="36" t="inlineStr">
        <is>
          <t>LG씨엔에스</t>
        </is>
      </c>
      <c r="P55" s="17" t="n">
        <v>0.04829999923706055</v>
      </c>
      <c r="Q55" s="36" t="inlineStr">
        <is>
          <t>현대오토에버</t>
        </is>
      </c>
      <c r="R55" s="17" t="n">
        <v>0.04090000152587891</v>
      </c>
      <c r="S55" s="36" t="inlineStr">
        <is>
          <t>더존비즈온</t>
        </is>
      </c>
      <c r="T55" s="17" t="n">
        <v>0.03829999923706055</v>
      </c>
      <c r="U55" s="36" t="inlineStr">
        <is>
          <t>펄어비스</t>
        </is>
      </c>
      <c r="V55" s="17" t="n">
        <v>0.03309999942779541</v>
      </c>
      <c r="W55" s="36" t="inlineStr">
        <is>
          <t>포스코DX</t>
        </is>
      </c>
      <c r="X55" s="17" t="n">
        <v>0.02680000066757202</v>
      </c>
    </row>
    <row r="56" ht="16" customHeight="1">
      <c r="A56" s="36" t="inlineStr">
        <is>
          <t>RISE 2차전지TOP10</t>
        </is>
      </c>
      <c r="B56" s="15" t="inlineStr">
        <is>
          <t>465330</t>
        </is>
      </c>
      <c r="C56" s="36" t="inlineStr">
        <is>
          <t>케이비자산운용</t>
        </is>
      </c>
      <c r="D56" s="19" t="n">
        <v>1075</v>
      </c>
      <c r="E56" s="36" t="inlineStr">
        <is>
          <t>삼성SDI</t>
        </is>
      </c>
      <c r="F56" s="17" t="n">
        <v>0.2023999977111816</v>
      </c>
      <c r="G56" s="20" t="inlineStr">
        <is>
          <t>POSCO홀딩스</t>
        </is>
      </c>
      <c r="H56" s="21" t="n">
        <v>0.1552000045776367</v>
      </c>
      <c r="I56" s="36" t="inlineStr">
        <is>
          <t>LG에너지솔루션</t>
        </is>
      </c>
      <c r="J56" s="17" t="n">
        <v>0.1384000015258789</v>
      </c>
      <c r="K56" s="36" t="inlineStr">
        <is>
          <t>에코프로</t>
        </is>
      </c>
      <c r="L56" s="17" t="n">
        <v>0.1113000011444092</v>
      </c>
      <c r="M56" s="36" t="inlineStr">
        <is>
          <t>에코프로비엠</t>
        </is>
      </c>
      <c r="N56" s="17" t="n">
        <v>0.1022000026702881</v>
      </c>
      <c r="O56" s="22" t="inlineStr">
        <is>
          <t>SK이노베이션</t>
        </is>
      </c>
      <c r="P56" s="23" t="n">
        <v>0.09100000381469726</v>
      </c>
      <c r="Q56" s="36" t="inlineStr">
        <is>
          <t>포스코퓨처엠</t>
        </is>
      </c>
      <c r="R56" s="17" t="n">
        <v>0.08060000419616699</v>
      </c>
      <c r="S56" s="36" t="inlineStr">
        <is>
          <t>엘앤에프</t>
        </is>
      </c>
      <c r="T56" s="17" t="n">
        <v>0.05409999847412109</v>
      </c>
      <c r="U56" s="36" t="inlineStr">
        <is>
          <t>SKC</t>
        </is>
      </c>
      <c r="V56" s="17" t="n">
        <v>0.02910000085830688</v>
      </c>
      <c r="W56" s="36" t="inlineStr">
        <is>
          <t>에코프로머티</t>
        </is>
      </c>
      <c r="X56" s="17" t="n">
        <v>0.02819999933242798</v>
      </c>
    </row>
    <row r="57" ht="16" customHeight="1">
      <c r="A57" s="36" t="inlineStr">
        <is>
          <t>DAISHIN343 AI반도체&amp;인프라액티브</t>
        </is>
      </c>
      <c r="B57" s="15" t="inlineStr">
        <is>
          <t>486240</t>
        </is>
      </c>
      <c r="C57" s="36" t="inlineStr">
        <is>
          <t>대신자산운용</t>
        </is>
      </c>
      <c r="D57" s="19" t="n">
        <v>1048</v>
      </c>
      <c r="E57" s="20" t="inlineStr">
        <is>
          <t>삼성전자</t>
        </is>
      </c>
      <c r="F57" s="21" t="n">
        <v>0.2032999992370605</v>
      </c>
      <c r="G57" s="22" t="inlineStr">
        <is>
          <t>SK하이닉스</t>
        </is>
      </c>
      <c r="H57" s="23" t="n">
        <v>0.1456999969482422</v>
      </c>
      <c r="I57" s="36" t="inlineStr">
        <is>
          <t>효성중공업</t>
        </is>
      </c>
      <c r="J57" s="17" t="n">
        <v>0.09399999618530273</v>
      </c>
      <c r="K57" s="36" t="inlineStr">
        <is>
          <t>LS ELECTRIC</t>
        </is>
      </c>
      <c r="L57" s="17" t="n">
        <v>0.03920000076293945</v>
      </c>
      <c r="M57" s="36" t="inlineStr">
        <is>
          <t>티에스이</t>
        </is>
      </c>
      <c r="N57" s="17" t="n">
        <v>0.03460000038146973</v>
      </c>
      <c r="O57" s="36" t="inlineStr">
        <is>
          <t>피에스케이</t>
        </is>
      </c>
      <c r="P57" s="17" t="n">
        <v>0.03390000104904175</v>
      </c>
      <c r="Q57" s="36" t="inlineStr">
        <is>
          <t>일진전기</t>
        </is>
      </c>
      <c r="R57" s="17" t="n">
        <v>0.03140000104904175</v>
      </c>
      <c r="S57" s="36" t="inlineStr">
        <is>
          <t>HD현대일렉트릭</t>
        </is>
      </c>
      <c r="T57" s="17" t="n">
        <v>0.03130000114440918</v>
      </c>
      <c r="U57" s="36" t="inlineStr">
        <is>
          <t>삼성전기</t>
        </is>
      </c>
      <c r="V57" s="17" t="n">
        <v>0.03119999885559082</v>
      </c>
      <c r="W57" s="36" t="inlineStr">
        <is>
          <t>티엘비</t>
        </is>
      </c>
      <c r="X57" s="17" t="n">
        <v>0.03009999990463257</v>
      </c>
    </row>
    <row r="58" ht="16" customHeight="1">
      <c r="A58" s="36" t="inlineStr">
        <is>
          <t>ACE 삼성그룹섹터가중</t>
        </is>
      </c>
      <c r="B58" s="15" t="inlineStr">
        <is>
          <t>108450</t>
        </is>
      </c>
      <c r="C58" s="36" t="inlineStr">
        <is>
          <t>한국투자신탁운용</t>
        </is>
      </c>
      <c r="D58" s="19" t="n">
        <v>991</v>
      </c>
      <c r="E58" s="20" t="inlineStr">
        <is>
          <t>삼성전자</t>
        </is>
      </c>
      <c r="F58" s="21" t="n">
        <v>0.2420000076293945</v>
      </c>
      <c r="G58" s="36" t="inlineStr">
        <is>
          <t>삼성전기</t>
        </is>
      </c>
      <c r="H58" s="17" t="n">
        <v>0.1163000011444092</v>
      </c>
      <c r="I58" s="36" t="inlineStr">
        <is>
          <t>삼성SDI</t>
        </is>
      </c>
      <c r="J58" s="17" t="n">
        <v>0.1127000045776367</v>
      </c>
      <c r="K58" s="20" t="inlineStr">
        <is>
          <t>삼성물산</t>
        </is>
      </c>
      <c r="L58" s="21" t="n">
        <v>0.1072999954223633</v>
      </c>
      <c r="M58" s="36" t="inlineStr">
        <is>
          <t>삼성중공업</t>
        </is>
      </c>
      <c r="N58" s="17" t="n">
        <v>0.1022000026702881</v>
      </c>
      <c r="O58" s="36" t="inlineStr">
        <is>
          <t>에스원</t>
        </is>
      </c>
      <c r="P58" s="17" t="n">
        <v>0.07769999980926513</v>
      </c>
      <c r="Q58" s="36" t="inlineStr">
        <is>
          <t>삼성증권</t>
        </is>
      </c>
      <c r="R58" s="17" t="n">
        <v>0.07139999866485595</v>
      </c>
      <c r="S58" s="20" t="inlineStr">
        <is>
          <t>삼성바이오로직스</t>
        </is>
      </c>
      <c r="T58" s="21" t="n">
        <v>0.04179999828338623</v>
      </c>
      <c r="U58" s="20" t="inlineStr">
        <is>
          <t>삼성생명</t>
        </is>
      </c>
      <c r="V58" s="21" t="n">
        <v>0.0347000002861023</v>
      </c>
      <c r="W58" s="22" t="inlineStr">
        <is>
          <t>삼성E&amp;A</t>
        </is>
      </c>
      <c r="X58" s="23" t="n">
        <v>0.03309999942779541</v>
      </c>
    </row>
    <row r="59" ht="16" customHeight="1">
      <c r="A59" s="36" t="inlineStr">
        <is>
          <t>SOL 반도체후공정</t>
        </is>
      </c>
      <c r="B59" s="15" t="inlineStr">
        <is>
          <t>475310</t>
        </is>
      </c>
      <c r="C59" s="36" t="inlineStr">
        <is>
          <t>신한자산운용</t>
        </is>
      </c>
      <c r="D59" s="19" t="n">
        <v>942</v>
      </c>
      <c r="E59" s="22" t="inlineStr">
        <is>
          <t>한미반도체</t>
        </is>
      </c>
      <c r="F59" s="23" t="n">
        <v>0.2385000038146973</v>
      </c>
      <c r="G59" s="36" t="inlineStr">
        <is>
          <t>리노공업</t>
        </is>
      </c>
      <c r="H59" s="17" t="n">
        <v>0.1628000068664551</v>
      </c>
      <c r="I59" s="36" t="inlineStr">
        <is>
          <t>이수페타시스</t>
        </is>
      </c>
      <c r="J59" s="17" t="n">
        <v>0.1132999992370606</v>
      </c>
      <c r="K59" s="36" t="inlineStr">
        <is>
          <t>이오테크닉스</t>
        </is>
      </c>
      <c r="L59" s="17" t="n">
        <v>0.1060999965667725</v>
      </c>
      <c r="M59" s="36" t="inlineStr">
        <is>
          <t>대덕전자</t>
        </is>
      </c>
      <c r="N59" s="17" t="n">
        <v>0.1040999984741211</v>
      </c>
      <c r="O59" s="36" t="inlineStr">
        <is>
          <t>한화비전</t>
        </is>
      </c>
      <c r="P59" s="17" t="n">
        <v>0.08109999656677246</v>
      </c>
      <c r="Q59" s="36" t="inlineStr">
        <is>
          <t>ISC</t>
        </is>
      </c>
      <c r="R59" s="17" t="n">
        <v>0.06880000114440918</v>
      </c>
      <c r="S59" s="36" t="inlineStr">
        <is>
          <t>하나마이크론</t>
        </is>
      </c>
      <c r="T59" s="17" t="n">
        <v>0.05519999980926513</v>
      </c>
      <c r="U59" s="36" t="inlineStr">
        <is>
          <t>테크윙</t>
        </is>
      </c>
      <c r="V59" s="17" t="n">
        <v>0.0453000020980835</v>
      </c>
      <c r="W59" s="36" t="inlineStr">
        <is>
          <t>티엘비</t>
        </is>
      </c>
      <c r="X59" s="17" t="n">
        <v>0.01659999966621399</v>
      </c>
    </row>
    <row r="60" ht="16" customHeight="1">
      <c r="A60" s="36" t="inlineStr">
        <is>
          <t>TIGER 코스피고배당</t>
        </is>
      </c>
      <c r="B60" s="15" t="inlineStr">
        <is>
          <t>210780</t>
        </is>
      </c>
      <c r="C60" s="36" t="inlineStr">
        <is>
          <t>미래에셋자산운용</t>
        </is>
      </c>
      <c r="D60" s="19" t="n">
        <v>914</v>
      </c>
      <c r="E60" s="20" t="inlineStr">
        <is>
          <t>현대차</t>
        </is>
      </c>
      <c r="F60" s="21" t="n">
        <v>0.04429999828338623</v>
      </c>
      <c r="G60" s="36" t="inlineStr">
        <is>
          <t>세아베스틸지주</t>
        </is>
      </c>
      <c r="H60" s="17" t="n">
        <v>0.04119999885559082</v>
      </c>
      <c r="I60" s="36" t="inlineStr">
        <is>
          <t>삼성증권</t>
        </is>
      </c>
      <c r="J60" s="17" t="n">
        <v>0.035</v>
      </c>
      <c r="K60" s="36" t="inlineStr">
        <is>
          <t>교보증권</t>
        </is>
      </c>
      <c r="L60" s="17" t="n">
        <v>0.03190000057220459</v>
      </c>
      <c r="M60" s="22" t="inlineStr">
        <is>
          <t>NH투자증권</t>
        </is>
      </c>
      <c r="N60" s="23" t="n">
        <v>0.03099999904632568</v>
      </c>
      <c r="O60" s="20" t="inlineStr">
        <is>
          <t>SK텔레콤</t>
        </is>
      </c>
      <c r="P60" s="21" t="n">
        <v>0.02990000009536743</v>
      </c>
      <c r="Q60" s="36" t="inlineStr">
        <is>
          <t>GS</t>
        </is>
      </c>
      <c r="R60" s="17" t="n">
        <v>0.02960000038146973</v>
      </c>
      <c r="S60" s="22" t="inlineStr">
        <is>
          <t>기아</t>
        </is>
      </c>
      <c r="T60" s="23" t="n">
        <v>0.02839999914169311</v>
      </c>
      <c r="U60" s="36" t="inlineStr">
        <is>
          <t>LX인터내셔널</t>
        </is>
      </c>
      <c r="V60" s="17" t="n">
        <v>0.02799999952316284</v>
      </c>
      <c r="W60" s="20" t="inlineStr">
        <is>
          <t>삼성전자</t>
        </is>
      </c>
      <c r="X60" s="21" t="n">
        <v>0.02789999961853027</v>
      </c>
    </row>
    <row r="61" ht="16" customHeight="1">
      <c r="A61" s="36" t="inlineStr">
        <is>
          <t>KODEX 헬스케어</t>
        </is>
      </c>
      <c r="B61" s="15" t="inlineStr">
        <is>
          <t>266420</t>
        </is>
      </c>
      <c r="C61" s="36" t="inlineStr">
        <is>
          <t>삼성자산운용</t>
        </is>
      </c>
      <c r="D61" s="19" t="n">
        <v>888</v>
      </c>
      <c r="E61" s="22" t="inlineStr">
        <is>
          <t>셀트리온</t>
        </is>
      </c>
      <c r="F61" s="23" t="n">
        <v>0.1917000007629394</v>
      </c>
      <c r="G61" s="36" t="inlineStr">
        <is>
          <t>알테오젠</t>
        </is>
      </c>
      <c r="H61" s="17" t="n">
        <v>0.1014999961853027</v>
      </c>
      <c r="I61" s="20" t="inlineStr">
        <is>
          <t>삼성바이오로직스</t>
        </is>
      </c>
      <c r="J61" s="21" t="n">
        <v>0.1</v>
      </c>
      <c r="K61" s="36" t="inlineStr">
        <is>
          <t>HLB</t>
        </is>
      </c>
      <c r="L61" s="17" t="n">
        <v>0.04760000228881836</v>
      </c>
      <c r="M61" s="36" t="inlineStr">
        <is>
          <t>펩트론</t>
        </is>
      </c>
      <c r="N61" s="17" t="n">
        <v>0.03819999933242798</v>
      </c>
      <c r="O61" s="36" t="inlineStr">
        <is>
          <t>삼천당제약</t>
        </is>
      </c>
      <c r="P61" s="17" t="n">
        <v>0.0375</v>
      </c>
      <c r="Q61" s="36" t="inlineStr">
        <is>
          <t>에이비엘바이오</t>
        </is>
      </c>
      <c r="R61" s="17" t="n">
        <v>0.03650000095367432</v>
      </c>
      <c r="S61" s="36" t="inlineStr">
        <is>
          <t>유한양행</t>
        </is>
      </c>
      <c r="T61" s="17" t="n">
        <v>0.03599999904632568</v>
      </c>
      <c r="U61" s="36" t="inlineStr">
        <is>
          <t>리가켐바이오</t>
        </is>
      </c>
      <c r="V61" s="17" t="n">
        <v>0.03089999914169312</v>
      </c>
      <c r="W61" s="36" t="inlineStr">
        <is>
          <t>보로노이</t>
        </is>
      </c>
      <c r="X61" s="17" t="n">
        <v>0.02079999923706055</v>
      </c>
    </row>
    <row r="62" ht="16" customHeight="1">
      <c r="A62" s="36" t="inlineStr">
        <is>
          <t>TIGER 여행레저</t>
        </is>
      </c>
      <c r="B62" s="15" t="inlineStr">
        <is>
          <t>228800</t>
        </is>
      </c>
      <c r="C62" s="36" t="inlineStr">
        <is>
          <t>미래에셋자산운용</t>
        </is>
      </c>
      <c r="D62" s="19" t="n">
        <v>875</v>
      </c>
      <c r="E62" s="36" t="inlineStr">
        <is>
          <t>호텔신라</t>
        </is>
      </c>
      <c r="F62" s="17" t="n">
        <v>0.1323999977111816</v>
      </c>
      <c r="G62" s="36" t="inlineStr">
        <is>
          <t>롯데관광개발</t>
        </is>
      </c>
      <c r="H62" s="17" t="n">
        <v>0.1077999973297119</v>
      </c>
      <c r="I62" s="36" t="inlineStr">
        <is>
          <t>대한항공</t>
        </is>
      </c>
      <c r="J62" s="17" t="n">
        <v>0.09329999923706055</v>
      </c>
      <c r="K62" s="22" t="inlineStr">
        <is>
          <t>강원랜드</t>
        </is>
      </c>
      <c r="L62" s="23" t="n">
        <v>0.09029999732971192</v>
      </c>
      <c r="M62" s="36" t="inlineStr">
        <is>
          <t>파라다이스</t>
        </is>
      </c>
      <c r="N62" s="17" t="n">
        <v>0.0884000015258789</v>
      </c>
      <c r="O62" s="36" t="inlineStr">
        <is>
          <t>아시아나항공</t>
        </is>
      </c>
      <c r="P62" s="17" t="n">
        <v>0.081899995803833</v>
      </c>
      <c r="Q62" s="36" t="inlineStr">
        <is>
          <t>아난티</t>
        </is>
      </c>
      <c r="R62" s="17" t="n">
        <v>0.07719999790191651</v>
      </c>
      <c r="S62" s="36" t="inlineStr">
        <is>
          <t>하나투어</t>
        </is>
      </c>
      <c r="T62" s="17" t="n">
        <v>0.06889999866485595</v>
      </c>
      <c r="U62" s="36" t="inlineStr">
        <is>
          <t>GS피앤엘</t>
        </is>
      </c>
      <c r="V62" s="17" t="n">
        <v>0.06869999885559082</v>
      </c>
      <c r="W62" s="36" t="inlineStr">
        <is>
          <t>GKL</t>
        </is>
      </c>
      <c r="X62" s="17" t="n">
        <v>0.05900000095367432</v>
      </c>
    </row>
    <row r="63" ht="16" customHeight="1">
      <c r="A63" s="36" t="inlineStr">
        <is>
          <t>KODEX 친환경조선해운액티브</t>
        </is>
      </c>
      <c r="B63" s="15" t="inlineStr">
        <is>
          <t>445150</t>
        </is>
      </c>
      <c r="C63" s="36" t="inlineStr">
        <is>
          <t>삼성자산운용</t>
        </is>
      </c>
      <c r="D63" s="19" t="n">
        <v>850</v>
      </c>
      <c r="E63" s="36" t="inlineStr">
        <is>
          <t>한화엔진</t>
        </is>
      </c>
      <c r="F63" s="17" t="n">
        <v>0.09789999961853027</v>
      </c>
      <c r="G63" s="36" t="inlineStr">
        <is>
          <t>삼성중공업</t>
        </is>
      </c>
      <c r="H63" s="17" t="n">
        <v>0.0815999984741211</v>
      </c>
      <c r="I63" s="36" t="inlineStr">
        <is>
          <t>HD현대중공업</t>
        </is>
      </c>
      <c r="J63" s="17" t="n">
        <v>0.07989999771118164</v>
      </c>
      <c r="K63" s="36" t="inlineStr">
        <is>
          <t>한화오션</t>
        </is>
      </c>
      <c r="L63" s="17" t="n">
        <v>0.07650000095367432</v>
      </c>
      <c r="M63" s="36" t="inlineStr">
        <is>
          <t>한국카본</t>
        </is>
      </c>
      <c r="N63" s="17" t="n">
        <v>0.07610000133514404</v>
      </c>
      <c r="O63" s="36" t="inlineStr">
        <is>
          <t>HD현대</t>
        </is>
      </c>
      <c r="P63" s="17" t="n">
        <v>0.07559999942779541</v>
      </c>
      <c r="Q63" s="36" t="inlineStr">
        <is>
          <t>HD현대마린엔진</t>
        </is>
      </c>
      <c r="R63" s="17" t="n">
        <v>0.0734000015258789</v>
      </c>
      <c r="S63" s="36" t="inlineStr">
        <is>
          <t>HD한국조선해양</t>
        </is>
      </c>
      <c r="T63" s="17" t="n">
        <v>0.06789999961853027</v>
      </c>
      <c r="U63" s="20" t="inlineStr">
        <is>
          <t>HD현대마린솔루션</t>
        </is>
      </c>
      <c r="V63" s="21" t="n">
        <v>0.05429999828338623</v>
      </c>
      <c r="W63" s="36" t="inlineStr">
        <is>
          <t>동성화인텍</t>
        </is>
      </c>
      <c r="X63" s="17" t="n">
        <v>0.04860000133514404</v>
      </c>
    </row>
    <row r="64" ht="16" customHeight="1">
      <c r="A64" s="36" t="inlineStr">
        <is>
          <t>TIGER 중국소비테마</t>
        </is>
      </c>
      <c r="B64" s="15" t="inlineStr">
        <is>
          <t>150460</t>
        </is>
      </c>
      <c r="C64" s="36" t="inlineStr">
        <is>
          <t>미래에셋자산운용</t>
        </is>
      </c>
      <c r="D64" s="19" t="n">
        <v>698</v>
      </c>
      <c r="E64" s="36" t="inlineStr">
        <is>
          <t>호텔신라</t>
        </is>
      </c>
      <c r="F64" s="17" t="n">
        <v>0.05400000095367432</v>
      </c>
      <c r="G64" s="36" t="inlineStr">
        <is>
          <t>에이피알</t>
        </is>
      </c>
      <c r="H64" s="17" t="n">
        <v>0.04940000057220459</v>
      </c>
      <c r="I64" s="36" t="inlineStr">
        <is>
          <t>한국콜마</t>
        </is>
      </c>
      <c r="J64" s="17" t="n">
        <v>0.0453000020980835</v>
      </c>
      <c r="K64" s="36" t="inlineStr">
        <is>
          <t>신세계</t>
        </is>
      </c>
      <c r="L64" s="17" t="n">
        <v>0.04389999866485596</v>
      </c>
      <c r="M64" s="36" t="inlineStr">
        <is>
          <t>코스맥스</t>
        </is>
      </c>
      <c r="N64" s="17" t="n">
        <v>0.04389999866485596</v>
      </c>
      <c r="O64" s="36" t="inlineStr">
        <is>
          <t>CJ제일제당</t>
        </is>
      </c>
      <c r="P64" s="17" t="n">
        <v>0.04360000133514404</v>
      </c>
      <c r="Q64" s="22" t="inlineStr">
        <is>
          <t>삼양식품</t>
        </is>
      </c>
      <c r="R64" s="23" t="n">
        <v>0.04329999923706054</v>
      </c>
      <c r="S64" s="20" t="inlineStr">
        <is>
          <t>F&amp;F</t>
        </is>
      </c>
      <c r="T64" s="21" t="n">
        <v>0.04289999961853028</v>
      </c>
      <c r="U64" s="36" t="inlineStr">
        <is>
          <t>씨앤씨인터내셔널</t>
        </is>
      </c>
      <c r="V64" s="17" t="n">
        <v>0.04059999942779541</v>
      </c>
      <c r="W64" s="36" t="inlineStr">
        <is>
          <t>오리온</t>
        </is>
      </c>
      <c r="X64" s="17" t="n">
        <v>0.04039999961853027</v>
      </c>
    </row>
    <row r="65" ht="16" customHeight="1">
      <c r="A65" s="36" t="inlineStr">
        <is>
          <t>TIGER AI코리아그로스액티브</t>
        </is>
      </c>
      <c r="B65" s="15" t="inlineStr">
        <is>
          <t>365040</t>
        </is>
      </c>
      <c r="C65" s="36" t="inlineStr">
        <is>
          <t>미래에셋자산운용</t>
        </is>
      </c>
      <c r="D65" s="19" t="n">
        <v>676</v>
      </c>
      <c r="E65" s="20" t="inlineStr">
        <is>
          <t>삼성전자</t>
        </is>
      </c>
      <c r="F65" s="21" t="n">
        <v>0.2504000091552734</v>
      </c>
      <c r="G65" s="22" t="inlineStr">
        <is>
          <t>SK하이닉스</t>
        </is>
      </c>
      <c r="H65" s="23" t="n">
        <v>0.1892000007629394</v>
      </c>
      <c r="I65" s="20" t="inlineStr">
        <is>
          <t>SK스퀘어</t>
        </is>
      </c>
      <c r="J65" s="21" t="n">
        <v>0.02569999933242798</v>
      </c>
      <c r="K65" s="20" t="inlineStr">
        <is>
          <t>현대차</t>
        </is>
      </c>
      <c r="L65" s="21" t="n">
        <v>0.02240000009536743</v>
      </c>
      <c r="M65" s="36" t="inlineStr">
        <is>
          <t>LG에너지솔루션</t>
        </is>
      </c>
      <c r="N65" s="17" t="n">
        <v>0.01700000047683716</v>
      </c>
      <c r="O65" s="36" t="inlineStr">
        <is>
          <t>HD현대중공업</t>
        </is>
      </c>
      <c r="P65" s="17" t="n">
        <v>0.01639999985694885</v>
      </c>
      <c r="Q65" s="20" t="inlineStr">
        <is>
          <t>두산에너빌리티</t>
        </is>
      </c>
      <c r="R65" s="21" t="n">
        <v>0.01470000028610229</v>
      </c>
      <c r="S65" s="36" t="inlineStr">
        <is>
          <t>삼성전기</t>
        </is>
      </c>
      <c r="T65" s="17" t="n">
        <v>0.0122000002861023</v>
      </c>
      <c r="U65" s="22" t="inlineStr">
        <is>
          <t>기아</t>
        </is>
      </c>
      <c r="V65" s="23" t="n">
        <v>0.01169999957084656</v>
      </c>
      <c r="W65" s="36" t="inlineStr">
        <is>
          <t>삼성SDI</t>
        </is>
      </c>
      <c r="X65" s="17" t="n">
        <v>0.01169999957084656</v>
      </c>
    </row>
    <row r="66" ht="16" customHeight="1">
      <c r="A66" s="36" t="inlineStr">
        <is>
          <t>KODEX 탄소효율그린뉴딜</t>
        </is>
      </c>
      <c r="B66" s="15" t="inlineStr">
        <is>
          <t>375770</t>
        </is>
      </c>
      <c r="C66" s="36" t="inlineStr">
        <is>
          <t>삼성자산운용</t>
        </is>
      </c>
      <c r="D66" s="19" t="n">
        <v>585</v>
      </c>
      <c r="E66" s="20" t="inlineStr">
        <is>
          <t>삼성전자</t>
        </is>
      </c>
      <c r="F66" s="21" t="n">
        <v>0.3215999984741211</v>
      </c>
      <c r="G66" s="22" t="inlineStr">
        <is>
          <t>SK하이닉스</t>
        </is>
      </c>
      <c r="H66" s="23" t="n">
        <v>0.1970999908447266</v>
      </c>
      <c r="I66" s="20" t="inlineStr">
        <is>
          <t>현대차</t>
        </is>
      </c>
      <c r="J66" s="21" t="n">
        <v>0.03029999971389771</v>
      </c>
      <c r="K66" s="20" t="inlineStr">
        <is>
          <t>SK스퀘어</t>
        </is>
      </c>
      <c r="L66" s="21" t="n">
        <v>0.02269999980926514</v>
      </c>
      <c r="M66" s="36" t="inlineStr">
        <is>
          <t>삼성전기</t>
        </is>
      </c>
      <c r="N66" s="17" t="n">
        <v>0.01370000004768371</v>
      </c>
      <c r="O66" s="22" t="inlineStr">
        <is>
          <t>기아</t>
        </is>
      </c>
      <c r="P66" s="23" t="n">
        <v>0.01269999980926514</v>
      </c>
      <c r="Q66" s="36" t="inlineStr">
        <is>
          <t>KB금융</t>
        </is>
      </c>
      <c r="R66" s="17" t="n">
        <v>0.01090000033378601</v>
      </c>
      <c r="S66" s="36" t="inlineStr">
        <is>
          <t>신한지주</t>
        </is>
      </c>
      <c r="T66" s="17" t="n">
        <v>0.01070000052452087</v>
      </c>
      <c r="U66" s="36" t="inlineStr">
        <is>
          <t>현대모비스</t>
        </is>
      </c>
      <c r="V66" s="17" t="n">
        <v>0.01019999980926514</v>
      </c>
      <c r="W66" s="36" t="inlineStr">
        <is>
          <t>삼성SDI</t>
        </is>
      </c>
      <c r="X66" s="17" t="n">
        <v>0.01019999980926514</v>
      </c>
    </row>
    <row r="67" ht="16" customHeight="1">
      <c r="A67" s="36" t="inlineStr">
        <is>
          <t>KODEX 보험</t>
        </is>
      </c>
      <c r="B67" s="15" t="inlineStr">
        <is>
          <t>140700</t>
        </is>
      </c>
      <c r="C67" s="36" t="inlineStr">
        <is>
          <t>삼성자산운용</t>
        </is>
      </c>
      <c r="D67" s="19" t="n">
        <v>580</v>
      </c>
      <c r="E67" s="20" t="inlineStr">
        <is>
          <t>삼성생명</t>
        </is>
      </c>
      <c r="F67" s="21" t="n">
        <v>0.3097999954223633</v>
      </c>
      <c r="G67" s="24" t="inlineStr">
        <is>
          <t>DB손해보험</t>
        </is>
      </c>
      <c r="H67" s="25" t="n">
        <v>0.1830999946594238</v>
      </c>
      <c r="I67" s="22" t="inlineStr">
        <is>
          <t>삼성화재</t>
        </is>
      </c>
      <c r="J67" s="23" t="n">
        <v>0.1556999969482422</v>
      </c>
      <c r="K67" s="36" t="inlineStr">
        <is>
          <t>현대해상</t>
        </is>
      </c>
      <c r="L67" s="17" t="n">
        <v>0.09210000038146973</v>
      </c>
      <c r="M67" s="36" t="inlineStr">
        <is>
          <t>한화생명</t>
        </is>
      </c>
      <c r="N67" s="17" t="n">
        <v>0.08569999694824219</v>
      </c>
      <c r="O67" s="36" t="inlineStr">
        <is>
          <t>코리안리</t>
        </is>
      </c>
      <c r="P67" s="17" t="n">
        <v>0.0759000015258789</v>
      </c>
      <c r="Q67" s="36" t="inlineStr">
        <is>
          <t>서울보증보험</t>
        </is>
      </c>
      <c r="R67" s="17" t="n">
        <v>0.02559999942779541</v>
      </c>
      <c r="S67" s="36" t="inlineStr">
        <is>
          <t>한화손해보험</t>
        </is>
      </c>
      <c r="T67" s="17" t="n">
        <v>0.01830000042915344</v>
      </c>
      <c r="U67" s="36" t="inlineStr">
        <is>
          <t>미래에셋생명</t>
        </is>
      </c>
      <c r="V67" s="17" t="n">
        <v>0.01610000014305115</v>
      </c>
      <c r="W67" s="36" t="inlineStr">
        <is>
          <t>동양생명</t>
        </is>
      </c>
      <c r="X67" s="17" t="n">
        <v>0.01440000057220459</v>
      </c>
    </row>
    <row r="68" ht="16" customHeight="1">
      <c r="A68" s="36" t="inlineStr">
        <is>
          <t>RISE 코리아금융고배당</t>
        </is>
      </c>
      <c r="B68" s="15" t="inlineStr">
        <is>
          <t>498860</t>
        </is>
      </c>
      <c r="C68" s="36" t="inlineStr">
        <is>
          <t>케이비자산운용</t>
        </is>
      </c>
      <c r="D68" s="19" t="n">
        <v>579</v>
      </c>
      <c r="E68" s="36" t="inlineStr">
        <is>
          <t>삼성증권</t>
        </is>
      </c>
      <c r="F68" s="17" t="n">
        <v>0.1236999988555908</v>
      </c>
      <c r="G68" s="36" t="inlineStr">
        <is>
          <t>교보증권</t>
        </is>
      </c>
      <c r="H68" s="17" t="n">
        <v>0.111899995803833</v>
      </c>
      <c r="I68" s="36" t="inlineStr">
        <is>
          <t>한국금융지주</t>
        </is>
      </c>
      <c r="J68" s="17" t="n">
        <v>0.1113000011444092</v>
      </c>
      <c r="K68" s="36" t="inlineStr">
        <is>
          <t>키움증권</t>
        </is>
      </c>
      <c r="L68" s="17" t="n">
        <v>0.106899995803833</v>
      </c>
      <c r="M68" s="36" t="inlineStr">
        <is>
          <t>대신증권</t>
        </is>
      </c>
      <c r="N68" s="17" t="n">
        <v>0.1013000011444092</v>
      </c>
      <c r="O68" s="24" t="inlineStr">
        <is>
          <t>DB손해보험</t>
        </is>
      </c>
      <c r="P68" s="25" t="n">
        <v>0.09119999885559082</v>
      </c>
      <c r="Q68" s="36" t="inlineStr">
        <is>
          <t>우리금융지주</t>
        </is>
      </c>
      <c r="R68" s="17" t="n">
        <v>0.09039999961853028</v>
      </c>
      <c r="S68" s="36" t="inlineStr">
        <is>
          <t>KB금융</t>
        </is>
      </c>
      <c r="T68" s="17" t="n">
        <v>0.08869999885559082</v>
      </c>
      <c r="U68" s="36" t="inlineStr">
        <is>
          <t>JB금융지주</t>
        </is>
      </c>
      <c r="V68" s="17" t="n">
        <v>0.08039999961853027</v>
      </c>
      <c r="W68" s="36" t="inlineStr">
        <is>
          <t>하나금융지주</t>
        </is>
      </c>
      <c r="X68" s="17" t="n">
        <v>0.02430000066757202</v>
      </c>
    </row>
    <row r="69" ht="16" customHeight="1">
      <c r="A69" s="36" t="inlineStr">
        <is>
          <t>HANARO K고배당</t>
        </is>
      </c>
      <c r="B69" s="15" t="inlineStr">
        <is>
          <t>322410</t>
        </is>
      </c>
      <c r="C69" s="36" t="inlineStr">
        <is>
          <t>엔에이치아문디자산운용</t>
        </is>
      </c>
      <c r="D69" s="19" t="n">
        <v>548</v>
      </c>
      <c r="E69" s="20" t="inlineStr">
        <is>
          <t>SK텔레콤</t>
        </is>
      </c>
      <c r="F69" s="21" t="n">
        <v>0.1185999965667725</v>
      </c>
      <c r="G69" s="36" t="inlineStr">
        <is>
          <t>하나금융지주</t>
        </is>
      </c>
      <c r="H69" s="17" t="n">
        <v>0.1063000011444092</v>
      </c>
      <c r="I69" s="22" t="inlineStr">
        <is>
          <t>기아</t>
        </is>
      </c>
      <c r="J69" s="23" t="n">
        <v>0.09609999656677246</v>
      </c>
      <c r="K69" s="36" t="inlineStr">
        <is>
          <t>우리금융지주</t>
        </is>
      </c>
      <c r="L69" s="17" t="n">
        <v>0.09390000343322753</v>
      </c>
      <c r="M69" s="36" t="inlineStr">
        <is>
          <t>기업은행</t>
        </is>
      </c>
      <c r="N69" s="17" t="n">
        <v>0.07780000209808349</v>
      </c>
      <c r="O69" s="36" t="inlineStr">
        <is>
          <t>LG</t>
        </is>
      </c>
      <c r="P69" s="17" t="n">
        <v>0.06590000152587891</v>
      </c>
      <c r="Q69" s="22" t="inlineStr">
        <is>
          <t>포스코인터내셔널</t>
        </is>
      </c>
      <c r="R69" s="23" t="n">
        <v>0.05730000019073486</v>
      </c>
      <c r="S69" s="22" t="inlineStr">
        <is>
          <t>KT</t>
        </is>
      </c>
      <c r="T69" s="23" t="n">
        <v>0.05340000152587891</v>
      </c>
      <c r="U69" s="36" t="inlineStr">
        <is>
          <t>삼성증권</t>
        </is>
      </c>
      <c r="V69" s="17" t="n">
        <v>0.04719999790191651</v>
      </c>
      <c r="W69" s="36" t="inlineStr">
        <is>
          <t>GS</t>
        </is>
      </c>
      <c r="X69" s="17" t="n">
        <v>0.03079999923706055</v>
      </c>
    </row>
    <row r="70" ht="16" customHeight="1">
      <c r="A70" s="36" t="inlineStr">
        <is>
          <t>TIGER 인터넷TOP10</t>
        </is>
      </c>
      <c r="B70" s="15" t="inlineStr">
        <is>
          <t>365000</t>
        </is>
      </c>
      <c r="C70" s="36" t="inlineStr">
        <is>
          <t>미래에셋자산운용</t>
        </is>
      </c>
      <c r="D70" s="19" t="n">
        <v>547</v>
      </c>
      <c r="E70" s="36" t="inlineStr">
        <is>
          <t>더존비즈온</t>
        </is>
      </c>
      <c r="F70" s="17" t="n">
        <v>0.2546999931335449</v>
      </c>
      <c r="G70" s="20" t="inlineStr">
        <is>
          <t>NAVER</t>
        </is>
      </c>
      <c r="H70" s="21" t="n">
        <v>0.2377000045776367</v>
      </c>
      <c r="I70" s="22" t="inlineStr">
        <is>
          <t>카카오</t>
        </is>
      </c>
      <c r="J70" s="23" t="n">
        <v>0.2359000015258789</v>
      </c>
      <c r="K70" s="36" t="inlineStr">
        <is>
          <t>서진시스템</t>
        </is>
      </c>
      <c r="L70" s="17" t="n">
        <v>0.1035999965667725</v>
      </c>
      <c r="M70" s="36" t="inlineStr">
        <is>
          <t>케이엠더블유</t>
        </is>
      </c>
      <c r="N70" s="17" t="n">
        <v>0.04719999790191651</v>
      </c>
      <c r="O70" s="36" t="inlineStr">
        <is>
          <t>노타</t>
        </is>
      </c>
      <c r="P70" s="17" t="n">
        <v>0.02769999980926514</v>
      </c>
      <c r="Q70" s="36" t="inlineStr">
        <is>
          <t>카페24</t>
        </is>
      </c>
      <c r="R70" s="17" t="n">
        <v>0.02539999961853028</v>
      </c>
      <c r="S70" s="36" t="inlineStr">
        <is>
          <t>SOOP</t>
        </is>
      </c>
      <c r="T70" s="17" t="n">
        <v>0.0225</v>
      </c>
      <c r="U70" s="36" t="inlineStr">
        <is>
          <t>안랩</t>
        </is>
      </c>
      <c r="V70" s="17" t="n">
        <v>0.02180000066757202</v>
      </c>
      <c r="W70" s="36" t="inlineStr">
        <is>
          <t>디어유</t>
        </is>
      </c>
      <c r="X70" s="17" t="n">
        <v>0.0202999997138977</v>
      </c>
    </row>
    <row r="71" ht="16" customHeight="1">
      <c r="A71" s="36" t="inlineStr">
        <is>
          <t>KIWOOM 코리아고배당</t>
        </is>
      </c>
      <c r="B71" s="15" t="inlineStr">
        <is>
          <t>104530</t>
        </is>
      </c>
      <c r="C71" s="36" t="inlineStr">
        <is>
          <t>키움투자자산운용</t>
        </is>
      </c>
      <c r="D71" s="19" t="n">
        <v>534</v>
      </c>
      <c r="E71" s="36" t="inlineStr">
        <is>
          <t>유안타증권</t>
        </is>
      </c>
      <c r="F71" s="17" t="n">
        <v>0.07539999961853028</v>
      </c>
      <c r="G71" s="36" t="inlineStr">
        <is>
          <t>LX인터내셔널</t>
        </is>
      </c>
      <c r="H71" s="17" t="n">
        <v>0.06880000114440918</v>
      </c>
      <c r="I71" s="20" t="inlineStr">
        <is>
          <t>SK텔레콤</t>
        </is>
      </c>
      <c r="J71" s="21" t="n">
        <v>0.06510000228881836</v>
      </c>
      <c r="K71" s="36" t="inlineStr">
        <is>
          <t>교보증권</t>
        </is>
      </c>
      <c r="L71" s="17" t="n">
        <v>0.06119999885559082</v>
      </c>
      <c r="M71" s="36" t="inlineStr">
        <is>
          <t>현대엘리베이터</t>
        </is>
      </c>
      <c r="N71" s="17" t="n">
        <v>0.06039999961853027</v>
      </c>
      <c r="O71" s="36" t="inlineStr">
        <is>
          <t>삼성증권</t>
        </is>
      </c>
      <c r="P71" s="17" t="n">
        <v>0.05769999980926514</v>
      </c>
      <c r="Q71" s="22" t="inlineStr">
        <is>
          <t>기아</t>
        </is>
      </c>
      <c r="R71" s="23" t="n">
        <v>0.05630000114440918</v>
      </c>
      <c r="S71" s="22" t="inlineStr">
        <is>
          <t>NH투자증권</t>
        </is>
      </c>
      <c r="T71" s="23" t="n">
        <v>0.05429999828338623</v>
      </c>
      <c r="U71" s="24" t="inlineStr">
        <is>
          <t>DB손해보험</t>
        </is>
      </c>
      <c r="V71" s="25" t="n">
        <v>0.05300000190734863</v>
      </c>
      <c r="W71" s="36" t="inlineStr">
        <is>
          <t>GS</t>
        </is>
      </c>
      <c r="X71" s="17" t="n">
        <v>0.05119999885559082</v>
      </c>
    </row>
    <row r="72" ht="16" customHeight="1">
      <c r="A72" s="36" t="inlineStr">
        <is>
          <t>TIGER 경기방어</t>
        </is>
      </c>
      <c r="B72" s="15" t="inlineStr">
        <is>
          <t>139280</t>
        </is>
      </c>
      <c r="C72" s="36" t="inlineStr">
        <is>
          <t>미래에셋자산운용</t>
        </is>
      </c>
      <c r="D72" s="19" t="n">
        <v>533</v>
      </c>
      <c r="E72" s="22" t="inlineStr">
        <is>
          <t>셀트리온</t>
        </is>
      </c>
      <c r="F72" s="23" t="n">
        <v>0.1754999923706055</v>
      </c>
      <c r="G72" s="20" t="inlineStr">
        <is>
          <t>KT&amp;G</t>
        </is>
      </c>
      <c r="H72" s="21" t="n">
        <v>0.09180000305175781</v>
      </c>
      <c r="I72" s="20" t="inlineStr">
        <is>
          <t>삼성바이오로직스</t>
        </is>
      </c>
      <c r="J72" s="21" t="n">
        <v>0.08749999999999999</v>
      </c>
      <c r="K72" s="20" t="inlineStr">
        <is>
          <t>SK텔레콤</t>
        </is>
      </c>
      <c r="L72" s="21" t="n">
        <v>0.08199999809265136</v>
      </c>
      <c r="M72" s="20" t="inlineStr">
        <is>
          <t>한국전력</t>
        </is>
      </c>
      <c r="N72" s="21" t="n">
        <v>0.08020000457763672</v>
      </c>
      <c r="O72" s="22" t="inlineStr">
        <is>
          <t>KT</t>
        </is>
      </c>
      <c r="P72" s="23" t="n">
        <v>0.07550000190734864</v>
      </c>
      <c r="Q72" s="36" t="inlineStr">
        <is>
          <t>에이피알</t>
        </is>
      </c>
      <c r="R72" s="17" t="n">
        <v>0.06010000228881836</v>
      </c>
      <c r="S72" s="36" t="inlineStr">
        <is>
          <t>유한양행</t>
        </is>
      </c>
      <c r="T72" s="17" t="n">
        <v>0.03109999895095825</v>
      </c>
      <c r="U72" s="22" t="inlineStr">
        <is>
          <t>삼양식품</t>
        </is>
      </c>
      <c r="V72" s="23" t="n">
        <v>0.02910000085830688</v>
      </c>
      <c r="W72" s="24" t="inlineStr">
        <is>
          <t>LG유플러스</t>
        </is>
      </c>
      <c r="X72" s="25" t="n">
        <v>0.02509999990463257</v>
      </c>
    </row>
    <row r="73" ht="16" customHeight="1">
      <c r="A73" s="36" t="inlineStr">
        <is>
          <t>ACE 주주환원가치주액티브</t>
        </is>
      </c>
      <c r="B73" s="15" t="inlineStr">
        <is>
          <t>447430</t>
        </is>
      </c>
      <c r="C73" s="36" t="inlineStr">
        <is>
          <t>한국투자신탁운용</t>
        </is>
      </c>
      <c r="D73" s="19" t="n">
        <v>483</v>
      </c>
      <c r="E73" s="36" t="inlineStr">
        <is>
          <t>원화현금</t>
        </is>
      </c>
      <c r="F73" s="17" t="n">
        <v>0.1236999988555908</v>
      </c>
      <c r="G73" s="36" t="inlineStr">
        <is>
          <t>더블유게임즈</t>
        </is>
      </c>
      <c r="H73" s="17" t="n">
        <v>0.1026000022888184</v>
      </c>
      <c r="I73" s="36" t="inlineStr">
        <is>
          <t>서희건설</t>
        </is>
      </c>
      <c r="J73" s="17" t="n">
        <v>0.09369999885559083</v>
      </c>
      <c r="K73" s="36" t="inlineStr">
        <is>
          <t>영원무역홀딩스</t>
        </is>
      </c>
      <c r="L73" s="17" t="n">
        <v>0.08</v>
      </c>
      <c r="M73" s="36" t="inlineStr">
        <is>
          <t>SK가스</t>
        </is>
      </c>
      <c r="N73" s="17" t="n">
        <v>0.06570000171661378</v>
      </c>
      <c r="O73" s="36" t="inlineStr">
        <is>
          <t>KSS해운</t>
        </is>
      </c>
      <c r="P73" s="17" t="n">
        <v>0.06070000171661377</v>
      </c>
      <c r="Q73" s="36" t="inlineStr">
        <is>
          <t>세아제강지주</t>
        </is>
      </c>
      <c r="R73" s="17" t="n">
        <v>0.0565999984741211</v>
      </c>
      <c r="S73" s="36" t="inlineStr">
        <is>
          <t>쿠쿠홀딩스</t>
        </is>
      </c>
      <c r="T73" s="17" t="n">
        <v>0.05349999904632569</v>
      </c>
      <c r="U73" s="36" t="inlineStr">
        <is>
          <t>세방전지</t>
        </is>
      </c>
      <c r="V73" s="17" t="n">
        <v>0.04849999904632568</v>
      </c>
      <c r="W73" s="36" t="inlineStr">
        <is>
          <t>세아제강</t>
        </is>
      </c>
      <c r="X73" s="17" t="n">
        <v>0.04670000076293945</v>
      </c>
    </row>
    <row r="74" ht="16" customHeight="1">
      <c r="A74" s="36" t="inlineStr">
        <is>
          <t>RISE 메타버스</t>
        </is>
      </c>
      <c r="B74" s="15" t="inlineStr">
        <is>
          <t>401170</t>
        </is>
      </c>
      <c r="C74" s="36" t="inlineStr">
        <is>
          <t>케이비자산운용</t>
        </is>
      </c>
      <c r="D74" s="19" t="n">
        <v>481</v>
      </c>
      <c r="E74" s="36" t="inlineStr">
        <is>
          <t>크래프톤</t>
        </is>
      </c>
      <c r="F74" s="17" t="n">
        <v>0.1134000015258789</v>
      </c>
      <c r="G74" s="36" t="inlineStr">
        <is>
          <t>NC</t>
        </is>
      </c>
      <c r="H74" s="17" t="n">
        <v>0.1110999965667725</v>
      </c>
      <c r="I74" s="20" t="inlineStr">
        <is>
          <t>하이브</t>
        </is>
      </c>
      <c r="J74" s="21" t="n">
        <v>0.110600004196167</v>
      </c>
      <c r="K74" s="22" t="inlineStr">
        <is>
          <t>카카오</t>
        </is>
      </c>
      <c r="L74" s="23" t="n">
        <v>0.101899995803833</v>
      </c>
      <c r="M74" s="36" t="inlineStr">
        <is>
          <t>삼성전기</t>
        </is>
      </c>
      <c r="N74" s="17" t="n">
        <v>0.09270000457763672</v>
      </c>
      <c r="O74" s="36" t="inlineStr">
        <is>
          <t>LG디스플레이</t>
        </is>
      </c>
      <c r="P74" s="17" t="n">
        <v>0.09220000267028809</v>
      </c>
      <c r="Q74" s="20" t="inlineStr">
        <is>
          <t>NAVER</t>
        </is>
      </c>
      <c r="R74" s="21" t="n">
        <v>0.09189999580383301</v>
      </c>
      <c r="S74" s="36" t="inlineStr">
        <is>
          <t>LG이노텍</t>
        </is>
      </c>
      <c r="T74" s="17" t="n">
        <v>0.07130000114440918</v>
      </c>
      <c r="U74" s="36" t="inlineStr">
        <is>
          <t>JYP Ent.</t>
        </is>
      </c>
      <c r="V74" s="17" t="n">
        <v>0.04170000076293946</v>
      </c>
      <c r="W74" s="36" t="inlineStr">
        <is>
          <t>펄어비스</t>
        </is>
      </c>
      <c r="X74" s="17" t="n">
        <v>0.0415999984741211</v>
      </c>
    </row>
    <row r="75" ht="16" customHeight="1">
      <c r="A75" s="36" t="inlineStr">
        <is>
          <t>HANARO e커머스</t>
        </is>
      </c>
      <c r="B75" s="15" t="inlineStr">
        <is>
          <t>322400</t>
        </is>
      </c>
      <c r="C75" s="36" t="inlineStr">
        <is>
          <t>엔에이치아문디자산운용</t>
        </is>
      </c>
      <c r="D75" s="19" t="n">
        <v>465</v>
      </c>
      <c r="E75" s="20" t="inlineStr">
        <is>
          <t>NAVER</t>
        </is>
      </c>
      <c r="F75" s="21" t="n">
        <v>0.1819000053405762</v>
      </c>
      <c r="G75" s="22" t="inlineStr">
        <is>
          <t>카카오</t>
        </is>
      </c>
      <c r="H75" s="23" t="n">
        <v>0.1655999946594238</v>
      </c>
      <c r="I75" s="36" t="inlineStr">
        <is>
          <t>이마트</t>
        </is>
      </c>
      <c r="J75" s="17" t="n">
        <v>0.116899995803833</v>
      </c>
      <c r="K75" s="36" t="inlineStr">
        <is>
          <t>실리콘투</t>
        </is>
      </c>
      <c r="L75" s="17" t="n">
        <v>0.0825</v>
      </c>
      <c r="M75" s="36" t="inlineStr">
        <is>
          <t>현대백화점</t>
        </is>
      </c>
      <c r="N75" s="17" t="n">
        <v>0.08149999618530274</v>
      </c>
      <c r="O75" s="36" t="inlineStr">
        <is>
          <t>제일기획</t>
        </is>
      </c>
      <c r="P75" s="17" t="n">
        <v>0.07559999942779541</v>
      </c>
      <c r="Q75" s="36" t="inlineStr">
        <is>
          <t>CJ대한통운</t>
        </is>
      </c>
      <c r="R75" s="17" t="n">
        <v>0.06130000114440918</v>
      </c>
      <c r="S75" s="36" t="inlineStr">
        <is>
          <t>이노션</t>
        </is>
      </c>
      <c r="T75" s="17" t="n">
        <v>0.03049999952316284</v>
      </c>
      <c r="U75" s="36" t="inlineStr">
        <is>
          <t>다날</t>
        </is>
      </c>
      <c r="V75" s="17" t="n">
        <v>0.02650000095367432</v>
      </c>
      <c r="W75" s="36" t="inlineStr">
        <is>
          <t>카페24</t>
        </is>
      </c>
      <c r="X75" s="17" t="n">
        <v>0.02579999923706055</v>
      </c>
    </row>
    <row r="76" ht="16" customHeight="1">
      <c r="A76" s="36" t="inlineStr">
        <is>
          <t>KODEX K콘텐츠</t>
        </is>
      </c>
      <c r="B76" s="15" t="inlineStr">
        <is>
          <t>266360</t>
        </is>
      </c>
      <c r="C76" s="36" t="inlineStr">
        <is>
          <t>삼성자산운용</t>
        </is>
      </c>
      <c r="D76" s="19" t="n">
        <v>448</v>
      </c>
      <c r="E76" s="20" t="inlineStr">
        <is>
          <t>NAVER</t>
        </is>
      </c>
      <c r="F76" s="21" t="n">
        <v>0.208799991607666</v>
      </c>
      <c r="G76" s="22" t="inlineStr">
        <is>
          <t>카카오</t>
        </is>
      </c>
      <c r="H76" s="23" t="n">
        <v>0.178799991607666</v>
      </c>
      <c r="I76" s="36" t="inlineStr">
        <is>
          <t>크래프톤</t>
        </is>
      </c>
      <c r="J76" s="17" t="n">
        <v>0.1607999992370605</v>
      </c>
      <c r="K76" s="20" t="inlineStr">
        <is>
          <t>하이브</t>
        </is>
      </c>
      <c r="L76" s="21" t="n">
        <v>0.1078999996185303</v>
      </c>
      <c r="M76" s="36" t="inlineStr">
        <is>
          <t>NC</t>
        </is>
      </c>
      <c r="N76" s="17" t="n">
        <v>0.08800000190734864</v>
      </c>
      <c r="O76" s="36" t="inlineStr">
        <is>
          <t>펄어비스</t>
        </is>
      </c>
      <c r="P76" s="17" t="n">
        <v>0.04300000190734863</v>
      </c>
      <c r="Q76" s="36" t="inlineStr">
        <is>
          <t>JYP Ent.</t>
        </is>
      </c>
      <c r="R76" s="17" t="n">
        <v>0.03240000009536743</v>
      </c>
      <c r="S76" s="36" t="inlineStr">
        <is>
          <t>넷마블</t>
        </is>
      </c>
      <c r="T76" s="17" t="n">
        <v>0.02930000066757202</v>
      </c>
      <c r="U76" s="36" t="inlineStr">
        <is>
          <t>제일기획</t>
        </is>
      </c>
      <c r="V76" s="17" t="n">
        <v>0.02650000095367432</v>
      </c>
      <c r="W76" s="36" t="inlineStr">
        <is>
          <t>에스엠</t>
        </is>
      </c>
      <c r="X76" s="17" t="n">
        <v>0.0252999997138977</v>
      </c>
    </row>
    <row r="77" ht="16" customHeight="1">
      <c r="A77" s="36" t="inlineStr">
        <is>
          <t>HANARO Fn K-POP&amp;미디어</t>
        </is>
      </c>
      <c r="B77" s="15" t="inlineStr">
        <is>
          <t>395290</t>
        </is>
      </c>
      <c r="C77" s="36" t="inlineStr">
        <is>
          <t>엔에이치아문디자산운용</t>
        </is>
      </c>
      <c r="D77" s="19" t="n">
        <v>441</v>
      </c>
      <c r="E77" s="20" t="inlineStr">
        <is>
          <t>하이브</t>
        </is>
      </c>
      <c r="F77" s="21" t="n">
        <v>0.2444000053405762</v>
      </c>
      <c r="G77" s="36" t="inlineStr">
        <is>
          <t>JYP Ent.</t>
        </is>
      </c>
      <c r="H77" s="17" t="n">
        <v>0.2320000076293945</v>
      </c>
      <c r="I77" s="36" t="inlineStr">
        <is>
          <t>에스엠</t>
        </is>
      </c>
      <c r="J77" s="17" t="n">
        <v>0.173700008392334</v>
      </c>
      <c r="K77" s="36" t="inlineStr">
        <is>
          <t>와이지엔터테인먼트</t>
        </is>
      </c>
      <c r="L77" s="17" t="n">
        <v>0.1005000019073486</v>
      </c>
      <c r="M77" s="36" t="inlineStr">
        <is>
          <t>CJ ENM</t>
        </is>
      </c>
      <c r="N77" s="17" t="n">
        <v>0.08399999618530274</v>
      </c>
      <c r="O77" s="36" t="inlineStr">
        <is>
          <t>스튜디오드래곤</t>
        </is>
      </c>
      <c r="P77" s="17" t="n">
        <v>0.06389999866485596</v>
      </c>
      <c r="Q77" s="36" t="inlineStr">
        <is>
          <t>YG PLUS</t>
        </is>
      </c>
      <c r="R77" s="17" t="n">
        <v>0.02880000114440918</v>
      </c>
      <c r="S77" s="36" t="inlineStr">
        <is>
          <t>SBS</t>
        </is>
      </c>
      <c r="T77" s="17" t="n">
        <v>0.02420000076293945</v>
      </c>
      <c r="U77" s="36" t="inlineStr">
        <is>
          <t>노머스</t>
        </is>
      </c>
      <c r="V77" s="17" t="n">
        <v>0.01779999971389771</v>
      </c>
      <c r="W77" s="36" t="inlineStr">
        <is>
          <t>애니플러스</t>
        </is>
      </c>
      <c r="X77" s="17" t="n">
        <v>0.01169999957084656</v>
      </c>
    </row>
    <row r="78" ht="16" customHeight="1">
      <c r="A78" s="36" t="inlineStr">
        <is>
          <t>TIGER 모멘텀</t>
        </is>
      </c>
      <c r="B78" s="15" t="inlineStr">
        <is>
          <t>147970</t>
        </is>
      </c>
      <c r="C78" s="36" t="inlineStr">
        <is>
          <t>미래에셋자산운용</t>
        </is>
      </c>
      <c r="D78" s="19" t="n">
        <v>432</v>
      </c>
      <c r="E78" s="36" t="inlineStr">
        <is>
          <t>LG이노텍</t>
        </is>
      </c>
      <c r="F78" s="17" t="n">
        <v>0.05380000114440918</v>
      </c>
      <c r="G78" s="36" t="inlineStr">
        <is>
          <t>대한전선</t>
        </is>
      </c>
      <c r="H78" s="17" t="n">
        <v>0.04949999809265137</v>
      </c>
      <c r="I78" s="20" t="inlineStr">
        <is>
          <t>SK스퀘어</t>
        </is>
      </c>
      <c r="J78" s="21" t="n">
        <v>0.0490999984741211</v>
      </c>
      <c r="K78" s="36" t="inlineStr">
        <is>
          <t>삼성전기</t>
        </is>
      </c>
      <c r="L78" s="17" t="n">
        <v>0.04889999866485596</v>
      </c>
      <c r="M78" s="22" t="inlineStr">
        <is>
          <t>SK하이닉스</t>
        </is>
      </c>
      <c r="N78" s="23" t="n">
        <v>0.04550000190734863</v>
      </c>
      <c r="O78" s="36" t="inlineStr">
        <is>
          <t>LS ELECTRIC</t>
        </is>
      </c>
      <c r="P78" s="17" t="n">
        <v>0.04119999885559082</v>
      </c>
      <c r="Q78" s="36" t="inlineStr">
        <is>
          <t>신세계</t>
        </is>
      </c>
      <c r="R78" s="17" t="n">
        <v>0.03920000076293945</v>
      </c>
      <c r="S78" s="36" t="inlineStr">
        <is>
          <t>대덕전자</t>
        </is>
      </c>
      <c r="T78" s="17" t="n">
        <v>0.03900000095367431</v>
      </c>
      <c r="U78" s="36" t="inlineStr">
        <is>
          <t>일진전기</t>
        </is>
      </c>
      <c r="V78" s="17" t="n">
        <v>0.03869999885559082</v>
      </c>
      <c r="W78" s="36" t="inlineStr">
        <is>
          <t>OCI홀딩스</t>
        </is>
      </c>
      <c r="X78" s="17" t="n">
        <v>0.03640000104904175</v>
      </c>
    </row>
    <row r="79" ht="16" customHeight="1">
      <c r="A79" s="36" t="inlineStr">
        <is>
          <t>TIGER Fn메타버스</t>
        </is>
      </c>
      <c r="B79" s="15" t="inlineStr">
        <is>
          <t>400970</t>
        </is>
      </c>
      <c r="C79" s="36" t="inlineStr">
        <is>
          <t>미래에셋자산운용</t>
        </is>
      </c>
      <c r="D79" s="19" t="n">
        <v>432</v>
      </c>
      <c r="E79" s="36" t="inlineStr">
        <is>
          <t>크래프톤</t>
        </is>
      </c>
      <c r="F79" s="17" t="n">
        <v>0.11</v>
      </c>
      <c r="G79" s="36" t="inlineStr">
        <is>
          <t>NC</t>
        </is>
      </c>
      <c r="H79" s="17" t="n">
        <v>0.109399995803833</v>
      </c>
      <c r="I79" s="20" t="inlineStr">
        <is>
          <t>하이브</t>
        </is>
      </c>
      <c r="J79" s="21" t="n">
        <v>0.1022000026702881</v>
      </c>
      <c r="K79" s="20" t="inlineStr">
        <is>
          <t>NAVER</t>
        </is>
      </c>
      <c r="L79" s="21" t="n">
        <v>0.09520000457763672</v>
      </c>
      <c r="M79" s="36" t="inlineStr">
        <is>
          <t>LG디스플레이</t>
        </is>
      </c>
      <c r="N79" s="17" t="n">
        <v>0.09380000114440917</v>
      </c>
      <c r="O79" s="36" t="inlineStr">
        <is>
          <t>LG이노텍</t>
        </is>
      </c>
      <c r="P79" s="17" t="n">
        <v>0.08819999694824218</v>
      </c>
      <c r="Q79" s="36" t="inlineStr">
        <is>
          <t>JYP Ent.</t>
        </is>
      </c>
      <c r="R79" s="17" t="n">
        <v>0.06639999866485596</v>
      </c>
      <c r="S79" s="36" t="inlineStr">
        <is>
          <t>펄어비스</t>
        </is>
      </c>
      <c r="T79" s="17" t="n">
        <v>0.06239999771118164</v>
      </c>
      <c r="U79" s="36" t="inlineStr">
        <is>
          <t>넷마블</t>
        </is>
      </c>
      <c r="V79" s="17" t="n">
        <v>0.04960000038146973</v>
      </c>
      <c r="W79" s="36" t="inlineStr">
        <is>
          <t>시프트업</t>
        </is>
      </c>
      <c r="X79" s="17" t="n">
        <v>0.04699999809265137</v>
      </c>
    </row>
    <row r="80" ht="16" customHeight="1">
      <c r="A80" s="36" t="inlineStr">
        <is>
          <t>TIGER 200 에너지화학</t>
        </is>
      </c>
      <c r="B80" s="15" t="inlineStr">
        <is>
          <t>139250</t>
        </is>
      </c>
      <c r="C80" s="36" t="inlineStr">
        <is>
          <t>미래에셋자산운용</t>
        </is>
      </c>
      <c r="D80" s="19" t="n">
        <v>431</v>
      </c>
      <c r="E80" s="36" t="inlineStr">
        <is>
          <t>SK</t>
        </is>
      </c>
      <c r="F80" s="17" t="n">
        <v>0.1645000076293945</v>
      </c>
      <c r="G80" s="20" t="inlineStr">
        <is>
          <t>LG화학</t>
        </is>
      </c>
      <c r="H80" s="21" t="n">
        <v>0.1582999992370605</v>
      </c>
      <c r="I80" s="36" t="inlineStr">
        <is>
          <t>HD현대</t>
        </is>
      </c>
      <c r="J80" s="17" t="n">
        <v>0.1336999988555908</v>
      </c>
      <c r="K80" s="22" t="inlineStr">
        <is>
          <t>SK이노베이션</t>
        </is>
      </c>
      <c r="L80" s="23" t="n">
        <v>0.105600004196167</v>
      </c>
      <c r="M80" s="36" t="inlineStr">
        <is>
          <t>한화솔루션</t>
        </is>
      </c>
      <c r="N80" s="17" t="n">
        <v>0.05239999771118164</v>
      </c>
      <c r="O80" s="36" t="inlineStr">
        <is>
          <t>S-Oil</t>
        </is>
      </c>
      <c r="P80" s="17" t="n">
        <v>0.05190000057220459</v>
      </c>
      <c r="Q80" s="36" t="inlineStr">
        <is>
          <t>OCI홀딩스</t>
        </is>
      </c>
      <c r="R80" s="17" t="n">
        <v>0.04590000152587891</v>
      </c>
      <c r="S80" s="36" t="inlineStr">
        <is>
          <t>한화</t>
        </is>
      </c>
      <c r="T80" s="17" t="n">
        <v>0.0375</v>
      </c>
      <c r="U80" s="36" t="inlineStr">
        <is>
          <t>GS</t>
        </is>
      </c>
      <c r="V80" s="17" t="n">
        <v>0.03490000009536743</v>
      </c>
      <c r="W80" s="36" t="inlineStr">
        <is>
          <t>SKC</t>
        </is>
      </c>
      <c r="X80" s="17" t="n">
        <v>0.03180000066757202</v>
      </c>
    </row>
    <row r="81" ht="16" customHeight="1">
      <c r="A81" s="36" t="inlineStr">
        <is>
          <t>KODEX Top10동일가중</t>
        </is>
      </c>
      <c r="B81" s="15" t="inlineStr">
        <is>
          <t>395170</t>
        </is>
      </c>
      <c r="C81" s="36" t="inlineStr">
        <is>
          <t>삼성자산운용</t>
        </is>
      </c>
      <c r="D81" s="19" t="n">
        <v>415</v>
      </c>
      <c r="E81" s="22" t="inlineStr">
        <is>
          <t>SK하이닉스</t>
        </is>
      </c>
      <c r="F81" s="23" t="n">
        <v>0.1820000076293945</v>
      </c>
      <c r="G81" s="20" t="inlineStr">
        <is>
          <t>SK스퀘어</t>
        </is>
      </c>
      <c r="H81" s="21" t="n">
        <v>0.1609000015258789</v>
      </c>
      <c r="I81" s="20" t="inlineStr">
        <is>
          <t>삼성전자</t>
        </is>
      </c>
      <c r="J81" s="21" t="n">
        <v>0.1221000003814697</v>
      </c>
      <c r="K81" s="20" t="inlineStr">
        <is>
          <t>현대차</t>
        </is>
      </c>
      <c r="L81" s="21" t="n">
        <v>0.100600004196167</v>
      </c>
      <c r="M81" s="36" t="inlineStr">
        <is>
          <t>LG에너지솔루션</t>
        </is>
      </c>
      <c r="N81" s="17" t="n">
        <v>0.08649999618530274</v>
      </c>
      <c r="O81" s="36" t="inlineStr">
        <is>
          <t>HD현대중공업</t>
        </is>
      </c>
      <c r="P81" s="17" t="n">
        <v>0.08350000381469727</v>
      </c>
      <c r="Q81" s="20" t="inlineStr">
        <is>
          <t>두산에너빌리티</t>
        </is>
      </c>
      <c r="R81" s="21" t="n">
        <v>0.07389999866485596</v>
      </c>
      <c r="S81" s="22" t="inlineStr">
        <is>
          <t>기아</t>
        </is>
      </c>
      <c r="T81" s="23" t="n">
        <v>0.07329999923706054</v>
      </c>
      <c r="U81" s="20" t="inlineStr">
        <is>
          <t>삼성바이오로직스</t>
        </is>
      </c>
      <c r="V81" s="21" t="n">
        <v>0.06110000133514405</v>
      </c>
      <c r="W81" s="36" t="inlineStr">
        <is>
          <t>한화에어로스페이스</t>
        </is>
      </c>
      <c r="X81" s="17" t="n">
        <v>0.05820000171661377</v>
      </c>
    </row>
    <row r="82" ht="16" customHeight="1">
      <c r="A82" s="36" t="inlineStr">
        <is>
          <t>KODEX 에너지화학</t>
        </is>
      </c>
      <c r="B82" s="15" t="inlineStr">
        <is>
          <t>117460</t>
        </is>
      </c>
      <c r="C82" s="36" t="inlineStr">
        <is>
          <t>삼성자산운용</t>
        </is>
      </c>
      <c r="D82" s="19" t="n">
        <v>411</v>
      </c>
      <c r="E82" s="20" t="inlineStr">
        <is>
          <t>LG화학</t>
        </is>
      </c>
      <c r="F82" s="21" t="n">
        <v>0.1904000091552734</v>
      </c>
      <c r="G82" s="36" t="inlineStr">
        <is>
          <t>HD현대</t>
        </is>
      </c>
      <c r="H82" s="17" t="n">
        <v>0.1486999988555908</v>
      </c>
      <c r="I82" s="22" t="inlineStr">
        <is>
          <t>SK이노베이션</t>
        </is>
      </c>
      <c r="J82" s="23" t="n">
        <v>0.1177999973297119</v>
      </c>
      <c r="K82" s="36" t="inlineStr">
        <is>
          <t>한화솔루션</t>
        </is>
      </c>
      <c r="L82" s="17" t="n">
        <v>0.05849999904632568</v>
      </c>
      <c r="M82" s="36" t="inlineStr">
        <is>
          <t>S-Oil</t>
        </is>
      </c>
      <c r="N82" s="17" t="n">
        <v>0.05789999961853028</v>
      </c>
      <c r="O82" s="36" t="inlineStr">
        <is>
          <t>OCI홀딩스</t>
        </is>
      </c>
      <c r="P82" s="17" t="n">
        <v>0.05130000114440918</v>
      </c>
      <c r="Q82" s="36" t="inlineStr">
        <is>
          <t>SKC</t>
        </is>
      </c>
      <c r="R82" s="17" t="n">
        <v>0.0347000002861023</v>
      </c>
      <c r="S82" s="36" t="inlineStr">
        <is>
          <t>한솔케미칼</t>
        </is>
      </c>
      <c r="T82" s="17" t="n">
        <v>0.0275</v>
      </c>
      <c r="U82" s="36" t="inlineStr">
        <is>
          <t>이수스페셜티케미컬</t>
        </is>
      </c>
      <c r="V82" s="17" t="n">
        <v>0.0272000002861023</v>
      </c>
      <c r="W82" s="36" t="inlineStr">
        <is>
          <t>KCC</t>
        </is>
      </c>
      <c r="X82" s="17" t="n">
        <v>0.02619999885559082</v>
      </c>
    </row>
    <row r="83" ht="16" customHeight="1">
      <c r="A83" s="36" t="inlineStr">
        <is>
          <t>ACE 코스피</t>
        </is>
      </c>
      <c r="B83" s="15" t="inlineStr">
        <is>
          <t>305050</t>
        </is>
      </c>
      <c r="C83" s="36" t="inlineStr">
        <is>
          <t>한국투자신탁운용</t>
        </is>
      </c>
      <c r="D83" s="19" t="n">
        <v>410</v>
      </c>
      <c r="E83" s="20" t="inlineStr">
        <is>
          <t>삼성전자</t>
        </is>
      </c>
      <c r="F83" s="21" t="n">
        <v>0.2480999946594238</v>
      </c>
      <c r="G83" s="22" t="inlineStr">
        <is>
          <t>SK하이닉스</t>
        </is>
      </c>
      <c r="H83" s="23" t="n">
        <v>0.1888999938964844</v>
      </c>
      <c r="I83" s="20" t="inlineStr">
        <is>
          <t>SK스퀘어</t>
        </is>
      </c>
      <c r="J83" s="21" t="n">
        <v>0.02410000085830688</v>
      </c>
      <c r="K83" s="36" t="inlineStr">
        <is>
          <t>LG에너지솔루션</t>
        </is>
      </c>
      <c r="L83" s="17" t="n">
        <v>0.0202999997138977</v>
      </c>
      <c r="M83" s="20" t="inlineStr">
        <is>
          <t>현대차</t>
        </is>
      </c>
      <c r="N83" s="21" t="n">
        <v>0.02019999980926514</v>
      </c>
      <c r="O83" s="20" t="inlineStr">
        <is>
          <t>두산에너빌리티</t>
        </is>
      </c>
      <c r="P83" s="21" t="n">
        <v>0.015</v>
      </c>
      <c r="Q83" s="36" t="inlineStr">
        <is>
          <t>한화에어로스페이스</t>
        </is>
      </c>
      <c r="R83" s="17" t="n">
        <v>0.01379999995231628</v>
      </c>
      <c r="S83" s="36" t="inlineStr">
        <is>
          <t>HD현대중공업</t>
        </is>
      </c>
      <c r="T83" s="17" t="n">
        <v>0.01299999952316284</v>
      </c>
      <c r="U83" s="20" t="inlineStr">
        <is>
          <t>삼성바이오로직스</t>
        </is>
      </c>
      <c r="V83" s="21" t="n">
        <v>0.0127999997138977</v>
      </c>
      <c r="W83" s="36" t="inlineStr">
        <is>
          <t>삼성전기</t>
        </is>
      </c>
      <c r="X83" s="17" t="n">
        <v>0.01259999990463257</v>
      </c>
    </row>
    <row r="84" ht="16" customHeight="1">
      <c r="A84" s="36" t="inlineStr">
        <is>
          <t>KODEX 자율주행액티브</t>
        </is>
      </c>
      <c r="B84" s="15" t="inlineStr">
        <is>
          <t>385520</t>
        </is>
      </c>
      <c r="C84" s="36" t="inlineStr">
        <is>
          <t>삼성자산운용</t>
        </is>
      </c>
      <c r="D84" s="19" t="n">
        <v>390</v>
      </c>
      <c r="E84" s="36" t="inlineStr">
        <is>
          <t>삼성전기</t>
        </is>
      </c>
      <c r="F84" s="17" t="n">
        <v>0.09760000228881836</v>
      </c>
      <c r="G84" s="20" t="inlineStr">
        <is>
          <t>현대차</t>
        </is>
      </c>
      <c r="H84" s="21" t="n">
        <v>0.0703000020980835</v>
      </c>
      <c r="I84" s="36" t="inlineStr">
        <is>
          <t>현대오토에버</t>
        </is>
      </c>
      <c r="J84" s="17" t="n">
        <v>0.06559999942779542</v>
      </c>
      <c r="K84" s="36" t="inlineStr">
        <is>
          <t>현대모비스</t>
        </is>
      </c>
      <c r="L84" s="17" t="n">
        <v>0.0503000020980835</v>
      </c>
      <c r="M84" s="22" t="inlineStr">
        <is>
          <t>SK하이닉스</t>
        </is>
      </c>
      <c r="N84" s="23" t="n">
        <v>0.04300000190734863</v>
      </c>
      <c r="O84" s="36" t="inlineStr">
        <is>
          <t>LG이노텍</t>
        </is>
      </c>
      <c r="P84" s="17" t="n">
        <v>0.04039999961853027</v>
      </c>
      <c r="Q84" s="36" t="inlineStr">
        <is>
          <t>삼성SDI</t>
        </is>
      </c>
      <c r="R84" s="17" t="n">
        <v>0.03930000066757202</v>
      </c>
      <c r="S84" s="36" t="inlineStr">
        <is>
          <t>테스</t>
        </is>
      </c>
      <c r="T84" s="17" t="n">
        <v>0.03769999980926514</v>
      </c>
      <c r="U84" s="36" t="inlineStr">
        <is>
          <t>HL만도</t>
        </is>
      </c>
      <c r="V84" s="17" t="n">
        <v>0.03759999990463257</v>
      </c>
      <c r="W84" s="36" t="inlineStr">
        <is>
          <t>LG에너지솔루션</t>
        </is>
      </c>
      <c r="X84" s="17" t="n">
        <v>0.03680000066757202</v>
      </c>
    </row>
    <row r="85" ht="16" customHeight="1">
      <c r="A85" s="36" t="inlineStr">
        <is>
          <t>SOL 자동차소부장Fn</t>
        </is>
      </c>
      <c r="B85" s="15" t="inlineStr">
        <is>
          <t>464600</t>
        </is>
      </c>
      <c r="C85" s="36" t="inlineStr">
        <is>
          <t>신한자산운용</t>
        </is>
      </c>
      <c r="D85" s="19" t="n">
        <v>388</v>
      </c>
      <c r="E85" s="36" t="inlineStr">
        <is>
          <t>삼성전기</t>
        </is>
      </c>
      <c r="F85" s="17" t="n">
        <v>0.2756999969482422</v>
      </c>
      <c r="G85" s="36" t="inlineStr">
        <is>
          <t>LG이노텍</t>
        </is>
      </c>
      <c r="H85" s="17" t="n">
        <v>0.1552999973297119</v>
      </c>
      <c r="I85" s="36" t="inlineStr">
        <is>
          <t>LG전자</t>
        </is>
      </c>
      <c r="J85" s="17" t="n">
        <v>0.1031999969482422</v>
      </c>
      <c r="K85" s="36" t="inlineStr">
        <is>
          <t>현대오토에버</t>
        </is>
      </c>
      <c r="L85" s="17" t="n">
        <v>0.07699999809265137</v>
      </c>
      <c r="M85" s="36" t="inlineStr">
        <is>
          <t>현대모비스</t>
        </is>
      </c>
      <c r="N85" s="17" t="n">
        <v>0.07260000228881835</v>
      </c>
      <c r="O85" s="20" t="inlineStr">
        <is>
          <t>삼성전자</t>
        </is>
      </c>
      <c r="P85" s="21" t="n">
        <v>0.06449999809265136</v>
      </c>
      <c r="Q85" s="36" t="inlineStr">
        <is>
          <t>고영</t>
        </is>
      </c>
      <c r="R85" s="17" t="n">
        <v>0.03910000085830689</v>
      </c>
      <c r="S85" s="36" t="inlineStr">
        <is>
          <t>HL만도</t>
        </is>
      </c>
      <c r="T85" s="17" t="n">
        <v>0.03869999885559082</v>
      </c>
      <c r="U85" s="36" t="inlineStr">
        <is>
          <t>대주전자재료</t>
        </is>
      </c>
      <c r="V85" s="17" t="n">
        <v>0.02410000085830688</v>
      </c>
      <c r="W85" s="36" t="inlineStr">
        <is>
          <t>현대위아</t>
        </is>
      </c>
      <c r="X85" s="17" t="n">
        <v>0.0222000002861023</v>
      </c>
    </row>
    <row r="86" ht="16" customHeight="1">
      <c r="A86" s="36" t="inlineStr">
        <is>
          <t>파워 고배당저변동성</t>
        </is>
      </c>
      <c r="B86" s="15" t="inlineStr">
        <is>
          <t>192720</t>
        </is>
      </c>
      <c r="C86" s="36" t="inlineStr">
        <is>
          <t>교보악사자산운용</t>
        </is>
      </c>
      <c r="D86" s="19" t="n">
        <v>379</v>
      </c>
      <c r="E86" s="36" t="inlineStr">
        <is>
          <t>효성티앤씨</t>
        </is>
      </c>
      <c r="F86" s="17" t="n">
        <v>0.045</v>
      </c>
      <c r="G86" s="36" t="inlineStr">
        <is>
          <t>롯데쇼핑</t>
        </is>
      </c>
      <c r="H86" s="17" t="n">
        <v>0.04480000019073486</v>
      </c>
      <c r="I86" s="20" t="inlineStr">
        <is>
          <t>SK텔레콤</t>
        </is>
      </c>
      <c r="J86" s="21" t="n">
        <v>0.0428000020980835</v>
      </c>
      <c r="K86" s="20" t="inlineStr">
        <is>
          <t>현대차</t>
        </is>
      </c>
      <c r="L86" s="21" t="n">
        <v>0.03539999961853027</v>
      </c>
      <c r="M86" s="36" t="inlineStr">
        <is>
          <t>GS</t>
        </is>
      </c>
      <c r="N86" s="17" t="n">
        <v>0.03019999980926514</v>
      </c>
      <c r="O86" s="22" t="inlineStr">
        <is>
          <t>기아</t>
        </is>
      </c>
      <c r="P86" s="23" t="n">
        <v>0.02950000047683716</v>
      </c>
      <c r="Q86" s="22" t="inlineStr">
        <is>
          <t>NH투자증권</t>
        </is>
      </c>
      <c r="R86" s="23" t="n">
        <v>0.02910000085830688</v>
      </c>
      <c r="S86" s="36" t="inlineStr">
        <is>
          <t>삼성증권</t>
        </is>
      </c>
      <c r="T86" s="17" t="n">
        <v>0.02859999895095825</v>
      </c>
      <c r="U86" s="24" t="inlineStr">
        <is>
          <t>DB손해보험</t>
        </is>
      </c>
      <c r="V86" s="25" t="n">
        <v>0.02670000076293945</v>
      </c>
      <c r="W86" s="22" t="inlineStr">
        <is>
          <t>삼성E&amp;A</t>
        </is>
      </c>
      <c r="X86" s="23" t="n">
        <v>0.02490000009536743</v>
      </c>
    </row>
    <row r="87" ht="16" customHeight="1">
      <c r="A87" s="36" t="inlineStr">
        <is>
          <t>TIGER 200 금융</t>
        </is>
      </c>
      <c r="B87" s="15" t="inlineStr">
        <is>
          <t>139270</t>
        </is>
      </c>
      <c r="C87" s="36" t="inlineStr">
        <is>
          <t>미래에셋자산운용</t>
        </is>
      </c>
      <c r="D87" s="19" t="n">
        <v>377</v>
      </c>
      <c r="E87" s="36" t="inlineStr">
        <is>
          <t>KB금융</t>
        </is>
      </c>
      <c r="F87" s="17" t="n">
        <v>0.1795000076293945</v>
      </c>
      <c r="G87" s="36" t="inlineStr">
        <is>
          <t>신한지주</t>
        </is>
      </c>
      <c r="H87" s="17" t="n">
        <v>0.1435999965667725</v>
      </c>
      <c r="I87" s="36" t="inlineStr">
        <is>
          <t>하나금융지주</t>
        </is>
      </c>
      <c r="J87" s="17" t="n">
        <v>0.1132999992370606</v>
      </c>
      <c r="K87" s="36" t="inlineStr">
        <is>
          <t>우리금융지주</t>
        </is>
      </c>
      <c r="L87" s="17" t="n">
        <v>0.07969999790191651</v>
      </c>
      <c r="M87" s="20" t="inlineStr">
        <is>
          <t>삼성생명</t>
        </is>
      </c>
      <c r="N87" s="21" t="n">
        <v>0.07960000038146972</v>
      </c>
      <c r="O87" s="20" t="inlineStr">
        <is>
          <t>미래에셋증권</t>
        </is>
      </c>
      <c r="P87" s="21" t="n">
        <v>0.06900000095367431</v>
      </c>
      <c r="Q87" s="22" t="inlineStr">
        <is>
          <t>삼성화재</t>
        </is>
      </c>
      <c r="R87" s="23" t="n">
        <v>0.05190000057220459</v>
      </c>
      <c r="S87" s="36" t="inlineStr">
        <is>
          <t>한국금융지주</t>
        </is>
      </c>
      <c r="T87" s="17" t="n">
        <v>0.03759999990463257</v>
      </c>
      <c r="U87" s="36" t="inlineStr">
        <is>
          <t>메리츠금융지주</t>
        </is>
      </c>
      <c r="V87" s="17" t="n">
        <v>0.03130000114440918</v>
      </c>
      <c r="W87" s="36" t="inlineStr">
        <is>
          <t>삼성증권</t>
        </is>
      </c>
      <c r="X87" s="17" t="n">
        <v>0.02980000019073486</v>
      </c>
    </row>
    <row r="88" ht="16" customHeight="1">
      <c r="A88" s="36" t="inlineStr">
        <is>
          <t>RISE 배터리 리사이클링</t>
        </is>
      </c>
      <c r="B88" s="15" t="inlineStr">
        <is>
          <t>446700</t>
        </is>
      </c>
      <c r="C88" s="36" t="inlineStr">
        <is>
          <t>케이비자산운용</t>
        </is>
      </c>
      <c r="D88" s="19" t="n">
        <v>366</v>
      </c>
      <c r="E88" s="36" t="inlineStr">
        <is>
          <t>삼성SDI</t>
        </is>
      </c>
      <c r="F88" s="17" t="n">
        <v>0.08180000305175782</v>
      </c>
      <c r="G88" s="36" t="inlineStr">
        <is>
          <t>LG에너지솔루션</t>
        </is>
      </c>
      <c r="H88" s="17" t="n">
        <v>0.07780000209808349</v>
      </c>
      <c r="I88" s="22" t="inlineStr">
        <is>
          <t>SK이노베이션</t>
        </is>
      </c>
      <c r="J88" s="23" t="n">
        <v>0.07190000057220459</v>
      </c>
      <c r="K88" s="20" t="inlineStr">
        <is>
          <t>POSCO홀딩스</t>
        </is>
      </c>
      <c r="L88" s="21" t="n">
        <v>0.07179999828338623</v>
      </c>
      <c r="M88" s="36" t="inlineStr">
        <is>
          <t>성일하이텍</t>
        </is>
      </c>
      <c r="N88" s="17" t="n">
        <v>0.07059999942779541</v>
      </c>
      <c r="O88" s="36" t="inlineStr">
        <is>
          <t>에코프로</t>
        </is>
      </c>
      <c r="P88" s="17" t="n">
        <v>0.06349999904632568</v>
      </c>
      <c r="Q88" s="22" t="inlineStr">
        <is>
          <t>고려아연</t>
        </is>
      </c>
      <c r="R88" s="23" t="n">
        <v>0.06269999980926513</v>
      </c>
      <c r="S88" s="22" t="inlineStr">
        <is>
          <t>아이에스동서</t>
        </is>
      </c>
      <c r="T88" s="23" t="n">
        <v>0.0571999979019165</v>
      </c>
      <c r="U88" s="36" t="inlineStr">
        <is>
          <t>코스모화학</t>
        </is>
      </c>
      <c r="V88" s="17" t="n">
        <v>0.05340000152587891</v>
      </c>
      <c r="W88" s="36" t="inlineStr">
        <is>
          <t>엘앤에프</t>
        </is>
      </c>
      <c r="X88" s="17" t="n">
        <v>0.04599999904632569</v>
      </c>
    </row>
    <row r="89" ht="16" customHeight="1">
      <c r="A89" s="36" t="inlineStr">
        <is>
          <t>KODEX 철강</t>
        </is>
      </c>
      <c r="B89" s="15" t="inlineStr">
        <is>
          <t>117680</t>
        </is>
      </c>
      <c r="C89" s="36" t="inlineStr">
        <is>
          <t>삼성자산운용</t>
        </is>
      </c>
      <c r="D89" s="19" t="n">
        <v>366</v>
      </c>
      <c r="E89" s="20" t="inlineStr">
        <is>
          <t>POSCO홀딩스</t>
        </is>
      </c>
      <c r="F89" s="21" t="n">
        <v>0.231200008392334</v>
      </c>
      <c r="G89" s="36" t="inlineStr">
        <is>
          <t>현대제철</t>
        </is>
      </c>
      <c r="H89" s="17" t="n">
        <v>0.1953000068664551</v>
      </c>
      <c r="I89" s="22" t="inlineStr">
        <is>
          <t>고려아연</t>
        </is>
      </c>
      <c r="J89" s="23" t="n">
        <v>0.1777000045776367</v>
      </c>
      <c r="K89" s="36" t="inlineStr">
        <is>
          <t>풍산</t>
        </is>
      </c>
      <c r="L89" s="17" t="n">
        <v>0.09050000190734864</v>
      </c>
      <c r="M89" s="36" t="inlineStr">
        <is>
          <t>세아베스틸지주</t>
        </is>
      </c>
      <c r="N89" s="17" t="n">
        <v>0.04719999790191651</v>
      </c>
      <c r="O89" s="36" t="inlineStr">
        <is>
          <t>에이치브이엠</t>
        </is>
      </c>
      <c r="P89" s="17" t="n">
        <v>0.03799999952316284</v>
      </c>
      <c r="Q89" s="36" t="inlineStr">
        <is>
          <t>삼아알미늄</t>
        </is>
      </c>
      <c r="R89" s="17" t="n">
        <v>0.03029999971389771</v>
      </c>
      <c r="S89" s="36" t="inlineStr">
        <is>
          <t>동국제강</t>
        </is>
      </c>
      <c r="T89" s="17" t="n">
        <v>0.0277999997138977</v>
      </c>
      <c r="U89" s="36" t="inlineStr">
        <is>
          <t>포스코엠텍</t>
        </is>
      </c>
      <c r="V89" s="17" t="n">
        <v>0.02279999971389771</v>
      </c>
      <c r="W89" s="36" t="inlineStr">
        <is>
          <t>TCC스틸</t>
        </is>
      </c>
      <c r="X89" s="17" t="n">
        <v>0.01899999976158142</v>
      </c>
    </row>
    <row r="90" ht="16" customHeight="1">
      <c r="A90" s="36" t="inlineStr">
        <is>
          <t>KODEX 200동일가중</t>
        </is>
      </c>
      <c r="B90" s="15" t="inlineStr">
        <is>
          <t>252650</t>
        </is>
      </c>
      <c r="C90" s="36" t="inlineStr">
        <is>
          <t>삼성자산운용</t>
        </is>
      </c>
      <c r="D90" s="19" t="n">
        <v>365</v>
      </c>
      <c r="E90" s="22" t="inlineStr">
        <is>
          <t>대우건설</t>
        </is>
      </c>
      <c r="F90" s="23" t="n">
        <v>0.01289999961853027</v>
      </c>
      <c r="G90" s="36" t="inlineStr">
        <is>
          <t>LG이노텍</t>
        </is>
      </c>
      <c r="H90" s="17" t="n">
        <v>0.009800000190734863</v>
      </c>
      <c r="I90" s="36" t="inlineStr">
        <is>
          <t>산일전기</t>
        </is>
      </c>
      <c r="J90" s="17" t="n">
        <v>0.009800000190734863</v>
      </c>
      <c r="K90" s="36" t="inlineStr">
        <is>
          <t>삼성전기</t>
        </is>
      </c>
      <c r="L90" s="17" t="n">
        <v>0.009700000286102295</v>
      </c>
      <c r="M90" s="36" t="inlineStr">
        <is>
          <t>OCI홀딩스</t>
        </is>
      </c>
      <c r="N90" s="17" t="n">
        <v>0.008999999761581421</v>
      </c>
      <c r="O90" s="36" t="inlineStr">
        <is>
          <t>대한전선</t>
        </is>
      </c>
      <c r="P90" s="17" t="n">
        <v>0.008500000238418579</v>
      </c>
      <c r="Q90" s="36" t="inlineStr">
        <is>
          <t>LS</t>
        </is>
      </c>
      <c r="R90" s="17" t="n">
        <v>0.008399999737739562</v>
      </c>
      <c r="S90" s="36" t="inlineStr">
        <is>
          <t>후성</t>
        </is>
      </c>
      <c r="T90" s="17" t="n">
        <v>0.008399999737739562</v>
      </c>
      <c r="U90" s="36" t="inlineStr">
        <is>
          <t>LS ELECTRIC</t>
        </is>
      </c>
      <c r="V90" s="17" t="n">
        <v>0.008100000023841859</v>
      </c>
      <c r="W90" s="36" t="inlineStr">
        <is>
          <t>DL이앤씨</t>
        </is>
      </c>
      <c r="X90" s="17" t="n">
        <v>0.00800000011920929</v>
      </c>
    </row>
    <row r="91" ht="16" customHeight="1">
      <c r="A91" s="36" t="inlineStr">
        <is>
          <t>RISE K엔터&amp;여행레저</t>
        </is>
      </c>
      <c r="B91" s="15" t="inlineStr">
        <is>
          <t>388280</t>
        </is>
      </c>
      <c r="C91" s="36" t="inlineStr">
        <is>
          <t>케이비자산운용</t>
        </is>
      </c>
      <c r="D91" s="19" t="n">
        <v>339</v>
      </c>
      <c r="E91" s="36" t="inlineStr">
        <is>
          <t>대한항공</t>
        </is>
      </c>
      <c r="F91" s="17" t="n">
        <v>0.09939999580383301</v>
      </c>
      <c r="G91" s="20" t="inlineStr">
        <is>
          <t>하이브</t>
        </is>
      </c>
      <c r="H91" s="21" t="n">
        <v>0.07829999923706055</v>
      </c>
      <c r="I91" s="36" t="inlineStr">
        <is>
          <t>신세계</t>
        </is>
      </c>
      <c r="J91" s="17" t="n">
        <v>0.07550000190734864</v>
      </c>
      <c r="K91" s="22" t="inlineStr">
        <is>
          <t>강원랜드</t>
        </is>
      </c>
      <c r="L91" s="23" t="n">
        <v>0.06730000019073486</v>
      </c>
      <c r="M91" s="36" t="inlineStr">
        <is>
          <t>이마트</t>
        </is>
      </c>
      <c r="N91" s="17" t="n">
        <v>0.06590000152587891</v>
      </c>
      <c r="O91" s="36" t="inlineStr">
        <is>
          <t>호텔신라</t>
        </is>
      </c>
      <c r="P91" s="17" t="n">
        <v>0.0625</v>
      </c>
      <c r="Q91" s="36" t="inlineStr">
        <is>
          <t>영원무역</t>
        </is>
      </c>
      <c r="R91" s="17" t="n">
        <v>0.05769999980926514</v>
      </c>
      <c r="S91" s="36" t="inlineStr">
        <is>
          <t>JYP Ent.</t>
        </is>
      </c>
      <c r="T91" s="17" t="n">
        <v>0.05460000038146973</v>
      </c>
      <c r="U91" s="36" t="inlineStr">
        <is>
          <t>롯데쇼핑</t>
        </is>
      </c>
      <c r="V91" s="17" t="n">
        <v>0.04780000209808349</v>
      </c>
      <c r="W91" s="36" t="inlineStr">
        <is>
          <t>현대백화점</t>
        </is>
      </c>
      <c r="X91" s="17" t="n">
        <v>0.04590000152587891</v>
      </c>
    </row>
    <row r="92" ht="16" customHeight="1">
      <c r="A92" s="36" t="inlineStr">
        <is>
          <t>TREX 펀더멘탈 200</t>
        </is>
      </c>
      <c r="B92" s="15" t="inlineStr">
        <is>
          <t>145850</t>
        </is>
      </c>
      <c r="C92" s="36" t="inlineStr">
        <is>
          <t>유리자산운용</t>
        </is>
      </c>
      <c r="D92" s="19" t="n">
        <v>338</v>
      </c>
      <c r="E92" s="20" t="inlineStr">
        <is>
          <t>삼성전자</t>
        </is>
      </c>
      <c r="F92" s="21" t="n">
        <v>0.4093999862670898</v>
      </c>
      <c r="G92" s="22" t="inlineStr">
        <is>
          <t>SK하이닉스</t>
        </is>
      </c>
      <c r="H92" s="23" t="n">
        <v>0.1196000003814697</v>
      </c>
      <c r="I92" s="20" t="inlineStr">
        <is>
          <t>현대차</t>
        </is>
      </c>
      <c r="J92" s="21" t="n">
        <v>0.05449999809265137</v>
      </c>
      <c r="K92" s="36" t="inlineStr">
        <is>
          <t>원화현금</t>
        </is>
      </c>
      <c r="L92" s="17" t="n">
        <v>0.03630000114440918</v>
      </c>
      <c r="M92" s="36" t="inlineStr">
        <is>
          <t>삼성전기</t>
        </is>
      </c>
      <c r="N92" s="17" t="n">
        <v>0.02019999980926514</v>
      </c>
      <c r="O92" s="36" t="inlineStr">
        <is>
          <t>SK</t>
        </is>
      </c>
      <c r="P92" s="17" t="n">
        <v>0.01980000019073486</v>
      </c>
      <c r="Q92" s="36" t="inlineStr">
        <is>
          <t>LG전자</t>
        </is>
      </c>
      <c r="R92" s="17" t="n">
        <v>0.01899999976158142</v>
      </c>
      <c r="S92" s="22" t="inlineStr">
        <is>
          <t>기아</t>
        </is>
      </c>
      <c r="T92" s="23" t="n">
        <v>0.01659999966621399</v>
      </c>
      <c r="U92" s="20" t="inlineStr">
        <is>
          <t>POSCO홀딩스</t>
        </is>
      </c>
      <c r="V92" s="21" t="n">
        <v>0.01460000038146973</v>
      </c>
      <c r="W92" s="36" t="inlineStr">
        <is>
          <t>현대모비스</t>
        </is>
      </c>
      <c r="X92" s="17" t="n">
        <v>0.01330000042915344</v>
      </c>
    </row>
    <row r="93" ht="16" customHeight="1">
      <c r="A93" s="36" t="inlineStr">
        <is>
          <t>KIWOOM K-2차전지북미공급망</t>
        </is>
      </c>
      <c r="B93" s="15" t="inlineStr">
        <is>
          <t>488200</t>
        </is>
      </c>
      <c r="C93" s="36" t="inlineStr">
        <is>
          <t>키움투자자산운용</t>
        </is>
      </c>
      <c r="D93" s="19" t="n">
        <v>325</v>
      </c>
      <c r="E93" s="36" t="inlineStr">
        <is>
          <t>삼성SDI</t>
        </is>
      </c>
      <c r="F93" s="17" t="n">
        <v>0.1842000007629395</v>
      </c>
      <c r="G93" s="20" t="inlineStr">
        <is>
          <t>두산에너빌리티</t>
        </is>
      </c>
      <c r="H93" s="21" t="n">
        <v>0.1777000045776367</v>
      </c>
      <c r="I93" s="36" t="inlineStr">
        <is>
          <t>HD현대일렉트릭</t>
        </is>
      </c>
      <c r="J93" s="17" t="n">
        <v>0.173700008392334</v>
      </c>
      <c r="K93" s="36" t="inlineStr">
        <is>
          <t>LG전자</t>
        </is>
      </c>
      <c r="L93" s="17" t="n">
        <v>0.1560000038146973</v>
      </c>
      <c r="M93" s="20" t="inlineStr">
        <is>
          <t>LG화학</t>
        </is>
      </c>
      <c r="N93" s="21" t="n">
        <v>0.1032999992370605</v>
      </c>
      <c r="O93" s="36" t="inlineStr">
        <is>
          <t>포스코퓨처엠</t>
        </is>
      </c>
      <c r="P93" s="17" t="n">
        <v>0.07530000209808349</v>
      </c>
      <c r="Q93" s="36" t="inlineStr">
        <is>
          <t>에코프로</t>
        </is>
      </c>
      <c r="R93" s="17" t="n">
        <v>0.06670000076293946</v>
      </c>
      <c r="S93" s="36" t="inlineStr">
        <is>
          <t>엘앤에프</t>
        </is>
      </c>
      <c r="T93" s="17" t="n">
        <v>0.02289999961853027</v>
      </c>
      <c r="U93" s="36" t="inlineStr">
        <is>
          <t>에스엘</t>
        </is>
      </c>
      <c r="V93" s="17" t="n">
        <v>0.01340000033378601</v>
      </c>
      <c r="W93" s="36" t="inlineStr">
        <is>
          <t>비츠로셀</t>
        </is>
      </c>
      <c r="X93" s="17" t="n">
        <v>0.008999999761581421</v>
      </c>
    </row>
    <row r="94" ht="16" customHeight="1">
      <c r="A94" s="36" t="inlineStr">
        <is>
          <t>KODEX 가치주</t>
        </is>
      </c>
      <c r="B94" s="15" t="inlineStr">
        <is>
          <t>275290</t>
        </is>
      </c>
      <c r="C94" s="36" t="inlineStr">
        <is>
          <t>삼성자산운용</t>
        </is>
      </c>
      <c r="D94" s="19" t="n">
        <v>317</v>
      </c>
      <c r="E94" s="22" t="inlineStr">
        <is>
          <t>SK하이닉스</t>
        </is>
      </c>
      <c r="F94" s="23" t="n">
        <v>0.2839999961853027</v>
      </c>
      <c r="G94" s="20" t="inlineStr">
        <is>
          <t>삼성전자</t>
        </is>
      </c>
      <c r="H94" s="21" t="n">
        <v>0.2104999923706055</v>
      </c>
      <c r="I94" s="20" t="inlineStr">
        <is>
          <t>SK스퀘어</t>
        </is>
      </c>
      <c r="J94" s="21" t="n">
        <v>0.08729999542236327</v>
      </c>
      <c r="K94" s="36" t="inlineStr">
        <is>
          <t>삼성전자우</t>
        </is>
      </c>
      <c r="L94" s="17" t="n">
        <v>0.04110000133514404</v>
      </c>
      <c r="M94" s="22" t="inlineStr">
        <is>
          <t>기아</t>
        </is>
      </c>
      <c r="N94" s="23" t="n">
        <v>0.02650000095367432</v>
      </c>
      <c r="O94" s="36" t="inlineStr">
        <is>
          <t>BNK금융지주</t>
        </is>
      </c>
      <c r="P94" s="17" t="n">
        <v>0.02390000104904175</v>
      </c>
      <c r="Q94" s="36" t="inlineStr">
        <is>
          <t>한화</t>
        </is>
      </c>
      <c r="R94" s="17" t="n">
        <v>0.01909999966621399</v>
      </c>
      <c r="S94" s="20" t="inlineStr">
        <is>
          <t>HMM</t>
        </is>
      </c>
      <c r="T94" s="21" t="n">
        <v>0.01539999961853027</v>
      </c>
      <c r="U94" s="24" t="inlineStr">
        <is>
          <t>LG유플러스</t>
        </is>
      </c>
      <c r="V94" s="25" t="n">
        <v>0.01519999980926514</v>
      </c>
      <c r="W94" s="36" t="inlineStr">
        <is>
          <t>iM금융지주</t>
        </is>
      </c>
      <c r="X94" s="17" t="n">
        <v>0.01519999980926514</v>
      </c>
    </row>
    <row r="95" ht="16" customHeight="1">
      <c r="A95" s="36" t="inlineStr">
        <is>
          <t>TIGER 200 헬스케어</t>
        </is>
      </c>
      <c r="B95" s="15" t="inlineStr">
        <is>
          <t>227540</t>
        </is>
      </c>
      <c r="C95" s="36" t="inlineStr">
        <is>
          <t>미래에셋자산운용</t>
        </is>
      </c>
      <c r="D95" s="19" t="n">
        <v>302</v>
      </c>
      <c r="E95" s="22" t="inlineStr">
        <is>
          <t>셀트리온</t>
        </is>
      </c>
      <c r="F95" s="23" t="n">
        <v>0.23</v>
      </c>
      <c r="G95" s="20" t="inlineStr">
        <is>
          <t>삼성바이오로직스</t>
        </is>
      </c>
      <c r="H95" s="21" t="n">
        <v>0.1770000076293945</v>
      </c>
      <c r="I95" s="36" t="inlineStr">
        <is>
          <t>유한양행</t>
        </is>
      </c>
      <c r="J95" s="17" t="n">
        <v>0.154399995803833</v>
      </c>
      <c r="K95" s="36" t="inlineStr">
        <is>
          <t>삼성에피스홀딩스</t>
        </is>
      </c>
      <c r="L95" s="17" t="n">
        <v>0.08229999542236328</v>
      </c>
      <c r="M95" s="36" t="inlineStr">
        <is>
          <t>한미약품</t>
        </is>
      </c>
      <c r="N95" s="17" t="n">
        <v>0.07929999828338623</v>
      </c>
      <c r="O95" s="36" t="inlineStr">
        <is>
          <t>SK바이오팜</t>
        </is>
      </c>
      <c r="P95" s="17" t="n">
        <v>0.07710000038146973</v>
      </c>
      <c r="Q95" s="36" t="inlineStr">
        <is>
          <t>한올바이오파마</t>
        </is>
      </c>
      <c r="R95" s="17" t="n">
        <v>0.04659999847412109</v>
      </c>
      <c r="S95" s="36" t="inlineStr">
        <is>
          <t>SK바이오사이언스</t>
        </is>
      </c>
      <c r="T95" s="17" t="n">
        <v>0.03170000076293945</v>
      </c>
      <c r="U95" s="36" t="inlineStr">
        <is>
          <t>한미사이언스</t>
        </is>
      </c>
      <c r="V95" s="17" t="n">
        <v>0.03019999980926514</v>
      </c>
      <c r="W95" s="36" t="inlineStr">
        <is>
          <t>녹십자</t>
        </is>
      </c>
      <c r="X95" s="17" t="n">
        <v>0.02109999895095825</v>
      </c>
    </row>
    <row r="96" ht="16" customHeight="1">
      <c r="A96" s="36" t="inlineStr">
        <is>
          <t>KODEX 게임산업</t>
        </is>
      </c>
      <c r="B96" s="15" t="inlineStr">
        <is>
          <t>300950</t>
        </is>
      </c>
      <c r="C96" s="36" t="inlineStr">
        <is>
          <t>삼성자산운용</t>
        </is>
      </c>
      <c r="D96" s="19" t="n">
        <v>283</v>
      </c>
      <c r="E96" s="36" t="inlineStr">
        <is>
          <t>NC</t>
        </is>
      </c>
      <c r="F96" s="17" t="n">
        <v>0.2797999954223633</v>
      </c>
      <c r="G96" s="36" t="inlineStr">
        <is>
          <t>크래프톤</t>
        </is>
      </c>
      <c r="H96" s="17" t="n">
        <v>0.2554999923706054</v>
      </c>
      <c r="I96" s="36" t="inlineStr">
        <is>
          <t>펄어비스</t>
        </is>
      </c>
      <c r="J96" s="17" t="n">
        <v>0.11</v>
      </c>
      <c r="K96" s="36" t="inlineStr">
        <is>
          <t>넷마블</t>
        </is>
      </c>
      <c r="L96" s="17" t="n">
        <v>0.09739999771118164</v>
      </c>
      <c r="M96" s="36" t="inlineStr">
        <is>
          <t>시프트업</t>
        </is>
      </c>
      <c r="N96" s="17" t="n">
        <v>0.07489999771118164</v>
      </c>
      <c r="O96" s="36" t="inlineStr">
        <is>
          <t>더블유게임즈</t>
        </is>
      </c>
      <c r="P96" s="17" t="n">
        <v>0.05460000038146973</v>
      </c>
      <c r="Q96" s="36" t="inlineStr">
        <is>
          <t>위메이드</t>
        </is>
      </c>
      <c r="R96" s="17" t="n">
        <v>0.02690000057220459</v>
      </c>
      <c r="S96" s="36" t="inlineStr">
        <is>
          <t>카카오게임즈</t>
        </is>
      </c>
      <c r="T96" s="17" t="n">
        <v>0.02589999914169312</v>
      </c>
      <c r="U96" s="36" t="inlineStr">
        <is>
          <t>넥슨게임즈</t>
        </is>
      </c>
      <c r="V96" s="17" t="n">
        <v>0.01700000047683716</v>
      </c>
      <c r="W96" s="36" t="inlineStr">
        <is>
          <t>네오위즈</t>
        </is>
      </c>
      <c r="X96" s="17" t="n">
        <v>0.01580000042915344</v>
      </c>
    </row>
    <row r="97" ht="16" customHeight="1">
      <c r="A97" s="36" t="inlineStr">
        <is>
          <t>HANARO 반도체핵심공정주도주</t>
        </is>
      </c>
      <c r="B97" s="15" t="inlineStr">
        <is>
          <t>476260</t>
        </is>
      </c>
      <c r="C97" s="36" t="inlineStr">
        <is>
          <t>엔에이치아문디자산운용</t>
        </is>
      </c>
      <c r="D97" s="19" t="n">
        <v>277</v>
      </c>
      <c r="E97" s="36" t="inlineStr">
        <is>
          <t>브이엠</t>
        </is>
      </c>
      <c r="F97" s="17" t="n">
        <v>0.175</v>
      </c>
      <c r="G97" s="36" t="inlineStr">
        <is>
          <t>하나마이크론</t>
        </is>
      </c>
      <c r="H97" s="17" t="n">
        <v>0.120600004196167</v>
      </c>
      <c r="I97" s="36" t="inlineStr">
        <is>
          <t>디아이</t>
        </is>
      </c>
      <c r="J97" s="17" t="n">
        <v>0.1078999996185303</v>
      </c>
      <c r="K97" s="36" t="inlineStr">
        <is>
          <t>원익IPS</t>
        </is>
      </c>
      <c r="L97" s="17" t="n">
        <v>0.1027000045776367</v>
      </c>
      <c r="M97" s="36" t="inlineStr">
        <is>
          <t>에스앤에스텍</t>
        </is>
      </c>
      <c r="N97" s="17" t="n">
        <v>0.08989999771118164</v>
      </c>
      <c r="O97" s="36" t="inlineStr">
        <is>
          <t>테스</t>
        </is>
      </c>
      <c r="P97" s="17" t="n">
        <v>0.03609999895095825</v>
      </c>
      <c r="Q97" s="36" t="inlineStr">
        <is>
          <t>ISC</t>
        </is>
      </c>
      <c r="R97" s="17" t="n">
        <v>0.03509999990463257</v>
      </c>
      <c r="S97" s="36" t="inlineStr">
        <is>
          <t>피에스케이</t>
        </is>
      </c>
      <c r="T97" s="17" t="n">
        <v>0.03460000038146973</v>
      </c>
      <c r="U97" s="36" t="inlineStr">
        <is>
          <t>코미코</t>
        </is>
      </c>
      <c r="V97" s="17" t="n">
        <v>0.03180000066757202</v>
      </c>
      <c r="W97" s="36" t="inlineStr">
        <is>
          <t>티씨케이</t>
        </is>
      </c>
      <c r="X97" s="17" t="n">
        <v>0.02789999961853027</v>
      </c>
    </row>
    <row r="98" ht="16" customHeight="1">
      <c r="A98" s="36" t="inlineStr">
        <is>
          <t>RISE 200금융</t>
        </is>
      </c>
      <c r="B98" s="15" t="inlineStr">
        <is>
          <t>284980</t>
        </is>
      </c>
      <c r="C98" s="36" t="inlineStr">
        <is>
          <t>케이비자산운용</t>
        </is>
      </c>
      <c r="D98" s="19" t="n">
        <v>262</v>
      </c>
      <c r="E98" s="36" t="inlineStr">
        <is>
          <t>KB금융</t>
        </is>
      </c>
      <c r="F98" s="17" t="n">
        <v>0.1813999938964844</v>
      </c>
      <c r="G98" s="36" t="inlineStr">
        <is>
          <t>신한지주</t>
        </is>
      </c>
      <c r="H98" s="17" t="n">
        <v>0.145</v>
      </c>
      <c r="I98" s="36" t="inlineStr">
        <is>
          <t>하나금융지주</t>
        </is>
      </c>
      <c r="J98" s="17" t="n">
        <v>0.1128999996185303</v>
      </c>
      <c r="K98" s="36" t="inlineStr">
        <is>
          <t>우리금융지주</t>
        </is>
      </c>
      <c r="L98" s="17" t="n">
        <v>0.08050000190734863</v>
      </c>
      <c r="M98" s="20" t="inlineStr">
        <is>
          <t>삼성생명</t>
        </is>
      </c>
      <c r="N98" s="21" t="n">
        <v>0.08029999732971191</v>
      </c>
      <c r="O98" s="20" t="inlineStr">
        <is>
          <t>미래에셋증권</t>
        </is>
      </c>
      <c r="P98" s="21" t="n">
        <v>0.06829999923706055</v>
      </c>
      <c r="Q98" s="22" t="inlineStr">
        <is>
          <t>삼성화재</t>
        </is>
      </c>
      <c r="R98" s="23" t="n">
        <v>0.05059999942779541</v>
      </c>
      <c r="S98" s="36" t="inlineStr">
        <is>
          <t>한국금융지주</t>
        </is>
      </c>
      <c r="T98" s="17" t="n">
        <v>0.03799999952316284</v>
      </c>
      <c r="U98" s="36" t="inlineStr">
        <is>
          <t>메리츠금융지주</t>
        </is>
      </c>
      <c r="V98" s="17" t="n">
        <v>0.03</v>
      </c>
      <c r="W98" s="36" t="inlineStr">
        <is>
          <t>삼성증권</t>
        </is>
      </c>
      <c r="X98" s="17" t="n">
        <v>0.03</v>
      </c>
    </row>
    <row r="99" ht="16" customHeight="1">
      <c r="A99" s="36" t="inlineStr">
        <is>
          <t>TIGER MKF배당귀족</t>
        </is>
      </c>
      <c r="B99" s="15" t="inlineStr">
        <is>
          <t>445910</t>
        </is>
      </c>
      <c r="C99" s="36" t="inlineStr">
        <is>
          <t>미래에셋자산운용</t>
        </is>
      </c>
      <c r="D99" s="19" t="n">
        <v>257</v>
      </c>
      <c r="E99" s="36" t="inlineStr">
        <is>
          <t>제룡전기</t>
        </is>
      </c>
      <c r="F99" s="17" t="n">
        <v>0.06360000133514404</v>
      </c>
      <c r="G99" s="20" t="inlineStr">
        <is>
          <t>삼성전자</t>
        </is>
      </c>
      <c r="H99" s="21" t="n">
        <v>0.05369999885559082</v>
      </c>
      <c r="I99" s="36" t="inlineStr">
        <is>
          <t>리노공업</t>
        </is>
      </c>
      <c r="J99" s="17" t="n">
        <v>0.04619999885559082</v>
      </c>
      <c r="K99" s="20" t="inlineStr">
        <is>
          <t>SK텔레콤</t>
        </is>
      </c>
      <c r="L99" s="21" t="n">
        <v>0.04510000228881836</v>
      </c>
      <c r="M99" s="36" t="inlineStr">
        <is>
          <t>한화</t>
        </is>
      </c>
      <c r="N99" s="17" t="n">
        <v>0.04179999828338623</v>
      </c>
      <c r="O99" s="22" t="inlineStr">
        <is>
          <t>포스코인터내셔널</t>
        </is>
      </c>
      <c r="P99" s="23" t="n">
        <v>0.04059999942779541</v>
      </c>
      <c r="Q99" s="36" t="inlineStr">
        <is>
          <t>에스엘</t>
        </is>
      </c>
      <c r="R99" s="17" t="n">
        <v>0.03619999885559082</v>
      </c>
      <c r="S99" s="36" t="inlineStr">
        <is>
          <t>GS</t>
        </is>
      </c>
      <c r="T99" s="17" t="n">
        <v>0.03559999942779541</v>
      </c>
      <c r="U99" s="36" t="inlineStr">
        <is>
          <t>오리온</t>
        </is>
      </c>
      <c r="V99" s="17" t="n">
        <v>0.03480000019073486</v>
      </c>
      <c r="W99" s="36" t="inlineStr">
        <is>
          <t>한국콜마</t>
        </is>
      </c>
      <c r="X99" s="17" t="n">
        <v>0.03460000038146973</v>
      </c>
    </row>
    <row r="100" ht="16" customHeight="1">
      <c r="A100" s="36" t="inlineStr">
        <is>
          <t>HANARO K-뷰티</t>
        </is>
      </c>
      <c r="B100" s="15" t="inlineStr">
        <is>
          <t>479850</t>
        </is>
      </c>
      <c r="C100" s="36" t="inlineStr">
        <is>
          <t>엔에이치아문디자산운용</t>
        </is>
      </c>
      <c r="D100" s="19" t="n">
        <v>254</v>
      </c>
      <c r="E100" s="36" t="inlineStr">
        <is>
          <t>에이피알</t>
        </is>
      </c>
      <c r="F100" s="17" t="n">
        <v>0.1760000038146973</v>
      </c>
      <c r="G100" s="36" t="inlineStr">
        <is>
          <t>아모레퍼시픽</t>
        </is>
      </c>
      <c r="H100" s="17" t="n">
        <v>0.1547999954223633</v>
      </c>
      <c r="I100" s="36" t="inlineStr">
        <is>
          <t>LG생활건강</t>
        </is>
      </c>
      <c r="J100" s="17" t="n">
        <v>0.09810000419616699</v>
      </c>
      <c r="K100" s="36" t="inlineStr">
        <is>
          <t>파마리서치</t>
        </is>
      </c>
      <c r="L100" s="17" t="n">
        <v>0.09739999771118164</v>
      </c>
      <c r="M100" s="36" t="inlineStr">
        <is>
          <t>한국콜마</t>
        </is>
      </c>
      <c r="N100" s="17" t="n">
        <v>0.08500000000000001</v>
      </c>
      <c r="O100" s="36" t="inlineStr">
        <is>
          <t>달바글로벌</t>
        </is>
      </c>
      <c r="P100" s="17" t="n">
        <v>0.08210000038146972</v>
      </c>
      <c r="Q100" s="36" t="inlineStr">
        <is>
          <t>코스맥스</t>
        </is>
      </c>
      <c r="R100" s="17" t="n">
        <v>0.06</v>
      </c>
      <c r="S100" s="36" t="inlineStr">
        <is>
          <t>휴젤</t>
        </is>
      </c>
      <c r="T100" s="17" t="n">
        <v>0.05760000228881836</v>
      </c>
      <c r="U100" s="36" t="inlineStr">
        <is>
          <t>실리콘투</t>
        </is>
      </c>
      <c r="V100" s="17" t="n">
        <v>0.05690000057220459</v>
      </c>
      <c r="W100" s="36" t="inlineStr">
        <is>
          <t>대웅제약</t>
        </is>
      </c>
      <c r="X100" s="17" t="n">
        <v>0.02559999942779541</v>
      </c>
    </row>
    <row r="101" ht="16" customHeight="1">
      <c r="A101" s="36" t="inlineStr">
        <is>
          <t>TIGER 게임TOP10</t>
        </is>
      </c>
      <c r="B101" s="15" t="inlineStr">
        <is>
          <t>364990</t>
        </is>
      </c>
      <c r="C101" s="36" t="inlineStr">
        <is>
          <t>미래에셋자산운용</t>
        </is>
      </c>
      <c r="D101" s="19" t="n">
        <v>251</v>
      </c>
      <c r="E101" s="36" t="inlineStr">
        <is>
          <t>NC</t>
        </is>
      </c>
      <c r="F101" s="17" t="n">
        <v>0.3286999893188476</v>
      </c>
      <c r="G101" s="36" t="inlineStr">
        <is>
          <t>크래프톤</t>
        </is>
      </c>
      <c r="H101" s="17" t="n">
        <v>0.2802000045776367</v>
      </c>
      <c r="I101" s="36" t="inlineStr">
        <is>
          <t>넷마블</t>
        </is>
      </c>
      <c r="J101" s="17" t="n">
        <v>0.1879999923706055</v>
      </c>
      <c r="K101" s="36" t="inlineStr">
        <is>
          <t>펄어비스</t>
        </is>
      </c>
      <c r="L101" s="17" t="n">
        <v>0.06989999771118165</v>
      </c>
      <c r="M101" s="36" t="inlineStr">
        <is>
          <t>더블유게임즈</t>
        </is>
      </c>
      <c r="N101" s="17" t="n">
        <v>0.03599999904632568</v>
      </c>
      <c r="O101" s="36" t="inlineStr">
        <is>
          <t>NHN</t>
        </is>
      </c>
      <c r="P101" s="17" t="n">
        <v>0.02450000047683716</v>
      </c>
      <c r="Q101" s="36" t="inlineStr">
        <is>
          <t>시프트업</t>
        </is>
      </c>
      <c r="R101" s="17" t="n">
        <v>0.02329999923706055</v>
      </c>
      <c r="S101" s="36" t="inlineStr">
        <is>
          <t>카카오게임즈</t>
        </is>
      </c>
      <c r="T101" s="17" t="n">
        <v>0.01820000052452088</v>
      </c>
      <c r="U101" s="36" t="inlineStr">
        <is>
          <t>위메이드</t>
        </is>
      </c>
      <c r="V101" s="17" t="n">
        <v>0.01720000028610229</v>
      </c>
      <c r="W101" s="36" t="inlineStr">
        <is>
          <t>넥슨게임즈</t>
        </is>
      </c>
      <c r="X101" s="17" t="n">
        <v>0.01129999995231628</v>
      </c>
    </row>
    <row r="102" ht="16" customHeight="1">
      <c r="A102" s="36" t="inlineStr">
        <is>
          <t>TIGER LG그룹플러스</t>
        </is>
      </c>
      <c r="B102" s="15" t="inlineStr">
        <is>
          <t>138530</t>
        </is>
      </c>
      <c r="C102" s="36" t="inlineStr">
        <is>
          <t>미래에셋자산운용</t>
        </is>
      </c>
      <c r="D102" s="19" t="n">
        <v>249</v>
      </c>
      <c r="E102" s="36" t="inlineStr">
        <is>
          <t>LG전자</t>
        </is>
      </c>
      <c r="F102" s="17" t="n">
        <v>0.1679000091552734</v>
      </c>
      <c r="G102" s="20" t="inlineStr">
        <is>
          <t>LG화학</t>
        </is>
      </c>
      <c r="H102" s="21" t="n">
        <v>0.1643000030517578</v>
      </c>
      <c r="I102" s="24" t="inlineStr">
        <is>
          <t>LG유플러스</t>
        </is>
      </c>
      <c r="J102" s="25" t="n">
        <v>0.1386999988555908</v>
      </c>
      <c r="K102" s="36" t="inlineStr">
        <is>
          <t>LG이노텍</t>
        </is>
      </c>
      <c r="L102" s="17" t="n">
        <v>0.09489999771118164</v>
      </c>
      <c r="M102" s="36" t="inlineStr">
        <is>
          <t>GS건설</t>
        </is>
      </c>
      <c r="N102" s="17" t="n">
        <v>0.07980000019073487</v>
      </c>
      <c r="O102" s="36" t="inlineStr">
        <is>
          <t>LG</t>
        </is>
      </c>
      <c r="P102" s="17" t="n">
        <v>0.07329999923706054</v>
      </c>
      <c r="Q102" s="36" t="inlineStr">
        <is>
          <t>LG디스플레이</t>
        </is>
      </c>
      <c r="R102" s="17" t="n">
        <v>0.05440000057220459</v>
      </c>
      <c r="S102" s="36" t="inlineStr">
        <is>
          <t>LS ELECTRIC</t>
        </is>
      </c>
      <c r="T102" s="17" t="n">
        <v>0.0421999979019165</v>
      </c>
      <c r="U102" s="36" t="inlineStr">
        <is>
          <t>GS</t>
        </is>
      </c>
      <c r="V102" s="17" t="n">
        <v>0.03920000076293945</v>
      </c>
      <c r="W102" s="36" t="inlineStr">
        <is>
          <t>LS</t>
        </is>
      </c>
      <c r="X102" s="17" t="n">
        <v>0.0352999997138977</v>
      </c>
    </row>
    <row r="103" ht="16" customHeight="1">
      <c r="A103" s="36" t="inlineStr">
        <is>
          <t>KIWOOM 코리아테크TOP10</t>
        </is>
      </c>
      <c r="B103" s="15" t="inlineStr">
        <is>
          <t>469790</t>
        </is>
      </c>
      <c r="C103" s="36" t="inlineStr">
        <is>
          <t>키움투자자산운용</t>
        </is>
      </c>
      <c r="D103" s="19" t="n">
        <v>248</v>
      </c>
      <c r="E103" s="22" t="inlineStr">
        <is>
          <t>SK하이닉스</t>
        </is>
      </c>
      <c r="F103" s="23" t="n">
        <v>0.2551000022888184</v>
      </c>
      <c r="G103" s="20" t="inlineStr">
        <is>
          <t>삼성전자</t>
        </is>
      </c>
      <c r="H103" s="21" t="n">
        <v>0.2159000015258789</v>
      </c>
      <c r="I103" s="20" t="inlineStr">
        <is>
          <t>SK스퀘어</t>
        </is>
      </c>
      <c r="J103" s="21" t="n">
        <v>0.1790999984741211</v>
      </c>
      <c r="K103" s="36" t="inlineStr">
        <is>
          <t>삼성전기</t>
        </is>
      </c>
      <c r="L103" s="17" t="n">
        <v>0.101899995803833</v>
      </c>
      <c r="M103" s="22" t="inlineStr">
        <is>
          <t>한미반도체</t>
        </is>
      </c>
      <c r="N103" s="23" t="n">
        <v>0.07079999923706054</v>
      </c>
      <c r="O103" s="20" t="inlineStr">
        <is>
          <t>NAVER</t>
        </is>
      </c>
      <c r="P103" s="21" t="n">
        <v>0.05949999809265136</v>
      </c>
      <c r="Q103" s="36" t="inlineStr">
        <is>
          <t>LG전자</t>
        </is>
      </c>
      <c r="R103" s="17" t="n">
        <v>0.03920000076293945</v>
      </c>
      <c r="S103" s="22" t="inlineStr">
        <is>
          <t>카카오</t>
        </is>
      </c>
      <c r="T103" s="23" t="n">
        <v>0.02890000104904175</v>
      </c>
      <c r="U103" s="36" t="inlineStr">
        <is>
          <t>크래프톤</t>
        </is>
      </c>
      <c r="V103" s="17" t="n">
        <v>0.02599999904632568</v>
      </c>
      <c r="W103" s="36" t="inlineStr">
        <is>
          <t>삼성에스디에스</t>
        </is>
      </c>
      <c r="X103" s="17" t="n">
        <v>0.02319999933242798</v>
      </c>
    </row>
    <row r="104" ht="16" customHeight="1">
      <c r="A104" s="36" t="inlineStr">
        <is>
          <t>RISE 게임테마</t>
        </is>
      </c>
      <c r="B104" s="15" t="inlineStr">
        <is>
          <t>300640</t>
        </is>
      </c>
      <c r="C104" s="36" t="inlineStr">
        <is>
          <t>케이비자산운용</t>
        </is>
      </c>
      <c r="D104" s="19" t="n">
        <v>246</v>
      </c>
      <c r="E104" s="36" t="inlineStr">
        <is>
          <t>NC</t>
        </is>
      </c>
      <c r="F104" s="17" t="n">
        <v>0.1257999992370605</v>
      </c>
      <c r="G104" s="36" t="inlineStr">
        <is>
          <t>더블유게임즈</t>
        </is>
      </c>
      <c r="H104" s="17" t="n">
        <v>0.1203999996185303</v>
      </c>
      <c r="I104" s="36" t="inlineStr">
        <is>
          <t>크래프톤</t>
        </is>
      </c>
      <c r="J104" s="17" t="n">
        <v>0.1114000034332275</v>
      </c>
      <c r="K104" s="36" t="inlineStr">
        <is>
          <t>시프트업</t>
        </is>
      </c>
      <c r="L104" s="17" t="n">
        <v>0.103100004196167</v>
      </c>
      <c r="M104" s="36" t="inlineStr">
        <is>
          <t>넷마블</t>
        </is>
      </c>
      <c r="N104" s="17" t="n">
        <v>0.08</v>
      </c>
      <c r="O104" s="36" t="inlineStr">
        <is>
          <t>펄어비스</t>
        </is>
      </c>
      <c r="P104" s="17" t="n">
        <v>0.05980000019073486</v>
      </c>
      <c r="Q104" s="36" t="inlineStr">
        <is>
          <t>위메이드</t>
        </is>
      </c>
      <c r="R104" s="17" t="n">
        <v>0.05880000114440918</v>
      </c>
      <c r="S104" s="36" t="inlineStr">
        <is>
          <t>카카오게임즈</t>
        </is>
      </c>
      <c r="T104" s="17" t="n">
        <v>0.0584000015258789</v>
      </c>
      <c r="U104" s="36" t="inlineStr">
        <is>
          <t>넥슨게임즈</t>
        </is>
      </c>
      <c r="V104" s="17" t="n">
        <v>0.03829999923706055</v>
      </c>
      <c r="W104" s="36" t="inlineStr">
        <is>
          <t>네오위즈</t>
        </is>
      </c>
      <c r="X104" s="17" t="n">
        <v>0.03569999933242798</v>
      </c>
    </row>
    <row r="105" ht="16" customHeight="1">
      <c r="A105" s="36" t="inlineStr">
        <is>
          <t>HK 베스트일레븐액티브</t>
        </is>
      </c>
      <c r="B105" s="15" t="inlineStr">
        <is>
          <t>391670</t>
        </is>
      </c>
      <c r="C105" s="36" t="inlineStr">
        <is>
          <t>흥국자산운용</t>
        </is>
      </c>
      <c r="D105" s="19" t="n">
        <v>237</v>
      </c>
      <c r="E105" s="20" t="inlineStr">
        <is>
          <t>삼성전자</t>
        </is>
      </c>
      <c r="F105" s="21" t="n">
        <v>0.2504000091552734</v>
      </c>
      <c r="G105" s="22" t="inlineStr">
        <is>
          <t>SK하이닉스</t>
        </is>
      </c>
      <c r="H105" s="23" t="n">
        <v>0.1794000053405762</v>
      </c>
      <c r="I105" s="20" t="inlineStr">
        <is>
          <t>SK스퀘어</t>
        </is>
      </c>
      <c r="J105" s="21" t="n">
        <v>0.1301000022888184</v>
      </c>
      <c r="K105" s="36" t="inlineStr">
        <is>
          <t>두산</t>
        </is>
      </c>
      <c r="L105" s="17" t="n">
        <v>0.08680000305175781</v>
      </c>
      <c r="M105" s="36" t="inlineStr">
        <is>
          <t>LG이노텍</t>
        </is>
      </c>
      <c r="N105" s="17" t="n">
        <v>0.07860000133514404</v>
      </c>
      <c r="O105" s="36" t="inlineStr">
        <is>
          <t>효성중공업</t>
        </is>
      </c>
      <c r="P105" s="17" t="n">
        <v>0.06320000171661377</v>
      </c>
      <c r="Q105" s="36" t="inlineStr">
        <is>
          <t>한화솔루션</t>
        </is>
      </c>
      <c r="R105" s="17" t="n">
        <v>0.05489999771118164</v>
      </c>
      <c r="S105" s="20" t="inlineStr">
        <is>
          <t>HD현대마린솔루션</t>
        </is>
      </c>
      <c r="T105" s="21" t="n">
        <v>0.04679999828338623</v>
      </c>
      <c r="U105" s="36" t="inlineStr">
        <is>
          <t>삼성전기</t>
        </is>
      </c>
      <c r="V105" s="17" t="n">
        <v>0.03920000076293945</v>
      </c>
      <c r="W105" s="36" t="inlineStr">
        <is>
          <t>S-Oil</t>
        </is>
      </c>
      <c r="X105" s="17" t="n">
        <v>0.03180000066757202</v>
      </c>
    </row>
    <row r="106" ht="16" customHeight="1">
      <c r="A106" s="36" t="inlineStr">
        <is>
          <t>HANARO 탄소효율그린뉴딜</t>
        </is>
      </c>
      <c r="B106" s="15" t="inlineStr">
        <is>
          <t>375760</t>
        </is>
      </c>
      <c r="C106" s="36" t="inlineStr">
        <is>
          <t>엔에이치아문디자산운용</t>
        </is>
      </c>
      <c r="D106" s="19" t="n">
        <v>236</v>
      </c>
      <c r="E106" s="20" t="inlineStr">
        <is>
          <t>삼성전자</t>
        </is>
      </c>
      <c r="F106" s="21" t="n">
        <v>0.3243000030517578</v>
      </c>
      <c r="G106" s="22" t="inlineStr">
        <is>
          <t>SK하이닉스</t>
        </is>
      </c>
      <c r="H106" s="23" t="n">
        <v>0.198799991607666</v>
      </c>
      <c r="I106" s="20" t="inlineStr">
        <is>
          <t>현대차</t>
        </is>
      </c>
      <c r="J106" s="21" t="n">
        <v>0.03049999952316284</v>
      </c>
      <c r="K106" s="20" t="inlineStr">
        <is>
          <t>SK스퀘어</t>
        </is>
      </c>
      <c r="L106" s="21" t="n">
        <v>0.02309999942779541</v>
      </c>
      <c r="M106" s="36" t="inlineStr">
        <is>
          <t>삼성전기</t>
        </is>
      </c>
      <c r="N106" s="17" t="n">
        <v>0.01350000023841858</v>
      </c>
      <c r="O106" s="22" t="inlineStr">
        <is>
          <t>기아</t>
        </is>
      </c>
      <c r="P106" s="23" t="n">
        <v>0.0127999997138977</v>
      </c>
      <c r="Q106" s="36" t="inlineStr">
        <is>
          <t>KB금융</t>
        </is>
      </c>
      <c r="R106" s="17" t="n">
        <v>0.01090000033378601</v>
      </c>
      <c r="S106" s="36" t="inlineStr">
        <is>
          <t>신한지주</t>
        </is>
      </c>
      <c r="T106" s="17" t="n">
        <v>0.01080000042915344</v>
      </c>
      <c r="U106" s="36" t="inlineStr">
        <is>
          <t>한화에어로스페이스</t>
        </is>
      </c>
      <c r="V106" s="17" t="n">
        <v>0.01019999980926514</v>
      </c>
      <c r="W106" s="36" t="inlineStr">
        <is>
          <t>삼성SDI</t>
        </is>
      </c>
      <c r="X106" s="17" t="n">
        <v>0.01009999990463257</v>
      </c>
    </row>
    <row r="107" ht="16" customHeight="1">
      <c r="A107" s="36" t="inlineStr">
        <is>
          <t>TIGER 은행</t>
        </is>
      </c>
      <c r="B107" s="15" t="inlineStr">
        <is>
          <t>091220</t>
        </is>
      </c>
      <c r="C107" s="36" t="inlineStr">
        <is>
          <t>미래에셋자산운용</t>
        </is>
      </c>
      <c r="D107" s="19" t="n">
        <v>234</v>
      </c>
      <c r="E107" s="36" t="inlineStr">
        <is>
          <t>신한지주</t>
        </is>
      </c>
      <c r="F107" s="17" t="n">
        <v>0.2193000030517578</v>
      </c>
      <c r="G107" s="36" t="inlineStr">
        <is>
          <t>하나금융지주</t>
        </is>
      </c>
      <c r="H107" s="17" t="n">
        <v>0.215</v>
      </c>
      <c r="I107" s="36" t="inlineStr">
        <is>
          <t>KB금융</t>
        </is>
      </c>
      <c r="J107" s="17" t="n">
        <v>0.203799991607666</v>
      </c>
      <c r="K107" s="36" t="inlineStr">
        <is>
          <t>우리금융지주</t>
        </is>
      </c>
      <c r="L107" s="17" t="n">
        <v>0.1645000076293945</v>
      </c>
      <c r="M107" s="36" t="inlineStr">
        <is>
          <t>카카오뱅크</t>
        </is>
      </c>
      <c r="N107" s="17" t="n">
        <v>0.06110000133514405</v>
      </c>
      <c r="O107" s="36" t="inlineStr">
        <is>
          <t>기업은행</t>
        </is>
      </c>
      <c r="P107" s="17" t="n">
        <v>0.04440000057220459</v>
      </c>
      <c r="Q107" s="36" t="inlineStr">
        <is>
          <t>BNK금융지주</t>
        </is>
      </c>
      <c r="R107" s="17" t="n">
        <v>0.03420000076293946</v>
      </c>
      <c r="S107" s="36" t="inlineStr">
        <is>
          <t>JB금융지주</t>
        </is>
      </c>
      <c r="T107" s="17" t="n">
        <v>0.03180000066757202</v>
      </c>
      <c r="U107" s="36" t="inlineStr">
        <is>
          <t>iM금융지주</t>
        </is>
      </c>
      <c r="V107" s="17" t="n">
        <v>0.01970000028610229</v>
      </c>
      <c r="W107" s="36" t="inlineStr">
        <is>
          <t>원화현금</t>
        </is>
      </c>
      <c r="X107" s="17" t="n">
        <v>0.005</v>
      </c>
    </row>
    <row r="108" ht="16" customHeight="1">
      <c r="A108" s="36" t="inlineStr">
        <is>
          <t>KODEX 기계장비</t>
        </is>
      </c>
      <c r="B108" s="15" t="inlineStr">
        <is>
          <t>102960</t>
        </is>
      </c>
      <c r="C108" s="36" t="inlineStr">
        <is>
          <t>삼성자산운용</t>
        </is>
      </c>
      <c r="D108" s="19" t="n">
        <v>224</v>
      </c>
      <c r="E108" s="20" t="inlineStr">
        <is>
          <t>두산에너빌리티</t>
        </is>
      </c>
      <c r="F108" s="21" t="n">
        <v>0.1414999961853027</v>
      </c>
      <c r="G108" s="36" t="inlineStr">
        <is>
          <t>HD현대중공업</t>
        </is>
      </c>
      <c r="H108" s="17" t="n">
        <v>0.07440000057220458</v>
      </c>
      <c r="I108" s="36" t="inlineStr">
        <is>
          <t>HD현대일렉트릭</t>
        </is>
      </c>
      <c r="J108" s="17" t="n">
        <v>0.07329999923706054</v>
      </c>
      <c r="K108" s="36" t="inlineStr">
        <is>
          <t>LG에너지솔루션</t>
        </is>
      </c>
      <c r="L108" s="17" t="n">
        <v>0.07079999923706054</v>
      </c>
      <c r="M108" s="36" t="inlineStr">
        <is>
          <t>삼성중공업</t>
        </is>
      </c>
      <c r="N108" s="17" t="n">
        <v>0.06320000171661377</v>
      </c>
      <c r="O108" s="36" t="inlineStr">
        <is>
          <t>HD한국조선해양</t>
        </is>
      </c>
      <c r="P108" s="17" t="n">
        <v>0.06150000095367432</v>
      </c>
      <c r="Q108" s="36" t="inlineStr">
        <is>
          <t>LS ELECTRIC</t>
        </is>
      </c>
      <c r="R108" s="17" t="n">
        <v>0.06019999980926514</v>
      </c>
      <c r="S108" s="36" t="inlineStr">
        <is>
          <t>효성중공업</t>
        </is>
      </c>
      <c r="T108" s="17" t="n">
        <v>0.05980000019073486</v>
      </c>
      <c r="U108" s="36" t="inlineStr">
        <is>
          <t>한화오션</t>
        </is>
      </c>
      <c r="V108" s="17" t="n">
        <v>0.0509000015258789</v>
      </c>
      <c r="W108" s="36" t="inlineStr">
        <is>
          <t>현대로템</t>
        </is>
      </c>
      <c r="X108" s="17" t="n">
        <v>0.04849999904632568</v>
      </c>
    </row>
    <row r="109" ht="16" customHeight="1">
      <c r="A109" s="36" t="inlineStr">
        <is>
          <t>TIGER KEDI혁신기업ESG30</t>
        </is>
      </c>
      <c r="B109" s="15" t="inlineStr">
        <is>
          <t>417630</t>
        </is>
      </c>
      <c r="C109" s="36" t="inlineStr">
        <is>
          <t>미래에셋자산운용</t>
        </is>
      </c>
      <c r="D109" s="19" t="n">
        <v>221</v>
      </c>
      <c r="E109" s="36" t="inlineStr">
        <is>
          <t>삼성전기</t>
        </is>
      </c>
      <c r="F109" s="17" t="n">
        <v>0.14</v>
      </c>
      <c r="G109" s="22" t="inlineStr">
        <is>
          <t>SK하이닉스</t>
        </is>
      </c>
      <c r="H109" s="23" t="n">
        <v>0.07380000114440918</v>
      </c>
      <c r="I109" s="20" t="inlineStr">
        <is>
          <t>삼성전자</t>
        </is>
      </c>
      <c r="J109" s="21" t="n">
        <v>0.04619999885559082</v>
      </c>
      <c r="K109" s="36" t="inlineStr">
        <is>
          <t>한국콜마</t>
        </is>
      </c>
      <c r="L109" s="17" t="n">
        <v>0.04619999885559082</v>
      </c>
      <c r="M109" s="36" t="inlineStr">
        <is>
          <t>LS ELECTRIC</t>
        </is>
      </c>
      <c r="N109" s="17" t="n">
        <v>0.04369999885559082</v>
      </c>
      <c r="O109" s="36" t="inlineStr">
        <is>
          <t>현대오토에버</t>
        </is>
      </c>
      <c r="P109" s="17" t="n">
        <v>0.03509999990463257</v>
      </c>
      <c r="Q109" s="36" t="inlineStr">
        <is>
          <t>NC</t>
        </is>
      </c>
      <c r="R109" s="17" t="n">
        <v>0.03450000047683716</v>
      </c>
      <c r="S109" s="36" t="inlineStr">
        <is>
          <t>삼성SDI</t>
        </is>
      </c>
      <c r="T109" s="17" t="n">
        <v>0.03289999961853027</v>
      </c>
      <c r="U109" s="36" t="inlineStr">
        <is>
          <t>LIG디펜스앤에어로스페이스</t>
        </is>
      </c>
      <c r="V109" s="17" t="n">
        <v>0.0297000002861023</v>
      </c>
      <c r="W109" s="22" t="inlineStr">
        <is>
          <t>삼양식품</t>
        </is>
      </c>
      <c r="X109" s="23" t="n">
        <v>0.02849999904632568</v>
      </c>
    </row>
    <row r="110" ht="16" customHeight="1">
      <c r="A110" s="36" t="inlineStr">
        <is>
          <t>BNK 주주가치액티브</t>
        </is>
      </c>
      <c r="B110" s="15" t="inlineStr">
        <is>
          <t>445690</t>
        </is>
      </c>
      <c r="C110" s="36" t="inlineStr">
        <is>
          <t>비엔케이자산운용</t>
        </is>
      </c>
      <c r="D110" s="19" t="n">
        <v>220</v>
      </c>
      <c r="E110" s="22" t="inlineStr">
        <is>
          <t>SK하이닉스</t>
        </is>
      </c>
      <c r="F110" s="23" t="n">
        <v>0.1818000030517578</v>
      </c>
      <c r="G110" s="20" t="inlineStr">
        <is>
          <t>삼성전자</t>
        </is>
      </c>
      <c r="H110" s="21" t="n">
        <v>0.1630999946594238</v>
      </c>
      <c r="I110" s="20" t="inlineStr">
        <is>
          <t>현대차</t>
        </is>
      </c>
      <c r="J110" s="21" t="n">
        <v>0.06869999885559082</v>
      </c>
      <c r="K110" s="22" t="inlineStr">
        <is>
          <t>기아</t>
        </is>
      </c>
      <c r="L110" s="23" t="n">
        <v>0.03490000009536743</v>
      </c>
      <c r="M110" s="36" t="inlineStr">
        <is>
          <t>크래프톤</t>
        </is>
      </c>
      <c r="N110" s="17" t="n">
        <v>0.02950000047683716</v>
      </c>
      <c r="O110" s="36" t="inlineStr">
        <is>
          <t>KB금융</t>
        </is>
      </c>
      <c r="P110" s="17" t="n">
        <v>0.02470000028610229</v>
      </c>
      <c r="Q110" s="36" t="inlineStr">
        <is>
          <t>신한지주</t>
        </is>
      </c>
      <c r="R110" s="17" t="n">
        <v>0.02410000085830688</v>
      </c>
      <c r="S110" s="36" t="inlineStr">
        <is>
          <t>한화오션</t>
        </is>
      </c>
      <c r="T110" s="17" t="n">
        <v>0.02400000095367432</v>
      </c>
      <c r="U110" s="36" t="inlineStr">
        <is>
          <t>코웨이</t>
        </is>
      </c>
      <c r="V110" s="17" t="n">
        <v>0.02329999923706055</v>
      </c>
      <c r="W110" s="20" t="inlineStr">
        <is>
          <t>POSCO홀딩스</t>
        </is>
      </c>
      <c r="X110" s="21" t="n">
        <v>0.01960000038146973</v>
      </c>
    </row>
    <row r="111" ht="16" customHeight="1">
      <c r="A111" s="36" t="inlineStr">
        <is>
          <t>TIGER 퓨처모빌리티액티브</t>
        </is>
      </c>
      <c r="B111" s="15" t="inlineStr">
        <is>
          <t>387280</t>
        </is>
      </c>
      <c r="C111" s="36" t="inlineStr">
        <is>
          <t>미래에셋자산운용</t>
        </is>
      </c>
      <c r="D111" s="19" t="n">
        <v>218</v>
      </c>
      <c r="E111" s="20" t="inlineStr">
        <is>
          <t>현대차</t>
        </is>
      </c>
      <c r="F111" s="21" t="n">
        <v>0.08369999885559082</v>
      </c>
      <c r="G111" s="36" t="inlineStr">
        <is>
          <t>현대모비스</t>
        </is>
      </c>
      <c r="H111" s="17" t="n">
        <v>0.08350000381469727</v>
      </c>
      <c r="I111" s="36" t="inlineStr">
        <is>
          <t>현대오토에버</t>
        </is>
      </c>
      <c r="J111" s="17" t="n">
        <v>0.08180000305175782</v>
      </c>
      <c r="K111" s="36" t="inlineStr">
        <is>
          <t>삼성전기</t>
        </is>
      </c>
      <c r="L111" s="17" t="n">
        <v>0.08050000190734863</v>
      </c>
      <c r="M111" s="36" t="inlineStr">
        <is>
          <t>로보티즈</t>
        </is>
      </c>
      <c r="N111" s="17" t="n">
        <v>0.06980000019073486</v>
      </c>
      <c r="O111" s="22" t="inlineStr">
        <is>
          <t>현대글로비스</t>
        </is>
      </c>
      <c r="P111" s="23" t="n">
        <v>0.06269999980926513</v>
      </c>
      <c r="Q111" s="20" t="inlineStr">
        <is>
          <t>삼성전자</t>
        </is>
      </c>
      <c r="R111" s="21" t="n">
        <v>0.06110000133514405</v>
      </c>
      <c r="S111" s="22" t="inlineStr">
        <is>
          <t>SK하이닉스</t>
        </is>
      </c>
      <c r="T111" s="23" t="n">
        <v>0.06039999961853027</v>
      </c>
      <c r="U111" s="20" t="inlineStr">
        <is>
          <t>POSCO홀딩스</t>
        </is>
      </c>
      <c r="V111" s="21" t="n">
        <v>0.0496999979019165</v>
      </c>
      <c r="W111" s="36" t="inlineStr">
        <is>
          <t>삼성SDI</t>
        </is>
      </c>
      <c r="X111" s="17" t="n">
        <v>0.04889999866485596</v>
      </c>
    </row>
    <row r="112" ht="16" customHeight="1">
      <c r="A112" s="36" t="inlineStr">
        <is>
          <t>HANARO Fn5G산업</t>
        </is>
      </c>
      <c r="B112" s="15" t="inlineStr">
        <is>
          <t>367740</t>
        </is>
      </c>
      <c r="C112" s="36" t="inlineStr">
        <is>
          <t>엔에이치아문디자산운용</t>
        </is>
      </c>
      <c r="D112" s="19" t="n">
        <v>216</v>
      </c>
      <c r="E112" s="36" t="inlineStr">
        <is>
          <t>삼성전기</t>
        </is>
      </c>
      <c r="F112" s="17" t="n">
        <v>0.1397000026702881</v>
      </c>
      <c r="G112" s="22" t="inlineStr">
        <is>
          <t>SK하이닉스</t>
        </is>
      </c>
      <c r="H112" s="23" t="n">
        <v>0.1043000030517578</v>
      </c>
      <c r="I112" s="22" t="inlineStr">
        <is>
          <t>한미반도체</t>
        </is>
      </c>
      <c r="J112" s="23" t="n">
        <v>0.09479999542236328</v>
      </c>
      <c r="K112" s="36" t="inlineStr">
        <is>
          <t>삼성SDI</t>
        </is>
      </c>
      <c r="L112" s="17" t="n">
        <v>0.09289999961853028</v>
      </c>
      <c r="M112" s="20" t="inlineStr">
        <is>
          <t>SK텔레콤</t>
        </is>
      </c>
      <c r="N112" s="21" t="n">
        <v>0.090600004196167</v>
      </c>
      <c r="O112" s="20" t="inlineStr">
        <is>
          <t>삼성전자</t>
        </is>
      </c>
      <c r="P112" s="21" t="n">
        <v>0.08859999656677246</v>
      </c>
      <c r="Q112" s="36" t="inlineStr">
        <is>
          <t>LG이노텍</t>
        </is>
      </c>
      <c r="R112" s="17" t="n">
        <v>0.07170000076293945</v>
      </c>
      <c r="S112" s="22" t="inlineStr">
        <is>
          <t>KT</t>
        </is>
      </c>
      <c r="T112" s="23" t="n">
        <v>0.05739999771118164</v>
      </c>
      <c r="U112" s="36" t="inlineStr">
        <is>
          <t>이수페타시스</t>
        </is>
      </c>
      <c r="V112" s="17" t="n">
        <v>0.04559999942779541</v>
      </c>
      <c r="W112" s="24" t="inlineStr">
        <is>
          <t>LG유플러스</t>
        </is>
      </c>
      <c r="X112" s="25" t="n">
        <v>0.03619999885559082</v>
      </c>
    </row>
    <row r="113" ht="16" customHeight="1">
      <c r="A113" s="36" t="inlineStr">
        <is>
          <t>KODEX 200 중소형</t>
        </is>
      </c>
      <c r="B113" s="15" t="inlineStr">
        <is>
          <t>226980</t>
        </is>
      </c>
      <c r="C113" s="36" t="inlineStr">
        <is>
          <t>삼성자산운용</t>
        </is>
      </c>
      <c r="D113" s="19" t="n">
        <v>214</v>
      </c>
      <c r="E113" s="36" t="inlineStr">
        <is>
          <t>LS</t>
        </is>
      </c>
      <c r="F113" s="17" t="n">
        <v>0.0428000020980835</v>
      </c>
      <c r="G113" s="36" t="inlineStr">
        <is>
          <t>이수페타시스</t>
        </is>
      </c>
      <c r="H113" s="17" t="n">
        <v>0.04179999828338623</v>
      </c>
      <c r="I113" s="36" t="inlineStr">
        <is>
          <t>신세계</t>
        </is>
      </c>
      <c r="J113" s="17" t="n">
        <v>0.03240000009536743</v>
      </c>
      <c r="K113" s="36" t="inlineStr">
        <is>
          <t>BNK금융지주</t>
        </is>
      </c>
      <c r="L113" s="17" t="n">
        <v>0.03220000028610229</v>
      </c>
      <c r="M113" s="36" t="inlineStr">
        <is>
          <t>DB하이텍</t>
        </is>
      </c>
      <c r="N113" s="17" t="n">
        <v>0.03089999914169312</v>
      </c>
      <c r="O113" s="36" t="inlineStr">
        <is>
          <t>산일전기</t>
        </is>
      </c>
      <c r="P113" s="17" t="n">
        <v>0.02789999961853027</v>
      </c>
      <c r="Q113" s="36" t="inlineStr">
        <is>
          <t>대한전선</t>
        </is>
      </c>
      <c r="R113" s="17" t="n">
        <v>0.0277999997138977</v>
      </c>
      <c r="S113" s="36" t="inlineStr">
        <is>
          <t>JB금융지주</t>
        </is>
      </c>
      <c r="T113" s="17" t="n">
        <v>0.02700000047683716</v>
      </c>
      <c r="U113" s="36" t="inlineStr">
        <is>
          <t>LG씨엔에스</t>
        </is>
      </c>
      <c r="V113" s="17" t="n">
        <v>0.02650000095367432</v>
      </c>
      <c r="W113" s="22" t="inlineStr">
        <is>
          <t>대우건설</t>
        </is>
      </c>
      <c r="X113" s="23" t="n">
        <v>0.02640000104904175</v>
      </c>
    </row>
    <row r="114" ht="16" customHeight="1">
      <c r="A114" s="36" t="inlineStr">
        <is>
          <t>TIGER 200동일가중</t>
        </is>
      </c>
      <c r="B114" s="15" t="inlineStr">
        <is>
          <t>252000</t>
        </is>
      </c>
      <c r="C114" s="36" t="inlineStr">
        <is>
          <t>미래에셋자산운용</t>
        </is>
      </c>
      <c r="D114" s="19" t="n">
        <v>213</v>
      </c>
      <c r="E114" s="22" t="inlineStr">
        <is>
          <t>대우건설</t>
        </is>
      </c>
      <c r="F114" s="23" t="n">
        <v>0.01299999952316284</v>
      </c>
      <c r="G114" s="36" t="inlineStr">
        <is>
          <t>산일전기</t>
        </is>
      </c>
      <c r="H114" s="17" t="n">
        <v>0.01</v>
      </c>
      <c r="I114" s="36" t="inlineStr">
        <is>
          <t>LG이노텍</t>
        </is>
      </c>
      <c r="J114" s="17" t="n">
        <v>0.009900000095367432</v>
      </c>
      <c r="K114" s="36" t="inlineStr">
        <is>
          <t>삼성전기</t>
        </is>
      </c>
      <c r="L114" s="17" t="n">
        <v>0.009700000286102295</v>
      </c>
      <c r="M114" s="36" t="inlineStr">
        <is>
          <t>OCI홀딩스</t>
        </is>
      </c>
      <c r="N114" s="17" t="n">
        <v>0.009100000262260438</v>
      </c>
      <c r="O114" s="36" t="inlineStr">
        <is>
          <t>LS ELECTRIC</t>
        </is>
      </c>
      <c r="P114" s="17" t="n">
        <v>0.008500000238418579</v>
      </c>
      <c r="Q114" s="36" t="inlineStr">
        <is>
          <t>대한전선</t>
        </is>
      </c>
      <c r="R114" s="17" t="n">
        <v>0.008500000238418579</v>
      </c>
      <c r="S114" s="36" t="inlineStr">
        <is>
          <t>LS</t>
        </is>
      </c>
      <c r="T114" s="17" t="n">
        <v>0.008500000238418579</v>
      </c>
      <c r="U114" s="36" t="inlineStr">
        <is>
          <t>후성</t>
        </is>
      </c>
      <c r="V114" s="17" t="n">
        <v>0.008399999737739562</v>
      </c>
      <c r="W114" s="36" t="inlineStr">
        <is>
          <t>DL이앤씨</t>
        </is>
      </c>
      <c r="X114" s="17" t="n">
        <v>0.008100000023841859</v>
      </c>
    </row>
    <row r="115" ht="16" customHeight="1">
      <c r="A115" s="36" t="inlineStr">
        <is>
          <t>KODEX 필수소비재</t>
        </is>
      </c>
      <c r="B115" s="15" t="inlineStr">
        <is>
          <t>266410</t>
        </is>
      </c>
      <c r="C115" s="36" t="inlineStr">
        <is>
          <t>삼성자산운용</t>
        </is>
      </c>
      <c r="D115" s="19" t="n">
        <v>204</v>
      </c>
      <c r="E115" s="20" t="inlineStr">
        <is>
          <t>KT&amp;G</t>
        </is>
      </c>
      <c r="F115" s="21" t="n">
        <v>0.2084000015258789</v>
      </c>
      <c r="G115" s="36" t="inlineStr">
        <is>
          <t>에이피알</t>
        </is>
      </c>
      <c r="H115" s="17" t="n">
        <v>0.1820000076293945</v>
      </c>
      <c r="I115" s="22" t="inlineStr">
        <is>
          <t>삼양식품</t>
        </is>
      </c>
      <c r="J115" s="23" t="n">
        <v>0.09010000228881836</v>
      </c>
      <c r="K115" s="36" t="inlineStr">
        <is>
          <t>아모레퍼시픽</t>
        </is>
      </c>
      <c r="L115" s="17" t="n">
        <v>0.07289999961853028</v>
      </c>
      <c r="M115" s="36" t="inlineStr">
        <is>
          <t>오리온</t>
        </is>
      </c>
      <c r="N115" s="17" t="n">
        <v>0.05389999866485596</v>
      </c>
      <c r="O115" s="36" t="inlineStr">
        <is>
          <t>LG생활건강</t>
        </is>
      </c>
      <c r="P115" s="17" t="n">
        <v>0.04480000019073486</v>
      </c>
      <c r="Q115" s="36" t="inlineStr">
        <is>
          <t>이마트</t>
        </is>
      </c>
      <c r="R115" s="17" t="n">
        <v>0.03660000085830688</v>
      </c>
      <c r="S115" s="36" t="inlineStr">
        <is>
          <t>CJ제일제당</t>
        </is>
      </c>
      <c r="T115" s="17" t="n">
        <v>0.03279999971389771</v>
      </c>
      <c r="U115" s="36" t="inlineStr">
        <is>
          <t>코스맥스</t>
        </is>
      </c>
      <c r="V115" s="17" t="n">
        <v>0.0297000002861023</v>
      </c>
      <c r="W115" s="36" t="inlineStr">
        <is>
          <t>한국콜마</t>
        </is>
      </c>
      <c r="X115" s="17" t="n">
        <v>0.02630000114440918</v>
      </c>
    </row>
    <row r="116" ht="16" customHeight="1">
      <c r="A116" s="36" t="inlineStr">
        <is>
          <t>KODEX 멀티팩터</t>
        </is>
      </c>
      <c r="B116" s="15" t="inlineStr">
        <is>
          <t>337120</t>
        </is>
      </c>
      <c r="C116" s="36" t="inlineStr">
        <is>
          <t>삼성자산운용</t>
        </is>
      </c>
      <c r="D116" s="19" t="n">
        <v>196</v>
      </c>
      <c r="E116" s="20" t="inlineStr">
        <is>
          <t>삼성전자</t>
        </is>
      </c>
      <c r="F116" s="21" t="n">
        <v>0.2669000053405762</v>
      </c>
      <c r="G116" s="22" t="inlineStr">
        <is>
          <t>SK하이닉스</t>
        </is>
      </c>
      <c r="H116" s="23" t="n">
        <v>0.2002000045776367</v>
      </c>
      <c r="I116" s="20" t="inlineStr">
        <is>
          <t>SK스퀘어</t>
        </is>
      </c>
      <c r="J116" s="21" t="n">
        <v>0.02539999961853028</v>
      </c>
      <c r="K116" s="20" t="inlineStr">
        <is>
          <t>현대차</t>
        </is>
      </c>
      <c r="L116" s="21" t="n">
        <v>0.02140000104904175</v>
      </c>
      <c r="M116" s="20" t="inlineStr">
        <is>
          <t>두산에너빌리티</t>
        </is>
      </c>
      <c r="N116" s="21" t="n">
        <v>0.01269999980926514</v>
      </c>
      <c r="O116" s="36" t="inlineStr">
        <is>
          <t>삼성전기</t>
        </is>
      </c>
      <c r="P116" s="17" t="n">
        <v>0.01200000047683716</v>
      </c>
      <c r="Q116" s="22" t="inlineStr">
        <is>
          <t>기아</t>
        </is>
      </c>
      <c r="R116" s="23" t="n">
        <v>0.01169999957084656</v>
      </c>
      <c r="S116" s="36" t="inlineStr">
        <is>
          <t>KB금융</t>
        </is>
      </c>
      <c r="T116" s="17" t="n">
        <v>0.01139999985694885</v>
      </c>
      <c r="U116" s="36" t="inlineStr">
        <is>
          <t>LG에너지솔루션</t>
        </is>
      </c>
      <c r="V116" s="17" t="n">
        <v>0.01070000052452087</v>
      </c>
      <c r="W116" s="20" t="inlineStr">
        <is>
          <t>삼성생명</t>
        </is>
      </c>
      <c r="X116" s="21" t="n">
        <v>0.01029999971389771</v>
      </c>
    </row>
    <row r="117" ht="16" customHeight="1">
      <c r="A117" s="36" t="inlineStr">
        <is>
          <t>KoAct 반도체&amp;2차전지핵심소재액티브</t>
        </is>
      </c>
      <c r="B117" s="15" t="inlineStr">
        <is>
          <t>482030</t>
        </is>
      </c>
      <c r="C117" s="36" t="inlineStr">
        <is>
          <t>삼성액티브자산운용</t>
        </is>
      </c>
      <c r="D117" s="19" t="n">
        <v>187</v>
      </c>
      <c r="E117" s="36" t="inlineStr">
        <is>
          <t>에스앤에스텍</t>
        </is>
      </c>
      <c r="F117" s="17" t="n">
        <v>0.0603000020980835</v>
      </c>
      <c r="G117" s="36" t="inlineStr">
        <is>
          <t>대주전자재료</t>
        </is>
      </c>
      <c r="H117" s="17" t="n">
        <v>0.0578000020980835</v>
      </c>
      <c r="I117" s="36" t="inlineStr">
        <is>
          <t>엘앤에프</t>
        </is>
      </c>
      <c r="J117" s="17" t="n">
        <v>0.055</v>
      </c>
      <c r="K117" s="22" t="inlineStr">
        <is>
          <t>포스코인터내셔널</t>
        </is>
      </c>
      <c r="L117" s="23" t="n">
        <v>0.05469999790191651</v>
      </c>
      <c r="M117" s="36" t="inlineStr">
        <is>
          <t>에코프로</t>
        </is>
      </c>
      <c r="N117" s="17" t="n">
        <v>0.05409999847412109</v>
      </c>
      <c r="O117" s="36" t="inlineStr">
        <is>
          <t>포스코퓨처엠</t>
        </is>
      </c>
      <c r="P117" s="17" t="n">
        <v>0.0415999984741211</v>
      </c>
      <c r="Q117" s="36" t="inlineStr">
        <is>
          <t>솔브레인</t>
        </is>
      </c>
      <c r="R117" s="17" t="n">
        <v>0.03910000085830689</v>
      </c>
      <c r="S117" s="36" t="inlineStr">
        <is>
          <t>에코프로비엠</t>
        </is>
      </c>
      <c r="T117" s="17" t="n">
        <v>0.03910000085830689</v>
      </c>
      <c r="U117" s="36" t="inlineStr">
        <is>
          <t>하나머티리얼즈</t>
        </is>
      </c>
      <c r="V117" s="17" t="n">
        <v>0.03829999923706055</v>
      </c>
      <c r="W117" s="36" t="inlineStr">
        <is>
          <t>레이크머티리얼즈</t>
        </is>
      </c>
      <c r="X117" s="17" t="n">
        <v>0.03779999971389771</v>
      </c>
    </row>
    <row r="118" ht="16" customHeight="1">
      <c r="A118" s="36" t="inlineStr">
        <is>
          <t>TIME K컬처액티브</t>
        </is>
      </c>
      <c r="B118" s="15" t="inlineStr">
        <is>
          <t>410870</t>
        </is>
      </c>
      <c r="C118" s="36" t="inlineStr">
        <is>
          <t>타임폴리오자산운용</t>
        </is>
      </c>
      <c r="D118" s="19" t="n">
        <v>181</v>
      </c>
      <c r="E118" s="36" t="inlineStr">
        <is>
          <t>NC</t>
        </is>
      </c>
      <c r="F118" s="17" t="n">
        <v>0.06789999961853027</v>
      </c>
      <c r="G118" s="22" t="inlineStr">
        <is>
          <t>삼양식품</t>
        </is>
      </c>
      <c r="H118" s="23" t="n">
        <v>0.0678000020980835</v>
      </c>
      <c r="I118" s="36" t="inlineStr">
        <is>
          <t>펄어비스</t>
        </is>
      </c>
      <c r="J118" s="17" t="n">
        <v>0.06519999980926514</v>
      </c>
      <c r="K118" s="36" t="inlineStr">
        <is>
          <t>휴젤</t>
        </is>
      </c>
      <c r="L118" s="17" t="n">
        <v>0.05829999923706055</v>
      </c>
      <c r="M118" s="36" t="inlineStr">
        <is>
          <t>에이피알</t>
        </is>
      </c>
      <c r="N118" s="17" t="n">
        <v>0.05599999904632568</v>
      </c>
      <c r="O118" s="36" t="inlineStr">
        <is>
          <t>달바글로벌</t>
        </is>
      </c>
      <c r="P118" s="17" t="n">
        <v>0.05559999942779541</v>
      </c>
      <c r="Q118" s="36" t="inlineStr">
        <is>
          <t>롯데쇼핑</t>
        </is>
      </c>
      <c r="R118" s="17" t="n">
        <v>0.05539999961853027</v>
      </c>
      <c r="S118" s="36" t="inlineStr">
        <is>
          <t>올릭스</t>
        </is>
      </c>
      <c r="T118" s="17" t="n">
        <v>0.04940000057220459</v>
      </c>
      <c r="U118" s="36" t="inlineStr">
        <is>
          <t>신세계</t>
        </is>
      </c>
      <c r="V118" s="17" t="n">
        <v>0.04829999923706055</v>
      </c>
      <c r="W118" s="36" t="inlineStr">
        <is>
          <t>CJ</t>
        </is>
      </c>
      <c r="X118" s="17" t="n">
        <v>0.04550000190734863</v>
      </c>
    </row>
    <row r="119" ht="16" customHeight="1">
      <c r="A119" s="36" t="inlineStr">
        <is>
          <t>파워 K-주주가치액티브</t>
        </is>
      </c>
      <c r="B119" s="15" t="inlineStr">
        <is>
          <t>491510</t>
        </is>
      </c>
      <c r="C119" s="36" t="inlineStr">
        <is>
          <t>교보악사자산운용</t>
        </is>
      </c>
      <c r="D119" s="19" t="n">
        <v>180</v>
      </c>
      <c r="E119" s="36" t="inlineStr">
        <is>
          <t>DN오토모티브</t>
        </is>
      </c>
      <c r="F119" s="17" t="n">
        <v>0.03990000009536743</v>
      </c>
      <c r="G119" s="22" t="inlineStr">
        <is>
          <t>기아</t>
        </is>
      </c>
      <c r="H119" s="23" t="n">
        <v>0.03519999980926514</v>
      </c>
      <c r="I119" s="22" t="inlineStr">
        <is>
          <t>NH투자증권</t>
        </is>
      </c>
      <c r="J119" s="23" t="n">
        <v>0.02690000057220459</v>
      </c>
      <c r="K119" s="36" t="inlineStr">
        <is>
          <t>한국단자</t>
        </is>
      </c>
      <c r="L119" s="17" t="n">
        <v>0.02650000095367432</v>
      </c>
      <c r="M119" s="36" t="inlineStr">
        <is>
          <t>LS</t>
        </is>
      </c>
      <c r="N119" s="17" t="n">
        <v>0.02609999895095825</v>
      </c>
      <c r="O119" s="36" t="inlineStr">
        <is>
          <t>DB하이텍</t>
        </is>
      </c>
      <c r="P119" s="17" t="n">
        <v>0.02589999914169312</v>
      </c>
      <c r="Q119" s="20" t="inlineStr">
        <is>
          <t>삼성전자</t>
        </is>
      </c>
      <c r="R119" s="21" t="n">
        <v>0.02589999914169312</v>
      </c>
      <c r="S119" s="36" t="inlineStr">
        <is>
          <t>영원무역홀딩스</t>
        </is>
      </c>
      <c r="T119" s="17" t="n">
        <v>0.02509999990463257</v>
      </c>
      <c r="U119" s="36" t="inlineStr">
        <is>
          <t>HD건설기계</t>
        </is>
      </c>
      <c r="V119" s="17" t="n">
        <v>0.02430000066757202</v>
      </c>
      <c r="W119" s="36" t="inlineStr">
        <is>
          <t>DB증권</t>
        </is>
      </c>
      <c r="X119" s="17" t="n">
        <v>0.02369999885559082</v>
      </c>
    </row>
    <row r="120" ht="16" customHeight="1">
      <c r="A120" s="36" t="inlineStr">
        <is>
          <t>에셋플러스 코리아플랫폼액티브</t>
        </is>
      </c>
      <c r="B120" s="15" t="inlineStr">
        <is>
          <t>407820</t>
        </is>
      </c>
      <c r="C120" s="36" t="inlineStr">
        <is>
          <t>에셋플러스자산운용</t>
        </is>
      </c>
      <c r="D120" s="19" t="n">
        <v>173</v>
      </c>
      <c r="E120" s="36" t="inlineStr">
        <is>
          <t>CJ</t>
        </is>
      </c>
      <c r="F120" s="17" t="n">
        <v>0.08789999961853028</v>
      </c>
      <c r="G120" s="36" t="inlineStr">
        <is>
          <t>한국금융지주</t>
        </is>
      </c>
      <c r="H120" s="17" t="n">
        <v>0.07099999904632569</v>
      </c>
      <c r="I120" s="36" t="inlineStr">
        <is>
          <t>원화현금</t>
        </is>
      </c>
      <c r="J120" s="17" t="n">
        <v>0.06570000171661378</v>
      </c>
      <c r="K120" s="36" t="inlineStr">
        <is>
          <t>영원무역</t>
        </is>
      </c>
      <c r="L120" s="17" t="n">
        <v>0.0571999979019165</v>
      </c>
      <c r="M120" s="24" t="inlineStr">
        <is>
          <t>롯데렌탈</t>
        </is>
      </c>
      <c r="N120" s="25" t="n">
        <v>0.05539999961853027</v>
      </c>
      <c r="O120" s="36" t="inlineStr">
        <is>
          <t>CJ대한통운</t>
        </is>
      </c>
      <c r="P120" s="17" t="n">
        <v>0.05510000228881836</v>
      </c>
      <c r="Q120" s="36" t="inlineStr">
        <is>
          <t>에이피알</t>
        </is>
      </c>
      <c r="R120" s="17" t="n">
        <v>0.05510000228881836</v>
      </c>
      <c r="S120" s="20" t="inlineStr">
        <is>
          <t>미래에셋증권</t>
        </is>
      </c>
      <c r="T120" s="21" t="n">
        <v>0.04840000152587891</v>
      </c>
      <c r="U120" s="20" t="inlineStr">
        <is>
          <t>NAVER</t>
        </is>
      </c>
      <c r="V120" s="21" t="n">
        <v>0.04650000095367432</v>
      </c>
      <c r="W120" s="20" t="inlineStr">
        <is>
          <t>삼성바이오로직스</t>
        </is>
      </c>
      <c r="X120" s="21" t="n">
        <v>0.0425</v>
      </c>
    </row>
    <row r="121" ht="16" customHeight="1">
      <c r="A121" s="36" t="inlineStr">
        <is>
          <t>KIWOOM 블루칩</t>
        </is>
      </c>
      <c r="B121" s="15" t="inlineStr">
        <is>
          <t>104520</t>
        </is>
      </c>
      <c r="C121" s="36" t="inlineStr">
        <is>
          <t>키움투자자산운용</t>
        </is>
      </c>
      <c r="D121" s="19" t="n">
        <v>172</v>
      </c>
      <c r="E121" s="36" t="inlineStr">
        <is>
          <t>삼성SDI</t>
        </is>
      </c>
      <c r="F121" s="17" t="n">
        <v>0.03859999895095825</v>
      </c>
      <c r="G121" s="22" t="inlineStr">
        <is>
          <t>SK하이닉스</t>
        </is>
      </c>
      <c r="H121" s="23" t="n">
        <v>0.03430000066757202</v>
      </c>
      <c r="I121" s="20" t="inlineStr">
        <is>
          <t>POSCO홀딩스</t>
        </is>
      </c>
      <c r="J121" s="21" t="n">
        <v>0.0325</v>
      </c>
      <c r="K121" s="20" t="inlineStr">
        <is>
          <t>LG화학</t>
        </is>
      </c>
      <c r="L121" s="21" t="n">
        <v>0.03069999933242798</v>
      </c>
      <c r="M121" s="36" t="inlineStr">
        <is>
          <t>SK</t>
        </is>
      </c>
      <c r="N121" s="17" t="n">
        <v>0.03</v>
      </c>
      <c r="O121" s="36" t="inlineStr">
        <is>
          <t>현대로템</t>
        </is>
      </c>
      <c r="P121" s="17" t="n">
        <v>0.02869999885559082</v>
      </c>
      <c r="Q121" s="36" t="inlineStr">
        <is>
          <t>LG에너지솔루션</t>
        </is>
      </c>
      <c r="R121" s="17" t="n">
        <v>0.02869999885559082</v>
      </c>
      <c r="S121" s="22" t="inlineStr">
        <is>
          <t>삼양식품</t>
        </is>
      </c>
      <c r="T121" s="23" t="n">
        <v>0.02799999952316284</v>
      </c>
      <c r="U121" s="20" t="inlineStr">
        <is>
          <t>SK텔레콤</t>
        </is>
      </c>
      <c r="V121" s="21" t="n">
        <v>0.02789999961853027</v>
      </c>
      <c r="W121" s="20" t="inlineStr">
        <is>
          <t>삼성생명</t>
        </is>
      </c>
      <c r="X121" s="21" t="n">
        <v>0.02769999980926514</v>
      </c>
    </row>
    <row r="122" ht="16" customHeight="1">
      <c r="A122" s="36" t="inlineStr">
        <is>
          <t>PLUS 코스피</t>
        </is>
      </c>
      <c r="B122" s="15" t="inlineStr">
        <is>
          <t>227830</t>
        </is>
      </c>
      <c r="C122" s="36" t="inlineStr">
        <is>
          <t>한화자산운용</t>
        </is>
      </c>
      <c r="D122" s="19" t="n">
        <v>171</v>
      </c>
      <c r="E122" s="20" t="inlineStr">
        <is>
          <t>삼성전자</t>
        </is>
      </c>
      <c r="F122" s="21" t="n">
        <v>0.2463999938964844</v>
      </c>
      <c r="G122" s="22" t="inlineStr">
        <is>
          <t>SK하이닉스</t>
        </is>
      </c>
      <c r="H122" s="23" t="n">
        <v>0.1876000022888183</v>
      </c>
      <c r="I122" s="20" t="inlineStr">
        <is>
          <t>SK스퀘어</t>
        </is>
      </c>
      <c r="J122" s="21" t="n">
        <v>0.02380000114440918</v>
      </c>
      <c r="K122" s="36" t="inlineStr">
        <is>
          <t>LG에너지솔루션</t>
        </is>
      </c>
      <c r="L122" s="17" t="n">
        <v>0.02019999980926514</v>
      </c>
      <c r="M122" s="20" t="inlineStr">
        <is>
          <t>현대차</t>
        </is>
      </c>
      <c r="N122" s="21" t="n">
        <v>0.02</v>
      </c>
      <c r="O122" s="20" t="inlineStr">
        <is>
          <t>두산에너빌리티</t>
        </is>
      </c>
      <c r="P122" s="21" t="n">
        <v>0.01490000009536743</v>
      </c>
      <c r="Q122" s="36" t="inlineStr">
        <is>
          <t>한화에어로스페이스</t>
        </is>
      </c>
      <c r="R122" s="17" t="n">
        <v>0.01379999995231628</v>
      </c>
      <c r="S122" s="36" t="inlineStr">
        <is>
          <t>HD현대중공업</t>
        </is>
      </c>
      <c r="T122" s="17" t="n">
        <v>0.01289999961853027</v>
      </c>
      <c r="U122" s="36" t="inlineStr">
        <is>
          <t>삼성전기</t>
        </is>
      </c>
      <c r="V122" s="17" t="n">
        <v>0.01259999990463257</v>
      </c>
      <c r="W122" s="20" t="inlineStr">
        <is>
          <t>삼성바이오로직스</t>
        </is>
      </c>
      <c r="X122" s="21" t="n">
        <v>0.01240000009536743</v>
      </c>
    </row>
    <row r="123" ht="16" customHeight="1">
      <c r="A123" s="36" t="inlineStr">
        <is>
          <t>KODEX 운송</t>
        </is>
      </c>
      <c r="B123" s="15" t="inlineStr">
        <is>
          <t>140710</t>
        </is>
      </c>
      <c r="C123" s="36" t="inlineStr">
        <is>
          <t>삼성자산운용</t>
        </is>
      </c>
      <c r="D123" s="19" t="n">
        <v>170</v>
      </c>
      <c r="E123" s="22" t="inlineStr">
        <is>
          <t>현대글로비스</t>
        </is>
      </c>
      <c r="F123" s="23" t="n">
        <v>0.2771999931335449</v>
      </c>
      <c r="G123" s="36" t="inlineStr">
        <is>
          <t>대한항공</t>
        </is>
      </c>
      <c r="H123" s="17" t="n">
        <v>0.1829000091552734</v>
      </c>
      <c r="I123" s="20" t="inlineStr">
        <is>
          <t>HMM</t>
        </is>
      </c>
      <c r="J123" s="21" t="n">
        <v>0.1481999969482422</v>
      </c>
      <c r="K123" s="36" t="inlineStr">
        <is>
          <t>팬오션</t>
        </is>
      </c>
      <c r="L123" s="17" t="n">
        <v>0.106899995803833</v>
      </c>
      <c r="M123" s="36" t="inlineStr">
        <is>
          <t>CJ대한통운</t>
        </is>
      </c>
      <c r="N123" s="17" t="n">
        <v>0.09409999847412109</v>
      </c>
      <c r="O123" s="36" t="inlineStr">
        <is>
          <t>아시아나항공</t>
        </is>
      </c>
      <c r="P123" s="17" t="n">
        <v>0.04559999942779541</v>
      </c>
      <c r="Q123" s="36" t="inlineStr">
        <is>
          <t>대한해운</t>
        </is>
      </c>
      <c r="R123" s="17" t="n">
        <v>0.03720000028610229</v>
      </c>
      <c r="S123" s="24" t="inlineStr">
        <is>
          <t>롯데렌탈</t>
        </is>
      </c>
      <c r="T123" s="25" t="n">
        <v>0.03660000085830688</v>
      </c>
      <c r="U123" s="24" t="inlineStr">
        <is>
          <t>흥아해운</t>
        </is>
      </c>
      <c r="V123" s="25" t="n">
        <v>0.0152999997138977</v>
      </c>
      <c r="W123" s="36" t="inlineStr">
        <is>
          <t>한진</t>
        </is>
      </c>
      <c r="X123" s="17" t="n">
        <v>0.0152999997138977</v>
      </c>
    </row>
    <row r="124" ht="16" customHeight="1">
      <c r="A124" s="36" t="inlineStr">
        <is>
          <t>KODEX 모멘텀Plus</t>
        </is>
      </c>
      <c r="B124" s="15" t="inlineStr">
        <is>
          <t>244620</t>
        </is>
      </c>
      <c r="C124" s="36" t="inlineStr">
        <is>
          <t>삼성자산운용</t>
        </is>
      </c>
      <c r="D124" s="19" t="n">
        <v>167</v>
      </c>
      <c r="E124" s="36" t="inlineStr">
        <is>
          <t>삼성전기</t>
        </is>
      </c>
      <c r="F124" s="17" t="n">
        <v>0.05510000228881836</v>
      </c>
      <c r="G124" s="36" t="inlineStr">
        <is>
          <t>신세계</t>
        </is>
      </c>
      <c r="H124" s="17" t="n">
        <v>0.0503000020980835</v>
      </c>
      <c r="I124" s="20" t="inlineStr">
        <is>
          <t>삼성전자</t>
        </is>
      </c>
      <c r="J124" s="21" t="n">
        <v>0.03960000038146973</v>
      </c>
      <c r="K124" s="22" t="inlineStr">
        <is>
          <t>SK하이닉스</t>
        </is>
      </c>
      <c r="L124" s="23" t="n">
        <v>0.03630000114440918</v>
      </c>
      <c r="M124" s="20" t="inlineStr">
        <is>
          <t>SK스퀘어</t>
        </is>
      </c>
      <c r="N124" s="21" t="n">
        <v>0.0347000002861023</v>
      </c>
      <c r="O124" s="36" t="inlineStr">
        <is>
          <t>테스</t>
        </is>
      </c>
      <c r="P124" s="17" t="n">
        <v>0.03460000038146973</v>
      </c>
      <c r="Q124" s="36" t="inlineStr">
        <is>
          <t>에이피알</t>
        </is>
      </c>
      <c r="R124" s="17" t="n">
        <v>0.03200000047683716</v>
      </c>
      <c r="S124" s="36" t="inlineStr">
        <is>
          <t>한솔케미칼</t>
        </is>
      </c>
      <c r="T124" s="17" t="n">
        <v>0.02890000104904175</v>
      </c>
      <c r="U124" s="36" t="inlineStr">
        <is>
          <t>피에스케이</t>
        </is>
      </c>
      <c r="V124" s="17" t="n">
        <v>0.02799999952316284</v>
      </c>
      <c r="W124" s="36" t="inlineStr">
        <is>
          <t>제주반도체</t>
        </is>
      </c>
      <c r="X124" s="17" t="n">
        <v>0.02730000019073486</v>
      </c>
    </row>
    <row r="125" ht="16" customHeight="1">
      <c r="A125" s="36" t="inlineStr">
        <is>
          <t>TRUSTON 주주가치액티브</t>
        </is>
      </c>
      <c r="B125" s="15" t="inlineStr">
        <is>
          <t>472720</t>
        </is>
      </c>
      <c r="C125" s="36" t="inlineStr">
        <is>
          <t>트러스톤자산운용</t>
        </is>
      </c>
      <c r="D125" s="19" t="n">
        <v>166</v>
      </c>
      <c r="E125" s="22" t="inlineStr">
        <is>
          <t>SK하이닉스</t>
        </is>
      </c>
      <c r="F125" s="23" t="n">
        <v>0.1202999973297119</v>
      </c>
      <c r="G125" s="36" t="inlineStr">
        <is>
          <t>LS</t>
        </is>
      </c>
      <c r="H125" s="17" t="n">
        <v>0.06679999828338623</v>
      </c>
      <c r="I125" s="36" t="inlineStr">
        <is>
          <t>두산</t>
        </is>
      </c>
      <c r="J125" s="17" t="n">
        <v>0.05909999847412109</v>
      </c>
      <c r="K125" s="20" t="inlineStr">
        <is>
          <t>삼성전자</t>
        </is>
      </c>
      <c r="L125" s="21" t="n">
        <v>0.05230000019073486</v>
      </c>
      <c r="M125" s="22" t="inlineStr">
        <is>
          <t>NH투자증권</t>
        </is>
      </c>
      <c r="N125" s="23" t="n">
        <v>0.05050000190734863</v>
      </c>
      <c r="O125" s="36" t="inlineStr">
        <is>
          <t>비츠로셀</t>
        </is>
      </c>
      <c r="P125" s="17" t="n">
        <v>0.04900000095367432</v>
      </c>
      <c r="Q125" s="36" t="inlineStr">
        <is>
          <t>키움증권</t>
        </is>
      </c>
      <c r="R125" s="17" t="n">
        <v>0.04030000209808349</v>
      </c>
      <c r="S125" s="36" t="inlineStr">
        <is>
          <t>KB금융</t>
        </is>
      </c>
      <c r="T125" s="17" t="n">
        <v>0.03829999923706055</v>
      </c>
      <c r="U125" s="20" t="inlineStr">
        <is>
          <t>LG화학</t>
        </is>
      </c>
      <c r="V125" s="21" t="n">
        <v>0.03809999942779541</v>
      </c>
      <c r="W125" s="36" t="inlineStr">
        <is>
          <t>LS ELECTRIC</t>
        </is>
      </c>
      <c r="X125" s="17" t="n">
        <v>0.03569999933242798</v>
      </c>
    </row>
    <row r="126" ht="16" customHeight="1">
      <c r="A126" s="36" t="inlineStr">
        <is>
          <t>HANARO Fn K-푸드</t>
        </is>
      </c>
      <c r="B126" s="15" t="inlineStr">
        <is>
          <t>438900</t>
        </is>
      </c>
      <c r="C126" s="36" t="inlineStr">
        <is>
          <t>엔에이치아문디자산운용</t>
        </is>
      </c>
      <c r="D126" s="19" t="n">
        <v>161</v>
      </c>
      <c r="E126" s="36" t="inlineStr">
        <is>
          <t>오리온</t>
        </is>
      </c>
      <c r="F126" s="17" t="n">
        <v>0.1926000022888184</v>
      </c>
      <c r="G126" s="36" t="inlineStr">
        <is>
          <t>CJ제일제당</t>
        </is>
      </c>
      <c r="H126" s="17" t="n">
        <v>0.1635000038146973</v>
      </c>
      <c r="I126" s="22" t="inlineStr">
        <is>
          <t>삼양식품</t>
        </is>
      </c>
      <c r="J126" s="23" t="n">
        <v>0.1515999984741211</v>
      </c>
      <c r="K126" s="36" t="inlineStr">
        <is>
          <t>농심</t>
        </is>
      </c>
      <c r="L126" s="17" t="n">
        <v>0.1259000015258789</v>
      </c>
      <c r="M126" s="36" t="inlineStr">
        <is>
          <t>오뚜기</t>
        </is>
      </c>
      <c r="N126" s="17" t="n">
        <v>0.06159999847412109</v>
      </c>
      <c r="O126" s="36" t="inlineStr">
        <is>
          <t>롯데칠성</t>
        </is>
      </c>
      <c r="P126" s="17" t="n">
        <v>0.05519999980926513</v>
      </c>
      <c r="Q126" s="36" t="inlineStr">
        <is>
          <t>대상</t>
        </is>
      </c>
      <c r="R126" s="17" t="n">
        <v>0.04650000095367432</v>
      </c>
      <c r="S126" s="36" t="inlineStr">
        <is>
          <t>동원산업</t>
        </is>
      </c>
      <c r="T126" s="17" t="n">
        <v>0.04210000038146973</v>
      </c>
      <c r="U126" s="36" t="inlineStr">
        <is>
          <t>빙그레</t>
        </is>
      </c>
      <c r="V126" s="17" t="n">
        <v>0.04110000133514404</v>
      </c>
      <c r="W126" s="36" t="inlineStr">
        <is>
          <t>롯데웰푸드</t>
        </is>
      </c>
      <c r="X126" s="17" t="n">
        <v>0.03029999971389771</v>
      </c>
    </row>
    <row r="127" ht="16" customHeight="1">
      <c r="A127" s="36" t="inlineStr">
        <is>
          <t>RISE 우량업종대표주</t>
        </is>
      </c>
      <c r="B127" s="15" t="inlineStr">
        <is>
          <t>140580</t>
        </is>
      </c>
      <c r="C127" s="36" t="inlineStr">
        <is>
          <t>케이비자산운용</t>
        </is>
      </c>
      <c r="D127" s="19" t="n">
        <v>159</v>
      </c>
      <c r="E127" s="36" t="inlineStr">
        <is>
          <t>DB하이텍</t>
        </is>
      </c>
      <c r="F127" s="17" t="n">
        <v>0.03670000076293945</v>
      </c>
      <c r="G127" s="22" t="inlineStr">
        <is>
          <t>SK하이닉스</t>
        </is>
      </c>
      <c r="H127" s="23" t="n">
        <v>0.03059999942779541</v>
      </c>
      <c r="I127" s="36" t="inlineStr">
        <is>
          <t>해성디에스</t>
        </is>
      </c>
      <c r="J127" s="17" t="n">
        <v>0.02890000104904175</v>
      </c>
      <c r="K127" s="36" t="inlineStr">
        <is>
          <t>롯데쇼핑</t>
        </is>
      </c>
      <c r="L127" s="17" t="n">
        <v>0.02819999933242798</v>
      </c>
      <c r="M127" s="36" t="inlineStr">
        <is>
          <t>SK</t>
        </is>
      </c>
      <c r="N127" s="17" t="n">
        <v>0.02799999952316284</v>
      </c>
      <c r="O127" s="36" t="inlineStr">
        <is>
          <t>현대백화점</t>
        </is>
      </c>
      <c r="P127" s="17" t="n">
        <v>0.02559999942779541</v>
      </c>
      <c r="Q127" s="36" t="inlineStr">
        <is>
          <t>LG전자</t>
        </is>
      </c>
      <c r="R127" s="17" t="n">
        <v>0.02490000009536743</v>
      </c>
      <c r="S127" s="20" t="inlineStr">
        <is>
          <t>삼성전자</t>
        </is>
      </c>
      <c r="T127" s="21" t="n">
        <v>0.02440000057220459</v>
      </c>
      <c r="U127" s="22" t="inlineStr">
        <is>
          <t>삼양식품</t>
        </is>
      </c>
      <c r="V127" s="23" t="n">
        <v>0.02440000057220459</v>
      </c>
      <c r="W127" s="36" t="inlineStr">
        <is>
          <t>신세계</t>
        </is>
      </c>
      <c r="X127" s="17" t="n">
        <v>0.02420000076293945</v>
      </c>
    </row>
    <row r="128" ht="16" customHeight="1">
      <c r="A128" s="36" t="inlineStr">
        <is>
          <t>RISE V&amp;S셀렉트밸류</t>
        </is>
      </c>
      <c r="B128" s="15" t="inlineStr">
        <is>
          <t>234310</t>
        </is>
      </c>
      <c r="C128" s="36" t="inlineStr">
        <is>
          <t>케이비자산운용</t>
        </is>
      </c>
      <c r="D128" s="19" t="n">
        <v>152</v>
      </c>
      <c r="E128" s="20" t="inlineStr">
        <is>
          <t>삼성전자</t>
        </is>
      </c>
      <c r="F128" s="21" t="n">
        <v>0.3372000122070313</v>
      </c>
      <c r="G128" s="36" t="inlineStr">
        <is>
          <t>메리츠금융지주</t>
        </is>
      </c>
      <c r="H128" s="17" t="n">
        <v>0.0990999984741211</v>
      </c>
      <c r="I128" s="36" t="inlineStr">
        <is>
          <t>원화현금</t>
        </is>
      </c>
      <c r="J128" s="17" t="n">
        <v>0.0525</v>
      </c>
      <c r="K128" s="36" t="inlineStr">
        <is>
          <t>현대모비스</t>
        </is>
      </c>
      <c r="L128" s="17" t="n">
        <v>0.04110000133514404</v>
      </c>
      <c r="M128" s="36" t="inlineStr">
        <is>
          <t>삼성SDI</t>
        </is>
      </c>
      <c r="N128" s="17" t="n">
        <v>0.03160000085830689</v>
      </c>
      <c r="O128" s="36" t="inlineStr">
        <is>
          <t>신한지주</t>
        </is>
      </c>
      <c r="P128" s="17" t="n">
        <v>0.03069999933242798</v>
      </c>
      <c r="Q128" s="36" t="inlineStr">
        <is>
          <t>LG</t>
        </is>
      </c>
      <c r="R128" s="17" t="n">
        <v>0.02910000085830688</v>
      </c>
      <c r="S128" s="36" t="inlineStr">
        <is>
          <t>현대차2우B</t>
        </is>
      </c>
      <c r="T128" s="17" t="n">
        <v>0.0222000002861023</v>
      </c>
      <c r="U128" s="20" t="inlineStr">
        <is>
          <t>POSCO홀딩스</t>
        </is>
      </c>
      <c r="V128" s="21" t="n">
        <v>0.01950000047683716</v>
      </c>
      <c r="W128" s="36" t="inlineStr">
        <is>
          <t>LS</t>
        </is>
      </c>
      <c r="X128" s="17" t="n">
        <v>0.01919999957084656</v>
      </c>
    </row>
    <row r="129" ht="16" customHeight="1">
      <c r="A129" s="36" t="inlineStr">
        <is>
          <t>ACE 삼성그룹동일가중</t>
        </is>
      </c>
      <c r="B129" s="15" t="inlineStr">
        <is>
          <t>131890</t>
        </is>
      </c>
      <c r="C129" s="36" t="inlineStr">
        <is>
          <t>한국투자신탁운용</t>
        </is>
      </c>
      <c r="D129" s="19" t="n">
        <v>152</v>
      </c>
      <c r="E129" s="36" t="inlineStr">
        <is>
          <t>삼성증권</t>
        </is>
      </c>
      <c r="F129" s="17" t="n">
        <v>0.07719999790191651</v>
      </c>
      <c r="G129" s="36" t="inlineStr">
        <is>
          <t>삼성전기</t>
        </is>
      </c>
      <c r="H129" s="17" t="n">
        <v>0.06829999923706055</v>
      </c>
      <c r="I129" s="20" t="inlineStr">
        <is>
          <t>삼성생명</t>
        </is>
      </c>
      <c r="J129" s="21" t="n">
        <v>0.06440000057220459</v>
      </c>
      <c r="K129" s="20" t="inlineStr">
        <is>
          <t>삼성물산</t>
        </is>
      </c>
      <c r="L129" s="21" t="n">
        <v>0.06380000114440917</v>
      </c>
      <c r="M129" s="20" t="inlineStr">
        <is>
          <t>삼성전자</t>
        </is>
      </c>
      <c r="N129" s="21" t="n">
        <v>0.06289999961853027</v>
      </c>
      <c r="O129" s="22" t="inlineStr">
        <is>
          <t>삼성화재</t>
        </is>
      </c>
      <c r="P129" s="23" t="n">
        <v>0.06289999961853027</v>
      </c>
      <c r="Q129" s="22" t="inlineStr">
        <is>
          <t>삼성E&amp;A</t>
        </is>
      </c>
      <c r="R129" s="23" t="n">
        <v>0.06219999790191651</v>
      </c>
      <c r="S129" s="20" t="inlineStr">
        <is>
          <t>삼성바이오로직스</t>
        </is>
      </c>
      <c r="T129" s="21" t="n">
        <v>0.06170000076293945</v>
      </c>
      <c r="U129" s="36" t="inlineStr">
        <is>
          <t>제일기획</t>
        </is>
      </c>
      <c r="V129" s="17" t="n">
        <v>0.06119999885559082</v>
      </c>
      <c r="W129" s="36" t="inlineStr">
        <is>
          <t>삼성카드</t>
        </is>
      </c>
      <c r="X129" s="17" t="n">
        <v>0.06090000152587891</v>
      </c>
    </row>
    <row r="130" ht="16" customHeight="1">
      <c r="A130" s="36" t="inlineStr">
        <is>
          <t>TIGER K게임</t>
        </is>
      </c>
      <c r="B130" s="15" t="inlineStr">
        <is>
          <t>300610</t>
        </is>
      </c>
      <c r="C130" s="36" t="inlineStr">
        <is>
          <t>미래에셋자산운용</t>
        </is>
      </c>
      <c r="D130" s="19" t="n">
        <v>146</v>
      </c>
      <c r="E130" s="36" t="inlineStr">
        <is>
          <t>NC</t>
        </is>
      </c>
      <c r="F130" s="17" t="n">
        <v>0.1364999961853027</v>
      </c>
      <c r="G130" s="36" t="inlineStr">
        <is>
          <t>더블유게임즈</t>
        </is>
      </c>
      <c r="H130" s="17" t="n">
        <v>0.1332999992370605</v>
      </c>
      <c r="I130" s="36" t="inlineStr">
        <is>
          <t>크래프톤</t>
        </is>
      </c>
      <c r="J130" s="17" t="n">
        <v>0.1161999988555908</v>
      </c>
      <c r="K130" s="36" t="inlineStr">
        <is>
          <t>시프트업</t>
        </is>
      </c>
      <c r="L130" s="17" t="n">
        <v>0.09670000076293946</v>
      </c>
      <c r="M130" s="36" t="inlineStr">
        <is>
          <t>넷마블</t>
        </is>
      </c>
      <c r="N130" s="17" t="n">
        <v>0.0884000015258789</v>
      </c>
      <c r="O130" s="36" t="inlineStr">
        <is>
          <t>펄어비스</t>
        </is>
      </c>
      <c r="P130" s="17" t="n">
        <v>0.07579999923706054</v>
      </c>
      <c r="Q130" s="36" t="inlineStr">
        <is>
          <t>위메이드</t>
        </is>
      </c>
      <c r="R130" s="17" t="n">
        <v>0.06670000076293946</v>
      </c>
      <c r="S130" s="36" t="inlineStr">
        <is>
          <t>카카오게임즈</t>
        </is>
      </c>
      <c r="T130" s="17" t="n">
        <v>0.06409999847412109</v>
      </c>
      <c r="U130" s="36" t="inlineStr">
        <is>
          <t>넥슨게임즈</t>
        </is>
      </c>
      <c r="V130" s="17" t="n">
        <v>0.04210000038146973</v>
      </c>
      <c r="W130" s="36" t="inlineStr">
        <is>
          <t>네오위즈</t>
        </is>
      </c>
      <c r="X130" s="17" t="n">
        <v>0.03920000076293945</v>
      </c>
    </row>
    <row r="131" ht="16" customHeight="1">
      <c r="A131" s="36" t="inlineStr">
        <is>
          <t>RISE 중소형고배당</t>
        </is>
      </c>
      <c r="B131" s="15" t="inlineStr">
        <is>
          <t>281990</t>
        </is>
      </c>
      <c r="C131" s="36" t="inlineStr">
        <is>
          <t>케이비자산운용</t>
        </is>
      </c>
      <c r="D131" s="19" t="n">
        <v>143</v>
      </c>
      <c r="E131" s="36" t="inlineStr">
        <is>
          <t>OCI홀딩스</t>
        </is>
      </c>
      <c r="F131" s="17" t="n">
        <v>0.04780000209808349</v>
      </c>
      <c r="G131" s="36" t="inlineStr">
        <is>
          <t>효성</t>
        </is>
      </c>
      <c r="H131" s="17" t="n">
        <v>0.04559999942779541</v>
      </c>
      <c r="I131" s="36" t="inlineStr">
        <is>
          <t>한전KPS</t>
        </is>
      </c>
      <c r="J131" s="17" t="n">
        <v>0.03519999980926514</v>
      </c>
      <c r="K131" s="36" t="inlineStr">
        <is>
          <t>KCC</t>
        </is>
      </c>
      <c r="L131" s="17" t="n">
        <v>0.035</v>
      </c>
      <c r="M131" s="36" t="inlineStr">
        <is>
          <t>한국앤컴퍼니</t>
        </is>
      </c>
      <c r="N131" s="17" t="n">
        <v>0.03490000009536743</v>
      </c>
      <c r="O131" s="36" t="inlineStr">
        <is>
          <t>한화</t>
        </is>
      </c>
      <c r="P131" s="17" t="n">
        <v>0.03210000038146973</v>
      </c>
      <c r="Q131" s="36" t="inlineStr">
        <is>
          <t>LX인터내셔널</t>
        </is>
      </c>
      <c r="R131" s="17" t="n">
        <v>0.03049999952316284</v>
      </c>
      <c r="S131" s="36" t="inlineStr">
        <is>
          <t>삼성증권</t>
        </is>
      </c>
      <c r="T131" s="17" t="n">
        <v>0.02920000076293945</v>
      </c>
      <c r="U131" s="36" t="inlineStr">
        <is>
          <t>제일기획</t>
        </is>
      </c>
      <c r="V131" s="17" t="n">
        <v>0.02920000076293945</v>
      </c>
      <c r="W131" s="36" t="inlineStr">
        <is>
          <t>영원무역홀딩스</t>
        </is>
      </c>
      <c r="X131" s="17" t="n">
        <v>0.02890000104904175</v>
      </c>
    </row>
    <row r="132" ht="16" customHeight="1">
      <c r="A132" s="36" t="inlineStr">
        <is>
          <t>RISE 200고배당커버드콜ATM</t>
        </is>
      </c>
      <c r="B132" s="15" t="inlineStr">
        <is>
          <t>290080</t>
        </is>
      </c>
      <c r="C132" s="36" t="inlineStr">
        <is>
          <t>케이비자산운용</t>
        </is>
      </c>
      <c r="D132" s="19" t="n">
        <v>141</v>
      </c>
      <c r="E132" s="36" t="inlineStr">
        <is>
          <t>원화현금</t>
        </is>
      </c>
      <c r="F132" s="17" t="n">
        <v>0.09760000228881836</v>
      </c>
      <c r="G132" s="36" t="inlineStr">
        <is>
          <t>효성티앤씨</t>
        </is>
      </c>
      <c r="H132" s="17" t="n">
        <v>0.04130000114440918</v>
      </c>
      <c r="I132" s="36" t="inlineStr">
        <is>
          <t>롯데쇼핑</t>
        </is>
      </c>
      <c r="J132" s="17" t="n">
        <v>0.04059999942779541</v>
      </c>
      <c r="K132" s="20" t="inlineStr">
        <is>
          <t>SK텔레콤</t>
        </is>
      </c>
      <c r="L132" s="21" t="n">
        <v>0.03859999895095825</v>
      </c>
      <c r="M132" s="20" t="inlineStr">
        <is>
          <t>현대차</t>
        </is>
      </c>
      <c r="N132" s="21" t="n">
        <v>0.03200000047683716</v>
      </c>
      <c r="O132" s="36" t="inlineStr">
        <is>
          <t>GS</t>
        </is>
      </c>
      <c r="P132" s="17" t="n">
        <v>0.02740000009536743</v>
      </c>
      <c r="Q132" s="22" t="inlineStr">
        <is>
          <t>기아</t>
        </is>
      </c>
      <c r="R132" s="23" t="n">
        <v>0.02680000066757202</v>
      </c>
      <c r="S132" s="22" t="inlineStr">
        <is>
          <t>NH투자증권</t>
        </is>
      </c>
      <c r="T132" s="23" t="n">
        <v>0.02640000104904175</v>
      </c>
      <c r="U132" s="36" t="inlineStr">
        <is>
          <t>삼성증권</t>
        </is>
      </c>
      <c r="V132" s="17" t="n">
        <v>0.02569999933242798</v>
      </c>
      <c r="W132" s="24" t="inlineStr">
        <is>
          <t>DB손해보험</t>
        </is>
      </c>
      <c r="X132" s="25" t="n">
        <v>0.02410000085830688</v>
      </c>
    </row>
    <row r="133" ht="16" customHeight="1">
      <c r="A133" s="36" t="inlineStr">
        <is>
          <t>PLUS ESG성장주액티브</t>
        </is>
      </c>
      <c r="B133" s="15" t="inlineStr">
        <is>
          <t>395760</t>
        </is>
      </c>
      <c r="C133" s="36" t="inlineStr">
        <is>
          <t>한화자산운용</t>
        </is>
      </c>
      <c r="D133" s="19" t="n">
        <v>138</v>
      </c>
      <c r="E133" s="20" t="inlineStr">
        <is>
          <t>삼성전자</t>
        </is>
      </c>
      <c r="F133" s="21" t="n">
        <v>0.233799991607666</v>
      </c>
      <c r="G133" s="22" t="inlineStr">
        <is>
          <t>SK하이닉스</t>
        </is>
      </c>
      <c r="H133" s="23" t="n">
        <v>0.1335999965667725</v>
      </c>
      <c r="I133" s="36" t="inlineStr">
        <is>
          <t>삼성전기</t>
        </is>
      </c>
      <c r="J133" s="17" t="n">
        <v>0.03829999923706055</v>
      </c>
      <c r="K133" s="36" t="inlineStr">
        <is>
          <t>에이피알</t>
        </is>
      </c>
      <c r="L133" s="17" t="n">
        <v>0.02329999923706055</v>
      </c>
      <c r="M133" s="36" t="inlineStr">
        <is>
          <t>엘앤에프</t>
        </is>
      </c>
      <c r="N133" s="17" t="n">
        <v>0.02200000047683716</v>
      </c>
      <c r="O133" s="22" t="inlineStr">
        <is>
          <t>한미반도체</t>
        </is>
      </c>
      <c r="P133" s="23" t="n">
        <v>0.01970000028610229</v>
      </c>
      <c r="Q133" s="36" t="inlineStr">
        <is>
          <t>알테오젠</t>
        </is>
      </c>
      <c r="R133" s="17" t="n">
        <v>0.01870000004768372</v>
      </c>
      <c r="S133" s="36" t="inlineStr">
        <is>
          <t>대주전자재료</t>
        </is>
      </c>
      <c r="T133" s="17" t="n">
        <v>0.01870000004768372</v>
      </c>
      <c r="U133" s="36" t="inlineStr">
        <is>
          <t>후성</t>
        </is>
      </c>
      <c r="V133" s="17" t="n">
        <v>0.01629999995231628</v>
      </c>
      <c r="W133" s="36" t="inlineStr">
        <is>
          <t>두산퓨얼셀</t>
        </is>
      </c>
      <c r="X133" s="17" t="n">
        <v>0.01389999985694885</v>
      </c>
    </row>
    <row r="134" ht="16" customHeight="1">
      <c r="A134" s="36" t="inlineStr">
        <is>
          <t>BNK 2차전지양극재</t>
        </is>
      </c>
      <c r="B134" s="15" t="inlineStr">
        <is>
          <t>466810</t>
        </is>
      </c>
      <c r="C134" s="36" t="inlineStr">
        <is>
          <t>비엔케이자산운용</t>
        </is>
      </c>
      <c r="D134" s="19" t="n">
        <v>137</v>
      </c>
      <c r="E134" s="36" t="inlineStr">
        <is>
          <t>삼성SDI</t>
        </is>
      </c>
      <c r="F134" s="17" t="n">
        <v>0.1365999984741211</v>
      </c>
      <c r="G134" s="36" t="inlineStr">
        <is>
          <t>엘앤에프</t>
        </is>
      </c>
      <c r="H134" s="17" t="n">
        <v>0.1010000038146973</v>
      </c>
      <c r="I134" s="20" t="inlineStr">
        <is>
          <t>POSCO홀딩스</t>
        </is>
      </c>
      <c r="J134" s="21" t="n">
        <v>0.09819999694824219</v>
      </c>
      <c r="K134" s="36" t="inlineStr">
        <is>
          <t>에코프로</t>
        </is>
      </c>
      <c r="L134" s="17" t="n">
        <v>0.08359999656677246</v>
      </c>
      <c r="M134" s="36" t="inlineStr">
        <is>
          <t>에코프로머티</t>
        </is>
      </c>
      <c r="N134" s="17" t="n">
        <v>0.08310000419616699</v>
      </c>
      <c r="O134" s="22" t="inlineStr">
        <is>
          <t>SK이노베이션</t>
        </is>
      </c>
      <c r="P134" s="23" t="n">
        <v>0.07840000152587891</v>
      </c>
      <c r="Q134" s="36" t="inlineStr">
        <is>
          <t>에코프로비엠</t>
        </is>
      </c>
      <c r="R134" s="17" t="n">
        <v>0.07429999828338624</v>
      </c>
      <c r="S134" s="36" t="inlineStr">
        <is>
          <t>코스모신소재</t>
        </is>
      </c>
      <c r="T134" s="17" t="n">
        <v>0.07269999980926514</v>
      </c>
      <c r="U134" s="36" t="inlineStr">
        <is>
          <t>포스코퓨처엠</t>
        </is>
      </c>
      <c r="V134" s="17" t="n">
        <v>0.07260000228881835</v>
      </c>
      <c r="W134" s="20" t="inlineStr">
        <is>
          <t>LG화학</t>
        </is>
      </c>
      <c r="X134" s="21" t="n">
        <v>0.0709000015258789</v>
      </c>
    </row>
    <row r="135" ht="16" customHeight="1">
      <c r="A135" s="36" t="inlineStr">
        <is>
          <t>KODEX 최소변동성</t>
        </is>
      </c>
      <c r="B135" s="15" t="inlineStr">
        <is>
          <t>279540</t>
        </is>
      </c>
      <c r="C135" s="36" t="inlineStr">
        <is>
          <t>삼성자산운용</t>
        </is>
      </c>
      <c r="D135" s="19" t="n">
        <v>134</v>
      </c>
      <c r="E135" s="20" t="inlineStr">
        <is>
          <t>삼성전자</t>
        </is>
      </c>
      <c r="F135" s="21" t="n">
        <v>0.1259000015258789</v>
      </c>
      <c r="G135" s="22" t="inlineStr">
        <is>
          <t>SK하이닉스</t>
        </is>
      </c>
      <c r="H135" s="23" t="n">
        <v>0.09439999580383301</v>
      </c>
      <c r="I135" s="36" t="inlineStr">
        <is>
          <t>삼성SDI</t>
        </is>
      </c>
      <c r="J135" s="17" t="n">
        <v>0.06380000114440917</v>
      </c>
      <c r="K135" s="20" t="inlineStr">
        <is>
          <t>KT&amp;G</t>
        </is>
      </c>
      <c r="L135" s="21" t="n">
        <v>0.04260000228881836</v>
      </c>
      <c r="M135" s="36" t="inlineStr">
        <is>
          <t>리노공업</t>
        </is>
      </c>
      <c r="N135" s="17" t="n">
        <v>0.02910000085830688</v>
      </c>
      <c r="O135" s="24" t="inlineStr">
        <is>
          <t>DB손해보험</t>
        </is>
      </c>
      <c r="P135" s="25" t="n">
        <v>0.02700000047683716</v>
      </c>
      <c r="Q135" s="36" t="inlineStr">
        <is>
          <t>한국항공우주</t>
        </is>
      </c>
      <c r="R135" s="17" t="n">
        <v>0.02519999980926514</v>
      </c>
      <c r="S135" s="36" t="inlineStr">
        <is>
          <t>S-Oil</t>
        </is>
      </c>
      <c r="T135" s="17" t="n">
        <v>0.02450000047683716</v>
      </c>
      <c r="U135" s="36" t="inlineStr">
        <is>
          <t>LG이노텍</t>
        </is>
      </c>
      <c r="V135" s="17" t="n">
        <v>0.02109999895095825</v>
      </c>
      <c r="W135" s="36" t="inlineStr">
        <is>
          <t>파두</t>
        </is>
      </c>
      <c r="X135" s="17" t="n">
        <v>0.01990000009536743</v>
      </c>
    </row>
    <row r="136" ht="16" customHeight="1">
      <c r="A136" s="36" t="inlineStr">
        <is>
          <t>HANARO Fn친환경에너지</t>
        </is>
      </c>
      <c r="B136" s="15" t="inlineStr">
        <is>
          <t>381570</t>
        </is>
      </c>
      <c r="C136" s="36" t="inlineStr">
        <is>
          <t>엔에이치아문디자산운용</t>
        </is>
      </c>
      <c r="D136" s="19" t="n">
        <v>127</v>
      </c>
      <c r="E136" s="36" t="inlineStr">
        <is>
          <t>삼성SDI</t>
        </is>
      </c>
      <c r="F136" s="17" t="n">
        <v>0.13</v>
      </c>
      <c r="G136" s="36" t="inlineStr">
        <is>
          <t>OCI홀딩스</t>
        </is>
      </c>
      <c r="H136" s="17" t="n">
        <v>0.1065999984741211</v>
      </c>
      <c r="I136" s="36" t="inlineStr">
        <is>
          <t>한화솔루션</t>
        </is>
      </c>
      <c r="J136" s="17" t="n">
        <v>0.1</v>
      </c>
      <c r="K136" s="22" t="inlineStr">
        <is>
          <t>포스코인터내셔널</t>
        </is>
      </c>
      <c r="L136" s="23" t="n">
        <v>0.09039999961853028</v>
      </c>
      <c r="M136" s="20" t="inlineStr">
        <is>
          <t>POSCO홀딩스</t>
        </is>
      </c>
      <c r="N136" s="21" t="n">
        <v>0.08850000381469726</v>
      </c>
      <c r="O136" s="36" t="inlineStr">
        <is>
          <t>한화</t>
        </is>
      </c>
      <c r="P136" s="17" t="n">
        <v>0.08789999961853028</v>
      </c>
      <c r="Q136" s="36" t="inlineStr">
        <is>
          <t>LG에너지솔루션</t>
        </is>
      </c>
      <c r="R136" s="17" t="n">
        <v>0.0596999979019165</v>
      </c>
      <c r="S136" s="36" t="inlineStr">
        <is>
          <t>두산퓨얼셀</t>
        </is>
      </c>
      <c r="T136" s="17" t="n">
        <v>0.05480000019073486</v>
      </c>
      <c r="U136" s="36" t="inlineStr">
        <is>
          <t>서진시스템</t>
        </is>
      </c>
      <c r="V136" s="17" t="n">
        <v>0.0434000015258789</v>
      </c>
      <c r="W136" s="36" t="inlineStr">
        <is>
          <t>솔브레인</t>
        </is>
      </c>
      <c r="X136" s="17" t="n">
        <v>0.04329999923706054</v>
      </c>
    </row>
    <row r="137" ht="16" customHeight="1">
      <c r="A137" s="36" t="inlineStr">
        <is>
          <t>SOL 의료기기소부장Fn</t>
        </is>
      </c>
      <c r="B137" s="15" t="inlineStr">
        <is>
          <t>464610</t>
        </is>
      </c>
      <c r="C137" s="36" t="inlineStr">
        <is>
          <t>신한자산운용</t>
        </is>
      </c>
      <c r="D137" s="19" t="n">
        <v>124</v>
      </c>
      <c r="E137" s="36" t="inlineStr">
        <is>
          <t>휴젤</t>
        </is>
      </c>
      <c r="F137" s="17" t="n">
        <v>0.1277000045776367</v>
      </c>
      <c r="G137" s="36" t="inlineStr">
        <is>
          <t>클래시스</t>
        </is>
      </c>
      <c r="H137" s="17" t="n">
        <v>0.1090999984741211</v>
      </c>
      <c r="I137" s="36" t="inlineStr">
        <is>
          <t>엘앤씨바이오</t>
        </is>
      </c>
      <c r="J137" s="17" t="n">
        <v>0.1022000026702881</v>
      </c>
      <c r="K137" s="36" t="inlineStr">
        <is>
          <t>파마리서치</t>
        </is>
      </c>
      <c r="L137" s="17" t="n">
        <v>0.09680000305175782</v>
      </c>
      <c r="M137" s="36" t="inlineStr">
        <is>
          <t>메디톡스</t>
        </is>
      </c>
      <c r="N137" s="17" t="n">
        <v>0.09270000457763672</v>
      </c>
      <c r="O137" s="36" t="inlineStr">
        <is>
          <t>대웅제약</t>
        </is>
      </c>
      <c r="P137" s="17" t="n">
        <v>0.08680000305175781</v>
      </c>
      <c r="Q137" s="24" t="inlineStr">
        <is>
          <t>덴티움</t>
        </is>
      </c>
      <c r="R137" s="25" t="n">
        <v>0.06590000152587891</v>
      </c>
      <c r="S137" s="36" t="inlineStr">
        <is>
          <t>원텍</t>
        </is>
      </c>
      <c r="T137" s="17" t="n">
        <v>0.06039999961853027</v>
      </c>
      <c r="U137" s="36" t="inlineStr">
        <is>
          <t>한스바이오메드</t>
        </is>
      </c>
      <c r="V137" s="17" t="n">
        <v>0.0578000020980835</v>
      </c>
      <c r="W137" s="36" t="inlineStr">
        <is>
          <t>바이오플러스</t>
        </is>
      </c>
      <c r="X137" s="17" t="n">
        <v>0.04710000038146973</v>
      </c>
    </row>
    <row r="138" ht="16" customHeight="1">
      <c r="A138" s="36" t="inlineStr">
        <is>
          <t>RISE 수출주</t>
        </is>
      </c>
      <c r="B138" s="15" t="inlineStr">
        <is>
          <t>140570</t>
        </is>
      </c>
      <c r="C138" s="36" t="inlineStr">
        <is>
          <t>케이비자산운용</t>
        </is>
      </c>
      <c r="D138" s="19" t="n">
        <v>122</v>
      </c>
      <c r="E138" s="36" t="inlineStr">
        <is>
          <t>삼성전기</t>
        </is>
      </c>
      <c r="F138" s="17" t="n">
        <v>0.04130000114440918</v>
      </c>
      <c r="G138" s="22" t="inlineStr">
        <is>
          <t>한미반도체</t>
        </is>
      </c>
      <c r="H138" s="23" t="n">
        <v>0.03920000076293945</v>
      </c>
      <c r="I138" s="36" t="inlineStr">
        <is>
          <t>LS ELECTRIC</t>
        </is>
      </c>
      <c r="J138" s="17" t="n">
        <v>0.03849999904632569</v>
      </c>
      <c r="K138" s="22" t="inlineStr">
        <is>
          <t>SK하이닉스</t>
        </is>
      </c>
      <c r="L138" s="23" t="n">
        <v>0.03650000095367432</v>
      </c>
      <c r="M138" s="36" t="inlineStr">
        <is>
          <t>LS</t>
        </is>
      </c>
      <c r="N138" s="17" t="n">
        <v>0.03559999942779541</v>
      </c>
      <c r="O138" s="20" t="inlineStr">
        <is>
          <t>삼성전자</t>
        </is>
      </c>
      <c r="P138" s="21" t="n">
        <v>0.03049999952316284</v>
      </c>
      <c r="Q138" s="22" t="inlineStr">
        <is>
          <t>삼성E&amp;A</t>
        </is>
      </c>
      <c r="R138" s="23" t="n">
        <v>0.03039999961853027</v>
      </c>
      <c r="S138" s="36" t="inlineStr">
        <is>
          <t>효성중공업</t>
        </is>
      </c>
      <c r="T138" s="17" t="n">
        <v>0.02740000009536743</v>
      </c>
      <c r="U138" s="36" t="inlineStr">
        <is>
          <t>삼성SDI</t>
        </is>
      </c>
      <c r="V138" s="17" t="n">
        <v>0.02690000057220459</v>
      </c>
      <c r="W138" s="36" t="inlineStr">
        <is>
          <t>산일전기</t>
        </is>
      </c>
      <c r="X138" s="17" t="n">
        <v>0.02619999885559082</v>
      </c>
    </row>
    <row r="139" ht="16" customHeight="1">
      <c r="A139" s="36" t="inlineStr">
        <is>
          <t>PLUS 고배당저변동50</t>
        </is>
      </c>
      <c r="B139" s="15" t="inlineStr">
        <is>
          <t>251590</t>
        </is>
      </c>
      <c r="C139" s="36" t="inlineStr">
        <is>
          <t>한화자산운용</t>
        </is>
      </c>
      <c r="D139" s="19" t="n">
        <v>121</v>
      </c>
      <c r="E139" s="20" t="inlineStr">
        <is>
          <t>SK텔레콤</t>
        </is>
      </c>
      <c r="F139" s="21" t="n">
        <v>0.04840000152587891</v>
      </c>
      <c r="G139" s="22" t="inlineStr">
        <is>
          <t>NH투자증권</t>
        </is>
      </c>
      <c r="H139" s="23" t="n">
        <v>0.03450000047683716</v>
      </c>
      <c r="I139" s="36" t="inlineStr">
        <is>
          <t>대덕</t>
        </is>
      </c>
      <c r="J139" s="17" t="n">
        <v>0.03339999914169312</v>
      </c>
      <c r="K139" s="20" t="inlineStr">
        <is>
          <t>KT&amp;G</t>
        </is>
      </c>
      <c r="L139" s="21" t="n">
        <v>0.03299999952316284</v>
      </c>
      <c r="M139" s="36" t="inlineStr">
        <is>
          <t>광주신세계</t>
        </is>
      </c>
      <c r="N139" s="17" t="n">
        <v>0.03099999904632568</v>
      </c>
      <c r="O139" s="36" t="inlineStr">
        <is>
          <t>우리금융지주</t>
        </is>
      </c>
      <c r="P139" s="17" t="n">
        <v>0.02809999942779541</v>
      </c>
      <c r="Q139" s="36" t="inlineStr">
        <is>
          <t>기업은행</t>
        </is>
      </c>
      <c r="R139" s="17" t="n">
        <v>0.02710000038146973</v>
      </c>
      <c r="S139" s="36" t="inlineStr">
        <is>
          <t>INVENI</t>
        </is>
      </c>
      <c r="T139" s="17" t="n">
        <v>0.02640000104904175</v>
      </c>
      <c r="U139" s="36" t="inlineStr">
        <is>
          <t>한국쉘석유</t>
        </is>
      </c>
      <c r="V139" s="17" t="n">
        <v>0.02630000114440918</v>
      </c>
      <c r="W139" s="36" t="inlineStr">
        <is>
          <t>이노션</t>
        </is>
      </c>
      <c r="X139" s="17" t="n">
        <v>0.02569999933242798</v>
      </c>
    </row>
    <row r="140" ht="16" customHeight="1">
      <c r="A140" s="36" t="inlineStr">
        <is>
          <t>TIGER 우량가치</t>
        </is>
      </c>
      <c r="B140" s="15" t="inlineStr">
        <is>
          <t>227570</t>
        </is>
      </c>
      <c r="C140" s="36" t="inlineStr">
        <is>
          <t>미래에셋자산운용</t>
        </is>
      </c>
      <c r="D140" s="19" t="n">
        <v>115</v>
      </c>
      <c r="E140" s="22" t="inlineStr">
        <is>
          <t>대우건설</t>
        </is>
      </c>
      <c r="F140" s="23" t="n">
        <v>0.1198999977111816</v>
      </c>
      <c r="G140" s="36" t="inlineStr">
        <is>
          <t>OCI</t>
        </is>
      </c>
      <c r="H140" s="17" t="n">
        <v>0.03349999904632568</v>
      </c>
      <c r="I140" s="36" t="inlineStr">
        <is>
          <t>DL이앤씨</t>
        </is>
      </c>
      <c r="J140" s="17" t="n">
        <v>0.02980000019073486</v>
      </c>
      <c r="K140" s="36" t="inlineStr">
        <is>
          <t>코오롱인더</t>
        </is>
      </c>
      <c r="L140" s="17" t="n">
        <v>0.02910000085830688</v>
      </c>
      <c r="M140" s="36" t="inlineStr">
        <is>
          <t>SK</t>
        </is>
      </c>
      <c r="N140" s="17" t="n">
        <v>0.02539999961853028</v>
      </c>
      <c r="O140" s="20" t="inlineStr">
        <is>
          <t>SK텔레콤</t>
        </is>
      </c>
      <c r="P140" s="21" t="n">
        <v>0.02539999961853028</v>
      </c>
      <c r="Q140" s="36" t="inlineStr">
        <is>
          <t>DL</t>
        </is>
      </c>
      <c r="R140" s="17" t="n">
        <v>0.02339999914169312</v>
      </c>
      <c r="S140" s="36" t="inlineStr">
        <is>
          <t>세아제강지주</t>
        </is>
      </c>
      <c r="T140" s="17" t="n">
        <v>0.02319999933242798</v>
      </c>
      <c r="U140" s="36" t="inlineStr">
        <is>
          <t>신세계</t>
        </is>
      </c>
      <c r="V140" s="17" t="n">
        <v>0.0225</v>
      </c>
      <c r="W140" s="36" t="inlineStr">
        <is>
          <t>LX인터내셔널</t>
        </is>
      </c>
      <c r="X140" s="17" t="n">
        <v>0.02200000047683716</v>
      </c>
    </row>
    <row r="141" ht="16" customHeight="1">
      <c r="A141" s="36" t="inlineStr">
        <is>
          <t>KODEX 경기소비재</t>
        </is>
      </c>
      <c r="B141" s="15" t="inlineStr">
        <is>
          <t>266390</t>
        </is>
      </c>
      <c r="C141" s="36" t="inlineStr">
        <is>
          <t>삼성자산운용</t>
        </is>
      </c>
      <c r="D141" s="19" t="n">
        <v>110</v>
      </c>
      <c r="E141" s="36" t="inlineStr">
        <is>
          <t>LG전자</t>
        </is>
      </c>
      <c r="F141" s="17" t="n">
        <v>0.3027000045776367</v>
      </c>
      <c r="G141" s="36" t="inlineStr">
        <is>
          <t>한진칼</t>
        </is>
      </c>
      <c r="H141" s="17" t="n">
        <v>0.1047000026702881</v>
      </c>
      <c r="I141" s="36" t="inlineStr">
        <is>
          <t>코웨이</t>
        </is>
      </c>
      <c r="J141" s="17" t="n">
        <v>0.09270000457763672</v>
      </c>
      <c r="K141" s="36" t="inlineStr">
        <is>
          <t>신세계</t>
        </is>
      </c>
      <c r="L141" s="17" t="n">
        <v>0.05070000171661377</v>
      </c>
      <c r="M141" s="36" t="inlineStr">
        <is>
          <t>호텔신라</t>
        </is>
      </c>
      <c r="N141" s="17" t="n">
        <v>0.03950000047683716</v>
      </c>
      <c r="O141" s="22" t="inlineStr">
        <is>
          <t>강원랜드</t>
        </is>
      </c>
      <c r="P141" s="23" t="n">
        <v>0.03829999923706055</v>
      </c>
      <c r="Q141" s="36" t="inlineStr">
        <is>
          <t>영원무역</t>
        </is>
      </c>
      <c r="R141" s="17" t="n">
        <v>0.03680000066757202</v>
      </c>
      <c r="S141" s="36" t="inlineStr">
        <is>
          <t>실리콘투</t>
        </is>
      </c>
      <c r="T141" s="17" t="n">
        <v>0.02849999904632568</v>
      </c>
      <c r="U141" s="36" t="inlineStr">
        <is>
          <t>롯데쇼핑</t>
        </is>
      </c>
      <c r="V141" s="17" t="n">
        <v>0.02799999952316284</v>
      </c>
      <c r="W141" s="36" t="inlineStr">
        <is>
          <t>현대백화점</t>
        </is>
      </c>
      <c r="X141" s="17" t="n">
        <v>0.0272000002861023</v>
      </c>
    </row>
    <row r="142" ht="16" customHeight="1">
      <c r="A142" s="36" t="inlineStr">
        <is>
          <t>PLUS 중형주저변동50</t>
        </is>
      </c>
      <c r="B142" s="15" t="inlineStr">
        <is>
          <t>266550</t>
        </is>
      </c>
      <c r="C142" s="36" t="inlineStr">
        <is>
          <t>한화자산운용</t>
        </is>
      </c>
      <c r="D142" s="19" t="n">
        <v>107</v>
      </c>
      <c r="E142" s="22" t="inlineStr">
        <is>
          <t>대우건설</t>
        </is>
      </c>
      <c r="F142" s="23" t="n">
        <v>0.1019999980926514</v>
      </c>
      <c r="G142" s="36" t="inlineStr">
        <is>
          <t>DL이앤씨</t>
        </is>
      </c>
      <c r="H142" s="17" t="n">
        <v>0.03200000047683716</v>
      </c>
      <c r="I142" s="36" t="inlineStr">
        <is>
          <t>호텔신라</t>
        </is>
      </c>
      <c r="J142" s="17" t="n">
        <v>0.03009999990463257</v>
      </c>
      <c r="K142" s="36" t="inlineStr">
        <is>
          <t>롯데쇼핑</t>
        </is>
      </c>
      <c r="L142" s="17" t="n">
        <v>0.0297000002861023</v>
      </c>
      <c r="M142" s="36" t="inlineStr">
        <is>
          <t>신세계</t>
        </is>
      </c>
      <c r="N142" s="17" t="n">
        <v>0.02950000047683716</v>
      </c>
      <c r="O142" s="36" t="inlineStr">
        <is>
          <t>iM금융지주</t>
        </is>
      </c>
      <c r="P142" s="17" t="n">
        <v>0.02769999980926514</v>
      </c>
      <c r="Q142" s="36" t="inlineStr">
        <is>
          <t>한국카본</t>
        </is>
      </c>
      <c r="R142" s="17" t="n">
        <v>0.02690000057220459</v>
      </c>
      <c r="S142" s="36" t="inlineStr">
        <is>
          <t>대신증권</t>
        </is>
      </c>
      <c r="T142" s="17" t="n">
        <v>0.02660000085830689</v>
      </c>
      <c r="U142" s="36" t="inlineStr">
        <is>
          <t>GS건설</t>
        </is>
      </c>
      <c r="V142" s="17" t="n">
        <v>0.02619999885559082</v>
      </c>
      <c r="W142" s="36" t="inlineStr">
        <is>
          <t>한국콜마</t>
        </is>
      </c>
      <c r="X142" s="17" t="n">
        <v>0.02460000038146973</v>
      </c>
    </row>
    <row r="143" ht="16" customHeight="1">
      <c r="A143" s="36" t="inlineStr">
        <is>
          <t>RISE 헬스케어</t>
        </is>
      </c>
      <c r="B143" s="15" t="inlineStr">
        <is>
          <t>253280</t>
        </is>
      </c>
      <c r="C143" s="36" t="inlineStr">
        <is>
          <t>케이비자산운용</t>
        </is>
      </c>
      <c r="D143" s="19" t="n">
        <v>106</v>
      </c>
      <c r="E143" s="22" t="inlineStr">
        <is>
          <t>셀트리온</t>
        </is>
      </c>
      <c r="F143" s="23" t="n">
        <v>0.1092000007629395</v>
      </c>
      <c r="G143" s="20" t="inlineStr">
        <is>
          <t>삼성바이오로직스</t>
        </is>
      </c>
      <c r="H143" s="21" t="n">
        <v>0.090600004196167</v>
      </c>
      <c r="I143" s="36" t="inlineStr">
        <is>
          <t>알테오젠</t>
        </is>
      </c>
      <c r="J143" s="17" t="n">
        <v>0.08539999961853027</v>
      </c>
      <c r="K143" s="36" t="inlineStr">
        <is>
          <t>HLB</t>
        </is>
      </c>
      <c r="L143" s="17" t="n">
        <v>0.08399999618530274</v>
      </c>
      <c r="M143" s="36" t="inlineStr">
        <is>
          <t>삼천당제약</t>
        </is>
      </c>
      <c r="N143" s="17" t="n">
        <v>0.06630000114440918</v>
      </c>
      <c r="O143" s="36" t="inlineStr">
        <is>
          <t>에이비엘바이오</t>
        </is>
      </c>
      <c r="P143" s="17" t="n">
        <v>0.06469999790191651</v>
      </c>
      <c r="Q143" s="36" t="inlineStr">
        <is>
          <t>유한양행</t>
        </is>
      </c>
      <c r="R143" s="17" t="n">
        <v>0.05909999847412109</v>
      </c>
      <c r="S143" s="36" t="inlineStr">
        <is>
          <t>리가켐바이오</t>
        </is>
      </c>
      <c r="T143" s="17" t="n">
        <v>0.05570000171661377</v>
      </c>
      <c r="U143" s="36" t="inlineStr">
        <is>
          <t>한미약품</t>
        </is>
      </c>
      <c r="V143" s="17" t="n">
        <v>0.03269999980926513</v>
      </c>
      <c r="W143" s="36" t="inlineStr">
        <is>
          <t>SK바이오팜</t>
        </is>
      </c>
      <c r="X143" s="17" t="n">
        <v>0.03160000085830689</v>
      </c>
    </row>
    <row r="144" ht="16" customHeight="1">
      <c r="A144" s="36" t="inlineStr">
        <is>
          <t>TIGER 200 산업재</t>
        </is>
      </c>
      <c r="B144" s="15" t="inlineStr">
        <is>
          <t>227550</t>
        </is>
      </c>
      <c r="C144" s="36" t="inlineStr">
        <is>
          <t>미래에셋자산운용</t>
        </is>
      </c>
      <c r="D144" s="19" t="n">
        <v>106</v>
      </c>
      <c r="E144" s="36" t="inlineStr">
        <is>
          <t>한화에어로스페이스</t>
        </is>
      </c>
      <c r="F144" s="17" t="n">
        <v>0.1830999946594238</v>
      </c>
      <c r="G144" s="36" t="inlineStr">
        <is>
          <t>LG에너지솔루션</t>
        </is>
      </c>
      <c r="H144" s="17" t="n">
        <v>0.1331999969482422</v>
      </c>
      <c r="I144" s="36" t="inlineStr">
        <is>
          <t>LS ELECTRIC</t>
        </is>
      </c>
      <c r="J144" s="17" t="n">
        <v>0.1322000026702881</v>
      </c>
      <c r="K144" s="36" t="inlineStr">
        <is>
          <t>LIG디펜스앤에어로스페이스</t>
        </is>
      </c>
      <c r="L144" s="17" t="n">
        <v>0.0775</v>
      </c>
      <c r="M144" s="36" t="inlineStr">
        <is>
          <t>한국항공우주</t>
        </is>
      </c>
      <c r="N144" s="17" t="n">
        <v>0.07230000019073486</v>
      </c>
      <c r="O144" s="36" t="inlineStr">
        <is>
          <t>포스코퓨처엠</t>
        </is>
      </c>
      <c r="P144" s="17" t="n">
        <v>0.05429999828338623</v>
      </c>
      <c r="Q144" s="36" t="inlineStr">
        <is>
          <t>LS</t>
        </is>
      </c>
      <c r="R144" s="17" t="n">
        <v>0.04860000133514404</v>
      </c>
      <c r="S144" s="36" t="inlineStr">
        <is>
          <t>한화시스템</t>
        </is>
      </c>
      <c r="T144" s="17" t="n">
        <v>0.04769999980926513</v>
      </c>
      <c r="U144" s="22" t="inlineStr">
        <is>
          <t>현대글로비스</t>
        </is>
      </c>
      <c r="V144" s="23" t="n">
        <v>0.0475</v>
      </c>
      <c r="W144" s="36" t="inlineStr">
        <is>
          <t>대한전선</t>
        </is>
      </c>
      <c r="X144" s="17" t="n">
        <v>0.03880000114440918</v>
      </c>
    </row>
    <row r="145" ht="16" customHeight="1">
      <c r="A145" s="36" t="inlineStr">
        <is>
          <t>TIGER 코스피중형주</t>
        </is>
      </c>
      <c r="B145" s="15" t="inlineStr">
        <is>
          <t>277650</t>
        </is>
      </c>
      <c r="C145" s="36" t="inlineStr">
        <is>
          <t>미래에셋자산운용</t>
        </is>
      </c>
      <c r="D145" s="19" t="n">
        <v>105</v>
      </c>
      <c r="E145" s="22" t="inlineStr">
        <is>
          <t>대우건설</t>
        </is>
      </c>
      <c r="F145" s="23" t="n">
        <v>0.02950000047683716</v>
      </c>
      <c r="G145" s="36" t="inlineStr">
        <is>
          <t>산일전기</t>
        </is>
      </c>
      <c r="H145" s="17" t="n">
        <v>0.02269999980926514</v>
      </c>
      <c r="I145" s="36" t="inlineStr">
        <is>
          <t>한화엔진</t>
        </is>
      </c>
      <c r="J145" s="17" t="n">
        <v>0.01659999966621399</v>
      </c>
      <c r="K145" s="36" t="inlineStr">
        <is>
          <t>한전기술</t>
        </is>
      </c>
      <c r="L145" s="17" t="n">
        <v>0.01570000052452087</v>
      </c>
      <c r="M145" s="36" t="inlineStr">
        <is>
          <t>DB하이텍</t>
        </is>
      </c>
      <c r="N145" s="17" t="n">
        <v>0.01539999961853027</v>
      </c>
      <c r="O145" s="36" t="inlineStr">
        <is>
          <t>일진전기</t>
        </is>
      </c>
      <c r="P145" s="17" t="n">
        <v>0.0152999997138977</v>
      </c>
      <c r="Q145" s="36" t="inlineStr">
        <is>
          <t>OCI홀딩스</t>
        </is>
      </c>
      <c r="R145" s="17" t="n">
        <v>0.01480000019073486</v>
      </c>
      <c r="S145" s="36" t="inlineStr">
        <is>
          <t>SKC</t>
        </is>
      </c>
      <c r="T145" s="17" t="n">
        <v>0.01389999985694885</v>
      </c>
      <c r="U145" s="36" t="inlineStr">
        <is>
          <t>에코프로머티</t>
        </is>
      </c>
      <c r="V145" s="17" t="n">
        <v>0.01330000042915344</v>
      </c>
      <c r="W145" s="36" t="inlineStr">
        <is>
          <t>현대제철</t>
        </is>
      </c>
      <c r="X145" s="17" t="n">
        <v>0.0127999997138977</v>
      </c>
    </row>
    <row r="146" ht="16" customHeight="1">
      <c r="A146" s="36" t="inlineStr">
        <is>
          <t>TIGER 200 경기소비재</t>
        </is>
      </c>
      <c r="B146" s="15" t="inlineStr">
        <is>
          <t>139290</t>
        </is>
      </c>
      <c r="C146" s="36" t="inlineStr">
        <is>
          <t>미래에셋자산운용</t>
        </is>
      </c>
      <c r="D146" s="19" t="n">
        <v>105</v>
      </c>
      <c r="E146" s="20" t="inlineStr">
        <is>
          <t>현대차</t>
        </is>
      </c>
      <c r="F146" s="21" t="n">
        <v>0.2934000015258789</v>
      </c>
      <c r="G146" s="22" t="inlineStr">
        <is>
          <t>기아</t>
        </is>
      </c>
      <c r="H146" s="23" t="n">
        <v>0.1840999984741211</v>
      </c>
      <c r="I146" s="36" t="inlineStr">
        <is>
          <t>현대모비스</t>
        </is>
      </c>
      <c r="J146" s="17" t="n">
        <v>0.1839999961853027</v>
      </c>
      <c r="K146" s="36" t="inlineStr">
        <is>
          <t>한진칼</t>
        </is>
      </c>
      <c r="L146" s="17" t="n">
        <v>0.0434000015258789</v>
      </c>
      <c r="M146" s="36" t="inlineStr">
        <is>
          <t>코웨이</t>
        </is>
      </c>
      <c r="N146" s="17" t="n">
        <v>0.03920000076293945</v>
      </c>
      <c r="O146" s="36" t="inlineStr">
        <is>
          <t>한국타이어앤테크놀로지</t>
        </is>
      </c>
      <c r="P146" s="17" t="n">
        <v>0.03630000114440918</v>
      </c>
      <c r="Q146" s="36" t="inlineStr">
        <is>
          <t>신세계</t>
        </is>
      </c>
      <c r="R146" s="17" t="n">
        <v>0.02119999885559082</v>
      </c>
      <c r="S146" s="36" t="inlineStr">
        <is>
          <t>호텔신라</t>
        </is>
      </c>
      <c r="T146" s="17" t="n">
        <v>0.01639999985694885</v>
      </c>
      <c r="U146" s="22" t="inlineStr">
        <is>
          <t>강원랜드</t>
        </is>
      </c>
      <c r="V146" s="23" t="n">
        <v>0.01590000033378601</v>
      </c>
      <c r="W146" s="36" t="inlineStr">
        <is>
          <t>HL만도</t>
        </is>
      </c>
      <c r="X146" s="17" t="n">
        <v>0.01549999952316284</v>
      </c>
    </row>
    <row r="147" ht="16" customHeight="1">
      <c r="A147" s="36" t="inlineStr">
        <is>
          <t>TIGER 로우볼</t>
        </is>
      </c>
      <c r="B147" s="15" t="inlineStr">
        <is>
          <t>174350</t>
        </is>
      </c>
      <c r="C147" s="36" t="inlineStr">
        <is>
          <t>미래에셋자산운용</t>
        </is>
      </c>
      <c r="D147" s="19" t="n">
        <v>104</v>
      </c>
      <c r="E147" s="20" t="inlineStr">
        <is>
          <t>KT&amp;G</t>
        </is>
      </c>
      <c r="F147" s="21" t="n">
        <v>0.03630000114440918</v>
      </c>
      <c r="G147" s="36" t="inlineStr">
        <is>
          <t>오뚜기</t>
        </is>
      </c>
      <c r="H147" s="17" t="n">
        <v>0.03559999942779541</v>
      </c>
      <c r="I147" s="20" t="inlineStr">
        <is>
          <t>SK텔레콤</t>
        </is>
      </c>
      <c r="J147" s="21" t="n">
        <v>0.03130000114440918</v>
      </c>
      <c r="K147" s="36" t="inlineStr">
        <is>
          <t>제일기획</t>
        </is>
      </c>
      <c r="L147" s="17" t="n">
        <v>0.03019999980926514</v>
      </c>
      <c r="M147" s="24" t="inlineStr">
        <is>
          <t>LG유플러스</t>
        </is>
      </c>
      <c r="N147" s="25" t="n">
        <v>0.0297000002861023</v>
      </c>
      <c r="O147" s="36" t="inlineStr">
        <is>
          <t>삼성증권</t>
        </is>
      </c>
      <c r="P147" s="17" t="n">
        <v>0.02869999885559082</v>
      </c>
      <c r="Q147" s="36" t="inlineStr">
        <is>
          <t>GS</t>
        </is>
      </c>
      <c r="R147" s="17" t="n">
        <v>0.02859999895095825</v>
      </c>
      <c r="S147" s="36" t="inlineStr">
        <is>
          <t>GS리테일</t>
        </is>
      </c>
      <c r="T147" s="17" t="n">
        <v>0.02839999914169311</v>
      </c>
      <c r="U147" s="36" t="inlineStr">
        <is>
          <t>에스원</t>
        </is>
      </c>
      <c r="V147" s="17" t="n">
        <v>0.02769999980926514</v>
      </c>
      <c r="W147" s="36" t="inlineStr">
        <is>
          <t>더블유게임즈</t>
        </is>
      </c>
      <c r="X147" s="17" t="n">
        <v>0.0275</v>
      </c>
    </row>
    <row r="148" ht="16" customHeight="1">
      <c r="A148" s="36" t="inlineStr">
        <is>
          <t>TIGER 의료기기</t>
        </is>
      </c>
      <c r="B148" s="15" t="inlineStr">
        <is>
          <t>307510</t>
        </is>
      </c>
      <c r="C148" s="36" t="inlineStr">
        <is>
          <t>미래에셋자산운용</t>
        </is>
      </c>
      <c r="D148" s="19" t="n">
        <v>100</v>
      </c>
      <c r="E148" s="36" t="inlineStr">
        <is>
          <t>파마리서치</t>
        </is>
      </c>
      <c r="F148" s="17" t="n">
        <v>0.1122000026702881</v>
      </c>
      <c r="G148" s="36" t="inlineStr">
        <is>
          <t>큐리옥스바이오시스템즈</t>
        </is>
      </c>
      <c r="H148" s="17" t="n">
        <v>0.07119999885559082</v>
      </c>
      <c r="I148" s="36" t="inlineStr">
        <is>
          <t>씨어스</t>
        </is>
      </c>
      <c r="J148" s="17" t="n">
        <v>0.06619999885559082</v>
      </c>
      <c r="K148" s="36" t="inlineStr">
        <is>
          <t>루닛</t>
        </is>
      </c>
      <c r="L148" s="17" t="n">
        <v>0.06019999980926514</v>
      </c>
      <c r="M148" s="36" t="inlineStr">
        <is>
          <t>클래시스</t>
        </is>
      </c>
      <c r="N148" s="17" t="n">
        <v>0.05940000057220459</v>
      </c>
      <c r="O148" s="36" t="inlineStr">
        <is>
          <t>엘앤씨바이오</t>
        </is>
      </c>
      <c r="P148" s="17" t="n">
        <v>0.05110000133514404</v>
      </c>
      <c r="Q148" s="36" t="inlineStr">
        <is>
          <t>차바이오텍</t>
        </is>
      </c>
      <c r="R148" s="17" t="n">
        <v>0.04480000019073486</v>
      </c>
      <c r="S148" s="36" t="inlineStr">
        <is>
          <t>로킷헬스케어</t>
        </is>
      </c>
      <c r="T148" s="17" t="n">
        <v>0.04150000095367432</v>
      </c>
      <c r="U148" s="36" t="inlineStr">
        <is>
          <t>씨젠</t>
        </is>
      </c>
      <c r="V148" s="17" t="n">
        <v>0.03869999885559082</v>
      </c>
      <c r="W148" s="36" t="inlineStr">
        <is>
          <t>토모큐브</t>
        </is>
      </c>
      <c r="X148" s="17" t="n">
        <v>0.02589999914169312</v>
      </c>
    </row>
    <row r="149" ht="16" customHeight="1">
      <c r="A149" s="36" t="inlineStr">
        <is>
          <t>PLUS ESG가치주액티브</t>
        </is>
      </c>
      <c r="B149" s="15" t="inlineStr">
        <is>
          <t>395750</t>
        </is>
      </c>
      <c r="C149" s="36" t="inlineStr">
        <is>
          <t>한화자산운용</t>
        </is>
      </c>
      <c r="D149" s="19" t="n">
        <v>99</v>
      </c>
      <c r="E149" s="20" t="inlineStr">
        <is>
          <t>삼성전자</t>
        </is>
      </c>
      <c r="F149" s="21" t="n">
        <v>0.2360000038146973</v>
      </c>
      <c r="G149" s="22" t="inlineStr">
        <is>
          <t>SK하이닉스</t>
        </is>
      </c>
      <c r="H149" s="23" t="n">
        <v>0.1551000022888184</v>
      </c>
      <c r="I149" s="36" t="inlineStr">
        <is>
          <t>LG이노텍</t>
        </is>
      </c>
      <c r="J149" s="17" t="n">
        <v>0.03559999942779541</v>
      </c>
      <c r="K149" s="36" t="inlineStr">
        <is>
          <t>LS</t>
        </is>
      </c>
      <c r="L149" s="17" t="n">
        <v>0.02549999952316284</v>
      </c>
      <c r="M149" s="20" t="inlineStr">
        <is>
          <t>POSCO홀딩스</t>
        </is>
      </c>
      <c r="N149" s="21" t="n">
        <v>0.02289999961853027</v>
      </c>
      <c r="O149" s="20" t="inlineStr">
        <is>
          <t>현대차</t>
        </is>
      </c>
      <c r="P149" s="21" t="n">
        <v>0.01929999947547913</v>
      </c>
      <c r="Q149" s="36" t="inlineStr">
        <is>
          <t>KB금융</t>
        </is>
      </c>
      <c r="R149" s="17" t="n">
        <v>0.01830000042915344</v>
      </c>
      <c r="S149" s="36" t="inlineStr">
        <is>
          <t>DL이앤씨</t>
        </is>
      </c>
      <c r="T149" s="17" t="n">
        <v>0.01809999942779541</v>
      </c>
      <c r="U149" s="36" t="inlineStr">
        <is>
          <t>에코프로</t>
        </is>
      </c>
      <c r="V149" s="17" t="n">
        <v>0.01789999961853027</v>
      </c>
      <c r="W149" s="36" t="inlineStr">
        <is>
          <t>신한지주</t>
        </is>
      </c>
      <c r="X149" s="17" t="n">
        <v>0.0175</v>
      </c>
    </row>
    <row r="150" ht="16" customHeight="1">
      <c r="A150" s="36" t="inlineStr">
        <is>
          <t>HANARO Fn K-게임</t>
        </is>
      </c>
      <c r="B150" s="15" t="inlineStr">
        <is>
          <t>395280</t>
        </is>
      </c>
      <c r="C150" s="36" t="inlineStr">
        <is>
          <t>엔에이치아문디자산운용</t>
        </is>
      </c>
      <c r="D150" s="19" t="n">
        <v>96</v>
      </c>
      <c r="E150" s="36" t="inlineStr">
        <is>
          <t>NC</t>
        </is>
      </c>
      <c r="F150" s="17" t="n">
        <v>0.3078000068664551</v>
      </c>
      <c r="G150" s="36" t="inlineStr">
        <is>
          <t>크래프톤</t>
        </is>
      </c>
      <c r="H150" s="17" t="n">
        <v>0.2494000053405762</v>
      </c>
      <c r="I150" s="36" t="inlineStr">
        <is>
          <t>펄어비스</t>
        </is>
      </c>
      <c r="J150" s="17" t="n">
        <v>0.09460000038146972</v>
      </c>
      <c r="K150" s="36" t="inlineStr">
        <is>
          <t>넷마블</t>
        </is>
      </c>
      <c r="L150" s="17" t="n">
        <v>0.08369999885559082</v>
      </c>
      <c r="M150" s="36" t="inlineStr">
        <is>
          <t>시프트업</t>
        </is>
      </c>
      <c r="N150" s="17" t="n">
        <v>0.06440000057220459</v>
      </c>
      <c r="O150" s="36" t="inlineStr">
        <is>
          <t>더블유게임즈</t>
        </is>
      </c>
      <c r="P150" s="17" t="n">
        <v>0.04690000057220459</v>
      </c>
      <c r="Q150" s="36" t="inlineStr">
        <is>
          <t>NHN</t>
        </is>
      </c>
      <c r="R150" s="17" t="n">
        <v>0.04039999961853027</v>
      </c>
      <c r="S150" s="36" t="inlineStr">
        <is>
          <t>위메이드</t>
        </is>
      </c>
      <c r="T150" s="17" t="n">
        <v>0.02319999933242798</v>
      </c>
      <c r="U150" s="36" t="inlineStr">
        <is>
          <t>카카오게임즈</t>
        </is>
      </c>
      <c r="V150" s="17" t="n">
        <v>0.02230000019073486</v>
      </c>
      <c r="W150" s="36" t="inlineStr">
        <is>
          <t>넥슨게임즈</t>
        </is>
      </c>
      <c r="X150" s="17" t="n">
        <v>0.01460000038146973</v>
      </c>
    </row>
    <row r="151" ht="16" customHeight="1">
      <c r="A151" s="36" t="inlineStr">
        <is>
          <t>KODEX 웹툰&amp;드라마</t>
        </is>
      </c>
      <c r="B151" s="15" t="inlineStr">
        <is>
          <t>395150</t>
        </is>
      </c>
      <c r="C151" s="36" t="inlineStr">
        <is>
          <t>삼성자산운용</t>
        </is>
      </c>
      <c r="D151" s="19" t="n">
        <v>95</v>
      </c>
      <c r="E151" s="36" t="inlineStr">
        <is>
          <t>스튜디오드래곤</t>
        </is>
      </c>
      <c r="F151" s="17" t="n">
        <v>0.148100004196167</v>
      </c>
      <c r="G151" s="22" t="inlineStr">
        <is>
          <t>카카오</t>
        </is>
      </c>
      <c r="H151" s="23" t="n">
        <v>0.1476000022888184</v>
      </c>
      <c r="I151" s="20" t="inlineStr">
        <is>
          <t>NAVER</t>
        </is>
      </c>
      <c r="J151" s="21" t="n">
        <v>0.1403999996185303</v>
      </c>
      <c r="K151" s="36" t="inlineStr">
        <is>
          <t>CJ ENM</t>
        </is>
      </c>
      <c r="L151" s="17" t="n">
        <v>0.1385999965667725</v>
      </c>
      <c r="M151" s="36" t="inlineStr">
        <is>
          <t>SAMG엔터</t>
        </is>
      </c>
      <c r="N151" s="17" t="n">
        <v>0.1097000026702881</v>
      </c>
      <c r="O151" s="36" t="inlineStr">
        <is>
          <t>노머스</t>
        </is>
      </c>
      <c r="P151" s="17" t="n">
        <v>0.04579999923706055</v>
      </c>
      <c r="Q151" s="36" t="inlineStr">
        <is>
          <t>더핑크퐁컴퍼니</t>
        </is>
      </c>
      <c r="R151" s="17" t="n">
        <v>0.04179999828338623</v>
      </c>
      <c r="S151" s="36" t="inlineStr">
        <is>
          <t>애니플러스</t>
        </is>
      </c>
      <c r="T151" s="17" t="n">
        <v>0.04170000076293946</v>
      </c>
      <c r="U151" s="24" t="inlineStr">
        <is>
          <t>키다리스튜디오</t>
        </is>
      </c>
      <c r="V151" s="25" t="n">
        <v>0.03579999923706054</v>
      </c>
      <c r="W151" s="36" t="inlineStr">
        <is>
          <t>쇼박스</t>
        </is>
      </c>
      <c r="X151" s="17" t="n">
        <v>0.03089999914169312</v>
      </c>
    </row>
    <row r="152" ht="16" customHeight="1">
      <c r="A152" s="36" t="inlineStr">
        <is>
          <t>HK S&amp;P코리아로우볼</t>
        </is>
      </c>
      <c r="B152" s="15" t="inlineStr">
        <is>
          <t>215620</t>
        </is>
      </c>
      <c r="C152" s="36" t="inlineStr">
        <is>
          <t>흥국자산운용</t>
        </is>
      </c>
      <c r="D152" s="19" t="n">
        <v>94</v>
      </c>
      <c r="E152" s="36" t="inlineStr">
        <is>
          <t>한화리츠</t>
        </is>
      </c>
      <c r="F152" s="17" t="n">
        <v>0.03109999895095825</v>
      </c>
      <c r="G152" s="36" t="inlineStr">
        <is>
          <t>신한알파리츠</t>
        </is>
      </c>
      <c r="H152" s="17" t="n">
        <v>0.02930000066757202</v>
      </c>
      <c r="I152" s="36" t="inlineStr">
        <is>
          <t>하이트진로</t>
        </is>
      </c>
      <c r="J152" s="17" t="n">
        <v>0.02920000076293945</v>
      </c>
      <c r="K152" s="36" t="inlineStr">
        <is>
          <t>오뚜기</t>
        </is>
      </c>
      <c r="L152" s="17" t="n">
        <v>0.02670000076293945</v>
      </c>
      <c r="M152" s="36" t="inlineStr">
        <is>
          <t>이노션</t>
        </is>
      </c>
      <c r="N152" s="17" t="n">
        <v>0.02650000095367432</v>
      </c>
      <c r="O152" s="36" t="inlineStr">
        <is>
          <t>ESR켄달스퀘어리츠</t>
        </is>
      </c>
      <c r="P152" s="17" t="n">
        <v>0.02619999885559082</v>
      </c>
      <c r="Q152" s="20" t="inlineStr">
        <is>
          <t>SK리츠</t>
        </is>
      </c>
      <c r="R152" s="21" t="n">
        <v>0.02589999914169312</v>
      </c>
      <c r="S152" s="36" t="inlineStr">
        <is>
          <t>GS글로벌</t>
        </is>
      </c>
      <c r="T152" s="17" t="n">
        <v>0.0252999997138977</v>
      </c>
      <c r="U152" s="36" t="inlineStr">
        <is>
          <t>KCC글라스</t>
        </is>
      </c>
      <c r="V152" s="17" t="n">
        <v>0.025</v>
      </c>
      <c r="W152" s="36" t="inlineStr">
        <is>
          <t>아시아나항공</t>
        </is>
      </c>
      <c r="X152" s="17" t="n">
        <v>0.02349999904632568</v>
      </c>
    </row>
    <row r="153" ht="16" customHeight="1">
      <c r="A153" s="36" t="inlineStr">
        <is>
          <t>MIDAS 중소형액티브</t>
        </is>
      </c>
      <c r="B153" s="15" t="inlineStr">
        <is>
          <t>438740</t>
        </is>
      </c>
      <c r="C153" s="36" t="inlineStr">
        <is>
          <t>마이다스에셋자산운용</t>
        </is>
      </c>
      <c r="D153" s="19" t="n">
        <v>92</v>
      </c>
      <c r="E153" s="36" t="inlineStr">
        <is>
          <t>원화현금</t>
        </is>
      </c>
      <c r="F153" s="17" t="n">
        <v>0.05670000076293946</v>
      </c>
      <c r="G153" s="36" t="inlineStr">
        <is>
          <t>효성중공업</t>
        </is>
      </c>
      <c r="H153" s="17" t="n">
        <v>0.02829999923706055</v>
      </c>
      <c r="I153" s="36" t="inlineStr">
        <is>
          <t>두산</t>
        </is>
      </c>
      <c r="J153" s="17" t="n">
        <v>0.02609999895095825</v>
      </c>
      <c r="K153" s="36" t="inlineStr">
        <is>
          <t>삼성전기</t>
        </is>
      </c>
      <c r="L153" s="17" t="n">
        <v>0.02519999980926514</v>
      </c>
      <c r="M153" s="20" t="inlineStr">
        <is>
          <t>두산에너빌리티</t>
        </is>
      </c>
      <c r="N153" s="21" t="n">
        <v>0.02509999990463257</v>
      </c>
      <c r="O153" s="36" t="inlineStr">
        <is>
          <t>대한조선</t>
        </is>
      </c>
      <c r="P153" s="17" t="n">
        <v>0.02089999914169311</v>
      </c>
      <c r="Q153" s="36" t="inlineStr">
        <is>
          <t>이수페타시스</t>
        </is>
      </c>
      <c r="R153" s="17" t="n">
        <v>0.0202999997138977</v>
      </c>
      <c r="S153" s="36" t="inlineStr">
        <is>
          <t>엘앤씨바이오</t>
        </is>
      </c>
      <c r="T153" s="17" t="n">
        <v>0.01990000009536743</v>
      </c>
      <c r="U153" s="36" t="inlineStr">
        <is>
          <t>현대로템</t>
        </is>
      </c>
      <c r="V153" s="17" t="n">
        <v>0.01970000028610229</v>
      </c>
      <c r="W153" s="36" t="inlineStr">
        <is>
          <t>CJ</t>
        </is>
      </c>
      <c r="X153" s="17" t="n">
        <v>0.01860000014305115</v>
      </c>
    </row>
    <row r="154" ht="16" customHeight="1">
      <c r="A154" s="36" t="inlineStr">
        <is>
          <t>TIGER 200 철강소재</t>
        </is>
      </c>
      <c r="B154" s="15" t="inlineStr">
        <is>
          <t>139240</t>
        </is>
      </c>
      <c r="C154" s="36" t="inlineStr">
        <is>
          <t>미래에셋자산운용</t>
        </is>
      </c>
      <c r="D154" s="19" t="n">
        <v>86</v>
      </c>
      <c r="E154" s="20" t="inlineStr">
        <is>
          <t>POSCO홀딩스</t>
        </is>
      </c>
      <c r="F154" s="21" t="n">
        <v>0.2461000061035156</v>
      </c>
      <c r="G154" s="22" t="inlineStr">
        <is>
          <t>고려아연</t>
        </is>
      </c>
      <c r="H154" s="23" t="n">
        <v>0.2354000091552734</v>
      </c>
      <c r="I154" s="36" t="inlineStr">
        <is>
          <t>현대제철</t>
        </is>
      </c>
      <c r="J154" s="17" t="n">
        <v>0.1865999984741211</v>
      </c>
      <c r="K154" s="36" t="inlineStr">
        <is>
          <t>풍산</t>
        </is>
      </c>
      <c r="L154" s="17" t="n">
        <v>0.1244999980926514</v>
      </c>
      <c r="M154" s="36" t="inlineStr">
        <is>
          <t>세아베스틸지주</t>
        </is>
      </c>
      <c r="N154" s="17" t="n">
        <v>0.08210000038146972</v>
      </c>
      <c r="O154" s="36" t="inlineStr">
        <is>
          <t>영풍</t>
        </is>
      </c>
      <c r="P154" s="17" t="n">
        <v>0.03039999961853027</v>
      </c>
      <c r="Q154" s="36" t="inlineStr">
        <is>
          <t>세아제강지주</t>
        </is>
      </c>
      <c r="R154" s="17" t="n">
        <v>0.02920000076293945</v>
      </c>
      <c r="S154" s="36" t="inlineStr">
        <is>
          <t>율촌화학</t>
        </is>
      </c>
      <c r="T154" s="17" t="n">
        <v>0.0252999997138977</v>
      </c>
      <c r="U154" s="36" t="inlineStr">
        <is>
          <t>아세아</t>
        </is>
      </c>
      <c r="V154" s="17" t="n">
        <v>0.02</v>
      </c>
      <c r="W154" s="36" t="inlineStr">
        <is>
          <t>동원시스템즈</t>
        </is>
      </c>
      <c r="X154" s="17" t="n">
        <v>0.01429999947547913</v>
      </c>
    </row>
    <row r="155" ht="16" customHeight="1">
      <c r="A155" s="36" t="inlineStr">
        <is>
          <t>KIWOOM 의료AI</t>
        </is>
      </c>
      <c r="B155" s="15" t="inlineStr">
        <is>
          <t>483020</t>
        </is>
      </c>
      <c r="C155" s="36" t="inlineStr">
        <is>
          <t>키움투자자산운용</t>
        </is>
      </c>
      <c r="D155" s="19" t="n">
        <v>85</v>
      </c>
      <c r="E155" s="36" t="inlineStr">
        <is>
          <t>보로노이</t>
        </is>
      </c>
      <c r="F155" s="17" t="n">
        <v>0.2167000007629395</v>
      </c>
      <c r="G155" s="20" t="inlineStr">
        <is>
          <t>삼성바이오로직스</t>
        </is>
      </c>
      <c r="H155" s="21" t="n">
        <v>0.186200008392334</v>
      </c>
      <c r="I155" s="36" t="inlineStr">
        <is>
          <t>SK바이오팜</t>
        </is>
      </c>
      <c r="J155" s="17" t="n">
        <v>0.1526000022888184</v>
      </c>
      <c r="K155" s="36" t="inlineStr">
        <is>
          <t>씨어스</t>
        </is>
      </c>
      <c r="L155" s="17" t="n">
        <v>0.09470000267028808</v>
      </c>
      <c r="M155" s="36" t="inlineStr">
        <is>
          <t>루닛</t>
        </is>
      </c>
      <c r="N155" s="17" t="n">
        <v>0.08600000381469726</v>
      </c>
      <c r="O155" s="36" t="inlineStr">
        <is>
          <t>대웅제약</t>
        </is>
      </c>
      <c r="P155" s="17" t="n">
        <v>0.04690000057220459</v>
      </c>
      <c r="Q155" s="36" t="inlineStr">
        <is>
          <t>토모큐브</t>
        </is>
      </c>
      <c r="R155" s="17" t="n">
        <v>0.03710000038146972</v>
      </c>
      <c r="S155" s="36" t="inlineStr">
        <is>
          <t>프로티나</t>
        </is>
      </c>
      <c r="T155" s="17" t="n">
        <v>0.03299999952316284</v>
      </c>
      <c r="U155" s="36" t="inlineStr">
        <is>
          <t>JW중외제약</t>
        </is>
      </c>
      <c r="V155" s="17" t="n">
        <v>0.02880000114440918</v>
      </c>
      <c r="W155" s="36" t="inlineStr">
        <is>
          <t>셀바스AI</t>
        </is>
      </c>
      <c r="X155" s="17" t="n">
        <v>0.02160000085830689</v>
      </c>
    </row>
    <row r="156" ht="16" customHeight="1">
      <c r="A156" s="36" t="inlineStr">
        <is>
          <t>FOCUS ESG리더스</t>
        </is>
      </c>
      <c r="B156" s="15" t="inlineStr">
        <is>
          <t>285690</t>
        </is>
      </c>
      <c r="C156" s="36" t="inlineStr">
        <is>
          <t>브이아이자산운용</t>
        </is>
      </c>
      <c r="D156" s="19" t="n">
        <v>85</v>
      </c>
      <c r="E156" s="36" t="inlineStr">
        <is>
          <t>삼성전기</t>
        </is>
      </c>
      <c r="F156" s="17" t="n">
        <v>0.05380000114440918</v>
      </c>
      <c r="G156" s="20" t="inlineStr">
        <is>
          <t>SK스퀘어</t>
        </is>
      </c>
      <c r="H156" s="21" t="n">
        <v>0.04380000114440918</v>
      </c>
      <c r="I156" s="22" t="inlineStr">
        <is>
          <t>SK하이닉스</t>
        </is>
      </c>
      <c r="J156" s="23" t="n">
        <v>0.03380000114440918</v>
      </c>
      <c r="K156" s="36" t="inlineStr">
        <is>
          <t>LG이노텍</t>
        </is>
      </c>
      <c r="L156" s="17" t="n">
        <v>0.02480000019073486</v>
      </c>
      <c r="M156" s="20" t="inlineStr">
        <is>
          <t>삼성전자</t>
        </is>
      </c>
      <c r="N156" s="21" t="n">
        <v>0.02319999933242798</v>
      </c>
      <c r="O156" s="36" t="inlineStr">
        <is>
          <t>LS ELECTRIC</t>
        </is>
      </c>
      <c r="P156" s="17" t="n">
        <v>0.02210000038146973</v>
      </c>
      <c r="Q156" s="36" t="inlineStr">
        <is>
          <t>SK</t>
        </is>
      </c>
      <c r="R156" s="17" t="n">
        <v>0.02160000085830689</v>
      </c>
      <c r="S156" s="20" t="inlineStr">
        <is>
          <t>삼성생명</t>
        </is>
      </c>
      <c r="T156" s="21" t="n">
        <v>0.02069999933242798</v>
      </c>
      <c r="U156" s="20" t="inlineStr">
        <is>
          <t>삼성물산</t>
        </is>
      </c>
      <c r="V156" s="21" t="n">
        <v>0.01960000038146973</v>
      </c>
      <c r="W156" s="20" t="inlineStr">
        <is>
          <t>현대건설</t>
        </is>
      </c>
      <c r="X156" s="21" t="n">
        <v>0.01950000047683716</v>
      </c>
    </row>
    <row r="157" ht="16" customHeight="1">
      <c r="A157" s="36" t="inlineStr">
        <is>
          <t>KODEX 밸류Plus</t>
        </is>
      </c>
      <c r="B157" s="15" t="inlineStr">
        <is>
          <t>244670</t>
        </is>
      </c>
      <c r="C157" s="36" t="inlineStr">
        <is>
          <t>삼성자산운용</t>
        </is>
      </c>
      <c r="D157" s="19" t="n">
        <v>79</v>
      </c>
      <c r="E157" s="36" t="inlineStr">
        <is>
          <t>CJ제일제당</t>
        </is>
      </c>
      <c r="F157" s="17" t="n">
        <v>0.04369999885559082</v>
      </c>
      <c r="G157" s="36" t="inlineStr">
        <is>
          <t>롯데웰푸드</t>
        </is>
      </c>
      <c r="H157" s="17" t="n">
        <v>0.03809999942779541</v>
      </c>
      <c r="I157" s="36" t="inlineStr">
        <is>
          <t>동아쏘시오홀딩스</t>
        </is>
      </c>
      <c r="J157" s="17" t="n">
        <v>0.03759999990463257</v>
      </c>
      <c r="K157" s="36" t="inlineStr">
        <is>
          <t>유니드</t>
        </is>
      </c>
      <c r="L157" s="17" t="n">
        <v>0.0325</v>
      </c>
      <c r="M157" s="36" t="inlineStr">
        <is>
          <t>오리온홀딩스</t>
        </is>
      </c>
      <c r="N157" s="17" t="n">
        <v>0.03200000047683716</v>
      </c>
      <c r="O157" s="36" t="inlineStr">
        <is>
          <t>세방전지</t>
        </is>
      </c>
      <c r="P157" s="17" t="n">
        <v>0.03190000057220459</v>
      </c>
      <c r="Q157" s="36" t="inlineStr">
        <is>
          <t>녹십자홀딩스</t>
        </is>
      </c>
      <c r="R157" s="17" t="n">
        <v>0.03</v>
      </c>
      <c r="S157" s="36" t="inlineStr">
        <is>
          <t>일진홀딩스</t>
        </is>
      </c>
      <c r="T157" s="17" t="n">
        <v>0.02990000009536743</v>
      </c>
      <c r="U157" s="36" t="inlineStr">
        <is>
          <t>동원산업</t>
        </is>
      </c>
      <c r="V157" s="17" t="n">
        <v>0.02819999933242798</v>
      </c>
      <c r="W157" s="36" t="inlineStr">
        <is>
          <t>현대코퍼레이션</t>
        </is>
      </c>
      <c r="X157" s="17" t="n">
        <v>0.02680000066757202</v>
      </c>
    </row>
    <row r="158" ht="16" customHeight="1">
      <c r="A158" s="36" t="inlineStr">
        <is>
          <t>HANARO 농업융복합산업</t>
        </is>
      </c>
      <c r="B158" s="15" t="inlineStr">
        <is>
          <t>314700</t>
        </is>
      </c>
      <c r="C158" s="36" t="inlineStr">
        <is>
          <t>엔에이치아문디자산운용</t>
        </is>
      </c>
      <c r="D158" s="19" t="n">
        <v>76</v>
      </c>
      <c r="E158" s="20" t="inlineStr">
        <is>
          <t>KT&amp;G</t>
        </is>
      </c>
      <c r="F158" s="21" t="n">
        <v>0.195</v>
      </c>
      <c r="G158" s="20" t="inlineStr">
        <is>
          <t>LG화학</t>
        </is>
      </c>
      <c r="H158" s="21" t="n">
        <v>0.1820999908447266</v>
      </c>
      <c r="I158" s="36" t="inlineStr">
        <is>
          <t>LS</t>
        </is>
      </c>
      <c r="J158" s="17" t="n">
        <v>0.1590999984741211</v>
      </c>
      <c r="K158" s="36" t="inlineStr">
        <is>
          <t>CJ제일제당</t>
        </is>
      </c>
      <c r="L158" s="17" t="n">
        <v>0.1078999996185303</v>
      </c>
      <c r="M158" s="36" t="inlineStr">
        <is>
          <t>하림</t>
        </is>
      </c>
      <c r="N158" s="17" t="n">
        <v>0.09949999809265136</v>
      </c>
      <c r="O158" s="36" t="inlineStr">
        <is>
          <t>롯데정밀화학</t>
        </is>
      </c>
      <c r="P158" s="17" t="n">
        <v>0.07579999923706054</v>
      </c>
      <c r="Q158" s="36" t="inlineStr">
        <is>
          <t>오뚜기</t>
        </is>
      </c>
      <c r="R158" s="17" t="n">
        <v>0.06619999885559082</v>
      </c>
      <c r="S158" s="36" t="inlineStr">
        <is>
          <t>유니드</t>
        </is>
      </c>
      <c r="T158" s="17" t="n">
        <v>0.02740000009536743</v>
      </c>
      <c r="U158" s="36" t="inlineStr">
        <is>
          <t>파미셀</t>
        </is>
      </c>
      <c r="V158" s="17" t="n">
        <v>0.02099999904632568</v>
      </c>
      <c r="W158" s="36" t="inlineStr">
        <is>
          <t>사조대림</t>
        </is>
      </c>
      <c r="X158" s="17" t="n">
        <v>0.01610000014305115</v>
      </c>
    </row>
    <row r="159" ht="16" customHeight="1">
      <c r="A159" s="36" t="inlineStr">
        <is>
          <t>RISE 내수주플러스</t>
        </is>
      </c>
      <c r="B159" s="15" t="inlineStr">
        <is>
          <t>326230</t>
        </is>
      </c>
      <c r="C159" s="36" t="inlineStr">
        <is>
          <t>케이비자산운용</t>
        </is>
      </c>
      <c r="D159" s="19" t="n">
        <v>75</v>
      </c>
      <c r="E159" s="36" t="inlineStr">
        <is>
          <t>LG전자</t>
        </is>
      </c>
      <c r="F159" s="17" t="n">
        <v>0.09569999694824219</v>
      </c>
      <c r="G159" s="20" t="inlineStr">
        <is>
          <t>KT&amp;G</t>
        </is>
      </c>
      <c r="H159" s="21" t="n">
        <v>0.08300000190734863</v>
      </c>
      <c r="I159" s="20" t="inlineStr">
        <is>
          <t>SK텔레콤</t>
        </is>
      </c>
      <c r="J159" s="21" t="n">
        <v>0.07570000171661377</v>
      </c>
      <c r="K159" s="20" t="inlineStr">
        <is>
          <t>한국전력</t>
        </is>
      </c>
      <c r="L159" s="21" t="n">
        <v>0.06710000038146972</v>
      </c>
      <c r="M159" s="36" t="inlineStr">
        <is>
          <t>에이피알</t>
        </is>
      </c>
      <c r="N159" s="17" t="n">
        <v>0.05590000152587891</v>
      </c>
      <c r="O159" s="22" t="inlineStr">
        <is>
          <t>KT</t>
        </is>
      </c>
      <c r="P159" s="23" t="n">
        <v>0.045</v>
      </c>
      <c r="Q159" s="20" t="inlineStr">
        <is>
          <t>하이브</t>
        </is>
      </c>
      <c r="R159" s="21" t="n">
        <v>0.03150000095367431</v>
      </c>
      <c r="S159" s="22" t="inlineStr">
        <is>
          <t>삼양식품</t>
        </is>
      </c>
      <c r="T159" s="23" t="n">
        <v>0.02819999933242798</v>
      </c>
      <c r="U159" s="36" t="inlineStr">
        <is>
          <t>코웨이</t>
        </is>
      </c>
      <c r="V159" s="17" t="n">
        <v>0.0272000002861023</v>
      </c>
      <c r="W159" s="36" t="inlineStr">
        <is>
          <t>유한양행</t>
        </is>
      </c>
      <c r="X159" s="17" t="n">
        <v>0.02470000028610229</v>
      </c>
    </row>
    <row r="160" ht="16" customHeight="1">
      <c r="A160" s="36" t="inlineStr">
        <is>
          <t>HANARO Fn골프테마</t>
        </is>
      </c>
      <c r="B160" s="15" t="inlineStr">
        <is>
          <t>407300</t>
        </is>
      </c>
      <c r="C160" s="36" t="inlineStr">
        <is>
          <t>엔에이치아문디자산운용</t>
        </is>
      </c>
      <c r="D160" s="19" t="n">
        <v>72</v>
      </c>
      <c r="E160" s="36" t="inlineStr">
        <is>
          <t>DB하이텍</t>
        </is>
      </c>
      <c r="F160" s="17" t="n">
        <v>0.1523999977111817</v>
      </c>
      <c r="G160" s="36" t="inlineStr">
        <is>
          <t>한화</t>
        </is>
      </c>
      <c r="H160" s="17" t="n">
        <v>0.12</v>
      </c>
      <c r="I160" s="20" t="inlineStr">
        <is>
          <t>두산에너빌리티</t>
        </is>
      </c>
      <c r="J160" s="21" t="n">
        <v>0.1164999961853027</v>
      </c>
      <c r="K160" s="36" t="inlineStr">
        <is>
          <t>코오롱인더</t>
        </is>
      </c>
      <c r="L160" s="17" t="n">
        <v>0.1026000022888184</v>
      </c>
      <c r="M160" s="20" t="inlineStr">
        <is>
          <t>삼성물산</t>
        </is>
      </c>
      <c r="N160" s="21" t="n">
        <v>0.09159999847412109</v>
      </c>
      <c r="O160" s="36" t="inlineStr">
        <is>
          <t>신세계</t>
        </is>
      </c>
      <c r="P160" s="17" t="n">
        <v>0.07460000038146973</v>
      </c>
      <c r="Q160" s="36" t="inlineStr">
        <is>
          <t>금호석유화학</t>
        </is>
      </c>
      <c r="R160" s="17" t="n">
        <v>0.06699999809265136</v>
      </c>
      <c r="S160" s="22" t="inlineStr">
        <is>
          <t>강원랜드</t>
        </is>
      </c>
      <c r="T160" s="23" t="n">
        <v>0.06630000114440918</v>
      </c>
      <c r="U160" s="36" t="inlineStr">
        <is>
          <t>미스토홀딩스</t>
        </is>
      </c>
      <c r="V160" s="17" t="n">
        <v>0.06590000152587891</v>
      </c>
      <c r="W160" s="20" t="inlineStr">
        <is>
          <t>F&amp;F</t>
        </is>
      </c>
      <c r="X160" s="21" t="n">
        <v>0.03309999942779541</v>
      </c>
    </row>
    <row r="161" ht="16" customHeight="1">
      <c r="A161" s="36" t="inlineStr">
        <is>
          <t>HANARO Fn K-메타버스MZ</t>
        </is>
      </c>
      <c r="B161" s="15" t="inlineStr">
        <is>
          <t>402460</t>
        </is>
      </c>
      <c r="C161" s="36" t="inlineStr">
        <is>
          <t>엔에이치아문디자산운용</t>
        </is>
      </c>
      <c r="D161" s="19" t="n">
        <v>67</v>
      </c>
      <c r="E161" s="36" t="inlineStr">
        <is>
          <t>삼성전기</t>
        </is>
      </c>
      <c r="F161" s="17" t="n">
        <v>0.2346999931335449</v>
      </c>
      <c r="G161" s="20" t="inlineStr">
        <is>
          <t>SK텔레콤</t>
        </is>
      </c>
      <c r="H161" s="21" t="n">
        <v>0.1215999984741211</v>
      </c>
      <c r="I161" s="36" t="inlineStr">
        <is>
          <t>LG전자</t>
        </is>
      </c>
      <c r="J161" s="17" t="n">
        <v>0.1005000019073486</v>
      </c>
      <c r="K161" s="36" t="inlineStr">
        <is>
          <t>LG이노텍</t>
        </is>
      </c>
      <c r="L161" s="17" t="n">
        <v>0.07929999828338623</v>
      </c>
      <c r="M161" s="22" t="inlineStr">
        <is>
          <t>KT</t>
        </is>
      </c>
      <c r="N161" s="23" t="n">
        <v>0.07690000057220459</v>
      </c>
      <c r="O161" s="36" t="inlineStr">
        <is>
          <t>크래프톤</t>
        </is>
      </c>
      <c r="P161" s="17" t="n">
        <v>0.07670000076293945</v>
      </c>
      <c r="Q161" s="20" t="inlineStr">
        <is>
          <t>NAVER</t>
        </is>
      </c>
      <c r="R161" s="21" t="n">
        <v>0.05829999923706055</v>
      </c>
      <c r="S161" s="20" t="inlineStr">
        <is>
          <t>하이브</t>
        </is>
      </c>
      <c r="T161" s="21" t="n">
        <v>0.05159999847412109</v>
      </c>
      <c r="U161" s="24" t="inlineStr">
        <is>
          <t>LG유플러스</t>
        </is>
      </c>
      <c r="V161" s="25" t="n">
        <v>0.04030000209808349</v>
      </c>
      <c r="W161" s="36" t="inlineStr">
        <is>
          <t>LG디스플레이</t>
        </is>
      </c>
      <c r="X161" s="17" t="n">
        <v>0.03539999961853027</v>
      </c>
    </row>
    <row r="162" ht="16" customHeight="1">
      <c r="A162" s="36" t="inlineStr">
        <is>
          <t>KIWOOM K-반도체북미공급망</t>
        </is>
      </c>
      <c r="B162" s="15" t="inlineStr">
        <is>
          <t>488210</t>
        </is>
      </c>
      <c r="C162" s="36" t="inlineStr">
        <is>
          <t>키움투자자산운용</t>
        </is>
      </c>
      <c r="D162" s="19" t="n">
        <v>59</v>
      </c>
      <c r="E162" s="22" t="inlineStr">
        <is>
          <t>SK하이닉스</t>
        </is>
      </c>
      <c r="F162" s="23" t="n">
        <v>0.2968000030517578</v>
      </c>
      <c r="G162" s="36" t="inlineStr">
        <is>
          <t>ISC</t>
        </is>
      </c>
      <c r="H162" s="17" t="n">
        <v>0.1645000076293945</v>
      </c>
      <c r="I162" s="36" t="inlineStr">
        <is>
          <t>피에스케이홀딩스</t>
        </is>
      </c>
      <c r="J162" s="17" t="n">
        <v>0.1202000045776367</v>
      </c>
      <c r="K162" s="36" t="inlineStr">
        <is>
          <t>티씨케이</t>
        </is>
      </c>
      <c r="L162" s="17" t="n">
        <v>0.1186999988555908</v>
      </c>
      <c r="M162" s="36" t="inlineStr">
        <is>
          <t>후성</t>
        </is>
      </c>
      <c r="N162" s="17" t="n">
        <v>0.07409999847412109</v>
      </c>
      <c r="O162" s="36" t="inlineStr">
        <is>
          <t>GST</t>
        </is>
      </c>
      <c r="P162" s="17" t="n">
        <v>0.04349999904632568</v>
      </c>
      <c r="Q162" s="36" t="inlineStr">
        <is>
          <t>원익QnC</t>
        </is>
      </c>
      <c r="R162" s="17" t="n">
        <v>0.04030000209808349</v>
      </c>
      <c r="S162" s="36" t="inlineStr">
        <is>
          <t>코나아이</t>
        </is>
      </c>
      <c r="T162" s="17" t="n">
        <v>0.02640000104904175</v>
      </c>
      <c r="U162" s="36" t="inlineStr">
        <is>
          <t>미코</t>
        </is>
      </c>
      <c r="V162" s="17" t="n">
        <v>0.02549999952316284</v>
      </c>
      <c r="W162" s="36" t="inlineStr">
        <is>
          <t>네오셈</t>
        </is>
      </c>
      <c r="X162" s="17" t="n">
        <v>0.02230000019073486</v>
      </c>
    </row>
    <row r="163" ht="16" customHeight="1">
      <c r="A163" s="36" t="inlineStr">
        <is>
          <t>KODEX 퀄리티Plus</t>
        </is>
      </c>
      <c r="B163" s="15" t="inlineStr">
        <is>
          <t>244660</t>
        </is>
      </c>
      <c r="C163" s="36" t="inlineStr">
        <is>
          <t>삼성자산운용</t>
        </is>
      </c>
      <c r="D163" s="19" t="n">
        <v>52</v>
      </c>
      <c r="E163" s="36" t="inlineStr">
        <is>
          <t>하이트진로</t>
        </is>
      </c>
      <c r="F163" s="17" t="n">
        <v>0.05159999847412109</v>
      </c>
      <c r="G163" s="36" t="inlineStr">
        <is>
          <t>이노션</t>
        </is>
      </c>
      <c r="H163" s="17" t="n">
        <v>0.0475</v>
      </c>
      <c r="I163" s="36" t="inlineStr">
        <is>
          <t>농심</t>
        </is>
      </c>
      <c r="J163" s="17" t="n">
        <v>0.03559999942779541</v>
      </c>
      <c r="K163" s="36" t="inlineStr">
        <is>
          <t>제일기획</t>
        </is>
      </c>
      <c r="L163" s="17" t="n">
        <v>0.03440000057220459</v>
      </c>
      <c r="M163" s="36" t="inlineStr">
        <is>
          <t>LG생활건강</t>
        </is>
      </c>
      <c r="N163" s="17" t="n">
        <v>0.03420000076293946</v>
      </c>
      <c r="O163" s="36" t="inlineStr">
        <is>
          <t>대상</t>
        </is>
      </c>
      <c r="P163" s="17" t="n">
        <v>0.03309999942779541</v>
      </c>
      <c r="Q163" s="36" t="inlineStr">
        <is>
          <t>오리온</t>
        </is>
      </c>
      <c r="R163" s="17" t="n">
        <v>0.02990000009536743</v>
      </c>
      <c r="S163" s="36" t="inlineStr">
        <is>
          <t>종근당</t>
        </is>
      </c>
      <c r="T163" s="17" t="n">
        <v>0.0297000002861023</v>
      </c>
      <c r="U163" s="36" t="inlineStr">
        <is>
          <t>빙그레</t>
        </is>
      </c>
      <c r="V163" s="17" t="n">
        <v>0.02960000038146973</v>
      </c>
      <c r="W163" s="36" t="inlineStr">
        <is>
          <t>코웨이</t>
        </is>
      </c>
      <c r="X163" s="17" t="n">
        <v>0.02809999942779541</v>
      </c>
    </row>
    <row r="164" ht="16" customHeight="1">
      <c r="A164" s="36" t="inlineStr">
        <is>
          <t>TIGER 200 생활소비재</t>
        </is>
      </c>
      <c r="B164" s="15" t="inlineStr">
        <is>
          <t>227560</t>
        </is>
      </c>
      <c r="C164" s="36" t="inlineStr">
        <is>
          <t>미래에셋자산운용</t>
        </is>
      </c>
      <c r="D164" s="19" t="n">
        <v>48</v>
      </c>
      <c r="E164" s="20" t="inlineStr">
        <is>
          <t>KT&amp;G</t>
        </is>
      </c>
      <c r="F164" s="21" t="n">
        <v>0.2117000007629395</v>
      </c>
      <c r="G164" s="20" t="inlineStr">
        <is>
          <t>한국전력</t>
        </is>
      </c>
      <c r="H164" s="21" t="n">
        <v>0.1806999969482422</v>
      </c>
      <c r="I164" s="36" t="inlineStr">
        <is>
          <t>에이피알</t>
        </is>
      </c>
      <c r="J164" s="17" t="n">
        <v>0.1371000003814697</v>
      </c>
      <c r="K164" s="22" t="inlineStr">
        <is>
          <t>삼양식품</t>
        </is>
      </c>
      <c r="L164" s="23" t="n">
        <v>0.07010000228881835</v>
      </c>
      <c r="M164" s="36" t="inlineStr">
        <is>
          <t>아모레퍼시픽</t>
        </is>
      </c>
      <c r="N164" s="17" t="n">
        <v>0.05510000228881836</v>
      </c>
      <c r="O164" s="36" t="inlineStr">
        <is>
          <t>오리온</t>
        </is>
      </c>
      <c r="P164" s="17" t="n">
        <v>0.04090000152587891</v>
      </c>
      <c r="Q164" s="36" t="inlineStr">
        <is>
          <t>CJ</t>
        </is>
      </c>
      <c r="R164" s="17" t="n">
        <v>0.04079999923706055</v>
      </c>
      <c r="S164" s="36" t="inlineStr">
        <is>
          <t>LG생활건강</t>
        </is>
      </c>
      <c r="T164" s="17" t="n">
        <v>0.03380000114440918</v>
      </c>
      <c r="U164" s="36" t="inlineStr">
        <is>
          <t>이마트</t>
        </is>
      </c>
      <c r="V164" s="17" t="n">
        <v>0.0277999997138977</v>
      </c>
      <c r="W164" s="36" t="inlineStr">
        <is>
          <t>CJ제일제당</t>
        </is>
      </c>
      <c r="X164" s="17" t="n">
        <v>0.02480000019073486</v>
      </c>
    </row>
    <row r="165" ht="16" customHeight="1">
      <c r="A165" s="36" t="inlineStr">
        <is>
          <t>ACE Fn성장소비주도주</t>
        </is>
      </c>
      <c r="B165" s="15" t="inlineStr">
        <is>
          <t>226380</t>
        </is>
      </c>
      <c r="C165" s="36" t="inlineStr">
        <is>
          <t>한국투자신탁운용</t>
        </is>
      </c>
      <c r="D165" s="19" t="n">
        <v>46</v>
      </c>
      <c r="E165" s="36" t="inlineStr">
        <is>
          <t>에이피알</t>
        </is>
      </c>
      <c r="F165" s="17" t="n">
        <v>0.03420000076293946</v>
      </c>
      <c r="G165" s="36" t="inlineStr">
        <is>
          <t>한국콜마</t>
        </is>
      </c>
      <c r="H165" s="17" t="n">
        <v>0.02859999895095825</v>
      </c>
      <c r="I165" s="36" t="inlineStr">
        <is>
          <t>호텔신라</t>
        </is>
      </c>
      <c r="J165" s="17" t="n">
        <v>0.0275</v>
      </c>
      <c r="K165" s="36" t="inlineStr">
        <is>
          <t>펄어비스</t>
        </is>
      </c>
      <c r="L165" s="17" t="n">
        <v>0.02740000009536743</v>
      </c>
      <c r="M165" s="36" t="inlineStr">
        <is>
          <t>오리온</t>
        </is>
      </c>
      <c r="N165" s="17" t="n">
        <v>0.02539999961853028</v>
      </c>
      <c r="O165" s="36" t="inlineStr">
        <is>
          <t>NHN</t>
        </is>
      </c>
      <c r="P165" s="17" t="n">
        <v>0.02539999961853028</v>
      </c>
      <c r="Q165" s="36" t="inlineStr">
        <is>
          <t>달바글로벌</t>
        </is>
      </c>
      <c r="R165" s="17" t="n">
        <v>0.02539999961853028</v>
      </c>
      <c r="S165" s="36" t="inlineStr">
        <is>
          <t>NHN KCP</t>
        </is>
      </c>
      <c r="T165" s="17" t="n">
        <v>0.02490000009536743</v>
      </c>
      <c r="U165" s="36" t="inlineStr">
        <is>
          <t>NC</t>
        </is>
      </c>
      <c r="V165" s="17" t="n">
        <v>0.02480000019073486</v>
      </c>
      <c r="W165" s="36" t="inlineStr">
        <is>
          <t>코스맥스</t>
        </is>
      </c>
      <c r="X165" s="17" t="n">
        <v>0.02390000104904175</v>
      </c>
    </row>
    <row r="166" ht="16" customHeight="1">
      <c r="A166" s="36" t="inlineStr">
        <is>
          <t>TIGER 200커뮤니케이션서비스</t>
        </is>
      </c>
      <c r="B166" s="15" t="inlineStr">
        <is>
          <t>315270</t>
        </is>
      </c>
      <c r="C166" s="36" t="inlineStr">
        <is>
          <t>미래에셋자산운용</t>
        </is>
      </c>
      <c r="D166" s="19" t="n">
        <v>45</v>
      </c>
      <c r="E166" s="20" t="inlineStr">
        <is>
          <t>SK텔레콤</t>
        </is>
      </c>
      <c r="F166" s="21" t="n">
        <v>0.1856999969482422</v>
      </c>
      <c r="G166" s="22" t="inlineStr">
        <is>
          <t>KT</t>
        </is>
      </c>
      <c r="H166" s="23" t="n">
        <v>0.1713999938964844</v>
      </c>
      <c r="I166" s="20" t="inlineStr">
        <is>
          <t>NAVER</t>
        </is>
      </c>
      <c r="J166" s="21" t="n">
        <v>0.1606999969482422</v>
      </c>
      <c r="K166" s="22" t="inlineStr">
        <is>
          <t>카카오</t>
        </is>
      </c>
      <c r="L166" s="23" t="n">
        <v>0.1478999996185303</v>
      </c>
      <c r="M166" s="36" t="inlineStr">
        <is>
          <t>크래프톤</t>
        </is>
      </c>
      <c r="N166" s="17" t="n">
        <v>0.1072000026702881</v>
      </c>
      <c r="O166" s="20" t="inlineStr">
        <is>
          <t>하이브</t>
        </is>
      </c>
      <c r="P166" s="21" t="n">
        <v>0.07110000133514405</v>
      </c>
      <c r="Q166" s="36" t="inlineStr">
        <is>
          <t>NC</t>
        </is>
      </c>
      <c r="R166" s="17" t="n">
        <v>0.05860000133514404</v>
      </c>
      <c r="S166" s="24" t="inlineStr">
        <is>
          <t>LG유플러스</t>
        </is>
      </c>
      <c r="T166" s="25" t="n">
        <v>0.05699999809265137</v>
      </c>
      <c r="U166" s="36" t="inlineStr">
        <is>
          <t>넷마블</t>
        </is>
      </c>
      <c r="V166" s="17" t="n">
        <v>0.02039999961853027</v>
      </c>
      <c r="W166" s="36" t="inlineStr">
        <is>
          <t>제일기획</t>
        </is>
      </c>
      <c r="X166" s="17" t="n">
        <v>0.01759999990463257</v>
      </c>
    </row>
    <row r="167" ht="16" customHeight="1">
      <c r="A167" s="36" t="inlineStr">
        <is>
          <t>VITA 밸류알파액티브</t>
        </is>
      </c>
      <c r="B167" s="15" t="inlineStr">
        <is>
          <t>452440</t>
        </is>
      </c>
      <c r="C167" s="36" t="inlineStr">
        <is>
          <t>한국투자밸류자산운용</t>
        </is>
      </c>
      <c r="D167" s="19" t="n">
        <v>31</v>
      </c>
      <c r="E167" s="36" t="inlineStr">
        <is>
          <t>원화현금</t>
        </is>
      </c>
      <c r="F167" s="17" t="n">
        <v>0.2779999923706055</v>
      </c>
      <c r="G167" s="20" t="inlineStr">
        <is>
          <t>삼성전자</t>
        </is>
      </c>
      <c r="H167" s="21" t="n">
        <v>0.2329999923706055</v>
      </c>
      <c r="I167" s="36" t="inlineStr">
        <is>
          <t>에이피알</t>
        </is>
      </c>
      <c r="J167" s="17" t="n">
        <v>0.05610000133514404</v>
      </c>
      <c r="K167" s="36" t="inlineStr">
        <is>
          <t>에스엠</t>
        </is>
      </c>
      <c r="L167" s="17" t="n">
        <v>0.04639999866485596</v>
      </c>
      <c r="M167" s="22" t="inlineStr">
        <is>
          <t>삼양식품</t>
        </is>
      </c>
      <c r="N167" s="23" t="n">
        <v>0.04590000152587891</v>
      </c>
      <c r="O167" s="36" t="inlineStr">
        <is>
          <t>덕산네오룩스</t>
        </is>
      </c>
      <c r="P167" s="17" t="n">
        <v>0.04329999923706054</v>
      </c>
      <c r="Q167" s="36" t="inlineStr">
        <is>
          <t>신세계</t>
        </is>
      </c>
      <c r="R167" s="17" t="n">
        <v>0.03970000028610229</v>
      </c>
      <c r="S167" s="36" t="inlineStr">
        <is>
          <t>GS피앤엘</t>
        </is>
      </c>
      <c r="T167" s="17" t="n">
        <v>0.03720000028610229</v>
      </c>
      <c r="U167" s="36" t="inlineStr">
        <is>
          <t>호텔신라</t>
        </is>
      </c>
      <c r="V167" s="17" t="n">
        <v>0.02849999904632568</v>
      </c>
      <c r="W167" s="36" t="inlineStr">
        <is>
          <t>아모레퍼시픽</t>
        </is>
      </c>
      <c r="X167" s="17" t="n">
        <v>0.0277999997138977</v>
      </c>
    </row>
    <row r="168" ht="16" customHeight="1">
      <c r="A168" s="36" t="inlineStr">
        <is>
          <t>VITA MZ소비액티브</t>
        </is>
      </c>
      <c r="B168" s="15" t="inlineStr">
        <is>
          <t>422260</t>
        </is>
      </c>
      <c r="C168" s="36" t="inlineStr">
        <is>
          <t>한국투자밸류자산운용</t>
        </is>
      </c>
      <c r="D168" s="19" t="n">
        <v>11</v>
      </c>
      <c r="E168" s="36" t="inlineStr">
        <is>
          <t>서부T&amp;D</t>
        </is>
      </c>
      <c r="F168" s="17" t="n">
        <v>0.09819999694824219</v>
      </c>
      <c r="G168" s="36" t="inlineStr">
        <is>
          <t>호텔신라</t>
        </is>
      </c>
      <c r="H168" s="17" t="n">
        <v>0.09800000190734863</v>
      </c>
      <c r="I168" s="22" t="inlineStr">
        <is>
          <t>삼양식품</t>
        </is>
      </c>
      <c r="J168" s="23" t="n">
        <v>0.09670000076293946</v>
      </c>
      <c r="K168" s="36" t="inlineStr">
        <is>
          <t>GS피앤엘</t>
        </is>
      </c>
      <c r="L168" s="17" t="n">
        <v>0.08569999694824219</v>
      </c>
      <c r="M168" s="36" t="inlineStr">
        <is>
          <t>하림지주</t>
        </is>
      </c>
      <c r="N168" s="17" t="n">
        <v>0.08439999580383301</v>
      </c>
      <c r="O168" s="36" t="inlineStr">
        <is>
          <t>에이피알</t>
        </is>
      </c>
      <c r="P168" s="17" t="n">
        <v>0.07989999771118164</v>
      </c>
      <c r="Q168" s="36" t="inlineStr">
        <is>
          <t>에스앤디</t>
        </is>
      </c>
      <c r="R168" s="17" t="n">
        <v>0.07690000057220459</v>
      </c>
      <c r="S168" s="36" t="inlineStr">
        <is>
          <t>아모레퍼시픽</t>
        </is>
      </c>
      <c r="T168" s="17" t="n">
        <v>0.0596999979019165</v>
      </c>
      <c r="U168" s="36" t="inlineStr">
        <is>
          <t>GS리테일</t>
        </is>
      </c>
      <c r="V168" s="17" t="n">
        <v>0.05510000228881836</v>
      </c>
      <c r="W168" s="36" t="inlineStr">
        <is>
          <t>롯데쇼핑</t>
        </is>
      </c>
      <c r="X168" s="17" t="n">
        <v>0.0521999979019165</v>
      </c>
    </row>
    <row r="169" ht="16" customHeight="1">
      <c r="A169" s="36" t="inlineStr">
        <is>
          <t>KODEX 200</t>
        </is>
      </c>
      <c r="B169" s="15" t="inlineStr">
        <is>
          <t>069500</t>
        </is>
      </c>
      <c r="C169" s="36" t="inlineStr"/>
      <c r="D169" s="19" t="n">
        <v>0</v>
      </c>
      <c r="E169" s="20" t="inlineStr">
        <is>
          <t>삼성전자</t>
        </is>
      </c>
      <c r="F169" s="21" t="n">
        <v>0.3073999977111816</v>
      </c>
      <c r="G169" s="22" t="inlineStr">
        <is>
          <t>SK하이닉스</t>
        </is>
      </c>
      <c r="H169" s="23" t="n">
        <v>0.2280999946594238</v>
      </c>
      <c r="I169" s="20" t="inlineStr">
        <is>
          <t>SK스퀘어</t>
        </is>
      </c>
      <c r="J169" s="21" t="n">
        <v>0.02609999895095825</v>
      </c>
      <c r="K169" s="20" t="inlineStr">
        <is>
          <t>현대차</t>
        </is>
      </c>
      <c r="L169" s="21" t="n">
        <v>0.02119999885559082</v>
      </c>
      <c r="M169" s="20" t="inlineStr">
        <is>
          <t>두산에너빌리티</t>
        </is>
      </c>
      <c r="N169" s="21" t="n">
        <v>0.01590000033378601</v>
      </c>
      <c r="O169" s="36" t="inlineStr">
        <is>
          <t>삼성전기</t>
        </is>
      </c>
      <c r="P169" s="17" t="n">
        <v>0.01470000028610229</v>
      </c>
      <c r="Q169" s="36" t="inlineStr">
        <is>
          <t>KB금융</t>
        </is>
      </c>
      <c r="R169" s="17" t="n">
        <v>0.01460000038146973</v>
      </c>
      <c r="S169" s="36" t="inlineStr">
        <is>
          <t>한화에어로스페이스</t>
        </is>
      </c>
      <c r="T169" s="17" t="n">
        <v>0.01370000004768371</v>
      </c>
      <c r="U169" s="36" t="inlineStr">
        <is>
          <t>삼성SDI</t>
        </is>
      </c>
      <c r="V169" s="17" t="n">
        <v>0.0122000002861023</v>
      </c>
      <c r="W169" s="36" t="inlineStr">
        <is>
          <t>신한지주</t>
        </is>
      </c>
      <c r="X169" s="17" t="n">
        <v>0.01169999957084656</v>
      </c>
    </row>
    <row r="170" ht="16" customHeight="1">
      <c r="A170" s="36" t="inlineStr">
        <is>
          <t>TIGER 반도체TOP10</t>
        </is>
      </c>
      <c r="B170" s="15" t="inlineStr">
        <is>
          <t>396500</t>
        </is>
      </c>
      <c r="C170" s="36" t="inlineStr"/>
      <c r="D170" s="19" t="n">
        <v>0</v>
      </c>
      <c r="E170" s="22" t="inlineStr">
        <is>
          <t>SK하이닉스</t>
        </is>
      </c>
      <c r="F170" s="23" t="n">
        <v>0.2963999938964844</v>
      </c>
      <c r="G170" s="20" t="inlineStr">
        <is>
          <t>삼성전자</t>
        </is>
      </c>
      <c r="H170" s="21" t="n">
        <v>0.2319000053405762</v>
      </c>
      <c r="I170" s="22" t="inlineStr">
        <is>
          <t>한미반도체</t>
        </is>
      </c>
      <c r="J170" s="23" t="n">
        <v>0.1795999908447266</v>
      </c>
      <c r="K170" s="36" t="inlineStr">
        <is>
          <t>리노공업</t>
        </is>
      </c>
      <c r="L170" s="17" t="n">
        <v>0.06679999828338623</v>
      </c>
      <c r="M170" s="36" t="inlineStr">
        <is>
          <t>DB하이텍</t>
        </is>
      </c>
      <c r="N170" s="17" t="n">
        <v>0.05539999961853027</v>
      </c>
      <c r="O170" s="36" t="inlineStr">
        <is>
          <t>원익IPS</t>
        </is>
      </c>
      <c r="P170" s="17" t="n">
        <v>0.04440000057220459</v>
      </c>
      <c r="Q170" s="36" t="inlineStr">
        <is>
          <t>이오테크닉스</t>
        </is>
      </c>
      <c r="R170" s="17" t="n">
        <v>0.04429999828338623</v>
      </c>
      <c r="S170" s="36" t="inlineStr">
        <is>
          <t>HPSP</t>
        </is>
      </c>
      <c r="T170" s="17" t="n">
        <v>0.02950000047683716</v>
      </c>
      <c r="U170" s="36" t="inlineStr">
        <is>
          <t>ISC</t>
        </is>
      </c>
      <c r="V170" s="17" t="n">
        <v>0.02890000104904175</v>
      </c>
      <c r="W170" s="36" t="inlineStr">
        <is>
          <t>솔브레인</t>
        </is>
      </c>
      <c r="X170" s="17" t="n">
        <v>0.02190000057220459</v>
      </c>
    </row>
    <row r="171" ht="16" customHeight="1">
      <c r="A171" s="36" t="inlineStr">
        <is>
          <t>TIGER 200</t>
        </is>
      </c>
      <c r="B171" s="15" t="inlineStr">
        <is>
          <t>102110</t>
        </is>
      </c>
      <c r="C171" s="36" t="inlineStr"/>
      <c r="D171" s="19" t="n">
        <v>0</v>
      </c>
      <c r="E171" s="20" t="inlineStr">
        <is>
          <t>삼성전자</t>
        </is>
      </c>
      <c r="F171" s="21" t="n">
        <v>0.3081999969482422</v>
      </c>
      <c r="G171" s="22" t="inlineStr">
        <is>
          <t>SK하이닉스</t>
        </is>
      </c>
      <c r="H171" s="23" t="n">
        <v>0.2292000007629394</v>
      </c>
      <c r="I171" s="20" t="inlineStr">
        <is>
          <t>SK스퀘어</t>
        </is>
      </c>
      <c r="J171" s="21" t="n">
        <v>0.02569999933242798</v>
      </c>
      <c r="K171" s="20" t="inlineStr">
        <is>
          <t>현대차</t>
        </is>
      </c>
      <c r="L171" s="21" t="n">
        <v>0.02099999904632568</v>
      </c>
      <c r="M171" s="20" t="inlineStr">
        <is>
          <t>두산에너빌리티</t>
        </is>
      </c>
      <c r="N171" s="21" t="n">
        <v>0.01570000052452087</v>
      </c>
      <c r="O171" s="36" t="inlineStr">
        <is>
          <t>KB금융</t>
        </is>
      </c>
      <c r="P171" s="17" t="n">
        <v>0.01470000028610229</v>
      </c>
      <c r="Q171" s="36" t="inlineStr">
        <is>
          <t>삼성전기</t>
        </is>
      </c>
      <c r="R171" s="17" t="n">
        <v>0.01450000047683716</v>
      </c>
      <c r="S171" s="36" t="inlineStr">
        <is>
          <t>한화에어로스페이스</t>
        </is>
      </c>
      <c r="T171" s="17" t="n">
        <v>0.01370000004768371</v>
      </c>
      <c r="U171" s="36" t="inlineStr">
        <is>
          <t>삼성SDI</t>
        </is>
      </c>
      <c r="V171" s="17" t="n">
        <v>0.01210000038146973</v>
      </c>
      <c r="W171" s="36" t="inlineStr">
        <is>
          <t>신한지주</t>
        </is>
      </c>
      <c r="X171" s="17" t="n">
        <v>0.01149999976158142</v>
      </c>
    </row>
    <row r="172" ht="16" customHeight="1">
      <c r="A172" s="36" t="inlineStr">
        <is>
          <t>KODEX 200TR</t>
        </is>
      </c>
      <c r="B172" s="15" t="inlineStr">
        <is>
          <t>278530</t>
        </is>
      </c>
      <c r="C172" s="36" t="inlineStr"/>
      <c r="D172" s="19" t="n">
        <v>0</v>
      </c>
      <c r="E172" s="20" t="inlineStr">
        <is>
          <t>삼성전자</t>
        </is>
      </c>
      <c r="F172" s="21" t="n">
        <v>0.306299991607666</v>
      </c>
      <c r="G172" s="22" t="inlineStr">
        <is>
          <t>SK하이닉스</t>
        </is>
      </c>
      <c r="H172" s="23" t="n">
        <v>0.2270999908447266</v>
      </c>
      <c r="I172" s="20" t="inlineStr">
        <is>
          <t>SK스퀘어</t>
        </is>
      </c>
      <c r="J172" s="21" t="n">
        <v>0.02589999914169312</v>
      </c>
      <c r="K172" s="20" t="inlineStr">
        <is>
          <t>현대차</t>
        </is>
      </c>
      <c r="L172" s="21" t="n">
        <v>0.02109999895095825</v>
      </c>
      <c r="M172" s="20" t="inlineStr">
        <is>
          <t>두산에너빌리티</t>
        </is>
      </c>
      <c r="N172" s="21" t="n">
        <v>0.01580000042915344</v>
      </c>
      <c r="O172" s="36" t="inlineStr">
        <is>
          <t>삼성전기</t>
        </is>
      </c>
      <c r="P172" s="17" t="n">
        <v>0.01470000028610229</v>
      </c>
      <c r="Q172" s="36" t="inlineStr">
        <is>
          <t>KB금융</t>
        </is>
      </c>
      <c r="R172" s="17" t="n">
        <v>0.01450000047683716</v>
      </c>
      <c r="S172" s="36" t="inlineStr">
        <is>
          <t>한화에어로스페이스</t>
        </is>
      </c>
      <c r="T172" s="17" t="n">
        <v>0.01360000014305115</v>
      </c>
      <c r="U172" s="36" t="inlineStr">
        <is>
          <t>삼성SDI</t>
        </is>
      </c>
      <c r="V172" s="17" t="n">
        <v>0.0122000002861023</v>
      </c>
      <c r="W172" s="36" t="inlineStr">
        <is>
          <t>신한지주</t>
        </is>
      </c>
      <c r="X172" s="17" t="n">
        <v>0.01159999966621399</v>
      </c>
    </row>
    <row r="173" ht="16" customHeight="1">
      <c r="A173" s="36" t="inlineStr">
        <is>
          <t>KODEX 코스닥150</t>
        </is>
      </c>
      <c r="B173" s="15" t="inlineStr">
        <is>
          <t>229200</t>
        </is>
      </c>
      <c r="C173" s="36" t="inlineStr"/>
      <c r="D173" s="19" t="n">
        <v>0</v>
      </c>
      <c r="E173" s="36" t="inlineStr">
        <is>
          <t>알테오젠</t>
        </is>
      </c>
      <c r="F173" s="17" t="n">
        <v>0.06829999923706055</v>
      </c>
      <c r="G173" s="36" t="inlineStr">
        <is>
          <t>에코프로</t>
        </is>
      </c>
      <c r="H173" s="17" t="n">
        <v>0.06820000171661376</v>
      </c>
      <c r="I173" s="36" t="inlineStr">
        <is>
          <t>에코프로비엠</t>
        </is>
      </c>
      <c r="J173" s="17" t="n">
        <v>0.05179999828338623</v>
      </c>
      <c r="K173" s="36" t="inlineStr">
        <is>
          <t>HLB</t>
        </is>
      </c>
      <c r="L173" s="17" t="n">
        <v>0.03180000066757202</v>
      </c>
      <c r="M173" s="36" t="inlineStr">
        <is>
          <t>리노공업</t>
        </is>
      </c>
      <c r="N173" s="17" t="n">
        <v>0.02619999885559082</v>
      </c>
      <c r="O173" s="36" t="inlineStr">
        <is>
          <t>펩트론</t>
        </is>
      </c>
      <c r="P173" s="17" t="n">
        <v>0.02569999933242798</v>
      </c>
      <c r="Q173" s="36" t="inlineStr">
        <is>
          <t>삼천당제약</t>
        </is>
      </c>
      <c r="R173" s="17" t="n">
        <v>0.0252999997138977</v>
      </c>
      <c r="S173" s="36" t="inlineStr">
        <is>
          <t>에이비엘바이오</t>
        </is>
      </c>
      <c r="T173" s="17" t="n">
        <v>0.02440000057220459</v>
      </c>
      <c r="U173" s="36" t="inlineStr">
        <is>
          <t>레인보우로보틱스</t>
        </is>
      </c>
      <c r="V173" s="17" t="n">
        <v>0.02359999895095825</v>
      </c>
      <c r="W173" s="36" t="inlineStr">
        <is>
          <t>리가켐바이오</t>
        </is>
      </c>
      <c r="X173" s="17" t="n">
        <v>0.02099999904632568</v>
      </c>
    </row>
    <row r="174" ht="16" customHeight="1">
      <c r="A174" s="36" t="inlineStr">
        <is>
          <t>KODEX 반도체</t>
        </is>
      </c>
      <c r="B174" s="15" t="inlineStr">
        <is>
          <t>091160</t>
        </is>
      </c>
      <c r="C174" s="36" t="inlineStr"/>
      <c r="D174" s="19" t="n">
        <v>0</v>
      </c>
      <c r="E174" s="22" t="inlineStr">
        <is>
          <t>SK하이닉스</t>
        </is>
      </c>
      <c r="F174" s="23" t="n">
        <v>0.303799991607666</v>
      </c>
      <c r="G174" s="20" t="inlineStr">
        <is>
          <t>삼성전자</t>
        </is>
      </c>
      <c r="H174" s="21" t="n">
        <v>0.1995000076293945</v>
      </c>
      <c r="I174" s="22" t="inlineStr">
        <is>
          <t>한미반도체</t>
        </is>
      </c>
      <c r="J174" s="23" t="n">
        <v>0.1018000030517578</v>
      </c>
      <c r="K174" s="36" t="inlineStr">
        <is>
          <t>리노공업</t>
        </is>
      </c>
      <c r="L174" s="17" t="n">
        <v>0.03789999961853027</v>
      </c>
      <c r="M174" s="36" t="inlineStr">
        <is>
          <t>DB하이텍</t>
        </is>
      </c>
      <c r="N174" s="17" t="n">
        <v>0.03140000104904175</v>
      </c>
      <c r="O174" s="36" t="inlineStr">
        <is>
          <t>원익IPS</t>
        </is>
      </c>
      <c r="P174" s="17" t="n">
        <v>0.02599999904632568</v>
      </c>
      <c r="Q174" s="36" t="inlineStr">
        <is>
          <t>주성엔지니어링</t>
        </is>
      </c>
      <c r="R174" s="17" t="n">
        <v>0.02549999952316284</v>
      </c>
      <c r="S174" s="36" t="inlineStr">
        <is>
          <t>이오테크닉스</t>
        </is>
      </c>
      <c r="T174" s="17" t="n">
        <v>0.02509999990463257</v>
      </c>
      <c r="U174" s="36" t="inlineStr">
        <is>
          <t>파두</t>
        </is>
      </c>
      <c r="V174" s="17" t="n">
        <v>0.01860000014305115</v>
      </c>
      <c r="W174" s="36" t="inlineStr">
        <is>
          <t>ISC</t>
        </is>
      </c>
      <c r="X174" s="17" t="n">
        <v>0.01649999976158142</v>
      </c>
    </row>
    <row r="175" ht="16" customHeight="1">
      <c r="A175" s="36" t="inlineStr">
        <is>
          <t>TIGER MSCI Korea TR</t>
        </is>
      </c>
      <c r="B175" s="15" t="inlineStr">
        <is>
          <t>310970</t>
        </is>
      </c>
      <c r="C175" s="36" t="inlineStr"/>
      <c r="D175" s="19" t="n">
        <v>0</v>
      </c>
      <c r="E175" s="20" t="inlineStr">
        <is>
          <t>삼성전자</t>
        </is>
      </c>
      <c r="F175" s="21" t="n">
        <v>0.3172999954223633</v>
      </c>
      <c r="G175" s="22" t="inlineStr">
        <is>
          <t>SK하이닉스</t>
        </is>
      </c>
      <c r="H175" s="23" t="n">
        <v>0.2284000015258789</v>
      </c>
      <c r="I175" s="36" t="inlineStr">
        <is>
          <t>삼성전자우</t>
        </is>
      </c>
      <c r="J175" s="17" t="n">
        <v>0.03990000009536743</v>
      </c>
      <c r="K175" s="20" t="inlineStr">
        <is>
          <t>SK스퀘어</t>
        </is>
      </c>
      <c r="L175" s="21" t="n">
        <v>0.02640000104904175</v>
      </c>
      <c r="M175" s="20" t="inlineStr">
        <is>
          <t>현대차</t>
        </is>
      </c>
      <c r="N175" s="21" t="n">
        <v>0.02099999904632568</v>
      </c>
      <c r="O175" s="36" t="inlineStr">
        <is>
          <t>KB금융</t>
        </is>
      </c>
      <c r="P175" s="17" t="n">
        <v>0.01679999947547912</v>
      </c>
      <c r="Q175" s="20" t="inlineStr">
        <is>
          <t>두산에너빌리티</t>
        </is>
      </c>
      <c r="R175" s="21" t="n">
        <v>0.01669999957084656</v>
      </c>
      <c r="S175" s="36" t="inlineStr">
        <is>
          <t>삼성전기</t>
        </is>
      </c>
      <c r="T175" s="17" t="n">
        <v>0.01490000009536743</v>
      </c>
      <c r="U175" s="36" t="inlineStr">
        <is>
          <t>한화에어로스페이스</t>
        </is>
      </c>
      <c r="V175" s="17" t="n">
        <v>0.01429999947547913</v>
      </c>
      <c r="W175" s="36" t="inlineStr">
        <is>
          <t>신한지주</t>
        </is>
      </c>
      <c r="X175" s="17" t="n">
        <v>0.01259999990463257</v>
      </c>
    </row>
    <row r="176" ht="16" customHeight="1">
      <c r="A176" s="36" t="inlineStr">
        <is>
          <t>KODEX 200타겟위클리커버드콜</t>
        </is>
      </c>
      <c r="B176" s="15" t="inlineStr">
        <is>
          <t>498400</t>
        </is>
      </c>
      <c r="C176" s="36" t="inlineStr"/>
      <c r="D176" s="19" t="n">
        <v>0</v>
      </c>
      <c r="E176" s="20" t="inlineStr">
        <is>
          <t>삼성전자</t>
        </is>
      </c>
      <c r="F176" s="21" t="n">
        <v>0.2609000015258789</v>
      </c>
      <c r="G176" s="22" t="inlineStr">
        <is>
          <t>SK하이닉스</t>
        </is>
      </c>
      <c r="H176" s="23" t="n">
        <v>0.1935000038146973</v>
      </c>
      <c r="I176" s="36" t="inlineStr">
        <is>
          <t>KODEX 200</t>
        </is>
      </c>
      <c r="J176" s="17" t="n">
        <v>0.1455000019073486</v>
      </c>
      <c r="K176" s="20" t="inlineStr">
        <is>
          <t>SK스퀘어</t>
        </is>
      </c>
      <c r="L176" s="21" t="n">
        <v>0.02200000047683716</v>
      </c>
      <c r="M176" s="20" t="inlineStr">
        <is>
          <t>현대차</t>
        </is>
      </c>
      <c r="N176" s="21" t="n">
        <v>0.01799999952316284</v>
      </c>
      <c r="O176" s="20" t="inlineStr">
        <is>
          <t>두산에너빌리티</t>
        </is>
      </c>
      <c r="P176" s="21" t="n">
        <v>0.01350000023841858</v>
      </c>
      <c r="Q176" s="36" t="inlineStr">
        <is>
          <t>삼성전기</t>
        </is>
      </c>
      <c r="R176" s="17" t="n">
        <v>0.01240000009536743</v>
      </c>
      <c r="S176" s="36" t="inlineStr">
        <is>
          <t>KB금융</t>
        </is>
      </c>
      <c r="T176" s="17" t="n">
        <v>0.01240000009536743</v>
      </c>
      <c r="U176" s="36" t="inlineStr">
        <is>
          <t>한화에어로스페이스</t>
        </is>
      </c>
      <c r="V176" s="17" t="n">
        <v>0.01159999966621399</v>
      </c>
      <c r="W176" s="36" t="inlineStr">
        <is>
          <t>삼성SDI</t>
        </is>
      </c>
      <c r="X176" s="17" t="n">
        <v>0.01049999952316284</v>
      </c>
    </row>
    <row r="177" ht="16" customHeight="1">
      <c r="A177" s="36" t="inlineStr">
        <is>
          <t>RISE 200</t>
        </is>
      </c>
      <c r="B177" s="15" t="inlineStr">
        <is>
          <t>148020</t>
        </is>
      </c>
      <c r="C177" s="36" t="inlineStr"/>
      <c r="D177" s="19" t="n">
        <v>0</v>
      </c>
      <c r="E177" s="20" t="inlineStr">
        <is>
          <t>삼성전자</t>
        </is>
      </c>
      <c r="F177" s="21" t="n">
        <v>0.306299991607666</v>
      </c>
      <c r="G177" s="22" t="inlineStr">
        <is>
          <t>SK하이닉스</t>
        </is>
      </c>
      <c r="H177" s="23" t="n">
        <v>0.2270000076293945</v>
      </c>
      <c r="I177" s="20" t="inlineStr">
        <is>
          <t>SK스퀘어</t>
        </is>
      </c>
      <c r="J177" s="21" t="n">
        <v>0.02579999923706055</v>
      </c>
      <c r="K177" s="20" t="inlineStr">
        <is>
          <t>현대차</t>
        </is>
      </c>
      <c r="L177" s="21" t="n">
        <v>0.02109999895095825</v>
      </c>
      <c r="M177" s="20" t="inlineStr">
        <is>
          <t>두산에너빌리티</t>
        </is>
      </c>
      <c r="N177" s="21" t="n">
        <v>0.01580000042915344</v>
      </c>
      <c r="O177" s="36" t="inlineStr">
        <is>
          <t>삼성전기</t>
        </is>
      </c>
      <c r="P177" s="17" t="n">
        <v>0.01460000038146973</v>
      </c>
      <c r="Q177" s="36" t="inlineStr">
        <is>
          <t>KB금융</t>
        </is>
      </c>
      <c r="R177" s="17" t="n">
        <v>0.01450000047683716</v>
      </c>
      <c r="S177" s="36" t="inlineStr">
        <is>
          <t>한화에어로스페이스</t>
        </is>
      </c>
      <c r="T177" s="17" t="n">
        <v>0.01379999995231628</v>
      </c>
      <c r="U177" s="36" t="inlineStr">
        <is>
          <t>삼성SDI</t>
        </is>
      </c>
      <c r="V177" s="17" t="n">
        <v>0.0122000002861023</v>
      </c>
      <c r="W177" s="36" t="inlineStr">
        <is>
          <t>신한지주</t>
        </is>
      </c>
      <c r="X177" s="17" t="n">
        <v>0.01159999966621399</v>
      </c>
    </row>
    <row r="178" ht="16" customHeight="1">
      <c r="A178" s="36" t="inlineStr">
        <is>
          <t>KODEX AI전력핵심설비</t>
        </is>
      </c>
      <c r="B178" s="15" t="inlineStr">
        <is>
          <t>487240</t>
        </is>
      </c>
      <c r="C178" s="36" t="inlineStr"/>
      <c r="D178" s="19" t="n">
        <v>0</v>
      </c>
      <c r="E178" s="36" t="inlineStr">
        <is>
          <t>LS ELECTRIC</t>
        </is>
      </c>
      <c r="F178" s="17" t="n">
        <v>0.2460000038146973</v>
      </c>
      <c r="G178" s="36" t="inlineStr">
        <is>
          <t>효성중공업</t>
        </is>
      </c>
      <c r="H178" s="17" t="n">
        <v>0.1779000091552734</v>
      </c>
      <c r="I178" s="36" t="inlineStr">
        <is>
          <t>LS</t>
        </is>
      </c>
      <c r="J178" s="17" t="n">
        <v>0.131899995803833</v>
      </c>
      <c r="K178" s="36" t="inlineStr">
        <is>
          <t>HD현대일렉트릭</t>
        </is>
      </c>
      <c r="L178" s="17" t="n">
        <v>0.1285000038146973</v>
      </c>
      <c r="M178" s="36" t="inlineStr">
        <is>
          <t>대한전선</t>
        </is>
      </c>
      <c r="N178" s="17" t="n">
        <v>0.1026000022888184</v>
      </c>
      <c r="O178" s="36" t="inlineStr">
        <is>
          <t>산일전기</t>
        </is>
      </c>
      <c r="P178" s="17" t="n">
        <v>0.06190000057220459</v>
      </c>
      <c r="Q178" s="36" t="inlineStr">
        <is>
          <t>일진전기</t>
        </is>
      </c>
      <c r="R178" s="17" t="n">
        <v>0.05019999980926514</v>
      </c>
      <c r="S178" s="36" t="inlineStr">
        <is>
          <t>가온전선</t>
        </is>
      </c>
      <c r="T178" s="17" t="n">
        <v>0.04480000019073486</v>
      </c>
      <c r="U178" s="36" t="inlineStr">
        <is>
          <t>제룡전기</t>
        </is>
      </c>
      <c r="V178" s="17" t="n">
        <v>0.01549999952316284</v>
      </c>
      <c r="W178" s="36" t="inlineStr">
        <is>
          <t>대원전선</t>
        </is>
      </c>
      <c r="X178" s="17" t="n">
        <v>0.01480000019073486</v>
      </c>
    </row>
    <row r="179" ht="16" customHeight="1">
      <c r="A179" s="36" t="inlineStr">
        <is>
          <t>KODEX 삼성그룹</t>
        </is>
      </c>
      <c r="B179" s="15" t="inlineStr">
        <is>
          <t>102780</t>
        </is>
      </c>
      <c r="C179" s="36" t="inlineStr"/>
      <c r="D179" s="19" t="n">
        <v>0</v>
      </c>
      <c r="E179" s="20" t="inlineStr">
        <is>
          <t>삼성전자</t>
        </is>
      </c>
      <c r="F179" s="21" t="n">
        <v>0.3152000045776367</v>
      </c>
      <c r="G179" s="36" t="inlineStr">
        <is>
          <t>삼성전기</t>
        </is>
      </c>
      <c r="H179" s="17" t="n">
        <v>0.148100004196167</v>
      </c>
      <c r="I179" s="36" t="inlineStr">
        <is>
          <t>삼성SDI</t>
        </is>
      </c>
      <c r="J179" s="17" t="n">
        <v>0.1218000030517578</v>
      </c>
      <c r="K179" s="20" t="inlineStr">
        <is>
          <t>삼성물산</t>
        </is>
      </c>
      <c r="L179" s="21" t="n">
        <v>0.09409999847412109</v>
      </c>
      <c r="M179" s="20" t="inlineStr">
        <is>
          <t>삼성생명</t>
        </is>
      </c>
      <c r="N179" s="21" t="n">
        <v>0.06630000114440918</v>
      </c>
      <c r="O179" s="36" t="inlineStr">
        <is>
          <t>삼성중공업</t>
        </is>
      </c>
      <c r="P179" s="17" t="n">
        <v>0.06190000057220459</v>
      </c>
      <c r="Q179" s="20" t="inlineStr">
        <is>
          <t>삼성바이오로직스</t>
        </is>
      </c>
      <c r="R179" s="21" t="n">
        <v>0.05079999923706055</v>
      </c>
      <c r="S179" s="22" t="inlineStr">
        <is>
          <t>삼성화재</t>
        </is>
      </c>
      <c r="T179" s="23" t="n">
        <v>0.0421999979019165</v>
      </c>
      <c r="U179" s="36" t="inlineStr">
        <is>
          <t>삼성증권</t>
        </is>
      </c>
      <c r="V179" s="17" t="n">
        <v>0.02509999990463257</v>
      </c>
      <c r="W179" s="22" t="inlineStr">
        <is>
          <t>삼성E&amp;A</t>
        </is>
      </c>
      <c r="X179" s="23" t="n">
        <v>0.02460000038146973</v>
      </c>
    </row>
    <row r="180" ht="16" customHeight="1">
      <c r="A180" s="36" t="inlineStr">
        <is>
          <t>HANARO Fn K-반도체</t>
        </is>
      </c>
      <c r="B180" s="15" t="inlineStr">
        <is>
          <t>395270</t>
        </is>
      </c>
      <c r="C180" s="36" t="inlineStr"/>
      <c r="D180" s="19" t="n">
        <v>0</v>
      </c>
      <c r="E180" s="22" t="inlineStr">
        <is>
          <t>SK하이닉스</t>
        </is>
      </c>
      <c r="F180" s="23" t="n">
        <v>0.2530999946594238</v>
      </c>
      <c r="G180" s="36" t="inlineStr">
        <is>
          <t>삼성전기</t>
        </is>
      </c>
      <c r="H180" s="17" t="n">
        <v>0.2480999946594238</v>
      </c>
      <c r="I180" s="20" t="inlineStr">
        <is>
          <t>삼성전자</t>
        </is>
      </c>
      <c r="J180" s="21" t="n">
        <v>0.2144000053405762</v>
      </c>
      <c r="K180" s="22" t="inlineStr">
        <is>
          <t>한미반도체</t>
        </is>
      </c>
      <c r="L180" s="23" t="n">
        <v>0.07809999942779541</v>
      </c>
      <c r="M180" s="36" t="inlineStr">
        <is>
          <t>리노공업</t>
        </is>
      </c>
      <c r="N180" s="17" t="n">
        <v>0.02910000085830688</v>
      </c>
      <c r="O180" s="36" t="inlineStr">
        <is>
          <t>DB하이텍</t>
        </is>
      </c>
      <c r="P180" s="17" t="n">
        <v>0.02410000085830688</v>
      </c>
      <c r="Q180" s="36" t="inlineStr">
        <is>
          <t>주성엔지니어링</t>
        </is>
      </c>
      <c r="R180" s="17" t="n">
        <v>0.02109999895095825</v>
      </c>
      <c r="S180" s="36" t="inlineStr">
        <is>
          <t>이오테크닉스</t>
        </is>
      </c>
      <c r="T180" s="17" t="n">
        <v>0.01929999947547913</v>
      </c>
      <c r="U180" s="36" t="inlineStr">
        <is>
          <t>원익IPS</t>
        </is>
      </c>
      <c r="V180" s="17" t="n">
        <v>0.01929999947547913</v>
      </c>
      <c r="W180" s="36" t="inlineStr">
        <is>
          <t>HPSP</t>
        </is>
      </c>
      <c r="X180" s="17" t="n">
        <v>0.01299999952316284</v>
      </c>
    </row>
    <row r="181" ht="16" customHeight="1">
      <c r="A181" s="36" t="inlineStr">
        <is>
          <t>PLUS 고배당주</t>
        </is>
      </c>
      <c r="B181" s="15" t="inlineStr">
        <is>
          <t>161510</t>
        </is>
      </c>
      <c r="C181" s="36" t="inlineStr"/>
      <c r="D181" s="19" t="n">
        <v>0</v>
      </c>
      <c r="E181" s="20" t="inlineStr">
        <is>
          <t>현대차</t>
        </is>
      </c>
      <c r="F181" s="21" t="n">
        <v>0.07079999923706054</v>
      </c>
      <c r="G181" s="22" t="inlineStr">
        <is>
          <t>NH투자증권</t>
        </is>
      </c>
      <c r="H181" s="23" t="n">
        <v>0.06059999942779541</v>
      </c>
      <c r="I181" s="36" t="inlineStr">
        <is>
          <t>삼성증권</t>
        </is>
      </c>
      <c r="J181" s="17" t="n">
        <v>0.05469999790191651</v>
      </c>
      <c r="K181" s="22" t="inlineStr">
        <is>
          <t>기아</t>
        </is>
      </c>
      <c r="L181" s="23" t="n">
        <v>0.0521999979019165</v>
      </c>
      <c r="M181" s="24" t="inlineStr">
        <is>
          <t>DB손해보험</t>
        </is>
      </c>
      <c r="N181" s="25" t="n">
        <v>0.04889999866485596</v>
      </c>
      <c r="O181" s="36" t="inlineStr">
        <is>
          <t>LX인터내셔널</t>
        </is>
      </c>
      <c r="P181" s="17" t="n">
        <v>0.04550000190734863</v>
      </c>
      <c r="Q181" s="36" t="inlineStr">
        <is>
          <t>우리금융지주</t>
        </is>
      </c>
      <c r="R181" s="17" t="n">
        <v>0.0453000020980835</v>
      </c>
      <c r="S181" s="36" t="inlineStr">
        <is>
          <t>현대엘리베이터</t>
        </is>
      </c>
      <c r="T181" s="17" t="n">
        <v>0.04369999885559082</v>
      </c>
      <c r="U181" s="36" t="inlineStr">
        <is>
          <t>기업은행</t>
        </is>
      </c>
      <c r="V181" s="17" t="n">
        <v>0.0415999984741211</v>
      </c>
      <c r="W181" s="36" t="inlineStr">
        <is>
          <t>하나금융지주</t>
        </is>
      </c>
      <c r="X181" s="17" t="n">
        <v>0.03960000038146973</v>
      </c>
    </row>
    <row r="182" ht="16" customHeight="1">
      <c r="A182" s="36" t="inlineStr">
        <is>
          <t>KODEX 2차전지산업</t>
        </is>
      </c>
      <c r="B182" s="15" t="inlineStr">
        <is>
          <t>305720</t>
        </is>
      </c>
      <c r="C182" s="36" t="inlineStr"/>
      <c r="D182" s="19" t="n">
        <v>0</v>
      </c>
      <c r="E182" s="36" t="inlineStr">
        <is>
          <t>삼성SDI</t>
        </is>
      </c>
      <c r="F182" s="17" t="n">
        <v>0.1964999961853027</v>
      </c>
      <c r="G182" s="36" t="inlineStr">
        <is>
          <t>LG에너지솔루션</t>
        </is>
      </c>
      <c r="H182" s="17" t="n">
        <v>0.1855999946594238</v>
      </c>
      <c r="I182" s="20" t="inlineStr">
        <is>
          <t>POSCO홀딩스</t>
        </is>
      </c>
      <c r="J182" s="21" t="n">
        <v>0.1294999980926514</v>
      </c>
      <c r="K182" s="36" t="inlineStr">
        <is>
          <t>에코프로비엠</t>
        </is>
      </c>
      <c r="L182" s="17" t="n">
        <v>0.1014000034332275</v>
      </c>
      <c r="M182" s="20" t="inlineStr">
        <is>
          <t>LG화학</t>
        </is>
      </c>
      <c r="N182" s="21" t="n">
        <v>0.09739999771118164</v>
      </c>
      <c r="O182" s="36" t="inlineStr">
        <is>
          <t>에코프로</t>
        </is>
      </c>
      <c r="P182" s="17" t="n">
        <v>0.07170000076293945</v>
      </c>
      <c r="Q182" s="36" t="inlineStr">
        <is>
          <t>포스코퓨처엠</t>
        </is>
      </c>
      <c r="R182" s="17" t="n">
        <v>0.05139999866485596</v>
      </c>
      <c r="S182" s="22" t="inlineStr">
        <is>
          <t>SK이노베이션</t>
        </is>
      </c>
      <c r="T182" s="23" t="n">
        <v>0.04349999904632568</v>
      </c>
      <c r="U182" s="36" t="inlineStr">
        <is>
          <t>엘앤에프</t>
        </is>
      </c>
      <c r="V182" s="17" t="n">
        <v>0.03509999990463257</v>
      </c>
      <c r="W182" s="36" t="inlineStr">
        <is>
          <t>에코프로머티</t>
        </is>
      </c>
      <c r="X182" s="17" t="n">
        <v>0.01200000047683716</v>
      </c>
    </row>
    <row r="183" ht="16" customHeight="1">
      <c r="A183" s="36" t="inlineStr">
        <is>
          <t>KODEX AI반도체</t>
        </is>
      </c>
      <c r="B183" s="15" t="inlineStr">
        <is>
          <t>395160</t>
        </is>
      </c>
      <c r="C183" s="36" t="inlineStr"/>
      <c r="D183" s="19" t="n">
        <v>0</v>
      </c>
      <c r="E183" s="22" t="inlineStr">
        <is>
          <t>SK하이닉스</t>
        </is>
      </c>
      <c r="F183" s="23" t="n">
        <v>0.2496999931335449</v>
      </c>
      <c r="G183" s="20" t="inlineStr">
        <is>
          <t>삼성전자</t>
        </is>
      </c>
      <c r="H183" s="21" t="n">
        <v>0.2105999946594238</v>
      </c>
      <c r="I183" s="22" t="inlineStr">
        <is>
          <t>한미반도체</t>
        </is>
      </c>
      <c r="J183" s="23" t="n">
        <v>0.1314000034332276</v>
      </c>
      <c r="K183" s="36" t="inlineStr">
        <is>
          <t>이수페타시스</t>
        </is>
      </c>
      <c r="L183" s="17" t="n">
        <v>0.06730000019073486</v>
      </c>
      <c r="M183" s="36" t="inlineStr">
        <is>
          <t>리노공업</t>
        </is>
      </c>
      <c r="N183" s="17" t="n">
        <v>0.04869999885559082</v>
      </c>
      <c r="O183" s="36" t="inlineStr">
        <is>
          <t>DB하이텍</t>
        </is>
      </c>
      <c r="P183" s="17" t="n">
        <v>0.04030000209808349</v>
      </c>
      <c r="Q183" s="36" t="inlineStr">
        <is>
          <t>원익IPS</t>
        </is>
      </c>
      <c r="R183" s="17" t="n">
        <v>0.03240000009536743</v>
      </c>
      <c r="S183" s="36" t="inlineStr">
        <is>
          <t>이오테크닉스</t>
        </is>
      </c>
      <c r="T183" s="17" t="n">
        <v>0.03230000019073486</v>
      </c>
      <c r="U183" s="36" t="inlineStr">
        <is>
          <t>HPSP</t>
        </is>
      </c>
      <c r="V183" s="17" t="n">
        <v>0.02180000066757202</v>
      </c>
      <c r="W183" s="36" t="inlineStr">
        <is>
          <t>한솔케미칼</t>
        </is>
      </c>
      <c r="X183" s="17" t="n">
        <v>0.02099999904632568</v>
      </c>
    </row>
    <row r="184" ht="16" customHeight="1">
      <c r="A184" s="36" t="inlineStr">
        <is>
          <t>KODEX MSCI Korea TR</t>
        </is>
      </c>
      <c r="B184" s="15" t="inlineStr">
        <is>
          <t>278540</t>
        </is>
      </c>
      <c r="C184" s="36" t="inlineStr"/>
      <c r="D184" s="19" t="n">
        <v>0</v>
      </c>
      <c r="E184" s="20" t="inlineStr">
        <is>
          <t>삼성전자</t>
        </is>
      </c>
      <c r="F184" s="21" t="n">
        <v>0.3186000061035156</v>
      </c>
      <c r="G184" s="22" t="inlineStr">
        <is>
          <t>SK하이닉스</t>
        </is>
      </c>
      <c r="H184" s="23" t="n">
        <v>0.2293000030517578</v>
      </c>
      <c r="I184" s="36" t="inlineStr">
        <is>
          <t>삼성전자우</t>
        </is>
      </c>
      <c r="J184" s="17" t="n">
        <v>0.04010000228881836</v>
      </c>
      <c r="K184" s="20" t="inlineStr">
        <is>
          <t>SK스퀘어</t>
        </is>
      </c>
      <c r="L184" s="21" t="n">
        <v>0.02650000095367432</v>
      </c>
      <c r="M184" s="20" t="inlineStr">
        <is>
          <t>현대차</t>
        </is>
      </c>
      <c r="N184" s="21" t="n">
        <v>0.02109999895095825</v>
      </c>
      <c r="O184" s="36" t="inlineStr">
        <is>
          <t>KB금융</t>
        </is>
      </c>
      <c r="P184" s="17" t="n">
        <v>0.01690000057220459</v>
      </c>
      <c r="Q184" s="20" t="inlineStr">
        <is>
          <t>두산에너빌리티</t>
        </is>
      </c>
      <c r="R184" s="21" t="n">
        <v>0.01679999947547912</v>
      </c>
      <c r="S184" s="36" t="inlineStr">
        <is>
          <t>삼성전기</t>
        </is>
      </c>
      <c r="T184" s="17" t="n">
        <v>0.015</v>
      </c>
      <c r="U184" s="36" t="inlineStr">
        <is>
          <t>한화에어로스페이스</t>
        </is>
      </c>
      <c r="V184" s="17" t="n">
        <v>0.01440000057220459</v>
      </c>
      <c r="W184" s="36" t="inlineStr">
        <is>
          <t>신한지주</t>
        </is>
      </c>
      <c r="X184" s="17" t="n">
        <v>0.01259999990463257</v>
      </c>
    </row>
    <row r="185" ht="16" customHeight="1">
      <c r="A185" s="36" t="inlineStr">
        <is>
          <t>TIGER 코리아TOP10</t>
        </is>
      </c>
      <c r="B185" s="15" t="inlineStr">
        <is>
          <t>292150</t>
        </is>
      </c>
      <c r="C185" s="36" t="inlineStr"/>
      <c r="D185" s="19" t="n">
        <v>0</v>
      </c>
      <c r="E185" s="22" t="inlineStr">
        <is>
          <t>SK하이닉스</t>
        </is>
      </c>
      <c r="F185" s="23" t="n">
        <v>0.3178000068664551</v>
      </c>
      <c r="G185" s="20" t="inlineStr">
        <is>
          <t>삼성전자</t>
        </is>
      </c>
      <c r="H185" s="21" t="n">
        <v>0.2520999908447266</v>
      </c>
      <c r="I185" s="20" t="inlineStr">
        <is>
          <t>현대차</t>
        </is>
      </c>
      <c r="J185" s="21" t="n">
        <v>0.08689999580383301</v>
      </c>
      <c r="K185" s="20" t="inlineStr">
        <is>
          <t>두산에너빌리티</t>
        </is>
      </c>
      <c r="L185" s="21" t="n">
        <v>0.06630000114440918</v>
      </c>
      <c r="M185" s="36" t="inlineStr">
        <is>
          <t>한화에어로스페이스</t>
        </is>
      </c>
      <c r="N185" s="17" t="n">
        <v>0.05980000019073486</v>
      </c>
      <c r="O185" s="36" t="inlineStr">
        <is>
          <t>KB금융</t>
        </is>
      </c>
      <c r="P185" s="17" t="n">
        <v>0.05579999923706055</v>
      </c>
      <c r="Q185" s="22" t="inlineStr">
        <is>
          <t>기아</t>
        </is>
      </c>
      <c r="R185" s="23" t="n">
        <v>0.04570000171661377</v>
      </c>
      <c r="S185" s="36" t="inlineStr">
        <is>
          <t>신한지주</t>
        </is>
      </c>
      <c r="T185" s="17" t="n">
        <v>0.04360000133514404</v>
      </c>
      <c r="U185" s="22" t="inlineStr">
        <is>
          <t>셀트리온</t>
        </is>
      </c>
      <c r="V185" s="23" t="n">
        <v>0.03680000066757202</v>
      </c>
      <c r="W185" s="20" t="inlineStr">
        <is>
          <t>NAVER</t>
        </is>
      </c>
      <c r="X185" s="21" t="n">
        <v>0.0325</v>
      </c>
    </row>
    <row r="186" ht="16" customHeight="1">
      <c r="A186" s="36" t="inlineStr">
        <is>
          <t>SOL 조선TOP3플러스</t>
        </is>
      </c>
      <c r="B186" s="15" t="inlineStr">
        <is>
          <t>466920</t>
        </is>
      </c>
      <c r="C186" s="36" t="inlineStr"/>
      <c r="D186" s="19" t="n">
        <v>0</v>
      </c>
      <c r="E186" s="36" t="inlineStr">
        <is>
          <t>HD현대중공업</t>
        </is>
      </c>
      <c r="F186" s="17" t="n">
        <v>0.2659000015258789</v>
      </c>
      <c r="G186" s="36" t="inlineStr">
        <is>
          <t>삼성중공업</t>
        </is>
      </c>
      <c r="H186" s="17" t="n">
        <v>0.2404000091552734</v>
      </c>
      <c r="I186" s="36" t="inlineStr">
        <is>
          <t>한화오션</t>
        </is>
      </c>
      <c r="J186" s="17" t="n">
        <v>0.2146999931335449</v>
      </c>
      <c r="K186" s="36" t="inlineStr">
        <is>
          <t>HD한국조선해양</t>
        </is>
      </c>
      <c r="L186" s="17" t="n">
        <v>0.1544999980926514</v>
      </c>
      <c r="M186" s="36" t="inlineStr">
        <is>
          <t>한화엔진</t>
        </is>
      </c>
      <c r="N186" s="17" t="n">
        <v>0.0352999997138977</v>
      </c>
      <c r="O186" s="20" t="inlineStr">
        <is>
          <t>HD현대마린솔루션</t>
        </is>
      </c>
      <c r="P186" s="21" t="n">
        <v>0.02880000114440918</v>
      </c>
      <c r="Q186" s="36" t="inlineStr">
        <is>
          <t>HD현대마린엔진</t>
        </is>
      </c>
      <c r="R186" s="17" t="n">
        <v>0.01710000038146973</v>
      </c>
      <c r="S186" s="36" t="inlineStr">
        <is>
          <t>한국카본</t>
        </is>
      </c>
      <c r="T186" s="17" t="n">
        <v>0.01129999995231628</v>
      </c>
      <c r="U186" s="36" t="inlineStr">
        <is>
          <t>대한조선</t>
        </is>
      </c>
      <c r="V186" s="17" t="n">
        <v>0.006800000071525574</v>
      </c>
      <c r="W186" s="36" t="inlineStr">
        <is>
          <t>STX엔진</t>
        </is>
      </c>
      <c r="X186" s="17" t="n">
        <v>0.006600000262260437</v>
      </c>
    </row>
    <row r="187" ht="16" customHeight="1">
      <c r="A187" s="36" t="inlineStr">
        <is>
          <t>TIGER 코스닥150</t>
        </is>
      </c>
      <c r="B187" s="15" t="inlineStr">
        <is>
          <t>232080</t>
        </is>
      </c>
      <c r="C187" s="36" t="inlineStr"/>
      <c r="D187" s="19" t="n">
        <v>0</v>
      </c>
      <c r="E187" s="36" t="inlineStr">
        <is>
          <t>알테오젠</t>
        </is>
      </c>
      <c r="F187" s="17" t="n">
        <v>0.06820000171661376</v>
      </c>
      <c r="G187" s="36" t="inlineStr">
        <is>
          <t>에코프로</t>
        </is>
      </c>
      <c r="H187" s="17" t="n">
        <v>0.0680999994277954</v>
      </c>
      <c r="I187" s="36" t="inlineStr">
        <is>
          <t>에코프로비엠</t>
        </is>
      </c>
      <c r="J187" s="17" t="n">
        <v>0.05170000076293945</v>
      </c>
      <c r="K187" s="36" t="inlineStr">
        <is>
          <t>HLB</t>
        </is>
      </c>
      <c r="L187" s="17" t="n">
        <v>0.03180000066757202</v>
      </c>
      <c r="M187" s="36" t="inlineStr">
        <is>
          <t>리노공업</t>
        </is>
      </c>
      <c r="N187" s="17" t="n">
        <v>0.02609999895095825</v>
      </c>
      <c r="O187" s="36" t="inlineStr">
        <is>
          <t>펩트론</t>
        </is>
      </c>
      <c r="P187" s="17" t="n">
        <v>0.02599999904632568</v>
      </c>
      <c r="Q187" s="36" t="inlineStr">
        <is>
          <t>삼천당제약</t>
        </is>
      </c>
      <c r="R187" s="17" t="n">
        <v>0.02460000038146973</v>
      </c>
      <c r="S187" s="36" t="inlineStr">
        <is>
          <t>에이비엘바이오</t>
        </is>
      </c>
      <c r="T187" s="17" t="n">
        <v>0.02440000057220459</v>
      </c>
      <c r="U187" s="36" t="inlineStr">
        <is>
          <t>레인보우로보틱스</t>
        </is>
      </c>
      <c r="V187" s="17" t="n">
        <v>0.02319999933242798</v>
      </c>
      <c r="W187" s="36" t="inlineStr">
        <is>
          <t>리가켐바이오</t>
        </is>
      </c>
      <c r="X187" s="17" t="n">
        <v>0.02089999914169311</v>
      </c>
    </row>
    <row r="188" ht="16" customHeight="1">
      <c r="A188" s="36" t="inlineStr">
        <is>
          <t>KIWOOM 200TR</t>
        </is>
      </c>
      <c r="B188" s="15" t="inlineStr">
        <is>
          <t>294400</t>
        </is>
      </c>
      <c r="C188" s="36" t="inlineStr"/>
      <c r="D188" s="19" t="n">
        <v>0</v>
      </c>
      <c r="E188" s="20" t="inlineStr">
        <is>
          <t>삼성전자</t>
        </is>
      </c>
      <c r="F188" s="21" t="n">
        <v>0.3063999938964844</v>
      </c>
      <c r="G188" s="22" t="inlineStr">
        <is>
          <t>SK하이닉스</t>
        </is>
      </c>
      <c r="H188" s="23" t="n">
        <v>0.2270000076293945</v>
      </c>
      <c r="I188" s="20" t="inlineStr">
        <is>
          <t>SK스퀘어</t>
        </is>
      </c>
      <c r="J188" s="21" t="n">
        <v>0.02579999923706055</v>
      </c>
      <c r="K188" s="20" t="inlineStr">
        <is>
          <t>현대차</t>
        </is>
      </c>
      <c r="L188" s="21" t="n">
        <v>0.02099999904632568</v>
      </c>
      <c r="M188" s="20" t="inlineStr">
        <is>
          <t>두산에너빌리티</t>
        </is>
      </c>
      <c r="N188" s="21" t="n">
        <v>0.01570000052452087</v>
      </c>
      <c r="O188" s="36" t="inlineStr">
        <is>
          <t>삼성전기</t>
        </is>
      </c>
      <c r="P188" s="17" t="n">
        <v>0.01450000047683716</v>
      </c>
      <c r="Q188" s="36" t="inlineStr">
        <is>
          <t>KB금융</t>
        </is>
      </c>
      <c r="R188" s="17" t="n">
        <v>0.01450000047683716</v>
      </c>
      <c r="S188" s="36" t="inlineStr">
        <is>
          <t>한화에어로스페이스</t>
        </is>
      </c>
      <c r="T188" s="17" t="n">
        <v>0.01360000014305115</v>
      </c>
      <c r="U188" s="36" t="inlineStr">
        <is>
          <t>삼성SDI</t>
        </is>
      </c>
      <c r="V188" s="17" t="n">
        <v>0.01210000038146973</v>
      </c>
      <c r="W188" s="36" t="inlineStr">
        <is>
          <t>신한지주</t>
        </is>
      </c>
      <c r="X188" s="17" t="n">
        <v>0.01149999976158142</v>
      </c>
    </row>
    <row r="189" ht="16" customHeight="1">
      <c r="A189" s="36" t="inlineStr">
        <is>
          <t>PLUS K방산</t>
        </is>
      </c>
      <c r="B189" s="15" t="inlineStr">
        <is>
          <t>449450</t>
        </is>
      </c>
      <c r="C189" s="36" t="inlineStr"/>
      <c r="D189" s="19" t="n">
        <v>0</v>
      </c>
      <c r="E189" s="36" t="inlineStr">
        <is>
          <t>한화에어로스페이스</t>
        </is>
      </c>
      <c r="F189" s="17" t="n">
        <v>0.1968000030517578</v>
      </c>
      <c r="G189" s="36" t="inlineStr">
        <is>
          <t>현대로템</t>
        </is>
      </c>
      <c r="H189" s="17" t="n">
        <v>0.1831999969482422</v>
      </c>
      <c r="I189" s="36" t="inlineStr">
        <is>
          <t>LIG디펜스앤에어로스페이스</t>
        </is>
      </c>
      <c r="J189" s="17" t="n">
        <v>0.1615999984741211</v>
      </c>
      <c r="K189" s="36" t="inlineStr">
        <is>
          <t>한국항공우주</t>
        </is>
      </c>
      <c r="L189" s="17" t="n">
        <v>0.1606999969482422</v>
      </c>
      <c r="M189" s="36" t="inlineStr">
        <is>
          <t>한화오션</t>
        </is>
      </c>
      <c r="N189" s="17" t="n">
        <v>0.1431999969482422</v>
      </c>
      <c r="O189" s="36" t="inlineStr">
        <is>
          <t>한화시스템</t>
        </is>
      </c>
      <c r="P189" s="17" t="n">
        <v>0.1094999980926514</v>
      </c>
      <c r="Q189" s="36" t="inlineStr">
        <is>
          <t>풍산</t>
        </is>
      </c>
      <c r="R189" s="17" t="n">
        <v>0.0222000002861023</v>
      </c>
      <c r="S189" s="36" t="inlineStr">
        <is>
          <t>STX엔진</t>
        </is>
      </c>
      <c r="T189" s="17" t="n">
        <v>0.01159999966621399</v>
      </c>
      <c r="U189" s="36" t="inlineStr">
        <is>
          <t>SNT다이내믹스</t>
        </is>
      </c>
      <c r="V189" s="17" t="n">
        <v>0.00550000011920929</v>
      </c>
      <c r="W189" s="36" t="inlineStr">
        <is>
          <t>엠앤씨솔루션</t>
        </is>
      </c>
      <c r="X189" s="17" t="n">
        <v>0.003300000131130219</v>
      </c>
    </row>
    <row r="190" ht="16" customHeight="1">
      <c r="A190" s="36" t="inlineStr">
        <is>
          <t>ACE 200</t>
        </is>
      </c>
      <c r="B190" s="15" t="inlineStr">
        <is>
          <t>105190</t>
        </is>
      </c>
      <c r="C190" s="36" t="inlineStr"/>
      <c r="D190" s="19" t="n">
        <v>0</v>
      </c>
      <c r="E190" s="20" t="inlineStr">
        <is>
          <t>삼성전자</t>
        </is>
      </c>
      <c r="F190" s="21" t="n">
        <v>0.3018000030517578</v>
      </c>
      <c r="G190" s="22" t="inlineStr">
        <is>
          <t>SK하이닉스</t>
        </is>
      </c>
      <c r="H190" s="23" t="n">
        <v>0.223700008392334</v>
      </c>
      <c r="I190" s="20" t="inlineStr">
        <is>
          <t>SK스퀘어</t>
        </is>
      </c>
      <c r="J190" s="21" t="n">
        <v>0.02559999942779541</v>
      </c>
      <c r="K190" s="20" t="inlineStr">
        <is>
          <t>현대차</t>
        </is>
      </c>
      <c r="L190" s="21" t="n">
        <v>0.02069999933242798</v>
      </c>
      <c r="M190" s="36" t="inlineStr">
        <is>
          <t>원화현금</t>
        </is>
      </c>
      <c r="N190" s="17" t="n">
        <v>0.01769999980926514</v>
      </c>
      <c r="O190" s="20" t="inlineStr">
        <is>
          <t>두산에너빌리티</t>
        </is>
      </c>
      <c r="P190" s="21" t="n">
        <v>0.01559999942779541</v>
      </c>
      <c r="Q190" s="36" t="inlineStr">
        <is>
          <t>삼성전기</t>
        </is>
      </c>
      <c r="R190" s="17" t="n">
        <v>0.01440000057220459</v>
      </c>
      <c r="S190" s="36" t="inlineStr">
        <is>
          <t>KB금융</t>
        </is>
      </c>
      <c r="T190" s="17" t="n">
        <v>0.01429999947547913</v>
      </c>
      <c r="U190" s="36" t="inlineStr">
        <is>
          <t>한화에어로스페이스</t>
        </is>
      </c>
      <c r="V190" s="17" t="n">
        <v>0.01360000014305115</v>
      </c>
      <c r="W190" s="36" t="inlineStr">
        <is>
          <t>삼성SDI</t>
        </is>
      </c>
      <c r="X190" s="17" t="n">
        <v>0.01210000038146973</v>
      </c>
    </row>
    <row r="191" ht="16" customHeight="1">
      <c r="A191" s="36" t="inlineStr">
        <is>
          <t>PLUS 200</t>
        </is>
      </c>
      <c r="B191" s="15" t="inlineStr">
        <is>
          <t>152100</t>
        </is>
      </c>
      <c r="C191" s="36" t="inlineStr"/>
      <c r="D191" s="19" t="n">
        <v>0</v>
      </c>
      <c r="E191" s="20" t="inlineStr">
        <is>
          <t>삼성전자</t>
        </is>
      </c>
      <c r="F191" s="21" t="n">
        <v>0.306299991607666</v>
      </c>
      <c r="G191" s="22" t="inlineStr">
        <is>
          <t>SK하이닉스</t>
        </is>
      </c>
      <c r="H191" s="23" t="n">
        <v>0.2271999931335449</v>
      </c>
      <c r="I191" s="20" t="inlineStr">
        <is>
          <t>SK스퀘어</t>
        </is>
      </c>
      <c r="J191" s="21" t="n">
        <v>0.02579999923706055</v>
      </c>
      <c r="K191" s="20" t="inlineStr">
        <is>
          <t>현대차</t>
        </is>
      </c>
      <c r="L191" s="21" t="n">
        <v>0.02109999895095825</v>
      </c>
      <c r="M191" s="20" t="inlineStr">
        <is>
          <t>두산에너빌리티</t>
        </is>
      </c>
      <c r="N191" s="21" t="n">
        <v>0.01580000042915344</v>
      </c>
      <c r="O191" s="36" t="inlineStr">
        <is>
          <t>삼성전기</t>
        </is>
      </c>
      <c r="P191" s="17" t="n">
        <v>0.01460000038146973</v>
      </c>
      <c r="Q191" s="36" t="inlineStr">
        <is>
          <t>KB금융</t>
        </is>
      </c>
      <c r="R191" s="17" t="n">
        <v>0.01450000047683716</v>
      </c>
      <c r="S191" s="36" t="inlineStr">
        <is>
          <t>한화에어로스페이스</t>
        </is>
      </c>
      <c r="T191" s="17" t="n">
        <v>0.01370000004768371</v>
      </c>
      <c r="U191" s="36" t="inlineStr">
        <is>
          <t>삼성SDI</t>
        </is>
      </c>
      <c r="V191" s="17" t="n">
        <v>0.0122000002861023</v>
      </c>
      <c r="W191" s="36" t="inlineStr">
        <is>
          <t>신한지주</t>
        </is>
      </c>
      <c r="X191" s="17" t="n">
        <v>0.01159999966621399</v>
      </c>
    </row>
    <row r="192" ht="16" customHeight="1">
      <c r="A192" s="36" t="inlineStr">
        <is>
          <t>KODEX Top5PlusTR</t>
        </is>
      </c>
      <c r="B192" s="15" t="inlineStr">
        <is>
          <t>315930</t>
        </is>
      </c>
      <c r="C192" s="36" t="inlineStr"/>
      <c r="D192" s="19" t="n">
        <v>0</v>
      </c>
      <c r="E192" s="22" t="inlineStr">
        <is>
          <t>SK하이닉스</t>
        </is>
      </c>
      <c r="F192" s="23" t="n">
        <v>0.3486999893188477</v>
      </c>
      <c r="G192" s="20" t="inlineStr">
        <is>
          <t>삼성전자</t>
        </is>
      </c>
      <c r="H192" s="21" t="n">
        <v>0.2926000022888184</v>
      </c>
      <c r="I192" s="20" t="inlineStr">
        <is>
          <t>현대차</t>
        </is>
      </c>
      <c r="J192" s="21" t="n">
        <v>0.08090000152587891</v>
      </c>
      <c r="K192" s="36" t="inlineStr">
        <is>
          <t>KB금융</t>
        </is>
      </c>
      <c r="L192" s="17" t="n">
        <v>0.05309999942779541</v>
      </c>
      <c r="M192" s="22" t="inlineStr">
        <is>
          <t>기아</t>
        </is>
      </c>
      <c r="N192" s="23" t="n">
        <v>0.0428000020980835</v>
      </c>
      <c r="O192" s="36" t="inlineStr">
        <is>
          <t>신한지주</t>
        </is>
      </c>
      <c r="P192" s="17" t="n">
        <v>0.04139999866485596</v>
      </c>
      <c r="Q192" s="20" t="inlineStr">
        <is>
          <t>POSCO홀딩스</t>
        </is>
      </c>
      <c r="R192" s="21" t="n">
        <v>0.03730000019073487</v>
      </c>
      <c r="S192" s="36" t="inlineStr">
        <is>
          <t>하나금융지주</t>
        </is>
      </c>
      <c r="T192" s="17" t="n">
        <v>0.03420000076293946</v>
      </c>
      <c r="U192" s="22" t="inlineStr">
        <is>
          <t>셀트리온</t>
        </is>
      </c>
      <c r="V192" s="23" t="n">
        <v>0.03410000085830688</v>
      </c>
      <c r="W192" s="20" t="inlineStr">
        <is>
          <t>NAVER</t>
        </is>
      </c>
      <c r="X192" s="21" t="n">
        <v>0.03029999971389771</v>
      </c>
    </row>
    <row r="193" ht="16" customHeight="1">
      <c r="A193" s="36" t="inlineStr">
        <is>
          <t>TIGER 2차전지테마</t>
        </is>
      </c>
      <c r="B193" s="15" t="inlineStr">
        <is>
          <t>305540</t>
        </is>
      </c>
      <c r="C193" s="36" t="inlineStr"/>
      <c r="D193" s="19" t="n">
        <v>0</v>
      </c>
      <c r="E193" s="36" t="inlineStr">
        <is>
          <t>삼성SDI</t>
        </is>
      </c>
      <c r="F193" s="17" t="n">
        <v>0.1765999984741211</v>
      </c>
      <c r="G193" s="20" t="inlineStr">
        <is>
          <t>POSCO홀딩스</t>
        </is>
      </c>
      <c r="H193" s="21" t="n">
        <v>0.1577000045776367</v>
      </c>
      <c r="I193" s="20" t="inlineStr">
        <is>
          <t>LG화학</t>
        </is>
      </c>
      <c r="J193" s="21" t="n">
        <v>0.141899995803833</v>
      </c>
      <c r="K193" s="36" t="inlineStr">
        <is>
          <t>LG에너지솔루션</t>
        </is>
      </c>
      <c r="L193" s="17" t="n">
        <v>0.14</v>
      </c>
      <c r="M193" s="22" t="inlineStr">
        <is>
          <t>SK이노베이션</t>
        </is>
      </c>
      <c r="N193" s="23" t="n">
        <v>0.07000000000000001</v>
      </c>
      <c r="O193" s="36" t="inlineStr">
        <is>
          <t>포스코퓨처엠</t>
        </is>
      </c>
      <c r="P193" s="17" t="n">
        <v>0.06679999828338623</v>
      </c>
      <c r="Q193" s="36" t="inlineStr">
        <is>
          <t>에코프로</t>
        </is>
      </c>
      <c r="R193" s="17" t="n">
        <v>0.05989999771118164</v>
      </c>
      <c r="S193" s="36" t="inlineStr">
        <is>
          <t>에코프로비엠</t>
        </is>
      </c>
      <c r="T193" s="17" t="n">
        <v>0.0596999979019165</v>
      </c>
      <c r="U193" s="36" t="inlineStr">
        <is>
          <t>엘앤에프</t>
        </is>
      </c>
      <c r="V193" s="17" t="n">
        <v>0.02470000028610229</v>
      </c>
      <c r="W193" s="36" t="inlineStr">
        <is>
          <t>SKC</t>
        </is>
      </c>
      <c r="X193" s="17" t="n">
        <v>0.01720000028610229</v>
      </c>
    </row>
    <row r="194" ht="16" customHeight="1">
      <c r="A194" s="36" t="inlineStr">
        <is>
          <t>TIGER 배당커버드콜액티브</t>
        </is>
      </c>
      <c r="B194" s="15" t="inlineStr">
        <is>
          <t>472150</t>
        </is>
      </c>
      <c r="C194" s="36" t="inlineStr"/>
      <c r="D194" s="19" t="n">
        <v>0</v>
      </c>
      <c r="E194" s="20" t="inlineStr">
        <is>
          <t>삼성전자</t>
        </is>
      </c>
      <c r="F194" s="21" t="n">
        <v>0.2096999931335449</v>
      </c>
      <c r="G194" s="22" t="inlineStr">
        <is>
          <t>SK하이닉스</t>
        </is>
      </c>
      <c r="H194" s="23" t="n">
        <v>0.2084000015258789</v>
      </c>
      <c r="I194" s="36" t="inlineStr">
        <is>
          <t>삼성전자우</t>
        </is>
      </c>
      <c r="J194" s="17" t="n">
        <v>0.06360000133514404</v>
      </c>
      <c r="K194" s="36" t="inlineStr">
        <is>
          <t>TIGER 200</t>
        </is>
      </c>
      <c r="L194" s="17" t="n">
        <v>0.05159999847412109</v>
      </c>
      <c r="M194" s="36" t="inlineStr">
        <is>
          <t>TIGER 200타겟위클리커버드콜</t>
        </is>
      </c>
      <c r="N194" s="17" t="n">
        <v>0.03890000104904175</v>
      </c>
      <c r="O194" s="36" t="inlineStr">
        <is>
          <t>LS ELECTRIC</t>
        </is>
      </c>
      <c r="P194" s="17" t="n">
        <v>0.02740000009536743</v>
      </c>
      <c r="Q194" s="20" t="inlineStr">
        <is>
          <t>현대차</t>
        </is>
      </c>
      <c r="R194" s="21" t="n">
        <v>0.02279999971389771</v>
      </c>
      <c r="S194" s="36" t="inlineStr">
        <is>
          <t>한화에어로스페이스</t>
        </is>
      </c>
      <c r="T194" s="17" t="n">
        <v>0.02059999942779541</v>
      </c>
      <c r="U194" s="36" t="inlineStr">
        <is>
          <t>하나금융지주</t>
        </is>
      </c>
      <c r="V194" s="17" t="n">
        <v>0.01850000023841858</v>
      </c>
      <c r="W194" s="20" t="inlineStr">
        <is>
          <t>SK스퀘어</t>
        </is>
      </c>
      <c r="X194" s="21" t="n">
        <v>0.01840000033378601</v>
      </c>
    </row>
    <row r="195" ht="16" customHeight="1">
      <c r="A195" s="36" t="inlineStr">
        <is>
          <t>TIGER 200 IT</t>
        </is>
      </c>
      <c r="B195" s="15" t="inlineStr">
        <is>
          <t>139260</t>
        </is>
      </c>
      <c r="C195" s="36" t="inlineStr"/>
      <c r="D195" s="19" t="n">
        <v>0</v>
      </c>
      <c r="E195" s="22" t="inlineStr">
        <is>
          <t>SK하이닉스</t>
        </is>
      </c>
      <c r="F195" s="23" t="n">
        <v>0.225</v>
      </c>
      <c r="G195" s="20" t="inlineStr">
        <is>
          <t>SK스퀘어</t>
        </is>
      </c>
      <c r="H195" s="21" t="n">
        <v>0.2064999961853027</v>
      </c>
      <c r="I195" s="20" t="inlineStr">
        <is>
          <t>삼성전자</t>
        </is>
      </c>
      <c r="J195" s="21" t="n">
        <v>0.18</v>
      </c>
      <c r="K195" s="36" t="inlineStr">
        <is>
          <t>삼성전기</t>
        </is>
      </c>
      <c r="L195" s="17" t="n">
        <v>0.1164999961853027</v>
      </c>
      <c r="M195" s="36" t="inlineStr">
        <is>
          <t>삼성SDI</t>
        </is>
      </c>
      <c r="N195" s="17" t="n">
        <v>0.0975</v>
      </c>
      <c r="O195" s="22" t="inlineStr">
        <is>
          <t>한미반도체</t>
        </is>
      </c>
      <c r="P195" s="23" t="n">
        <v>0.03640000104904175</v>
      </c>
      <c r="Q195" s="36" t="inlineStr">
        <is>
          <t>LG전자</t>
        </is>
      </c>
      <c r="R195" s="17" t="n">
        <v>0.03539999961853027</v>
      </c>
      <c r="S195" s="36" t="inlineStr">
        <is>
          <t>LG</t>
        </is>
      </c>
      <c r="T195" s="17" t="n">
        <v>0.02140000104904175</v>
      </c>
      <c r="U195" s="36" t="inlineStr">
        <is>
          <t>LG이노텍</t>
        </is>
      </c>
      <c r="V195" s="17" t="n">
        <v>0.01970000028610229</v>
      </c>
      <c r="W195" s="36" t="inlineStr">
        <is>
          <t>이수페타시스</t>
        </is>
      </c>
      <c r="X195" s="17" t="n">
        <v>0.01870000004768372</v>
      </c>
    </row>
    <row r="196" ht="16" customHeight="1">
      <c r="A196" s="36" t="inlineStr">
        <is>
          <t>SOL AI반도체소부장</t>
        </is>
      </c>
      <c r="B196" s="15" t="inlineStr">
        <is>
          <t>455850</t>
        </is>
      </c>
      <c r="C196" s="36" t="inlineStr"/>
      <c r="D196" s="19" t="n">
        <v>0</v>
      </c>
      <c r="E196" s="22" t="inlineStr">
        <is>
          <t>한미반도체</t>
        </is>
      </c>
      <c r="F196" s="23" t="n">
        <v>0.2329999923706055</v>
      </c>
      <c r="G196" s="36" t="inlineStr">
        <is>
          <t>이수페타시스</t>
        </is>
      </c>
      <c r="H196" s="17" t="n">
        <v>0.1097999954223633</v>
      </c>
      <c r="I196" s="36" t="inlineStr">
        <is>
          <t>리노공업</t>
        </is>
      </c>
      <c r="J196" s="17" t="n">
        <v>0.08670000076293945</v>
      </c>
      <c r="K196" s="36" t="inlineStr">
        <is>
          <t>주성엔지니어링</t>
        </is>
      </c>
      <c r="L196" s="17" t="n">
        <v>0.06260000228881836</v>
      </c>
      <c r="M196" s="36" t="inlineStr">
        <is>
          <t>원익IPS</t>
        </is>
      </c>
      <c r="N196" s="17" t="n">
        <v>0.0575</v>
      </c>
      <c r="O196" s="36" t="inlineStr">
        <is>
          <t>이오테크닉스</t>
        </is>
      </c>
      <c r="P196" s="17" t="n">
        <v>0.05730000019073486</v>
      </c>
      <c r="Q196" s="36" t="inlineStr">
        <is>
          <t>SKC</t>
        </is>
      </c>
      <c r="R196" s="17" t="n">
        <v>0.04519999980926514</v>
      </c>
      <c r="S196" s="36" t="inlineStr">
        <is>
          <t>HPSP</t>
        </is>
      </c>
      <c r="T196" s="17" t="n">
        <v>0.03869999885559082</v>
      </c>
      <c r="U196" s="36" t="inlineStr">
        <is>
          <t>ISC</t>
        </is>
      </c>
      <c r="V196" s="17" t="n">
        <v>0.03740000009536743</v>
      </c>
      <c r="W196" s="36" t="inlineStr">
        <is>
          <t>한솔케미칼</t>
        </is>
      </c>
      <c r="X196" s="17" t="n">
        <v>0.03740000009536743</v>
      </c>
    </row>
    <row r="197" ht="16" customHeight="1">
      <c r="A197" s="36" t="inlineStr">
        <is>
          <t>TIGER 반도체</t>
        </is>
      </c>
      <c r="B197" s="15" t="inlineStr">
        <is>
          <t>091230</t>
        </is>
      </c>
      <c r="C197" s="36" t="inlineStr"/>
      <c r="D197" s="19" t="n">
        <v>0</v>
      </c>
      <c r="E197" s="22" t="inlineStr">
        <is>
          <t>SK하이닉스</t>
        </is>
      </c>
      <c r="F197" s="23" t="n">
        <v>0.3025</v>
      </c>
      <c r="G197" s="20" t="inlineStr">
        <is>
          <t>삼성전자</t>
        </is>
      </c>
      <c r="H197" s="21" t="n">
        <v>0.1993000030517578</v>
      </c>
      <c r="I197" s="22" t="inlineStr">
        <is>
          <t>한미반도체</t>
        </is>
      </c>
      <c r="J197" s="23" t="n">
        <v>0.1018000030517578</v>
      </c>
      <c r="K197" s="36" t="inlineStr">
        <is>
          <t>리노공업</t>
        </is>
      </c>
      <c r="L197" s="17" t="n">
        <v>0.03789999961853027</v>
      </c>
      <c r="M197" s="36" t="inlineStr">
        <is>
          <t>DB하이텍</t>
        </is>
      </c>
      <c r="N197" s="17" t="n">
        <v>0.03130000114440918</v>
      </c>
      <c r="O197" s="36" t="inlineStr">
        <is>
          <t>원익IPS</t>
        </is>
      </c>
      <c r="P197" s="17" t="n">
        <v>0.02589999914169312</v>
      </c>
      <c r="Q197" s="36" t="inlineStr">
        <is>
          <t>주성엔지니어링</t>
        </is>
      </c>
      <c r="R197" s="17" t="n">
        <v>0.02579999923706055</v>
      </c>
      <c r="S197" s="36" t="inlineStr">
        <is>
          <t>이오테크닉스</t>
        </is>
      </c>
      <c r="T197" s="17" t="n">
        <v>0.02509999990463257</v>
      </c>
      <c r="U197" s="36" t="inlineStr">
        <is>
          <t>파두</t>
        </is>
      </c>
      <c r="V197" s="17" t="n">
        <v>0.01860000014305115</v>
      </c>
      <c r="W197" s="36" t="inlineStr">
        <is>
          <t>HPSP</t>
        </is>
      </c>
      <c r="X197" s="17" t="n">
        <v>0.01639999985694885</v>
      </c>
    </row>
    <row r="198" ht="16" customHeight="1">
      <c r="A198" s="36" t="inlineStr">
        <is>
          <t>KODEX 증권</t>
        </is>
      </c>
      <c r="B198" s="15" t="inlineStr">
        <is>
          <t>102970</t>
        </is>
      </c>
      <c r="C198" s="36" t="inlineStr"/>
      <c r="D198" s="19" t="n">
        <v>0</v>
      </c>
      <c r="E198" s="20" t="inlineStr">
        <is>
          <t>미래에셋증권</t>
        </is>
      </c>
      <c r="F198" s="21" t="n">
        <v>0.3136000061035156</v>
      </c>
      <c r="G198" s="36" t="inlineStr">
        <is>
          <t>삼성증권</t>
        </is>
      </c>
      <c r="H198" s="17" t="n">
        <v>0.1728000068664551</v>
      </c>
      <c r="I198" s="36" t="inlineStr">
        <is>
          <t>한국금융지주</t>
        </is>
      </c>
      <c r="J198" s="17" t="n">
        <v>0.1720999908447266</v>
      </c>
      <c r="K198" s="36" t="inlineStr">
        <is>
          <t>키움증권</t>
        </is>
      </c>
      <c r="L198" s="17" t="n">
        <v>0.1217000007629395</v>
      </c>
      <c r="M198" s="22" t="inlineStr">
        <is>
          <t>NH투자증권</t>
        </is>
      </c>
      <c r="N198" s="23" t="n">
        <v>0.1081999969482422</v>
      </c>
      <c r="O198" s="36" t="inlineStr">
        <is>
          <t>대신증권</t>
        </is>
      </c>
      <c r="P198" s="17" t="n">
        <v>0.02160000085830689</v>
      </c>
      <c r="Q198" s="36" t="inlineStr">
        <is>
          <t>신영증권</t>
        </is>
      </c>
      <c r="R198" s="17" t="n">
        <v>0.01889999985694885</v>
      </c>
      <c r="S198" s="36" t="inlineStr">
        <is>
          <t>한화투자증권</t>
        </is>
      </c>
      <c r="T198" s="17" t="n">
        <v>0.01820000052452088</v>
      </c>
      <c r="U198" s="36" t="inlineStr">
        <is>
          <t>SK증권</t>
        </is>
      </c>
      <c r="V198" s="17" t="n">
        <v>0.01740000009536743</v>
      </c>
      <c r="W198" s="36" t="inlineStr">
        <is>
          <t>유안타증권</t>
        </is>
      </c>
      <c r="X198" s="17" t="n">
        <v>0.01</v>
      </c>
    </row>
    <row r="199" ht="16" customHeight="1">
      <c r="A199" s="36" t="inlineStr">
        <is>
          <t>KODEX 200액티브</t>
        </is>
      </c>
      <c r="B199" s="15" t="inlineStr">
        <is>
          <t>494890</t>
        </is>
      </c>
      <c r="C199" s="36" t="inlineStr"/>
      <c r="D199" s="19" t="n">
        <v>0</v>
      </c>
      <c r="E199" s="20" t="inlineStr">
        <is>
          <t>삼성전자</t>
        </is>
      </c>
      <c r="F199" s="21" t="n">
        <v>0.3090999984741211</v>
      </c>
      <c r="G199" s="22" t="inlineStr">
        <is>
          <t>SK하이닉스</t>
        </is>
      </c>
      <c r="H199" s="23" t="n">
        <v>0.2267000007629394</v>
      </c>
      <c r="I199" s="20" t="inlineStr">
        <is>
          <t>SK스퀘어</t>
        </is>
      </c>
      <c r="J199" s="21" t="n">
        <v>0.02690000057220459</v>
      </c>
      <c r="K199" s="20" t="inlineStr">
        <is>
          <t>현대차</t>
        </is>
      </c>
      <c r="L199" s="21" t="n">
        <v>0.02089999914169311</v>
      </c>
      <c r="M199" s="20" t="inlineStr">
        <is>
          <t>두산에너빌리티</t>
        </is>
      </c>
      <c r="N199" s="21" t="n">
        <v>0.01610000014305115</v>
      </c>
      <c r="O199" s="36" t="inlineStr">
        <is>
          <t>삼성전기</t>
        </is>
      </c>
      <c r="P199" s="17" t="n">
        <v>0.01509999990463257</v>
      </c>
      <c r="Q199" s="36" t="inlineStr">
        <is>
          <t>KB금융</t>
        </is>
      </c>
      <c r="R199" s="17" t="n">
        <v>0.01460000038146973</v>
      </c>
      <c r="S199" s="36" t="inlineStr">
        <is>
          <t>한화에어로스페이스</t>
        </is>
      </c>
      <c r="T199" s="17" t="n">
        <v>0.01350000023841858</v>
      </c>
      <c r="U199" s="36" t="inlineStr">
        <is>
          <t>삼성SDI</t>
        </is>
      </c>
      <c r="V199" s="17" t="n">
        <v>0.0122000002861023</v>
      </c>
      <c r="W199" s="36" t="inlineStr">
        <is>
          <t>신한지주</t>
        </is>
      </c>
      <c r="X199" s="17" t="n">
        <v>0.01159999966621399</v>
      </c>
    </row>
    <row r="200" ht="16" customHeight="1">
      <c r="A200" s="36" t="inlineStr">
        <is>
          <t>KODEX 로봇액티브</t>
        </is>
      </c>
      <c r="B200" s="15" t="inlineStr">
        <is>
          <t>445290</t>
        </is>
      </c>
      <c r="C200" s="36" t="inlineStr"/>
      <c r="D200" s="19" t="n">
        <v>0</v>
      </c>
      <c r="E200" s="20" t="inlineStr">
        <is>
          <t>삼성전자</t>
        </is>
      </c>
      <c r="F200" s="21" t="n">
        <v>0.1089999961853027</v>
      </c>
      <c r="G200" s="36" t="inlineStr">
        <is>
          <t>로보티즈</t>
        </is>
      </c>
      <c r="H200" s="17" t="n">
        <v>0.08420000076293946</v>
      </c>
      <c r="I200" s="36" t="inlineStr">
        <is>
          <t>레인보우로보틱스</t>
        </is>
      </c>
      <c r="J200" s="17" t="n">
        <v>0.06139999866485596</v>
      </c>
      <c r="K200" s="36" t="inlineStr">
        <is>
          <t>현대오토에버</t>
        </is>
      </c>
      <c r="L200" s="17" t="n">
        <v>0.05900000095367432</v>
      </c>
      <c r="M200" s="36" t="inlineStr">
        <is>
          <t>두산로보틱스</t>
        </is>
      </c>
      <c r="N200" s="17" t="n">
        <v>0.05820000171661377</v>
      </c>
      <c r="O200" s="20" t="inlineStr">
        <is>
          <t>현대차</t>
        </is>
      </c>
      <c r="P200" s="21" t="n">
        <v>0.05730000019073486</v>
      </c>
      <c r="Q200" s="36" t="inlineStr">
        <is>
          <t>현대모비스</t>
        </is>
      </c>
      <c r="R200" s="17" t="n">
        <v>0.05550000190734863</v>
      </c>
      <c r="S200" s="22" t="inlineStr">
        <is>
          <t>SK하이닉스</t>
        </is>
      </c>
      <c r="T200" s="23" t="n">
        <v>0.0528000020980835</v>
      </c>
      <c r="U200" s="36" t="inlineStr">
        <is>
          <t>에스피지</t>
        </is>
      </c>
      <c r="V200" s="17" t="n">
        <v>0.04880000114440918</v>
      </c>
      <c r="W200" s="36" t="inlineStr">
        <is>
          <t>LG전자</t>
        </is>
      </c>
      <c r="X200" s="17" t="n">
        <v>0.04559999942779541</v>
      </c>
    </row>
    <row r="201" ht="16" customHeight="1">
      <c r="A201" s="36" t="inlineStr">
        <is>
          <t>HANARO 원자력iSelect</t>
        </is>
      </c>
      <c r="B201" s="15" t="inlineStr">
        <is>
          <t>434730</t>
        </is>
      </c>
      <c r="C201" s="36" t="inlineStr"/>
      <c r="D201" s="19" t="n">
        <v>0</v>
      </c>
      <c r="E201" s="20" t="inlineStr">
        <is>
          <t>두산에너빌리티</t>
        </is>
      </c>
      <c r="F201" s="21" t="n">
        <v>0.2264999961853027</v>
      </c>
      <c r="G201" s="36" t="inlineStr">
        <is>
          <t>HD현대일렉트릭</t>
        </is>
      </c>
      <c r="H201" s="17" t="n">
        <v>0.1810000038146973</v>
      </c>
      <c r="I201" s="36" t="inlineStr">
        <is>
          <t>LS ELECTRIC</t>
        </is>
      </c>
      <c r="J201" s="17" t="n">
        <v>0.141899995803833</v>
      </c>
      <c r="K201" s="36" t="inlineStr">
        <is>
          <t>효성중공업</t>
        </is>
      </c>
      <c r="L201" s="17" t="n">
        <v>0.1296000003814697</v>
      </c>
      <c r="M201" s="20" t="inlineStr">
        <is>
          <t>한국전력</t>
        </is>
      </c>
      <c r="N201" s="21" t="n">
        <v>0.08770000457763671</v>
      </c>
      <c r="O201" s="20" t="inlineStr">
        <is>
          <t>현대건설</t>
        </is>
      </c>
      <c r="P201" s="21" t="n">
        <v>0.07409999847412109</v>
      </c>
      <c r="Q201" s="22" t="inlineStr">
        <is>
          <t>대우건설</t>
        </is>
      </c>
      <c r="R201" s="23" t="n">
        <v>0.04039999961853027</v>
      </c>
      <c r="S201" s="36" t="inlineStr">
        <is>
          <t>산일전기</t>
        </is>
      </c>
      <c r="T201" s="17" t="n">
        <v>0.02490000009536743</v>
      </c>
      <c r="U201" s="36" t="inlineStr">
        <is>
          <t>한전기술</t>
        </is>
      </c>
      <c r="V201" s="17" t="n">
        <v>0.02130000114440918</v>
      </c>
      <c r="W201" s="36" t="inlineStr">
        <is>
          <t>우리기술</t>
        </is>
      </c>
      <c r="X201" s="17" t="n">
        <v>0.02109999895095825</v>
      </c>
    </row>
    <row r="202" ht="16" customHeight="1">
      <c r="A202" s="36" t="inlineStr">
        <is>
          <t>KODEX 코스피</t>
        </is>
      </c>
      <c r="B202" s="15" t="inlineStr">
        <is>
          <t>226490</t>
        </is>
      </c>
      <c r="C202" s="36" t="inlineStr"/>
      <c r="D202" s="19" t="n">
        <v>0</v>
      </c>
      <c r="E202" s="20" t="inlineStr">
        <is>
          <t>삼성전자</t>
        </is>
      </c>
      <c r="F202" s="21" t="n">
        <v>0.2444000053405762</v>
      </c>
      <c r="G202" s="22" t="inlineStr">
        <is>
          <t>SK하이닉스</t>
        </is>
      </c>
      <c r="H202" s="23" t="n">
        <v>0.1864999961853027</v>
      </c>
      <c r="I202" s="20" t="inlineStr">
        <is>
          <t>SK스퀘어</t>
        </is>
      </c>
      <c r="J202" s="21" t="n">
        <v>0.02390000104904175</v>
      </c>
      <c r="K202" s="36" t="inlineStr">
        <is>
          <t>LG에너지솔루션</t>
        </is>
      </c>
      <c r="L202" s="17" t="n">
        <v>0.02049999952316284</v>
      </c>
      <c r="M202" s="20" t="inlineStr">
        <is>
          <t>현대차</t>
        </is>
      </c>
      <c r="N202" s="21" t="n">
        <v>0.0202999997138977</v>
      </c>
      <c r="O202" s="20" t="inlineStr">
        <is>
          <t>두산에너빌리티</t>
        </is>
      </c>
      <c r="P202" s="21" t="n">
        <v>0.015</v>
      </c>
      <c r="Q202" s="36" t="inlineStr">
        <is>
          <t>한화에어로스페이스</t>
        </is>
      </c>
      <c r="R202" s="17" t="n">
        <v>0.01360000014305115</v>
      </c>
      <c r="S202" s="36" t="inlineStr">
        <is>
          <t>HD현대중공업</t>
        </is>
      </c>
      <c r="T202" s="17" t="n">
        <v>0.01309999942779541</v>
      </c>
      <c r="U202" s="20" t="inlineStr">
        <is>
          <t>삼성바이오로직스</t>
        </is>
      </c>
      <c r="V202" s="21" t="n">
        <v>0.01259999990463257</v>
      </c>
      <c r="W202" s="36" t="inlineStr">
        <is>
          <t>삼성전기</t>
        </is>
      </c>
      <c r="X202" s="17" t="n">
        <v>0.01259999990463257</v>
      </c>
    </row>
    <row r="203" ht="16" customHeight="1">
      <c r="A203" s="36" t="inlineStr">
        <is>
          <t>TIGER K방산&amp;우주</t>
        </is>
      </c>
      <c r="B203" s="15" t="inlineStr">
        <is>
          <t>463250</t>
        </is>
      </c>
      <c r="C203" s="36" t="inlineStr"/>
      <c r="D203" s="19" t="n">
        <v>0</v>
      </c>
      <c r="E203" s="36" t="inlineStr">
        <is>
          <t>현대로템</t>
        </is>
      </c>
      <c r="F203" s="17" t="n">
        <v>0.2542000007629395</v>
      </c>
      <c r="G203" s="36" t="inlineStr">
        <is>
          <t>한화에어로스페이스</t>
        </is>
      </c>
      <c r="H203" s="17" t="n">
        <v>0.1929999923706055</v>
      </c>
      <c r="I203" s="36" t="inlineStr">
        <is>
          <t>LIG디펜스앤에어로스페이스</t>
        </is>
      </c>
      <c r="J203" s="17" t="n">
        <v>0.1829999923706055</v>
      </c>
      <c r="K203" s="36" t="inlineStr">
        <is>
          <t>한국항공우주</t>
        </is>
      </c>
      <c r="L203" s="17" t="n">
        <v>0.1717000007629395</v>
      </c>
      <c r="M203" s="36" t="inlineStr">
        <is>
          <t>한화시스템</t>
        </is>
      </c>
      <c r="N203" s="17" t="n">
        <v>0.1272000026702881</v>
      </c>
      <c r="O203" s="36" t="inlineStr">
        <is>
          <t>풍산</t>
        </is>
      </c>
      <c r="P203" s="17" t="n">
        <v>0.02430000066757202</v>
      </c>
      <c r="Q203" s="36" t="inlineStr">
        <is>
          <t>쎄트렉아이</t>
        </is>
      </c>
      <c r="R203" s="17" t="n">
        <v>0.01639999985694885</v>
      </c>
      <c r="S203" s="36" t="inlineStr">
        <is>
          <t>인텔리안테크</t>
        </is>
      </c>
      <c r="T203" s="17" t="n">
        <v>0.01580000042915344</v>
      </c>
      <c r="U203" s="36" t="inlineStr">
        <is>
          <t>아이쓰리시스템</t>
        </is>
      </c>
      <c r="V203" s="17" t="n">
        <v>0.00699999988079071</v>
      </c>
      <c r="W203" s="36" t="inlineStr">
        <is>
          <t>AP위성</t>
        </is>
      </c>
      <c r="X203" s="17" t="n">
        <v>0.002700000107288361</v>
      </c>
    </row>
    <row r="204" ht="16" customHeight="1">
      <c r="A204" s="36" t="inlineStr">
        <is>
          <t>TIGER 은행고배당플러스TOP10</t>
        </is>
      </c>
      <c r="B204" s="15" t="inlineStr">
        <is>
          <t>466940</t>
        </is>
      </c>
      <c r="C204" s="36" t="inlineStr"/>
      <c r="D204" s="19" t="n">
        <v>0</v>
      </c>
      <c r="E204" s="36" t="inlineStr">
        <is>
          <t>하나금융지주</t>
        </is>
      </c>
      <c r="F204" s="17" t="n">
        <v>0.1664999961853027</v>
      </c>
      <c r="G204" s="36" t="inlineStr">
        <is>
          <t>신한지주</t>
        </is>
      </c>
      <c r="H204" s="17" t="n">
        <v>0.1531999969482422</v>
      </c>
      <c r="I204" s="36" t="inlineStr">
        <is>
          <t>KB금융</t>
        </is>
      </c>
      <c r="J204" s="17" t="n">
        <v>0.1523999977111817</v>
      </c>
      <c r="K204" s="36" t="inlineStr">
        <is>
          <t>우리금융지주</t>
        </is>
      </c>
      <c r="L204" s="17" t="n">
        <v>0.1453999996185303</v>
      </c>
      <c r="M204" s="36" t="inlineStr">
        <is>
          <t>기업은행</t>
        </is>
      </c>
      <c r="N204" s="17" t="n">
        <v>0.1285999965667725</v>
      </c>
      <c r="O204" s="36" t="inlineStr">
        <is>
          <t>한국금융지주</t>
        </is>
      </c>
      <c r="P204" s="17" t="n">
        <v>0.0675</v>
      </c>
      <c r="Q204" s="36" t="inlineStr">
        <is>
          <t>BNK금융지주</t>
        </is>
      </c>
      <c r="R204" s="17" t="n">
        <v>0.06110000133514405</v>
      </c>
      <c r="S204" s="36" t="inlineStr">
        <is>
          <t>JB금융지주</t>
        </is>
      </c>
      <c r="T204" s="17" t="n">
        <v>0.05510000228881836</v>
      </c>
      <c r="U204" s="22" t="inlineStr">
        <is>
          <t>삼성화재</t>
        </is>
      </c>
      <c r="V204" s="23" t="n">
        <v>0.02960000038146973</v>
      </c>
      <c r="W204" s="36" t="inlineStr">
        <is>
          <t>iM금융지주</t>
        </is>
      </c>
      <c r="X204" s="17" t="n">
        <v>0.02690000057220459</v>
      </c>
    </row>
    <row r="205" ht="16" customHeight="1">
      <c r="A205" s="36" t="inlineStr">
        <is>
          <t>TIGER 2차전지TOP10</t>
        </is>
      </c>
      <c r="B205" s="15" t="inlineStr">
        <is>
          <t>364980</t>
        </is>
      </c>
      <c r="C205" s="36" t="inlineStr"/>
      <c r="D205" s="19" t="n">
        <v>0</v>
      </c>
      <c r="E205" s="36" t="inlineStr">
        <is>
          <t>삼성SDI</t>
        </is>
      </c>
      <c r="F205" s="17" t="n">
        <v>0.3029000091552734</v>
      </c>
      <c r="G205" s="20" t="inlineStr">
        <is>
          <t>POSCO홀딩스</t>
        </is>
      </c>
      <c r="H205" s="21" t="n">
        <v>0.248799991607666</v>
      </c>
      <c r="I205" s="36" t="inlineStr">
        <is>
          <t>LG에너지솔루션</t>
        </is>
      </c>
      <c r="J205" s="17" t="n">
        <v>0.2240999984741211</v>
      </c>
      <c r="K205" s="20" t="inlineStr">
        <is>
          <t>LG화학</t>
        </is>
      </c>
      <c r="L205" s="21" t="n">
        <v>0.05929999828338623</v>
      </c>
      <c r="M205" s="36" t="inlineStr">
        <is>
          <t>에코프로</t>
        </is>
      </c>
      <c r="N205" s="17" t="n">
        <v>0.04460000038146972</v>
      </c>
      <c r="O205" s="36" t="inlineStr">
        <is>
          <t>에코프로비엠</t>
        </is>
      </c>
      <c r="P205" s="17" t="n">
        <v>0.03349999904632568</v>
      </c>
      <c r="Q205" s="22" t="inlineStr">
        <is>
          <t>SK이노베이션</t>
        </is>
      </c>
      <c r="R205" s="23" t="n">
        <v>0.03160000085830689</v>
      </c>
      <c r="S205" s="36" t="inlineStr">
        <is>
          <t>포스코퓨처엠</t>
        </is>
      </c>
      <c r="T205" s="17" t="n">
        <v>0.02769999980926514</v>
      </c>
      <c r="U205" s="36" t="inlineStr">
        <is>
          <t>엘앤에프</t>
        </is>
      </c>
      <c r="V205" s="17" t="n">
        <v>0.01799999952316284</v>
      </c>
      <c r="W205" s="36" t="inlineStr">
        <is>
          <t>SKC</t>
        </is>
      </c>
      <c r="X205" s="17" t="n">
        <v>0.009800000190734863</v>
      </c>
    </row>
    <row r="206" ht="16" customHeight="1">
      <c r="A206" s="36" t="inlineStr">
        <is>
          <t>TIGER 2차전지소재Fn</t>
        </is>
      </c>
      <c r="B206" s="15" t="inlineStr">
        <is>
          <t>462010</t>
        </is>
      </c>
      <c r="C206" s="36" t="inlineStr"/>
      <c r="D206" s="19" t="n">
        <v>0</v>
      </c>
      <c r="E206" s="36" t="inlineStr">
        <is>
          <t>포스코퓨처엠</t>
        </is>
      </c>
      <c r="F206" s="17" t="n">
        <v>0.2064999961853027</v>
      </c>
      <c r="G206" s="20" t="inlineStr">
        <is>
          <t>POSCO홀딩스</t>
        </is>
      </c>
      <c r="H206" s="21" t="n">
        <v>0.1944000053405762</v>
      </c>
      <c r="I206" s="36" t="inlineStr">
        <is>
          <t>에코프로</t>
        </is>
      </c>
      <c r="J206" s="17" t="n">
        <v>0.1775</v>
      </c>
      <c r="K206" s="36" t="inlineStr">
        <is>
          <t>에코프로비엠</t>
        </is>
      </c>
      <c r="L206" s="17" t="n">
        <v>0.1775</v>
      </c>
      <c r="M206" s="20" t="inlineStr">
        <is>
          <t>LG화학</t>
        </is>
      </c>
      <c r="N206" s="21" t="n">
        <v>0.1180000019073486</v>
      </c>
      <c r="O206" s="36" t="inlineStr">
        <is>
          <t>엘앤에프</t>
        </is>
      </c>
      <c r="P206" s="17" t="n">
        <v>0.03509999990463257</v>
      </c>
      <c r="Q206" s="36" t="inlineStr">
        <is>
          <t>SKC</t>
        </is>
      </c>
      <c r="R206" s="17" t="n">
        <v>0.01769999980926514</v>
      </c>
      <c r="S206" s="36" t="inlineStr">
        <is>
          <t>에코프로머티</t>
        </is>
      </c>
      <c r="T206" s="17" t="n">
        <v>0.01740000009536743</v>
      </c>
      <c r="U206" s="36" t="inlineStr">
        <is>
          <t>롯데에너지머티리얼즈</t>
        </is>
      </c>
      <c r="V206" s="17" t="n">
        <v>0.01</v>
      </c>
      <c r="W206" s="36" t="inlineStr">
        <is>
          <t>대주전자재료</t>
        </is>
      </c>
      <c r="X206" s="17" t="n">
        <v>0.009900000095367432</v>
      </c>
    </row>
    <row r="207" ht="16" customHeight="1">
      <c r="A207" s="36" t="inlineStr">
        <is>
          <t>TIME Korea플러스배당액티브</t>
        </is>
      </c>
      <c r="B207" s="15" t="inlineStr">
        <is>
          <t>441800</t>
        </is>
      </c>
      <c r="C207" s="36" t="inlineStr"/>
      <c r="D207" s="19" t="n">
        <v>0</v>
      </c>
      <c r="E207" s="22" t="inlineStr">
        <is>
          <t>SK하이닉스</t>
        </is>
      </c>
      <c r="F207" s="23" t="n">
        <v>0.2305999946594238</v>
      </c>
      <c r="G207" s="20" t="inlineStr">
        <is>
          <t>삼성전자</t>
        </is>
      </c>
      <c r="H207" s="21" t="n">
        <v>0.09699999809265136</v>
      </c>
      <c r="I207" s="36" t="inlineStr">
        <is>
          <t>LS</t>
        </is>
      </c>
      <c r="J207" s="17" t="n">
        <v>0.04650000095367432</v>
      </c>
      <c r="K207" s="20" t="inlineStr">
        <is>
          <t>미래에셋증권</t>
        </is>
      </c>
      <c r="L207" s="21" t="n">
        <v>0.03829999923706055</v>
      </c>
      <c r="M207" s="20" t="inlineStr">
        <is>
          <t>SK텔레콤</t>
        </is>
      </c>
      <c r="N207" s="21" t="n">
        <v>0.03740000009536743</v>
      </c>
      <c r="O207" s="20" t="inlineStr">
        <is>
          <t>현대차</t>
        </is>
      </c>
      <c r="P207" s="21" t="n">
        <v>0.03680000066757202</v>
      </c>
      <c r="Q207" s="20" t="inlineStr">
        <is>
          <t>두산에너빌리티</t>
        </is>
      </c>
      <c r="R207" s="21" t="n">
        <v>0.02869999885559082</v>
      </c>
      <c r="S207" s="36" t="inlineStr">
        <is>
          <t>KB금융</t>
        </is>
      </c>
      <c r="T207" s="17" t="n">
        <v>0.02700000047683716</v>
      </c>
      <c r="U207" s="22" t="inlineStr">
        <is>
          <t>삼양식품</t>
        </is>
      </c>
      <c r="V207" s="23" t="n">
        <v>0.02680000066757202</v>
      </c>
      <c r="W207" s="36" t="inlineStr">
        <is>
          <t>키움증권</t>
        </is>
      </c>
      <c r="X207" s="17" t="n">
        <v>0.02650000095367432</v>
      </c>
    </row>
    <row r="208" ht="16" customHeight="1">
      <c r="A208" s="36" t="inlineStr">
        <is>
          <t>RISE 200위클리커버드콜</t>
        </is>
      </c>
      <c r="B208" s="15" t="inlineStr">
        <is>
          <t>475720</t>
        </is>
      </c>
      <c r="C208" s="36" t="inlineStr"/>
      <c r="D208" s="19" t="n">
        <v>0</v>
      </c>
      <c r="E208" s="20" t="inlineStr">
        <is>
          <t>삼성전자</t>
        </is>
      </c>
      <c r="F208" s="21" t="n">
        <v>0.2675</v>
      </c>
      <c r="G208" s="22" t="inlineStr">
        <is>
          <t>SK하이닉스</t>
        </is>
      </c>
      <c r="H208" s="23" t="n">
        <v>0.2195000076293945</v>
      </c>
      <c r="I208" s="36" t="inlineStr">
        <is>
          <t>원화현금</t>
        </is>
      </c>
      <c r="J208" s="17" t="n">
        <v>0.02480000019073486</v>
      </c>
      <c r="K208" s="20" t="inlineStr">
        <is>
          <t>SK스퀘어</t>
        </is>
      </c>
      <c r="L208" s="21" t="n">
        <v>0.02440000057220459</v>
      </c>
      <c r="M208" s="20" t="inlineStr">
        <is>
          <t>현대차</t>
        </is>
      </c>
      <c r="N208" s="21" t="n">
        <v>0.02019999980926514</v>
      </c>
      <c r="O208" s="36" t="inlineStr">
        <is>
          <t>RISE 200</t>
        </is>
      </c>
      <c r="P208" s="17" t="n">
        <v>0.01970000028610229</v>
      </c>
      <c r="Q208" s="20" t="inlineStr">
        <is>
          <t>두산에너빌리티</t>
        </is>
      </c>
      <c r="R208" s="21" t="n">
        <v>0.01549999952316284</v>
      </c>
      <c r="S208" s="36" t="inlineStr">
        <is>
          <t>한화에어로스페이스</t>
        </is>
      </c>
      <c r="T208" s="17" t="n">
        <v>0.01419999957084656</v>
      </c>
      <c r="U208" s="36" t="inlineStr">
        <is>
          <t>KB금융</t>
        </is>
      </c>
      <c r="V208" s="17" t="n">
        <v>0.01399999976158142</v>
      </c>
      <c r="W208" s="36" t="inlineStr">
        <is>
          <t>삼성전기</t>
        </is>
      </c>
      <c r="X208" s="17" t="n">
        <v>0.01389999985694885</v>
      </c>
    </row>
    <row r="209" ht="16" customHeight="1">
      <c r="A209" s="36" t="inlineStr">
        <is>
          <t>TIGER 조선TOP10</t>
        </is>
      </c>
      <c r="B209" s="15" t="inlineStr">
        <is>
          <t>494670</t>
        </is>
      </c>
      <c r="C209" s="36" t="inlineStr"/>
      <c r="D209" s="19" t="n">
        <v>0</v>
      </c>
      <c r="E209" s="36" t="inlineStr">
        <is>
          <t>HD현대중공업</t>
        </is>
      </c>
      <c r="F209" s="17" t="n">
        <v>0.2502000045776367</v>
      </c>
      <c r="G209" s="36" t="inlineStr">
        <is>
          <t>한화오션</t>
        </is>
      </c>
      <c r="H209" s="17" t="n">
        <v>0.2479999923706055</v>
      </c>
      <c r="I209" s="36" t="inlineStr">
        <is>
          <t>HD한국조선해양</t>
        </is>
      </c>
      <c r="J209" s="17" t="n">
        <v>0.2109000015258789</v>
      </c>
      <c r="K209" s="36" t="inlineStr">
        <is>
          <t>삼성중공업</t>
        </is>
      </c>
      <c r="L209" s="17" t="n">
        <v>0.1793000030517578</v>
      </c>
      <c r="M209" s="36" t="inlineStr">
        <is>
          <t>한화엔진</t>
        </is>
      </c>
      <c r="N209" s="17" t="n">
        <v>0.04659999847412109</v>
      </c>
      <c r="O209" s="36" t="inlineStr">
        <is>
          <t>HD현대마린엔진</t>
        </is>
      </c>
      <c r="P209" s="17" t="n">
        <v>0.02299999952316284</v>
      </c>
      <c r="Q209" s="36" t="inlineStr">
        <is>
          <t>대한조선</t>
        </is>
      </c>
      <c r="R209" s="17" t="n">
        <v>0.02200000047683716</v>
      </c>
      <c r="S209" s="36" t="inlineStr">
        <is>
          <t>성광벤드</t>
        </is>
      </c>
      <c r="T209" s="17" t="n">
        <v>0.007799999713897705</v>
      </c>
      <c r="U209" s="36" t="inlineStr">
        <is>
          <t>동성화인텍</t>
        </is>
      </c>
      <c r="V209" s="17" t="n">
        <v>0.00550000011920929</v>
      </c>
      <c r="W209" s="36" t="inlineStr">
        <is>
          <t>현대힘스</t>
        </is>
      </c>
      <c r="X209" s="17" t="n">
        <v>0.004499999880790711</v>
      </c>
    </row>
    <row r="210" ht="16" customHeight="1">
      <c r="A210" s="36" t="inlineStr">
        <is>
          <t>KODEX 코스피100</t>
        </is>
      </c>
      <c r="B210" s="15" t="inlineStr">
        <is>
          <t>237350</t>
        </is>
      </c>
      <c r="C210" s="36" t="inlineStr"/>
      <c r="D210" s="19" t="n">
        <v>0</v>
      </c>
      <c r="E210" s="20" t="inlineStr">
        <is>
          <t>삼성전자</t>
        </is>
      </c>
      <c r="F210" s="21" t="n">
        <v>0.322400016784668</v>
      </c>
      <c r="G210" s="22" t="inlineStr">
        <is>
          <t>SK하이닉스</t>
        </is>
      </c>
      <c r="H210" s="23" t="n">
        <v>0.2389999961853027</v>
      </c>
      <c r="I210" s="20" t="inlineStr">
        <is>
          <t>SK스퀘어</t>
        </is>
      </c>
      <c r="J210" s="21" t="n">
        <v>0.02730000019073486</v>
      </c>
      <c r="K210" s="20" t="inlineStr">
        <is>
          <t>현대차</t>
        </is>
      </c>
      <c r="L210" s="21" t="n">
        <v>0.0222000002861023</v>
      </c>
      <c r="M210" s="20" t="inlineStr">
        <is>
          <t>두산에너빌리티</t>
        </is>
      </c>
      <c r="N210" s="21" t="n">
        <v>0.01669999957084656</v>
      </c>
      <c r="O210" s="36" t="inlineStr">
        <is>
          <t>삼성전기</t>
        </is>
      </c>
      <c r="P210" s="17" t="n">
        <v>0.01539999961853027</v>
      </c>
      <c r="Q210" s="36" t="inlineStr">
        <is>
          <t>KB금융</t>
        </is>
      </c>
      <c r="R210" s="17" t="n">
        <v>0.0152999997138977</v>
      </c>
      <c r="S210" s="36" t="inlineStr">
        <is>
          <t>한화에어로스페이스</t>
        </is>
      </c>
      <c r="T210" s="17" t="n">
        <v>0.01450000047683716</v>
      </c>
      <c r="U210" s="36" t="inlineStr">
        <is>
          <t>삼성SDI</t>
        </is>
      </c>
      <c r="V210" s="17" t="n">
        <v>0.0127999997138977</v>
      </c>
      <c r="W210" s="36" t="inlineStr">
        <is>
          <t>신한지주</t>
        </is>
      </c>
      <c r="X210" s="17" t="n">
        <v>0.0122000002861023</v>
      </c>
    </row>
    <row r="211" ht="16" customHeight="1">
      <c r="A211" s="36" t="inlineStr">
        <is>
          <t>RISE 코리아밸류업</t>
        </is>
      </c>
      <c r="B211" s="15" t="inlineStr">
        <is>
          <t>495050</t>
        </is>
      </c>
      <c r="C211" s="36" t="inlineStr"/>
      <c r="D211" s="19" t="n">
        <v>0</v>
      </c>
      <c r="E211" s="22" t="inlineStr">
        <is>
          <t>SK하이닉스</t>
        </is>
      </c>
      <c r="F211" s="23" t="n">
        <v>0.3518999862670898</v>
      </c>
      <c r="G211" s="20" t="inlineStr">
        <is>
          <t>삼성전자</t>
        </is>
      </c>
      <c r="H211" s="21" t="n">
        <v>0.1951000022888184</v>
      </c>
      <c r="I211" s="20" t="inlineStr">
        <is>
          <t>현대차</t>
        </is>
      </c>
      <c r="J211" s="21" t="n">
        <v>0.04400000095367432</v>
      </c>
      <c r="K211" s="36" t="inlineStr">
        <is>
          <t>KB금융</t>
        </is>
      </c>
      <c r="L211" s="17" t="n">
        <v>0.03039999961853027</v>
      </c>
      <c r="M211" s="36" t="inlineStr">
        <is>
          <t>한화에어로스페이스</t>
        </is>
      </c>
      <c r="N211" s="17" t="n">
        <v>0.02910000085830688</v>
      </c>
      <c r="O211" s="36" t="inlineStr">
        <is>
          <t>신한지주</t>
        </is>
      </c>
      <c r="P211" s="17" t="n">
        <v>0.02430000066757202</v>
      </c>
      <c r="Q211" s="22" t="inlineStr">
        <is>
          <t>기아</t>
        </is>
      </c>
      <c r="R211" s="23" t="n">
        <v>0.02269999980926514</v>
      </c>
      <c r="S211" s="36" t="inlineStr">
        <is>
          <t>하나금융지주</t>
        </is>
      </c>
      <c r="T211" s="17" t="n">
        <v>0.01919999957084656</v>
      </c>
      <c r="U211" s="36" t="inlineStr">
        <is>
          <t>HD현대일렉트릭</t>
        </is>
      </c>
      <c r="V211" s="17" t="n">
        <v>0.01740000009536743</v>
      </c>
      <c r="W211" s="36" t="inlineStr">
        <is>
          <t>현대모비스</t>
        </is>
      </c>
      <c r="X211" s="17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2026-07-12T23:30:04Z</dcterms:created>
  <dcterms:modified xmlns:dcterms="http://purl.org/dc/terms/" xmlns:xsi="http://www.w3.org/2001/XMLSchema-instance" xsi:type="dcterms:W3CDTF">2026-07-20T07:17:08Z</dcterms:modified>
</cp:coreProperties>
</file>